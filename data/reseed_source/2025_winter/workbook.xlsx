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TCH DATES" sheetId="1" r:id="rId5"/>
    <sheet state="visible" name="WEEKLY_TEAMS" sheetId="2" r:id="rId6"/>
    <sheet state="visible" name="MATCH_INPUT" sheetId="3" r:id="rId7"/>
    <sheet state="visible" name="LEAGUE_STANDINGS" sheetId="4" r:id="rId8"/>
    <sheet state="visible" name="FINALS_TEAM" sheetId="5" r:id="rId9"/>
    <sheet state="visible" name="WEEKLY_ROSTER" sheetId="6" r:id="rId10"/>
    <sheet state="hidden" name="FORM" sheetId="7" r:id="rId11"/>
    <sheet state="visible" name="Form_Response" sheetId="8" r:id="rId12"/>
  </sheets>
  <definedNames>
    <definedName name="MANDARINA_SEASON">WEEKLY_TEAMS!$A$1:$CY$99</definedName>
    <definedName name="LeagueStandingsTable">LEAGUE_STANDINGS!$B$13:$L$110</definedName>
  </definedNames>
  <calcPr/>
</workbook>
</file>

<file path=xl/sharedStrings.xml><?xml version="1.0" encoding="utf-8"?>
<sst xmlns="http://schemas.openxmlformats.org/spreadsheetml/2006/main" count="947" uniqueCount="266">
  <si>
    <t>Season to start 1/9/25</t>
  </si>
  <si>
    <t>MATCH DAY 1</t>
  </si>
  <si>
    <t>MATCH DAY 2</t>
  </si>
  <si>
    <t>MATCH DAY 3</t>
  </si>
  <si>
    <t>MATCH DAY 4</t>
  </si>
  <si>
    <t>MATCH DAY 5</t>
  </si>
  <si>
    <t>MATCH DAY 6</t>
  </si>
  <si>
    <t>MATCH DAY 7</t>
  </si>
  <si>
    <t>MATCH DAY 8</t>
  </si>
  <si>
    <t>WHAT IS THE PRIORITY SORTING FOR THIS</t>
  </si>
  <si>
    <t>With the updated formula I provided, the priority sorting is as follows:</t>
  </si>
  <si>
    <t>Total Points (CQ) - Highest priority, sorted in descending order.</t>
  </si>
  <si>
    <t>Wins (CR) - Second priority, sorted in descending order.</t>
  </si>
  <si>
    <t>Draws (CS) - Third priority, sorted in descending order.</t>
  </si>
  <si>
    <t>Losses (CT) - Fourth priority, sorted in descending order.</t>
  </si>
  <si>
    <t>Goals (CU) - Fifth priority, sorted in descending order.</t>
  </si>
  <si>
    <t>Clean Sheets (CV) - Sixth priority, sorted in descending order.</t>
  </si>
  <si>
    <t>Attendance (Matches Played) (CP) - Last priority, sorted in descending order.</t>
  </si>
  <si>
    <t>This order ensures that Total Points will always take precedence, followed by the other criteria in the order specified. This way, even if a player or team has high values in goals or clean sheets, the primary sorting criterion will still be Total Points.</t>
  </si>
  <si>
    <t>MATCHDAY 1</t>
  </si>
  <si>
    <t>MATCHDAY 2</t>
  </si>
  <si>
    <t>MATCHDAY 3</t>
  </si>
  <si>
    <t>MATCHDAY 4</t>
  </si>
  <si>
    <t>MATCHDAY 5</t>
  </si>
  <si>
    <t>MATCHDAY 6</t>
  </si>
  <si>
    <t>MATCHDAY 7</t>
  </si>
  <si>
    <t>MATCHDAY 8</t>
  </si>
  <si>
    <t>STATUS</t>
  </si>
  <si>
    <t>PLAYER</t>
  </si>
  <si>
    <t>MD 1 TEAM</t>
  </si>
  <si>
    <t>MD 1 TOTAL POINTS</t>
  </si>
  <si>
    <t>MD 1 ATTENDANCE</t>
  </si>
  <si>
    <t>MD 1 POINTS</t>
  </si>
  <si>
    <t>MD 1 (W)</t>
  </si>
  <si>
    <t>MD 1 (D)</t>
  </si>
  <si>
    <t>MD 1 (L)</t>
  </si>
  <si>
    <t>MD 1a GOALS</t>
  </si>
  <si>
    <t>MD 1a GOALIE POINT</t>
  </si>
  <si>
    <t>MD 1a CLEAN SHEET</t>
  </si>
  <si>
    <t>MD 1 RANK</t>
  </si>
  <si>
    <t>MD 1 FORM</t>
  </si>
  <si>
    <t>MD 2 TEAM</t>
  </si>
  <si>
    <t>MD 2 ACCUMULATED POINTS</t>
  </si>
  <si>
    <t>MD 2 ATTENDANCE</t>
  </si>
  <si>
    <t>MD 2 POINTS</t>
  </si>
  <si>
    <t>MD 2 (W)</t>
  </si>
  <si>
    <t>MD 2 (D)</t>
  </si>
  <si>
    <t>MD 2 (L)</t>
  </si>
  <si>
    <t>MD 2a GOALS</t>
  </si>
  <si>
    <t>MD 2a GOALIE POINT</t>
  </si>
  <si>
    <t>MD  2a Clean Sheet</t>
  </si>
  <si>
    <t>MD 2 RANK</t>
  </si>
  <si>
    <t>MD 2 FORM</t>
  </si>
  <si>
    <t>MD 3 TEAM</t>
  </si>
  <si>
    <t>MD 3 ACCUMULATED POINTS</t>
  </si>
  <si>
    <t>MD 3 ATTENDANCE</t>
  </si>
  <si>
    <t>MD 3 POINTS</t>
  </si>
  <si>
    <t>MD 3 (W)</t>
  </si>
  <si>
    <t>MD 3 (D)</t>
  </si>
  <si>
    <t>MD 3 (L)</t>
  </si>
  <si>
    <t>MD 3a GOALS</t>
  </si>
  <si>
    <t>MD 3a GOALIE POINT</t>
  </si>
  <si>
    <t>MD 3a CLEAN SHEET</t>
  </si>
  <si>
    <t>MD 3 RANK</t>
  </si>
  <si>
    <t>MD 3 FORM</t>
  </si>
  <si>
    <t>MD 4 TEAM</t>
  </si>
  <si>
    <t>MD 4 ACCUMULATED POINTS</t>
  </si>
  <si>
    <t>MD 4 ATTENDANCE</t>
  </si>
  <si>
    <t>MD 4 POINTS</t>
  </si>
  <si>
    <t>MD 4 (W)</t>
  </si>
  <si>
    <t>MD 4 (D)</t>
  </si>
  <si>
    <t>MD 4 (L)</t>
  </si>
  <si>
    <t>MD 4a GOALS</t>
  </si>
  <si>
    <t>MD 4a GOALIE POINT</t>
  </si>
  <si>
    <t>MD  4a Clean Sheet</t>
  </si>
  <si>
    <t>MD 4 RANK</t>
  </si>
  <si>
    <t>MD 4 FORM</t>
  </si>
  <si>
    <t>MD 5 TEAM</t>
  </si>
  <si>
    <t>MD 5 ACCUMULATED POINTS</t>
  </si>
  <si>
    <t>MD 5 ATTENDANCE</t>
  </si>
  <si>
    <t>MD 5 POINTS</t>
  </si>
  <si>
    <t>MD 5 (W)</t>
  </si>
  <si>
    <t>MD 5 (D)</t>
  </si>
  <si>
    <t>MD 5 (L)</t>
  </si>
  <si>
    <t>MD 5a GOALS</t>
  </si>
  <si>
    <t>MD 5a GOALIE POINT</t>
  </si>
  <si>
    <t>MD 5a CLEAN SHEET</t>
  </si>
  <si>
    <t>MD 5 RANK</t>
  </si>
  <si>
    <t>MD 5 FORM</t>
  </si>
  <si>
    <t>MD 6 TEAM</t>
  </si>
  <si>
    <t>MD 6 ACCUMULATED POINTS</t>
  </si>
  <si>
    <t>MD 6 ATTENDANCE</t>
  </si>
  <si>
    <t>MD 6 POINTS</t>
  </si>
  <si>
    <t>MD 6 (W)</t>
  </si>
  <si>
    <t>MD 6 (D)</t>
  </si>
  <si>
    <t>MD 6 (L)</t>
  </si>
  <si>
    <t>MD 6a GOALS</t>
  </si>
  <si>
    <t>MD 6a GOALIE POINT</t>
  </si>
  <si>
    <t>MD  6a Clean Sheet</t>
  </si>
  <si>
    <t>MD 6 RANK</t>
  </si>
  <si>
    <t>MD 6 FORM</t>
  </si>
  <si>
    <t>MD 7 TEAM</t>
  </si>
  <si>
    <t>MD 7 ACCUMULATED POINTS</t>
  </si>
  <si>
    <t>MD 7 ATTENDANCE</t>
  </si>
  <si>
    <t>MD 7 POINTS</t>
  </si>
  <si>
    <t>MD 7 (W)</t>
  </si>
  <si>
    <t>MD 7 (D)</t>
  </si>
  <si>
    <t>MD 7 (L)</t>
  </si>
  <si>
    <t>MD 7a GOALS</t>
  </si>
  <si>
    <t>MD 7a GOALIE POINT</t>
  </si>
  <si>
    <t>MD 7a CLEAN SHEET</t>
  </si>
  <si>
    <t>MD 7 RANK</t>
  </si>
  <si>
    <t>MD 7 FORM</t>
  </si>
  <si>
    <t>MD 8 TEAM</t>
  </si>
  <si>
    <t>MD 8 ACCUMULATED POINTS</t>
  </si>
  <si>
    <t>MD 8 ATTENDANCE</t>
  </si>
  <si>
    <t>MD 8 POINTS</t>
  </si>
  <si>
    <t>MD 8 (W)</t>
  </si>
  <si>
    <t>MD 8 (D)</t>
  </si>
  <si>
    <t>MD 8 (L)</t>
  </si>
  <si>
    <t>MD 8a GOALS</t>
  </si>
  <si>
    <t>MD 8a GOALIE POINT</t>
  </si>
  <si>
    <t>MD  8a Clean Sheet</t>
  </si>
  <si>
    <t>MD 8 RANK</t>
  </si>
  <si>
    <t>MD 8 FORM</t>
  </si>
  <si>
    <t>POINTS</t>
  </si>
  <si>
    <t>SEASON STATUS</t>
  </si>
  <si>
    <t>PLAYER_</t>
  </si>
  <si>
    <t>TOTAL POINTS</t>
  </si>
  <si>
    <t>ATTENDANCE</t>
  </si>
  <si>
    <t>WINS</t>
  </si>
  <si>
    <t>DRAWS</t>
  </si>
  <si>
    <t>LOSSES</t>
  </si>
  <si>
    <t>GOALS</t>
  </si>
  <si>
    <t>GOALIE POINT</t>
  </si>
  <si>
    <t>CLEAN SHEETS</t>
  </si>
  <si>
    <t>⭐️</t>
  </si>
  <si>
    <t>Osmin</t>
  </si>
  <si>
    <t>BLUE</t>
  </si>
  <si>
    <t>MAGENTA</t>
  </si>
  <si>
    <t>GREEN</t>
  </si>
  <si>
    <t>ORANGE</t>
  </si>
  <si>
    <t>Fabian</t>
  </si>
  <si>
    <t>🏆 Jordan</t>
  </si>
  <si>
    <t>Cuñis 👨🏽‍🤝‍👨🏼 Karter</t>
  </si>
  <si>
    <t>Javier</t>
  </si>
  <si>
    <t>Gabriel</t>
  </si>
  <si>
    <t>Nicky</t>
  </si>
  <si>
    <t>Carlos S.</t>
  </si>
  <si>
    <t>Valencia</t>
  </si>
  <si>
    <t>Fer</t>
  </si>
  <si>
    <t>Asdruval</t>
  </si>
  <si>
    <t>Rodolfo</t>
  </si>
  <si>
    <t>Gerardo</t>
  </si>
  <si>
    <t>Pirlo</t>
  </si>
  <si>
    <t>Ruben</t>
  </si>
  <si>
    <t>Rob 👬🏽 Toño</t>
  </si>
  <si>
    <t>Gus</t>
  </si>
  <si>
    <t>Chato 👨🏻‍🤝‍👨🏽 Miguel</t>
  </si>
  <si>
    <t>Rodrigo Mena</t>
  </si>
  <si>
    <t>Christian</t>
  </si>
  <si>
    <t>Chilas 👨🏻‍🤝‍👨🏾 Netto</t>
  </si>
  <si>
    <t>V. Nizama</t>
  </si>
  <si>
    <t>Kevin</t>
  </si>
  <si>
    <t>Guille 👨🏻‍🤝‍👨🏾 Mike</t>
  </si>
  <si>
    <t>Andres</t>
  </si>
  <si>
    <t>Mikey</t>
  </si>
  <si>
    <t>Alex</t>
  </si>
  <si>
    <t>Efra</t>
  </si>
  <si>
    <t>Jose Blanco</t>
  </si>
  <si>
    <t>Alexis 👨🏾‍🤝‍👨🏿 Lopez</t>
  </si>
  <si>
    <t>Eder</t>
  </si>
  <si>
    <t>Carlos Haro</t>
  </si>
  <si>
    <t>David</t>
  </si>
  <si>
    <t>Chavito</t>
  </si>
  <si>
    <t>A. Espinoza</t>
  </si>
  <si>
    <t>J. Sarza</t>
  </si>
  <si>
    <t>🔄 (Jhonatan A)</t>
  </si>
  <si>
    <t>🔄 (Joel)</t>
  </si>
  <si>
    <t>🔄 (Valverde)</t>
  </si>
  <si>
    <t>🔄 (Cuñis)</t>
  </si>
  <si>
    <t>🔄 (Karter)</t>
  </si>
  <si>
    <t>🔄 (Enerson)</t>
  </si>
  <si>
    <t>🔄 (Rudy)</t>
  </si>
  <si>
    <t>🔄 (Yan Carlos)</t>
  </si>
  <si>
    <t>🔄 (Chato)</t>
  </si>
  <si>
    <t>🔄 (Chilas)</t>
  </si>
  <si>
    <t>🔄 (Netto)</t>
  </si>
  <si>
    <t>🔄 (Saúl)</t>
  </si>
  <si>
    <t>🔄 (Guille)</t>
  </si>
  <si>
    <t>🔄 (Estavillo)</t>
  </si>
  <si>
    <t>🔄 (Jhony S)</t>
  </si>
  <si>
    <t>🔄 (Victor)</t>
  </si>
  <si>
    <t>🔄 (Nicolas)</t>
  </si>
  <si>
    <t>MATCH DAY</t>
  </si>
  <si>
    <t>MATCH</t>
  </si>
  <si>
    <t>Court</t>
  </si>
  <si>
    <t>TEAM</t>
  </si>
  <si>
    <t>SCORE</t>
  </si>
  <si>
    <t>WINNER</t>
  </si>
  <si>
    <t>Points</t>
  </si>
  <si>
    <t>1a</t>
  </si>
  <si>
    <t>VS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</si>
  <si>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</si>
  <si>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</si>
  <si>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</si>
  <si>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</si>
  <si>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</si>
  <si>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</si>
  <si>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</si>
  <si>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</si>
  <si>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</si>
  <si>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</si>
  <si>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</si>
  <si>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</si>
  <si>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</si>
  <si>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</si>
  <si>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</si>
  <si>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MP</t>
  </si>
  <si>
    <t>Match Days Played</t>
  </si>
  <si>
    <t>TP</t>
  </si>
  <si>
    <t>Total Points</t>
  </si>
  <si>
    <t>★</t>
  </si>
  <si>
    <t>SEASON STARTER</t>
  </si>
  <si>
    <t>W</t>
  </si>
  <si>
    <t>Win</t>
  </si>
  <si>
    <t>↳</t>
  </si>
  <si>
    <t>SUB</t>
  </si>
  <si>
    <t>D</t>
  </si>
  <si>
    <t>Draw</t>
  </si>
  <si>
    <t>L</t>
  </si>
  <si>
    <t>Loss</t>
  </si>
  <si>
    <t>G</t>
  </si>
  <si>
    <t>Goals Scored</t>
  </si>
  <si>
    <t>GP</t>
  </si>
  <si>
    <t>Goalie Points</t>
  </si>
  <si>
    <t>CS</t>
  </si>
  <si>
    <t>Clean Sheeets</t>
  </si>
  <si>
    <t>Top 4</t>
  </si>
  <si>
    <t>Relegated to ↳</t>
  </si>
  <si>
    <t>Promoted to ★</t>
  </si>
  <si>
    <t>FORM</t>
  </si>
  <si>
    <t>RANK</t>
  </si>
  <si>
    <t>ROUND ROBIN</t>
  </si>
  <si>
    <t>SANKE DRAFT METHOD</t>
  </si>
  <si>
    <t>MATCH DAY 1 - SCOREBOARD</t>
  </si>
  <si>
    <t>CLAIM MATCH DAY STATS WITHIN 24 HOURS</t>
  </si>
  <si>
    <t>-</t>
  </si>
  <si>
    <t>MATCH DAY 2 - SCOREBOARD</t>
  </si>
  <si>
    <t>MATCH DAY 3 - SCOREBOARD</t>
  </si>
  <si>
    <t>MATCH DAY 4 - SCOREBOARD</t>
  </si>
  <si>
    <t>MATCH DAY 5 - SCOREBOARD</t>
  </si>
  <si>
    <t>MATCH DAY 6 - SCOREBOARD ***ATTENDANCE WORTH 2x MORE POINTS TODAY***</t>
  </si>
  <si>
    <t>MATCH DAY 7 - SCOREBOARD</t>
  </si>
  <si>
    <t>MATCH DAY 8 - SCOREBOARD</t>
  </si>
  <si>
    <t>=</t>
  </si>
  <si>
    <t>Timestamp</t>
  </si>
  <si>
    <t>Match Date?</t>
  </si>
  <si>
    <t>Match Day?</t>
  </si>
  <si>
    <t>Player Name?</t>
  </si>
  <si>
    <t>How many goals scored? (Leave blank if none)</t>
  </si>
  <si>
    <t>Where you goalie?</t>
  </si>
  <si>
    <t>Clean Sheet?</t>
  </si>
  <si>
    <t>Yes</t>
  </si>
  <si>
    <t>👥 Alexis / Lopez</t>
  </si>
  <si>
    <t>👥 Cuñis / Karter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</si>
</sst>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39">
    <font>
      <sz val="12.0"/>
      <color theme="1"/>
      <name val="Aptos Narrow"/>
      <scheme val="minor"/>
    </font>
    <font>
      <sz val="12.0"/>
      <color theme="1"/>
      <name val="Arial"/>
    </font>
    <font>
      <color theme="1"/>
      <name val="Arial"/>
    </font>
    <font>
      <color rgb="FF000000"/>
      <name val="Aptos Narrow"/>
      <scheme val="minor"/>
    </font>
    <font>
      <b/>
      <sz val="12.0"/>
      <color theme="0"/>
      <name val="Arial"/>
    </font>
    <font>
      <b/>
      <sz val="20.0"/>
      <color theme="0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sz val="7.0"/>
      <color theme="1"/>
      <name val="Arial"/>
    </font>
    <font>
      <sz val="7.0"/>
      <color theme="1"/>
      <name val="Arial"/>
    </font>
    <font>
      <sz val="12.0"/>
      <color rgb="FFFFFFFF"/>
      <name val="Arial"/>
    </font>
    <font>
      <sz val="20.0"/>
      <color rgb="FFFFFFFF"/>
      <name val="Arial"/>
    </font>
    <font>
      <sz val="12.0"/>
      <color rgb="FF000000"/>
      <name val="Arial"/>
    </font>
    <font>
      <sz val="12.0"/>
      <color theme="0"/>
      <name val="Arial"/>
    </font>
    <font>
      <sz val="20.0"/>
      <color theme="0"/>
      <name val="Arial"/>
    </font>
    <font>
      <b/>
      <sz val="9.0"/>
      <color rgb="FFFFFFFF"/>
      <name val="Arial"/>
    </font>
    <font>
      <b/>
      <sz val="9.0"/>
      <color theme="0"/>
      <name val="Aptos Narrow"/>
    </font>
    <font>
      <i/>
      <sz val="9.0"/>
      <color rgb="FFFFFF00"/>
      <name val="Arial"/>
    </font>
    <font>
      <sz val="9.0"/>
      <color theme="1"/>
      <name val="Aptos Narrow"/>
      <scheme val="minor"/>
    </font>
    <font>
      <sz val="9.0"/>
      <color theme="1"/>
      <name val="Aptos Narrow"/>
    </font>
    <font>
      <sz val="9.0"/>
      <color theme="0"/>
      <name val="Aptos Narrow"/>
    </font>
    <font>
      <i/>
      <sz val="9.0"/>
      <color theme="0"/>
      <name val="Aptos Narrow"/>
    </font>
    <font>
      <sz val="9.0"/>
      <color theme="1"/>
      <name val="Arial"/>
    </font>
    <font>
      <i/>
      <sz val="9.0"/>
      <color rgb="FFFFFFFF"/>
      <name val="Aptos Narrow"/>
    </font>
    <font/>
    <font>
      <sz val="9.0"/>
      <color rgb="FFFFFFFF"/>
      <name val="Arial"/>
    </font>
    <font>
      <b/>
      <sz val="6.0"/>
      <color rgb="FFFFFFFF"/>
      <name val="Arial"/>
    </font>
    <font>
      <b/>
      <sz val="5.0"/>
      <color rgb="FFFFFFFF"/>
      <name val="Arial"/>
    </font>
    <font>
      <b/>
      <sz val="10.0"/>
      <color rgb="FFFFFFFF"/>
      <name val="Arial"/>
    </font>
    <font>
      <b/>
      <sz val="7.0"/>
      <color rgb="FFFFFFFF"/>
      <name val="Arial"/>
    </font>
    <font>
      <b/>
      <sz val="4.0"/>
      <color rgb="FFFFFFFF"/>
      <name val="Arial"/>
    </font>
    <font>
      <b/>
      <sz val="11.0"/>
      <color rgb="FFFFFFFF"/>
      <name val="Arial"/>
    </font>
    <font>
      <sz val="8.0"/>
      <color rgb="FFFFFFFF"/>
      <name val="Aptos Narrow"/>
    </font>
    <font>
      <color theme="1"/>
      <name val="Aptos Narrow"/>
      <scheme val="minor"/>
    </font>
    <font>
      <b/>
      <sz val="18.0"/>
      <color rgb="FFFFFFFF"/>
      <name val="Arial"/>
    </font>
    <font>
      <b/>
      <sz val="12.0"/>
      <color rgb="FFFFFFFF"/>
      <name val="Aptos Narrow"/>
    </font>
    <font>
      <sz val="8.0"/>
      <color rgb="FFFFFFFF"/>
      <name val="Arial"/>
    </font>
    <font>
      <sz val="12.0"/>
      <color rgb="FF232B2B"/>
      <name val="Arial"/>
    </font>
    <font>
      <sz val="12.0"/>
      <color theme="1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rgb="FF003C43"/>
        <bgColor rgb="FF003C43"/>
      </patternFill>
    </fill>
    <fill>
      <patternFill patternType="solid">
        <fgColor rgb="FFA7E8BD"/>
        <bgColor rgb="FFA7E8BD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FF6B6B"/>
        <bgColor rgb="FFFF6B6B"/>
      </patternFill>
    </fill>
    <fill>
      <patternFill patternType="solid">
        <fgColor rgb="FF4DA8DA"/>
        <bgColor rgb="FF4DA8DA"/>
      </patternFill>
    </fill>
    <fill>
      <patternFill patternType="solid">
        <fgColor rgb="FF76D6FF"/>
        <bgColor rgb="FF76D6FF"/>
      </patternFill>
    </fill>
    <fill>
      <patternFill patternType="solid">
        <fgColor rgb="FFFF40FF"/>
        <bgColor rgb="FFFF40FF"/>
      </patternFill>
    </fill>
    <fill>
      <patternFill patternType="solid">
        <fgColor rgb="FFFF9300"/>
        <bgColor rgb="FFFF9300"/>
      </patternFill>
    </fill>
    <fill>
      <patternFill patternType="solid">
        <fgColor rgb="FF8EFA00"/>
        <bgColor rgb="FF8EFA00"/>
      </patternFill>
    </fill>
    <fill>
      <patternFill patternType="solid">
        <fgColor rgb="FF000000"/>
        <bgColor rgb="FF000000"/>
      </patternFill>
    </fill>
    <fill>
      <patternFill patternType="solid">
        <fgColor rgb="FF232B2B"/>
        <bgColor rgb="FF232B2B"/>
      </patternFill>
    </fill>
  </fills>
  <borders count="11">
    <border/>
    <border>
      <left style="double">
        <color rgb="FFFF9900"/>
      </left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left style="double">
        <color rgb="FFFF9900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bottom style="dotted">
        <color rgb="FFFFFFFF"/>
      </bottom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bottom style="thick">
        <color rgb="FFFFFFFF"/>
      </bottom>
    </border>
    <border>
      <left style="dotted">
        <color rgb="FFFFFFFF"/>
      </left>
      <right style="dotted">
        <color rgb="FFFFFFFF"/>
      </right>
      <bottom style="thick">
        <color rgb="FFFFFFFF"/>
      </bottom>
    </border>
    <border>
      <bottom style="double">
        <color rgb="FFFFFFFF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horizontal="center" shrinkToFit="1" vertical="center" wrapText="0"/>
    </xf>
    <xf borderId="0" fillId="2" fontId="5" numFmtId="0" xfId="0" applyAlignment="1" applyFont="1">
      <alignment horizontal="center" shrinkToFit="1" vertical="center" wrapText="0"/>
    </xf>
    <xf borderId="0" fillId="3" fontId="6" numFmtId="0" xfId="0" applyAlignment="1" applyFill="1" applyFont="1">
      <alignment horizontal="center" readingOrder="0" shrinkToFit="1" vertical="center" wrapText="0"/>
    </xf>
    <xf borderId="0" fillId="2" fontId="7" numFmtId="0" xfId="0" applyAlignment="1" applyFont="1">
      <alignment horizontal="center" readingOrder="0" shrinkToFit="1" vertical="center" wrapText="0"/>
    </xf>
    <xf borderId="0" fillId="0" fontId="6" numFmtId="0" xfId="0" applyAlignment="1" applyFont="1">
      <alignment horizontal="center" shrinkToFit="1" vertical="center" wrapText="0"/>
    </xf>
    <xf borderId="0" fillId="0" fontId="1" numFmtId="0" xfId="0" applyAlignment="1" applyFont="1">
      <alignment horizontal="center" shrinkToFit="1" vertical="center" wrapText="0"/>
    </xf>
    <xf borderId="0" fillId="0" fontId="6" numFmtId="0" xfId="0" applyAlignment="1" applyFont="1">
      <alignment horizontal="center" readingOrder="0" shrinkToFit="0" textRotation="0" vertical="center" wrapText="1"/>
    </xf>
    <xf borderId="0" fillId="0" fontId="8" numFmtId="0" xfId="0" applyAlignment="1" applyFont="1">
      <alignment horizontal="center" readingOrder="0" shrinkToFit="0" textRotation="0" vertical="center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0" fillId="0" fontId="8" numFmtId="0" xfId="0" applyAlignment="1" applyFont="1">
      <alignment horizontal="center" readingOrder="0" shrinkToFit="0" textRotation="0" vertical="center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1" fillId="0" fontId="9" numFmtId="0" xfId="0" applyAlignment="1" applyBorder="1" applyFont="1">
      <alignment horizontal="center" readingOrder="0" shrinkToFit="0" textRotation="0" vertical="center" wrapText="1"/>
    </xf>
    <xf borderId="0" fillId="2" fontId="10" numFmtId="0" xfId="0" applyAlignment="1" applyFont="1">
      <alignment horizontal="center" readingOrder="0" shrinkToFit="1" vertical="center" wrapText="0"/>
    </xf>
    <xf borderId="2" fillId="2" fontId="11" numFmtId="0" xfId="0" applyAlignment="1" applyBorder="1" applyFont="1">
      <alignment horizontal="center" readingOrder="0" shrinkToFit="1" vertical="center" wrapText="0"/>
    </xf>
    <xf borderId="3" fillId="3" fontId="1" numFmtId="0" xfId="0" applyAlignment="1" applyBorder="1" applyFont="1">
      <alignment horizontal="center" readingOrder="0" shrinkToFit="1" vertical="center" wrapText="0"/>
    </xf>
    <xf borderId="4" fillId="3" fontId="1" numFmtId="0" xfId="0" applyAlignment="1" applyBorder="1" applyFont="1">
      <alignment horizontal="center" shrinkToFit="1" vertical="center" wrapText="0"/>
    </xf>
    <xf borderId="4" fillId="3" fontId="1" numFmtId="0" xfId="0" applyAlignment="1" applyBorder="1" applyFont="1">
      <alignment horizontal="center" readingOrder="0" shrinkToFit="1" vertical="center" wrapText="0"/>
    </xf>
    <xf borderId="2" fillId="3" fontId="12" numFmtId="0" xfId="0" applyAlignment="1" applyBorder="1" applyFont="1">
      <alignment horizontal="center" readingOrder="0" shrinkToFit="1" vertical="center" wrapText="0"/>
    </xf>
    <xf borderId="4" fillId="3" fontId="12" numFmtId="0" xfId="0" applyAlignment="1" applyBorder="1" applyFont="1">
      <alignment horizontal="center" shrinkToFit="1" vertical="center" wrapText="0"/>
    </xf>
    <xf borderId="2" fillId="3" fontId="12" numFmtId="0" xfId="0" applyAlignment="1" applyBorder="1" applyFont="1">
      <alignment horizontal="center" shrinkToFit="1" vertical="center" wrapText="0"/>
    </xf>
    <xf borderId="3" fillId="2" fontId="10" numFmtId="0" xfId="0" applyAlignment="1" applyBorder="1" applyFont="1">
      <alignment horizontal="center" readingOrder="0" shrinkToFit="1" vertical="center" wrapText="0"/>
    </xf>
    <xf borderId="4" fillId="2" fontId="13" numFmtId="0" xfId="0" applyAlignment="1" applyBorder="1" applyFont="1">
      <alignment horizontal="center" shrinkToFit="1" vertical="center" wrapText="0"/>
    </xf>
    <xf borderId="4" fillId="2" fontId="10" numFmtId="0" xfId="0" applyAlignment="1" applyBorder="1" applyFont="1">
      <alignment horizontal="center" readingOrder="0" shrinkToFit="1" vertical="center" wrapText="0"/>
    </xf>
    <xf borderId="2" fillId="2" fontId="10" numFmtId="0" xfId="0" applyAlignment="1" applyBorder="1" applyFont="1">
      <alignment horizontal="center" readingOrder="0" shrinkToFit="1" vertical="center" wrapText="0"/>
    </xf>
    <xf borderId="2" fillId="2" fontId="13" numFmtId="0" xfId="0" applyAlignment="1" applyBorder="1" applyFont="1">
      <alignment horizontal="center" shrinkToFit="1" vertical="center" wrapText="0"/>
    </xf>
    <xf borderId="2" fillId="3" fontId="1" numFmtId="0" xfId="0" applyAlignment="1" applyBorder="1" applyFont="1">
      <alignment horizontal="center" readingOrder="0" shrinkToFit="1" vertical="center" wrapText="0"/>
    </xf>
    <xf borderId="0" fillId="2" fontId="13" numFmtId="0" xfId="0" applyAlignment="1" applyFont="1">
      <alignment horizontal="center" shrinkToFit="1" vertical="center" wrapText="0"/>
    </xf>
    <xf borderId="1" fillId="0" fontId="1" numFmtId="0" xfId="0" applyAlignment="1" applyBorder="1" applyFont="1">
      <alignment horizontal="center" shrinkToFit="1" vertical="center" wrapText="0"/>
    </xf>
    <xf borderId="0" fillId="0" fontId="1" numFmtId="0" xfId="0" applyAlignment="1" applyFont="1">
      <alignment horizontal="center" shrinkToFit="1" vertical="center" wrapText="0"/>
    </xf>
    <xf borderId="3" fillId="2" fontId="13" numFmtId="0" xfId="0" applyAlignment="1" applyBorder="1" applyFont="1">
      <alignment horizontal="center" shrinkToFit="1" vertical="center" wrapText="0"/>
    </xf>
    <xf borderId="3" fillId="3" fontId="1" numFmtId="0" xfId="0" applyAlignment="1" applyBorder="1" applyFont="1">
      <alignment horizontal="center" shrinkToFit="1" vertical="center" wrapText="0"/>
    </xf>
    <xf borderId="3" fillId="2" fontId="13" numFmtId="0" xfId="0" applyAlignment="1" applyBorder="1" applyFont="1">
      <alignment horizontal="center" readingOrder="0" shrinkToFit="1" vertical="center" wrapText="0"/>
    </xf>
    <xf borderId="3" fillId="3" fontId="1" numFmtId="0" xfId="0" applyAlignment="1" applyBorder="1" applyFont="1">
      <alignment horizontal="center" shrinkToFit="1" vertical="center" wrapText="0"/>
    </xf>
    <xf borderId="3" fillId="2" fontId="13" numFmtId="0" xfId="0" applyAlignment="1" applyBorder="1" applyFont="1">
      <alignment horizontal="center" shrinkToFit="1" vertical="center" wrapText="0"/>
    </xf>
    <xf borderId="2" fillId="2" fontId="14" numFmtId="0" xfId="0" applyAlignment="1" applyBorder="1" applyFont="1">
      <alignment horizontal="center" shrinkToFit="1" vertical="center" wrapText="0"/>
    </xf>
    <xf borderId="2" fillId="2" fontId="14" numFmtId="0" xfId="0" applyAlignment="1" applyBorder="1" applyFont="1">
      <alignment horizontal="center" readingOrder="0" shrinkToFit="1" vertical="center" wrapText="0"/>
    </xf>
    <xf borderId="0" fillId="2" fontId="15" numFmtId="0" xfId="0" applyAlignment="1" applyFont="1">
      <alignment horizontal="center" readingOrder="0" shrinkToFit="0" vertical="bottom" wrapText="1"/>
    </xf>
    <xf borderId="0" fillId="2" fontId="16" numFmtId="0" xfId="0" applyAlignment="1" applyFont="1">
      <alignment horizontal="center" shrinkToFit="0" vertical="bottom" wrapText="1"/>
    </xf>
    <xf borderId="0" fillId="2" fontId="17" numFmtId="0" xfId="0" applyAlignment="1" applyFont="1">
      <alignment horizontal="right" readingOrder="0" shrinkToFit="0" vertical="bottom" wrapText="1"/>
    </xf>
    <xf borderId="0" fillId="2" fontId="17" numFmtId="0" xfId="0" applyAlignment="1" applyFont="1">
      <alignment horizontal="left" readingOrder="0" shrinkToFit="0" vertical="bottom" wrapText="1"/>
    </xf>
    <xf borderId="0" fillId="2" fontId="18" numFmtId="0" xfId="0" applyFont="1"/>
    <xf borderId="0" fillId="2" fontId="19" numFmtId="0" xfId="0" applyAlignment="1" applyFont="1">
      <alignment horizontal="center" vertical="center"/>
    </xf>
    <xf borderId="0" fillId="2" fontId="20" numFmtId="0" xfId="0" applyAlignment="1" applyFont="1">
      <alignment horizontal="right" vertical="center"/>
    </xf>
    <xf borderId="0" fillId="4" fontId="20" numFmtId="0" xfId="0" applyAlignment="1" applyFill="1" applyFont="1">
      <alignment horizontal="center" vertical="center"/>
    </xf>
    <xf borderId="5" fillId="2" fontId="21" numFmtId="0" xfId="0" applyAlignment="1" applyBorder="1" applyFont="1">
      <alignment horizontal="right" vertical="center"/>
    </xf>
    <xf borderId="5" fillId="4" fontId="22" numFmtId="0" xfId="0" applyAlignment="1" applyBorder="1" applyFont="1">
      <alignment horizontal="center" readingOrder="0" shrinkToFit="1" vertical="center" wrapText="0"/>
    </xf>
    <xf borderId="5" fillId="4" fontId="15" numFmtId="0" xfId="0" applyAlignment="1" applyBorder="1" applyFont="1">
      <alignment horizontal="center" readingOrder="0" vertical="center"/>
    </xf>
    <xf borderId="6" fillId="4" fontId="15" numFmtId="0" xfId="0" applyAlignment="1" applyBorder="1" applyFont="1">
      <alignment horizontal="center" readingOrder="0" vertical="center"/>
    </xf>
    <xf borderId="5" fillId="4" fontId="20" numFmtId="0" xfId="0" applyAlignment="1" applyBorder="1" applyFont="1">
      <alignment horizontal="center" vertical="center"/>
    </xf>
    <xf borderId="5" fillId="4" fontId="16" numFmtId="0" xfId="0" applyAlignment="1" applyBorder="1" applyFont="1">
      <alignment horizontal="center" vertical="center"/>
    </xf>
    <xf borderId="5" fillId="2" fontId="23" numFmtId="0" xfId="0" applyAlignment="1" applyBorder="1" applyFont="1">
      <alignment horizontal="left" vertical="center"/>
    </xf>
    <xf borderId="0" fillId="2" fontId="20" numFmtId="0" xfId="0" applyAlignment="1" applyFont="1">
      <alignment horizontal="left" vertical="center"/>
    </xf>
    <xf borderId="7" fillId="0" fontId="24" numFmtId="0" xfId="0" applyBorder="1" applyFont="1"/>
    <xf borderId="7" fillId="4" fontId="20" numFmtId="0" xfId="0" applyAlignment="1" applyBorder="1" applyFont="1">
      <alignment horizontal="center" vertical="center"/>
    </xf>
    <xf borderId="7" fillId="2" fontId="21" numFmtId="0" xfId="0" applyAlignment="1" applyBorder="1" applyFont="1">
      <alignment horizontal="right" vertical="center"/>
    </xf>
    <xf borderId="7" fillId="4" fontId="22" numFmtId="0" xfId="0" applyAlignment="1" applyBorder="1" applyFont="1">
      <alignment horizontal="center" readingOrder="0" shrinkToFit="1" vertical="center" wrapText="0"/>
    </xf>
    <xf borderId="7" fillId="4" fontId="15" numFmtId="0" xfId="0" applyAlignment="1" applyBorder="1" applyFont="1">
      <alignment horizontal="center" readingOrder="0" vertical="center"/>
    </xf>
    <xf borderId="8" fillId="4" fontId="15" numFmtId="0" xfId="0" applyAlignment="1" applyBorder="1" applyFont="1">
      <alignment horizontal="center" readingOrder="0" vertical="center"/>
    </xf>
    <xf borderId="7" fillId="4" fontId="16" numFmtId="0" xfId="0" applyAlignment="1" applyBorder="1" applyFont="1">
      <alignment horizontal="center" vertical="center"/>
    </xf>
    <xf borderId="7" fillId="2" fontId="23" numFmtId="0" xfId="0" applyAlignment="1" applyBorder="1" applyFont="1">
      <alignment horizontal="left" vertical="center"/>
    </xf>
    <xf borderId="7" fillId="2" fontId="19" numFmtId="0" xfId="0" applyAlignment="1" applyBorder="1" applyFont="1">
      <alignment horizontal="center" vertical="center"/>
    </xf>
    <xf borderId="0" fillId="5" fontId="20" numFmtId="0" xfId="0" applyAlignment="1" applyFill="1" applyFont="1">
      <alignment horizontal="center" vertical="center"/>
    </xf>
    <xf borderId="5" fillId="3" fontId="22" numFmtId="0" xfId="0" applyAlignment="1" applyBorder="1" applyFont="1">
      <alignment horizontal="center" readingOrder="0" shrinkToFit="1" vertical="center" wrapText="0"/>
    </xf>
    <xf borderId="5" fillId="3" fontId="15" numFmtId="0" xfId="0" applyAlignment="1" applyBorder="1" applyFont="1">
      <alignment horizontal="center" readingOrder="0" vertical="center"/>
    </xf>
    <xf borderId="5" fillId="5" fontId="20" numFmtId="0" xfId="0" applyAlignment="1" applyBorder="1" applyFont="1">
      <alignment horizontal="center" vertical="center"/>
    </xf>
    <xf borderId="7" fillId="5" fontId="20" numFmtId="0" xfId="0" applyAlignment="1" applyBorder="1" applyFont="1">
      <alignment horizontal="center" vertical="center"/>
    </xf>
    <xf borderId="7" fillId="3" fontId="22" numFmtId="0" xfId="0" applyAlignment="1" applyBorder="1" applyFont="1">
      <alignment horizontal="center" readingOrder="0" shrinkToFit="1" vertical="center" wrapText="0"/>
    </xf>
    <xf borderId="7" fillId="3" fontId="15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right" readingOrder="0" vertical="center"/>
    </xf>
    <xf borderId="0" fillId="2" fontId="25" numFmtId="0" xfId="0" applyAlignment="1" applyFont="1">
      <alignment horizontal="left" readingOrder="0" vertical="center"/>
    </xf>
    <xf borderId="5" fillId="3" fontId="16" numFmtId="0" xfId="0" applyAlignment="1" applyBorder="1" applyFont="1">
      <alignment horizontal="center" readingOrder="0" vertical="center"/>
    </xf>
    <xf borderId="7" fillId="3" fontId="16" numFmtId="0" xfId="0" applyAlignment="1" applyBorder="1" applyFont="1">
      <alignment horizontal="center" readingOrder="0" vertical="center"/>
    </xf>
    <xf borderId="5" fillId="4" fontId="16" numFmtId="0" xfId="0" applyAlignment="1" applyBorder="1" applyFont="1">
      <alignment horizontal="center" readingOrder="0" vertical="center"/>
    </xf>
    <xf borderId="7" fillId="4" fontId="16" numFmtId="0" xfId="0" applyAlignment="1" applyBorder="1" applyFont="1">
      <alignment horizontal="center" readingOrder="0" vertical="center"/>
    </xf>
    <xf borderId="0" fillId="2" fontId="16" numFmtId="0" xfId="0" applyAlignment="1" applyFont="1">
      <alignment horizontal="right" vertical="center"/>
    </xf>
    <xf borderId="0" fillId="2" fontId="16" numFmtId="0" xfId="0" applyAlignment="1" applyFont="1">
      <alignment horizontal="left" vertical="center"/>
    </xf>
    <xf borderId="0" fillId="2" fontId="26" numFmtId="0" xfId="0" applyAlignment="1" applyFont="1">
      <alignment horizontal="right" readingOrder="0" vertical="center"/>
    </xf>
    <xf borderId="0" fillId="2" fontId="27" numFmtId="49" xfId="0" applyAlignment="1" applyFont="1" applyNumberFormat="1">
      <alignment horizontal="left" readingOrder="0" shrinkToFit="0" vertical="center" wrapText="1"/>
    </xf>
    <xf borderId="0" fillId="2" fontId="28" numFmtId="49" xfId="0" applyAlignment="1" applyFont="1" applyNumberFormat="1">
      <alignment horizontal="center" shrinkToFit="0" vertical="center" wrapText="0"/>
    </xf>
    <xf borderId="0" fillId="2" fontId="29" numFmtId="0" xfId="0" applyAlignment="1" applyFont="1">
      <alignment horizontal="right" readingOrder="0" vertical="center"/>
    </xf>
    <xf borderId="0" fillId="2" fontId="27" numFmtId="0" xfId="0" applyAlignment="1" applyFont="1">
      <alignment horizontal="left" readingOrder="0" shrinkToFit="0" vertical="center" wrapText="1"/>
    </xf>
    <xf borderId="0" fillId="2" fontId="26" numFmtId="49" xfId="0" applyAlignment="1" applyFont="1" applyNumberFormat="1">
      <alignment horizontal="left" readingOrder="0" shrinkToFit="0" vertical="center" wrapText="1"/>
    </xf>
    <xf borderId="0" fillId="2" fontId="30" numFmtId="0" xfId="0" applyAlignment="1" applyFont="1">
      <alignment horizontal="left" readingOrder="0" shrinkToFit="0" vertical="center" wrapText="1"/>
    </xf>
    <xf borderId="0" fillId="2" fontId="29" numFmtId="0" xfId="0" applyAlignment="1" applyFont="1">
      <alignment horizontal="right" shrinkToFit="1" vertical="center" wrapText="0"/>
    </xf>
    <xf borderId="0" fillId="2" fontId="31" numFmtId="0" xfId="0" applyAlignment="1" applyFont="1">
      <alignment horizontal="center" readingOrder="0" shrinkToFit="0" vertical="center" wrapText="1"/>
    </xf>
    <xf borderId="0" fillId="3" fontId="32" numFmtId="0" xfId="0" applyAlignment="1" applyFont="1">
      <alignment horizontal="center" vertical="center"/>
    </xf>
    <xf borderId="0" fillId="2" fontId="26" numFmtId="49" xfId="0" applyAlignment="1" applyFont="1" applyNumberFormat="1">
      <alignment horizontal="left" shrinkToFit="0" vertical="center" wrapText="1"/>
    </xf>
    <xf borderId="0" fillId="2" fontId="33" numFmtId="0" xfId="0" applyFont="1"/>
    <xf borderId="0" fillId="6" fontId="32" numFmtId="0" xfId="0" applyAlignment="1" applyFill="1" applyFont="1">
      <alignment horizontal="center" vertical="center"/>
    </xf>
    <xf borderId="0" fillId="7" fontId="32" numFmtId="0" xfId="0" applyAlignment="1" applyFill="1" applyFont="1">
      <alignment horizontal="center" vertical="center"/>
    </xf>
    <xf borderId="0" fillId="2" fontId="34" numFmtId="0" xfId="0" applyAlignment="1" applyFont="1">
      <alignment horizontal="center" readingOrder="0" shrinkToFit="0" vertical="center" wrapText="1"/>
    </xf>
    <xf borderId="0" fillId="2" fontId="26" numFmtId="49" xfId="0" applyAlignment="1" applyFont="1" applyNumberFormat="1">
      <alignment horizontal="center" readingOrder="0" shrinkToFit="0" vertical="center" wrapText="1"/>
    </xf>
    <xf borderId="0" fillId="2" fontId="26" numFmtId="0" xfId="0" applyAlignment="1" applyFont="1">
      <alignment horizontal="center" shrinkToFit="0" vertical="center" wrapText="1"/>
    </xf>
    <xf borderId="0" fillId="2" fontId="26" numFmtId="0" xfId="0" applyAlignment="1" applyFont="1">
      <alignment horizontal="center" readingOrder="0" shrinkToFit="0" vertical="center" wrapText="1"/>
    </xf>
    <xf borderId="0" fillId="2" fontId="35" numFmtId="0" xfId="0" applyAlignment="1" applyFont="1">
      <alignment horizontal="center" vertical="center"/>
    </xf>
    <xf borderId="0" fillId="2" fontId="36" numFmtId="0" xfId="0" applyAlignment="1" applyFont="1">
      <alignment horizontal="center" readingOrder="0" vertical="center"/>
    </xf>
    <xf borderId="0" fillId="2" fontId="32" numFmtId="0" xfId="0" applyAlignment="1" applyFont="1">
      <alignment horizontal="center" vertical="center"/>
    </xf>
    <xf borderId="0" fillId="2" fontId="32" numFmtId="0" xfId="0" applyAlignment="1" applyFont="1">
      <alignment horizontal="center" readingOrder="0" vertical="center"/>
    </xf>
    <xf borderId="9" fillId="2" fontId="32" numFmtId="0" xfId="0" applyAlignment="1" applyBorder="1" applyFont="1">
      <alignment horizontal="center" vertical="center"/>
    </xf>
    <xf borderId="0" fillId="0" fontId="33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8" fontId="33" numFmtId="0" xfId="0" applyAlignment="1" applyFill="1" applyFont="1">
      <alignment horizontal="center"/>
    </xf>
    <xf borderId="0" fillId="9" fontId="33" numFmtId="0" xfId="0" applyAlignment="1" applyFill="1" applyFont="1">
      <alignment horizontal="center"/>
    </xf>
    <xf borderId="0" fillId="10" fontId="33" numFmtId="0" xfId="0" applyAlignment="1" applyFill="1" applyFont="1">
      <alignment horizontal="center"/>
    </xf>
    <xf borderId="0" fillId="11" fontId="33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0" fontId="0" numFmtId="0" xfId="0" applyAlignment="1" applyFont="1">
      <alignment horizontal="center"/>
    </xf>
    <xf borderId="0" fillId="8" fontId="1" numFmtId="0" xfId="0" applyAlignment="1" applyFont="1">
      <alignment horizontal="center" readingOrder="0"/>
    </xf>
    <xf borderId="0" fillId="11" fontId="1" numFmtId="0" xfId="0" applyAlignment="1" applyFont="1">
      <alignment horizontal="center" readingOrder="0"/>
    </xf>
    <xf borderId="0" fillId="10" fontId="1" numFmtId="0" xfId="0" applyAlignment="1" applyFont="1">
      <alignment horizontal="center" readingOrder="0"/>
    </xf>
    <xf borderId="0" fillId="9" fontId="1" numFmtId="0" xfId="0" applyAlignment="1" applyFont="1">
      <alignment horizontal="center" readingOrder="0"/>
    </xf>
    <xf borderId="0" fillId="12" fontId="6" numFmtId="0" xfId="0" applyAlignment="1" applyFill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0" fillId="12" fontId="6" numFmtId="0" xfId="0" applyAlignment="1" applyBorder="1" applyFont="1">
      <alignment horizontal="center" readingOrder="0"/>
    </xf>
    <xf borderId="0" fillId="12" fontId="1" numFmtId="0" xfId="0" applyAlignment="1" applyFont="1">
      <alignment horizontal="center" readingOrder="0"/>
    </xf>
    <xf borderId="0" fillId="0" fontId="0" numFmtId="0" xfId="0" applyAlignment="1" applyFont="1">
      <alignment horizontal="center" readingOrder="0"/>
    </xf>
    <xf borderId="0" fillId="13" fontId="37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8" numFmtId="0" xfId="0" applyAlignment="1" applyFont="1">
      <alignment horizontal="center"/>
    </xf>
    <xf quotePrefix="1" borderId="0" fillId="0" fontId="1" numFmtId="0" xfId="0" applyAlignment="1" applyFont="1">
      <alignment horizontal="center" readingOrder="0"/>
    </xf>
    <xf borderId="0" fillId="0" fontId="33" numFmtId="0" xfId="0" applyAlignment="1" applyFont="1">
      <alignment horizontal="left" readingOrder="0" shrinkToFit="0" vertical="center" wrapText="0"/>
    </xf>
    <xf borderId="0" fillId="0" fontId="33" numFmtId="0" xfId="0" applyAlignment="1" applyFont="1">
      <alignment horizontal="left" readingOrder="0" shrinkToFit="0" vertical="center" wrapText="0"/>
    </xf>
    <xf borderId="0" fillId="0" fontId="33" numFmtId="164" xfId="0" applyAlignment="1" applyFont="1" applyNumberFormat="1">
      <alignment readingOrder="0" shrinkToFit="0" vertical="center" wrapText="0"/>
    </xf>
    <xf borderId="0" fillId="0" fontId="33" numFmtId="165" xfId="0" applyAlignment="1" applyFont="1" applyNumberFormat="1">
      <alignment readingOrder="0" shrinkToFit="0" vertical="center" wrapText="0"/>
    </xf>
    <xf borderId="0" fillId="0" fontId="33" numFmtId="0" xfId="0" applyAlignment="1" applyFont="1">
      <alignment shrinkToFit="0" vertical="center" wrapText="0"/>
    </xf>
    <xf borderId="0" fillId="0" fontId="33" numFmtId="0" xfId="0" applyAlignment="1" applyFont="1">
      <alignment readingOrder="0" shrinkToFit="0" vertical="center" wrapText="0"/>
    </xf>
    <xf borderId="0" fillId="0" fontId="33" numFmtId="0" xfId="0" applyAlignment="1" applyFont="1">
      <alignment shrinkToFit="0" vertical="center" wrapText="0"/>
    </xf>
    <xf borderId="0" fillId="0" fontId="33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3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theme="0"/>
      </font>
      <fill>
        <patternFill patternType="none"/>
      </fill>
      <border/>
    </dxf>
    <dxf>
      <font>
        <color rgb="FF76D6FF"/>
      </font>
      <fill>
        <patternFill patternType="solid">
          <fgColor rgb="FF76D6FF"/>
          <bgColor rgb="FF76D6FF"/>
        </patternFill>
      </fill>
      <border/>
    </dxf>
    <dxf>
      <font>
        <color rgb="FFFF40FF"/>
      </font>
      <fill>
        <patternFill patternType="solid">
          <fgColor rgb="FFFF40FF"/>
          <bgColor rgb="FFFF40FF"/>
        </patternFill>
      </fill>
      <border/>
    </dxf>
    <dxf>
      <font>
        <color rgb="FF8EFA00"/>
      </font>
      <fill>
        <patternFill patternType="solid">
          <fgColor rgb="FF8EFA00"/>
          <bgColor rgb="FF8EFA00"/>
        </patternFill>
      </fill>
      <border/>
    </dxf>
    <dxf>
      <font>
        <color rgb="FFFF9300"/>
      </font>
      <fill>
        <patternFill patternType="solid">
          <fgColor rgb="FFFF9300"/>
          <bgColor rgb="FFFF9300"/>
        </patternFill>
      </fill>
      <border/>
    </dxf>
    <dxf>
      <font>
        <b/>
        <color rgb="FFFF0000"/>
      </font>
      <fill>
        <patternFill patternType="solid">
          <fgColor rgb="FF003C43"/>
          <bgColor rgb="FF003C43"/>
        </patternFill>
      </fill>
      <border/>
    </dxf>
    <dxf>
      <font/>
      <fill>
        <patternFill patternType="solid">
          <fgColor rgb="FF76D6FF"/>
          <bgColor rgb="FF76D6FF"/>
        </patternFill>
      </fill>
      <border/>
    </dxf>
    <dxf>
      <font>
        <color rgb="FFFFFFFF"/>
      </font>
      <fill>
        <patternFill patternType="solid">
          <fgColor rgb="FF8EFA00"/>
          <bgColor rgb="FF8EFA00"/>
        </patternFill>
      </fill>
      <border/>
    </dxf>
    <dxf>
      <font>
        <color theme="0"/>
      </font>
      <fill>
        <patternFill patternType="solid">
          <fgColor rgb="FFFF40FF"/>
          <bgColor rgb="FFFF40FF"/>
        </patternFill>
      </fill>
      <border/>
    </dxf>
    <dxf>
      <font>
        <color rgb="FFFFFFFF"/>
      </font>
      <fill>
        <patternFill patternType="solid">
          <fgColor rgb="FFFF9300"/>
          <bgColor rgb="FFFF9300"/>
        </patternFill>
      </fill>
      <border/>
    </dxf>
    <dxf>
      <font>
        <color theme="0"/>
      </font>
      <fill>
        <patternFill patternType="solid">
          <fgColor rgb="FF76D6FF"/>
          <bgColor rgb="FF76D6FF"/>
        </patternFill>
      </fill>
      <border/>
    </dxf>
    <dxf>
      <font>
        <color rgb="FFFFFFFF"/>
      </font>
      <fill>
        <patternFill patternType="solid">
          <fgColor rgb="FFFF40FF"/>
          <bgColor rgb="FFFF40FF"/>
        </patternFill>
      </fill>
      <border/>
    </dxf>
    <dxf>
      <font>
        <color rgb="FF57BB8A"/>
      </font>
      <fill>
        <patternFill patternType="none"/>
      </fill>
      <border/>
    </dxf>
    <dxf>
      <font>
        <b/>
        <color rgb="FFFFFFFF"/>
      </font>
      <fill>
        <patternFill patternType="solid">
          <fgColor rgb="FFA7E8BD"/>
          <bgColor rgb="FFA7E8BD"/>
        </patternFill>
      </fill>
      <border/>
    </dxf>
    <dxf>
      <font>
        <color rgb="FFFFFFFF"/>
      </font>
      <fill>
        <patternFill patternType="solid">
          <fgColor rgb="FFFF6B6B"/>
          <bgColor rgb="FFFF6B6B"/>
        </patternFill>
      </fill>
      <border/>
    </dxf>
    <dxf>
      <font>
        <color rgb="FFFF0000"/>
      </font>
      <fill>
        <patternFill patternType="none"/>
      </fill>
      <border/>
    </dxf>
    <dxf>
      <font>
        <color rgb="FF003C43"/>
      </font>
      <fill>
        <patternFill patternType="solid">
          <fgColor rgb="FF003C43"/>
          <bgColor rgb="FF003C43"/>
        </patternFill>
      </fill>
      <border/>
    </dxf>
    <dxf>
      <font/>
      <fill>
        <patternFill patternType="solid">
          <fgColor rgb="FF4DA8DA"/>
          <bgColor rgb="FF4DA8DA"/>
        </patternFill>
      </fill>
      <border/>
    </dxf>
    <dxf>
      <font/>
      <fill>
        <patternFill patternType="solid">
          <fgColor rgb="FF8EFA00"/>
          <bgColor rgb="FF8EFA00"/>
        </patternFill>
      </fill>
      <border/>
    </dxf>
    <dxf>
      <font>
        <color theme="1"/>
      </font>
      <fill>
        <patternFill patternType="solid">
          <fgColor rgb="FFFF9300"/>
          <bgColor rgb="FFFF9300"/>
        </patternFill>
      </fill>
      <border/>
    </dxf>
    <dxf>
      <font/>
      <fill>
        <patternFill patternType="solid">
          <fgColor rgb="FFFF40FF"/>
          <bgColor rgb="FFFF40FF"/>
        </patternFill>
      </fill>
      <border/>
    </dxf>
    <dxf>
      <font>
        <b/>
        <color rgb="FF000000"/>
      </font>
      <fill>
        <patternFill patternType="solid">
          <fgColor rgb="FF76D6FF"/>
          <bgColor rgb="FF76D6FF"/>
        </patternFill>
      </fill>
      <border/>
    </dxf>
    <dxf>
      <font>
        <b/>
      </font>
      <fill>
        <patternFill patternType="solid">
          <fgColor rgb="FFFF9300"/>
          <bgColor rgb="FFFF9300"/>
        </patternFill>
      </fill>
      <border/>
    </dxf>
    <dxf>
      <font>
        <b/>
      </font>
      <fill>
        <patternFill patternType="solid">
          <fgColor rgb="FF8EFA00"/>
          <bgColor rgb="FF8EFA00"/>
        </patternFill>
      </fill>
      <border/>
    </dxf>
    <dxf>
      <font>
        <b/>
      </font>
      <fill>
        <patternFill patternType="solid">
          <fgColor rgb="FFFF40FF"/>
          <bgColor rgb="FFFF40FF"/>
        </patternFill>
      </fill>
      <border/>
    </dxf>
    <dxf>
      <font>
        <b/>
        <color rgb="FF000000"/>
      </font>
      <fill>
        <patternFill patternType="solid">
          <fgColor rgb="FFFF40FF"/>
          <bgColor rgb="FFFF40FF"/>
        </patternFill>
      </fill>
      <border/>
    </dxf>
    <dxf>
      <font>
        <b/>
        <color theme="1"/>
      </font>
      <fill>
        <patternFill patternType="solid">
          <fgColor rgb="FF76D6FF"/>
          <bgColor rgb="FF76D6FF"/>
        </patternFill>
      </fill>
      <border/>
    </dxf>
    <dxf>
      <font>
        <b/>
        <color theme="1"/>
      </font>
      <fill>
        <patternFill patternType="solid">
          <fgColor rgb="FFFF9300"/>
          <bgColor rgb="FFFF9300"/>
        </patternFill>
      </fill>
      <border/>
    </dxf>
    <dxf>
      <font>
        <b/>
        <color rgb="FF000000"/>
      </font>
      <fill>
        <patternFill patternType="solid">
          <fgColor rgb="FF8EFA00"/>
          <bgColor rgb="FF8EFA00"/>
        </patternFill>
      </fill>
      <border/>
    </dxf>
    <dxf>
      <font>
        <color rgb="FF4DA8DA"/>
      </font>
      <fill>
        <patternFill patternType="solid">
          <fgColor rgb="FF4DA8DA"/>
          <bgColor rgb="FF4DA8D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4" pivot="0" name="WEEKLY_TEA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_Response-style">
      <tableStyleElement dxfId="35" type="headerRow"/>
      <tableStyleElement dxfId="2" type="firstRowStripe"/>
      <tableStyleElement dxfId="3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485775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66675" cy="95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E99" displayName="Table1" name="Table1" id="1">
  <tableColumns count="109">
    <tableColumn name="STATUS" id="1"/>
    <tableColumn name="PLAYER" id="2"/>
    <tableColumn name="MD 1 TEAM" id="3"/>
    <tableColumn name="MD 1 TOTAL POINTS" id="4"/>
    <tableColumn name="MD 1 ATTENDANCE" id="5"/>
    <tableColumn name="MD 1 POINTS" id="6"/>
    <tableColumn name="MD 1 (W)" id="7"/>
    <tableColumn name="MD 1 (D)" id="8"/>
    <tableColumn name="MD 1 (L)" id="9"/>
    <tableColumn name="MD 1a GOALS" id="10"/>
    <tableColumn name="MD 1a GOALIE POINT" id="11"/>
    <tableColumn name="MD 1a CLEAN SHEET" id="12"/>
    <tableColumn name="MD 1 RANK" id="13"/>
    <tableColumn name="MD 1 FORM" id="14"/>
    <tableColumn name="MD 2 TEAM" id="15"/>
    <tableColumn name="MD 2 ACCUMULATED POINTS" id="16"/>
    <tableColumn name="MD 2 ATTENDANCE" id="17"/>
    <tableColumn name="MD 2 POINTS" id="18"/>
    <tableColumn name="MD 2 (W)" id="19"/>
    <tableColumn name="MD 2 (D)" id="20"/>
    <tableColumn name="MD 2 (L)" id="21"/>
    <tableColumn name="MD 2a GOALS" id="22"/>
    <tableColumn name="MD 2a GOALIE POINT" id="23"/>
    <tableColumn name="MD  2a Clean Sheet" id="24"/>
    <tableColumn name="MD 2 RANK" id="25"/>
    <tableColumn name="MD 2 FORM" id="26"/>
    <tableColumn name="MD 3 TEAM" id="27"/>
    <tableColumn name="MD 3 ACCUMULATED POINTS" id="28"/>
    <tableColumn name="MD 3 ATTENDANCE" id="29"/>
    <tableColumn name="MD 3 POINTS" id="30"/>
    <tableColumn name="MD 3 (W)" id="31"/>
    <tableColumn name="MD 3 (D)" id="32"/>
    <tableColumn name="MD 3 (L)" id="33"/>
    <tableColumn name="MD 3a GOALS" id="34"/>
    <tableColumn name="MD 3a GOALIE POINT" id="35"/>
    <tableColumn name="MD 3a CLEAN SHEET" id="36"/>
    <tableColumn name="MD 3 RANK" id="37"/>
    <tableColumn name="MD 3 FORM" id="38"/>
    <tableColumn name="MD 4 TEAM" id="39"/>
    <tableColumn name="MD 4 ACCUMULATED POINTS" id="40"/>
    <tableColumn name="MD 4 ATTENDANCE" id="41"/>
    <tableColumn name="MD 4 POINTS" id="42"/>
    <tableColumn name="MD 4 (W)" id="43"/>
    <tableColumn name="MD 4 (D)" id="44"/>
    <tableColumn name="MD 4 (L)" id="45"/>
    <tableColumn name="MD 4a GOALS" id="46"/>
    <tableColumn name="MD 4a GOALIE POINT" id="47"/>
    <tableColumn name="MD  4a Clean Sheet" id="48"/>
    <tableColumn name="MD 4 RANK" id="49"/>
    <tableColumn name="MD 4 FORM" id="50"/>
    <tableColumn name="MD 5 TEAM" id="51"/>
    <tableColumn name="MD 5 ACCUMULATED POINTS" id="52"/>
    <tableColumn name="MD 5 ATTENDANCE" id="53"/>
    <tableColumn name="MD 5 POINTS" id="54"/>
    <tableColumn name="MD 5 (W)" id="55"/>
    <tableColumn name="MD 5 (D)" id="56"/>
    <tableColumn name="MD 5 (L)" id="57"/>
    <tableColumn name="MD 5a GOALS" id="58"/>
    <tableColumn name="MD 5a GOALIE POINT" id="59"/>
    <tableColumn name="MD 5a CLEAN SHEET" id="60"/>
    <tableColumn name="MD 5 RANK" id="61"/>
    <tableColumn name="MD 5 FORM" id="62"/>
    <tableColumn name="MD 6 TEAM" id="63"/>
    <tableColumn name="MD 6 ACCUMULATED POINTS" id="64"/>
    <tableColumn name="MD 6 ATTENDANCE" id="65"/>
    <tableColumn name="MD 6 POINTS" id="66"/>
    <tableColumn name="MD 6 (W)" id="67"/>
    <tableColumn name="MD 6 (D)" id="68"/>
    <tableColumn name="MD 6 (L)" id="69"/>
    <tableColumn name="MD 6a GOALS" id="70"/>
    <tableColumn name="MD 6a GOALIE POINT" id="71"/>
    <tableColumn name="MD  6a Clean Sheet" id="72"/>
    <tableColumn name="MD 6 RANK" id="73"/>
    <tableColumn name="MD 6 FORM" id="74"/>
    <tableColumn name="MD 7 TEAM" id="75"/>
    <tableColumn name="MD 7 ACCUMULATED POINTS" id="76"/>
    <tableColumn name="MD 7 ATTENDANCE" id="77"/>
    <tableColumn name="MD 7 POINTS" id="78"/>
    <tableColumn name="MD 7 (W)" id="79"/>
    <tableColumn name="MD 7 (D)" id="80"/>
    <tableColumn name="MD 7 (L)" id="81"/>
    <tableColumn name="MD 7a GOALS" id="82"/>
    <tableColumn name="MD 7a GOALIE POINT" id="83"/>
    <tableColumn name="MD 7a CLEAN SHEET" id="84"/>
    <tableColumn name="MD 7 RANK" id="85"/>
    <tableColumn name="MD 7 FORM" id="86"/>
    <tableColumn name="MD 8 TEAM" id="87"/>
    <tableColumn name="MD 8 ACCUMULATED POINTS" id="88"/>
    <tableColumn name="MD 8 ATTENDANCE" id="89"/>
    <tableColumn name="MD 8 POINTS" id="90"/>
    <tableColumn name="MD 8 (W)" id="91"/>
    <tableColumn name="MD 8 (D)" id="92"/>
    <tableColumn name="MD 8 (L)" id="93"/>
    <tableColumn name="MD 8a GOALS" id="94"/>
    <tableColumn name="MD 8a GOALIE POINT" id="95"/>
    <tableColumn name="MD  8a Clean Sheet" id="96"/>
    <tableColumn name="MD 8 RANK" id="97"/>
    <tableColumn name="MD 8 FORM" id="98"/>
    <tableColumn name="POINTS" id="99"/>
    <tableColumn name="SEASON STATUS" id="100"/>
    <tableColumn name="PLAYER_" id="101"/>
    <tableColumn name="TOTAL POINTS" id="102"/>
    <tableColumn name="ATTENDANCE" id="103"/>
    <tableColumn name="WINS" id="104"/>
    <tableColumn name="DRAWS" id="105"/>
    <tableColumn name="LOSSES" id="106"/>
    <tableColumn name="GOALS" id="107"/>
    <tableColumn name="GOALIE POINT" id="108"/>
    <tableColumn name="CLEAN SHEETS" id="109"/>
  </tableColumns>
  <tableStyleInfo name="WEEKLY_TEAMS-style" showColumnStripes="0" showFirstColumn="1" showLastColumn="1" showRowStripes="1"/>
</table>
</file>

<file path=xl/tables/table2.xml><?xml version="1.0" encoding="utf-8"?>
<table xmlns="http://schemas.openxmlformats.org/spreadsheetml/2006/main" ref="A1:G105" displayName="Form_Responses1" name="Form_Responses1" id="2">
  <tableColumns count="7">
    <tableColumn name="Timestamp" id="1"/>
    <tableColumn name="Match Date?" id="2"/>
    <tableColumn name="Match Day?" id="3"/>
    <tableColumn name="Player Name?" id="4"/>
    <tableColumn name="How many goals scored? (Leave blank if none)" id="5"/>
    <tableColumn name="Where you goalie?" id="6"/>
    <tableColumn name="Clean Sheet?" id="7"/>
  </tableColumns>
  <tableStyleInfo name="Form_Respo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>
        <v>45641.0</v>
      </c>
      <c r="B1" s="2" t="s">
        <v>0</v>
      </c>
    </row>
    <row r="2" ht="15.75" customHeight="1">
      <c r="A2" s="1">
        <v>45666.0</v>
      </c>
      <c r="B2" s="2" t="s">
        <v>1</v>
      </c>
    </row>
    <row r="3" ht="15.75" customHeight="1">
      <c r="A3" s="1">
        <v>45673.0</v>
      </c>
      <c r="B3" s="2" t="s">
        <v>2</v>
      </c>
    </row>
    <row r="4" ht="15.75" customHeight="1">
      <c r="A4" s="1">
        <v>45680.0</v>
      </c>
      <c r="B4" s="2" t="s">
        <v>3</v>
      </c>
    </row>
    <row r="5" ht="15.75" customHeight="1">
      <c r="A5" s="1">
        <v>45687.0</v>
      </c>
      <c r="B5" s="2" t="s">
        <v>4</v>
      </c>
    </row>
    <row r="6" ht="15.75" customHeight="1">
      <c r="A6" s="1">
        <v>45694.0</v>
      </c>
      <c r="B6" s="2" t="s">
        <v>5</v>
      </c>
    </row>
    <row r="7" ht="15.75" customHeight="1">
      <c r="A7" s="1">
        <v>45701.0</v>
      </c>
      <c r="B7" s="2" t="s">
        <v>6</v>
      </c>
    </row>
    <row r="8" ht="15.75" customHeight="1">
      <c r="A8" s="1">
        <v>45708.0</v>
      </c>
      <c r="B8" s="2" t="s">
        <v>7</v>
      </c>
    </row>
    <row r="9" ht="15.75" customHeight="1">
      <c r="A9" s="1">
        <v>45715.0</v>
      </c>
      <c r="B9" s="2" t="s">
        <v>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A15" s="3" t="s">
        <v>9</v>
      </c>
    </row>
    <row r="16" ht="15.75" customHeight="1">
      <c r="A16" s="4"/>
    </row>
    <row r="17" ht="15.75" customHeight="1">
      <c r="A17" s="3" t="s">
        <v>10</v>
      </c>
    </row>
    <row r="18" ht="15.75" customHeight="1">
      <c r="A18" s="4"/>
    </row>
    <row r="19" ht="15.75" customHeight="1">
      <c r="A19" s="3" t="s">
        <v>11</v>
      </c>
    </row>
    <row r="20" ht="15.75" customHeight="1">
      <c r="A20" s="4"/>
    </row>
    <row r="21" ht="15.75" customHeight="1">
      <c r="A21" s="3" t="s">
        <v>12</v>
      </c>
    </row>
    <row r="22" ht="15.75" customHeight="1">
      <c r="A22" s="4"/>
    </row>
    <row r="23" ht="15.75" customHeight="1">
      <c r="A23" s="3" t="s">
        <v>13</v>
      </c>
    </row>
    <row r="24" ht="15.75" customHeight="1">
      <c r="A24" s="4"/>
    </row>
    <row r="25" ht="15.75" customHeight="1">
      <c r="A25" s="3" t="s">
        <v>14</v>
      </c>
    </row>
    <row r="26" ht="15.75" customHeight="1">
      <c r="A26" s="4"/>
    </row>
    <row r="27" ht="15.75" customHeight="1">
      <c r="A27" s="3" t="s">
        <v>15</v>
      </c>
    </row>
    <row r="28" ht="15.75" customHeight="1">
      <c r="A28" s="4"/>
    </row>
    <row r="29" ht="15.75" customHeight="1">
      <c r="A29" s="3" t="s">
        <v>16</v>
      </c>
    </row>
    <row r="30" ht="15.75" customHeight="1">
      <c r="A30" s="4"/>
    </row>
    <row r="31" ht="15.75" customHeight="1">
      <c r="A31" s="3" t="s">
        <v>17</v>
      </c>
    </row>
    <row r="32" ht="15.75" customHeight="1">
      <c r="A32" s="4"/>
    </row>
    <row r="33" ht="15.75" customHeight="1">
      <c r="A33" s="3" t="s">
        <v>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9.22"/>
    <col customWidth="1" min="2" max="2" width="24.89"/>
    <col customWidth="1" min="3" max="3" width="12.22"/>
    <col customWidth="1" min="4" max="6" width="5.78"/>
    <col customWidth="1" min="7" max="7" width="5.89"/>
    <col customWidth="1" min="8" max="8" width="5.78"/>
    <col customWidth="1" min="9" max="9" width="5.89"/>
    <col customWidth="1" min="10" max="12" width="5.78"/>
    <col customWidth="1" min="13" max="14" width="10.67"/>
    <col customWidth="1" min="15" max="15" width="12.22"/>
    <col customWidth="1" min="16" max="18" width="5.78"/>
    <col customWidth="1" min="19" max="19" width="5.89"/>
    <col customWidth="1" min="20" max="24" width="5.78"/>
    <col customWidth="1" min="25" max="25" width="15.11"/>
    <col customWidth="1" min="26" max="26" width="15.33"/>
    <col customWidth="1" min="27" max="27" width="8.67"/>
    <col customWidth="1" min="28" max="30" width="5.78"/>
    <col customWidth="1" min="31" max="31" width="5.89"/>
    <col customWidth="1" min="32" max="34" width="5.78"/>
    <col customWidth="1" min="35" max="35" width="12.22"/>
    <col customWidth="1" min="36" max="36" width="5.78"/>
    <col customWidth="1" min="37" max="37" width="15.11"/>
    <col customWidth="1" min="38" max="38" width="15.33"/>
    <col customWidth="1" min="39" max="39" width="12.22"/>
    <col customWidth="1" min="40" max="42" width="5.78"/>
    <col customWidth="1" min="43" max="43" width="5.89"/>
    <col customWidth="1" min="44" max="44" width="5.78"/>
    <col customWidth="1" min="45" max="45" width="5.89"/>
    <col customWidth="1" min="46" max="48" width="5.78"/>
    <col customWidth="1" min="49" max="50" width="10.67"/>
    <col customWidth="1" min="51" max="51" width="12.22"/>
    <col customWidth="1" min="52" max="54" width="5.78"/>
    <col customWidth="1" min="55" max="55" width="5.89"/>
    <col customWidth="1" min="56" max="62" width="5.78"/>
    <col customWidth="1" min="63" max="63" width="12.22"/>
    <col customWidth="1" min="64" max="66" width="5.78"/>
    <col customWidth="1" min="67" max="67" width="5.89"/>
    <col customWidth="1" min="68" max="74" width="5.78"/>
    <col customWidth="1" min="75" max="75" width="12.22"/>
    <col customWidth="1" min="76" max="78" width="5.78"/>
    <col customWidth="1" min="79" max="79" width="5.89"/>
    <col customWidth="1" min="80" max="86" width="5.78"/>
    <col customWidth="1" min="87" max="87" width="12.22"/>
    <col customWidth="1" min="88" max="90" width="5.78"/>
    <col customWidth="1" min="91" max="91" width="5.89"/>
    <col customWidth="1" min="92" max="96" width="5.78"/>
    <col customWidth="1" min="97" max="97" width="15.11"/>
    <col customWidth="1" min="98" max="98" width="15.33"/>
    <col customWidth="1" min="99" max="99" width="8.89"/>
    <col customWidth="1" min="100" max="100" width="13.56"/>
    <col customWidth="1" min="101" max="101" width="16.22"/>
    <col customWidth="1" min="102" max="102" width="12.44"/>
    <col customWidth="1" min="103" max="103" width="12.11"/>
    <col customWidth="1" min="104" max="104" width="7.56"/>
    <col customWidth="1" min="105" max="105" width="8.78"/>
    <col customWidth="1" min="106" max="106" width="9.11"/>
    <col customWidth="1" min="107" max="107" width="8.56"/>
    <col customWidth="1" min="108" max="108" width="12.33"/>
    <col customWidth="1" min="109" max="109" width="12.89"/>
  </cols>
  <sheetData>
    <row r="1" ht="24.75" customHeight="1">
      <c r="A1" s="5"/>
      <c r="B1" s="6"/>
      <c r="C1" s="7" t="s">
        <v>19</v>
      </c>
      <c r="O1" s="8" t="s">
        <v>20</v>
      </c>
      <c r="AA1" s="7" t="s">
        <v>21</v>
      </c>
      <c r="AM1" s="8" t="s">
        <v>22</v>
      </c>
      <c r="AY1" s="7" t="s">
        <v>23</v>
      </c>
      <c r="BK1" s="8" t="s">
        <v>24</v>
      </c>
      <c r="BW1" s="7" t="s">
        <v>25</v>
      </c>
      <c r="CI1" s="8" t="s">
        <v>26</v>
      </c>
      <c r="CU1" s="9"/>
      <c r="CV1" s="10"/>
      <c r="CW1" s="10"/>
      <c r="CX1" s="9"/>
      <c r="CY1" s="9"/>
      <c r="CZ1" s="10"/>
      <c r="DA1" s="10"/>
      <c r="DB1" s="10"/>
      <c r="DC1" s="10"/>
      <c r="DD1" s="10"/>
      <c r="DE1" s="10"/>
    </row>
    <row r="2" ht="84.0" customHeight="1">
      <c r="A2" s="11" t="s">
        <v>27</v>
      </c>
      <c r="B2" s="12" t="s">
        <v>28</v>
      </c>
      <c r="C2" s="13" t="s">
        <v>29</v>
      </c>
      <c r="D2" s="14" t="s">
        <v>30</v>
      </c>
      <c r="E2" s="14" t="s">
        <v>31</v>
      </c>
      <c r="F2" s="14" t="s">
        <v>32</v>
      </c>
      <c r="G2" s="14" t="s">
        <v>33</v>
      </c>
      <c r="H2" s="14" t="s">
        <v>34</v>
      </c>
      <c r="I2" s="14" t="s">
        <v>35</v>
      </c>
      <c r="J2" s="14" t="s">
        <v>36</v>
      </c>
      <c r="K2" s="14" t="s">
        <v>37</v>
      </c>
      <c r="L2" s="14" t="s">
        <v>38</v>
      </c>
      <c r="M2" s="14" t="s">
        <v>39</v>
      </c>
      <c r="N2" s="14" t="s">
        <v>40</v>
      </c>
      <c r="O2" s="13" t="s">
        <v>41</v>
      </c>
      <c r="P2" s="14" t="s">
        <v>42</v>
      </c>
      <c r="Q2" s="14" t="s">
        <v>43</v>
      </c>
      <c r="R2" s="14" t="s">
        <v>44</v>
      </c>
      <c r="S2" s="14" t="s">
        <v>45</v>
      </c>
      <c r="T2" s="14" t="s">
        <v>46</v>
      </c>
      <c r="U2" s="14" t="s">
        <v>47</v>
      </c>
      <c r="V2" s="14" t="s">
        <v>48</v>
      </c>
      <c r="W2" s="14" t="s">
        <v>49</v>
      </c>
      <c r="X2" s="14" t="s">
        <v>50</v>
      </c>
      <c r="Y2" s="14" t="s">
        <v>51</v>
      </c>
      <c r="Z2" s="14" t="s">
        <v>52</v>
      </c>
      <c r="AA2" s="13" t="s">
        <v>53</v>
      </c>
      <c r="AB2" s="14" t="s">
        <v>54</v>
      </c>
      <c r="AC2" s="14" t="s">
        <v>55</v>
      </c>
      <c r="AD2" s="14" t="s">
        <v>56</v>
      </c>
      <c r="AE2" s="14" t="s">
        <v>57</v>
      </c>
      <c r="AF2" s="14" t="s">
        <v>58</v>
      </c>
      <c r="AG2" s="14" t="s">
        <v>59</v>
      </c>
      <c r="AH2" s="14" t="s">
        <v>60</v>
      </c>
      <c r="AI2" s="14" t="s">
        <v>61</v>
      </c>
      <c r="AJ2" s="14" t="s">
        <v>62</v>
      </c>
      <c r="AK2" s="14" t="s">
        <v>63</v>
      </c>
      <c r="AL2" s="14" t="s">
        <v>64</v>
      </c>
      <c r="AM2" s="13" t="s">
        <v>65</v>
      </c>
      <c r="AN2" s="14" t="s">
        <v>66</v>
      </c>
      <c r="AO2" s="14" t="s">
        <v>67</v>
      </c>
      <c r="AP2" s="14" t="s">
        <v>68</v>
      </c>
      <c r="AQ2" s="14" t="s">
        <v>69</v>
      </c>
      <c r="AR2" s="14" t="s">
        <v>70</v>
      </c>
      <c r="AS2" s="14" t="s">
        <v>71</v>
      </c>
      <c r="AT2" s="14" t="s">
        <v>72</v>
      </c>
      <c r="AU2" s="14" t="s">
        <v>73</v>
      </c>
      <c r="AV2" s="14" t="s">
        <v>74</v>
      </c>
      <c r="AW2" s="14" t="s">
        <v>75</v>
      </c>
      <c r="AX2" s="14" t="s">
        <v>76</v>
      </c>
      <c r="AY2" s="13" t="s">
        <v>77</v>
      </c>
      <c r="AZ2" s="14" t="s">
        <v>78</v>
      </c>
      <c r="BA2" s="14" t="s">
        <v>79</v>
      </c>
      <c r="BB2" s="14" t="s">
        <v>80</v>
      </c>
      <c r="BC2" s="14" t="s">
        <v>81</v>
      </c>
      <c r="BD2" s="14" t="s">
        <v>82</v>
      </c>
      <c r="BE2" s="14" t="s">
        <v>83</v>
      </c>
      <c r="BF2" s="14" t="s">
        <v>84</v>
      </c>
      <c r="BG2" s="14" t="s">
        <v>85</v>
      </c>
      <c r="BH2" s="14" t="s">
        <v>86</v>
      </c>
      <c r="BI2" s="14" t="s">
        <v>87</v>
      </c>
      <c r="BJ2" s="14" t="s">
        <v>88</v>
      </c>
      <c r="BK2" s="13" t="s">
        <v>89</v>
      </c>
      <c r="BL2" s="14" t="s">
        <v>90</v>
      </c>
      <c r="BM2" s="14" t="s">
        <v>91</v>
      </c>
      <c r="BN2" s="14" t="s">
        <v>92</v>
      </c>
      <c r="BO2" s="14" t="s">
        <v>93</v>
      </c>
      <c r="BP2" s="14" t="s">
        <v>94</v>
      </c>
      <c r="BQ2" s="14" t="s">
        <v>95</v>
      </c>
      <c r="BR2" s="14" t="s">
        <v>96</v>
      </c>
      <c r="BS2" s="14" t="s">
        <v>97</v>
      </c>
      <c r="BT2" s="14" t="s">
        <v>98</v>
      </c>
      <c r="BU2" s="14" t="s">
        <v>99</v>
      </c>
      <c r="BV2" s="14" t="s">
        <v>100</v>
      </c>
      <c r="BW2" s="13" t="s">
        <v>101</v>
      </c>
      <c r="BX2" s="14" t="s">
        <v>102</v>
      </c>
      <c r="BY2" s="14" t="s">
        <v>103</v>
      </c>
      <c r="BZ2" s="14" t="s">
        <v>104</v>
      </c>
      <c r="CA2" s="14" t="s">
        <v>105</v>
      </c>
      <c r="CB2" s="14" t="s">
        <v>106</v>
      </c>
      <c r="CC2" s="14" t="s">
        <v>107</v>
      </c>
      <c r="CD2" s="14" t="s">
        <v>108</v>
      </c>
      <c r="CE2" s="14" t="s">
        <v>109</v>
      </c>
      <c r="CF2" s="14" t="s">
        <v>110</v>
      </c>
      <c r="CG2" s="14" t="s">
        <v>111</v>
      </c>
      <c r="CH2" s="14" t="s">
        <v>112</v>
      </c>
      <c r="CI2" s="13" t="s">
        <v>113</v>
      </c>
      <c r="CJ2" s="14" t="s">
        <v>114</v>
      </c>
      <c r="CK2" s="14" t="s">
        <v>115</v>
      </c>
      <c r="CL2" s="14" t="s">
        <v>116</v>
      </c>
      <c r="CM2" s="14" t="s">
        <v>117</v>
      </c>
      <c r="CN2" s="14" t="s">
        <v>118</v>
      </c>
      <c r="CO2" s="14" t="s">
        <v>119</v>
      </c>
      <c r="CP2" s="14" t="s">
        <v>120</v>
      </c>
      <c r="CQ2" s="14" t="s">
        <v>121</v>
      </c>
      <c r="CR2" s="14" t="s">
        <v>122</v>
      </c>
      <c r="CS2" s="14" t="s">
        <v>123</v>
      </c>
      <c r="CT2" s="14" t="s">
        <v>124</v>
      </c>
      <c r="CU2" s="15" t="s">
        <v>125</v>
      </c>
      <c r="CV2" s="16" t="s">
        <v>126</v>
      </c>
      <c r="CW2" s="12" t="s">
        <v>127</v>
      </c>
      <c r="CX2" s="12" t="s">
        <v>128</v>
      </c>
      <c r="CY2" s="15" t="s">
        <v>129</v>
      </c>
      <c r="CZ2" s="12" t="s">
        <v>130</v>
      </c>
      <c r="DA2" s="12" t="s">
        <v>131</v>
      </c>
      <c r="DB2" s="12" t="s">
        <v>132</v>
      </c>
      <c r="DC2" s="12" t="s">
        <v>133</v>
      </c>
      <c r="DD2" s="14" t="s">
        <v>134</v>
      </c>
      <c r="DE2" s="14" t="s">
        <v>135</v>
      </c>
    </row>
    <row r="3" ht="24.75" customHeight="1">
      <c r="A3" s="17" t="s">
        <v>136</v>
      </c>
      <c r="B3" s="18" t="s">
        <v>137</v>
      </c>
      <c r="C3" s="19" t="s">
        <v>138</v>
      </c>
      <c r="D3" s="20">
        <f t="shared" ref="D3:D98" si="4">SUM(E3:F3)+K3</f>
        <v>6</v>
      </c>
      <c r="E3" s="20">
        <f t="shared" ref="E3:E98" si="5">COUNTA(C3)*2</f>
        <v>2</v>
      </c>
      <c r="F3" s="20">
        <f t="shared" ref="F3:F98" si="6">(G3*2)+(H3*1)</f>
        <v>4</v>
      </c>
      <c r="G3" s="20">
        <f>IF(C3&lt;&gt;"",
    COUNTIFS(MATCH_INPUT!$K$2:$K$5,C3),
0)</f>
        <v>2</v>
      </c>
      <c r="H3" s="20">
        <f>IF(C3&lt;&gt;"",
    COUNTIFS(MATCH_INPUT!$F$2:$F$5, C3, MATCH_INPUT!$K$2:$K$5, "Draw") +
    COUNTIFS(MATCH_INPUT!$J$2:$J$5, C3, MATCH_INPUT!$K$2:$K$5, "Draw"),
0)</f>
        <v>0</v>
      </c>
      <c r="I3" s="20">
        <f>IF(C3&lt;&gt;"",
    COUNTIFS(MATCH_INPUT!$F$2:$F$5, C3, MATCH_INPUT!$K$2:$K$5, "&lt;&gt;"&amp;C3, MATCH_INPUT!$K$2:$K$5, "&lt;&gt;Draw", MATCH_INPUT!$K$2:$K$5, "&lt;&gt;""") +
    COUNTIFS(MATCH_INPUT!$J$2:$J$5, C3, MATCH_INPUT!$K$2:$K$5, "&lt;&gt;"&amp;C3, MATCH_INPUT!$K$2:$K$5, "&lt;&gt;Draw", MATCH_INPUT!$K$2:$K$5, "&lt;&gt;"""),
0)</f>
        <v>0</v>
      </c>
      <c r="J3" s="21"/>
      <c r="K3" s="21"/>
      <c r="L3" s="22"/>
      <c r="M3" s="23">
        <f t="shared" ref="M3:M38" si="7">RANK(D3, D$3:D$38, 0)</f>
        <v>2</v>
      </c>
      <c r="N3" s="24" t="str">
        <f t="shared" ref="N3:N98" si="8">IF(M3&lt;1, "↑", IF(M3&gt;1, "↓", "="))</f>
        <v>↓</v>
      </c>
      <c r="O3" s="25" t="s">
        <v>139</v>
      </c>
      <c r="P3" s="26">
        <f t="shared" ref="P3:P98" si="9">SUM(Q3:R3)+D3+W3</f>
        <v>12</v>
      </c>
      <c r="Q3" s="26">
        <f t="shared" ref="Q3:Q98" si="10">COUNTA(O3)*2</f>
        <v>2</v>
      </c>
      <c r="R3" s="26">
        <f t="shared" ref="R3:R98" si="11">(S3*2)+(T3*1)</f>
        <v>4</v>
      </c>
      <c r="S3" s="26">
        <f>IF(O3&lt;&gt;"",
    COUNTIFS(MATCH_INPUT!$K$6:$K$9,O3),
0)</f>
        <v>2</v>
      </c>
      <c r="T3" s="26">
        <f>IF(O3&lt;&gt;"",
    COUNTIFS(MATCH_INPUT!$F$6:$F$9, O3, MATCH_INPUT!$K$6:$K$9, "Draw") +
    COUNTIFS(MATCH_INPUT!$J$6:$J$9, O3, MATCH_INPUT!$K$6:$K$9, "Draw"),
0)</f>
        <v>0</v>
      </c>
      <c r="U3" s="26">
        <f>IF(O3&lt;&gt;"",
    COUNTIFS(MATCH_INPUT!$F$6:$F$9, O3, MATCH_INPUT!$K$6:$K$9, "&lt;&gt;"&amp;O3, MATCH_INPUT!$K$6:$K$9, "&lt;&gt;Draw", MATCH_INPUT!$K$6:$K$9, "&lt;&gt;""") +
    COUNTIFS(MATCH_INPUT!$J$6:$J$9, O3, MATCH_INPUT!$K$6:$K$9, "&lt;&gt;"&amp;O3, MATCH_INPUT!$K$6:$K$9, "&lt;&gt;Draw", MATCH_INPUT!$K$6:$K$9, "&lt;&gt;"""),
0)</f>
        <v>0</v>
      </c>
      <c r="V3" s="27"/>
      <c r="W3" s="27"/>
      <c r="X3" s="28"/>
      <c r="Y3" s="26">
        <f t="shared" ref="Y3:Y38" si="12">RANK(P3, P$3:P$38, 0)</f>
        <v>3</v>
      </c>
      <c r="Z3" s="29" t="str">
        <f t="shared" ref="Z3:Z98" si="13">IF(Y3&lt;M3, "↑", IF(Y3&gt;M3, "↓", "="))</f>
        <v>↓</v>
      </c>
      <c r="AA3" s="19" t="s">
        <v>140</v>
      </c>
      <c r="AB3" s="23">
        <f t="shared" ref="AB3:AB98" si="14">SUM(AC3:AD3)+P3+AI3</f>
        <v>16</v>
      </c>
      <c r="AC3" s="20">
        <f t="shared" ref="AC3:AC98" si="15">COUNTA(AA3)*2</f>
        <v>2</v>
      </c>
      <c r="AD3" s="20">
        <f t="shared" ref="AD3:AD98" si="16">SUM(AE3*2)+(AF3*1)</f>
        <v>2</v>
      </c>
      <c r="AE3" s="20">
        <f>IF(AA3&lt;&gt;"",
    COUNTIFS(MATCH_INPUT!$K$10:$K$13,AA3),
0)</f>
        <v>1</v>
      </c>
      <c r="AF3" s="20">
        <f>IF(AA3&lt;&gt;"",
    COUNTIFS(MATCH_INPUT!$F$10:$F$13, AA3, MATCH_INPUT!$K$10:$K$13, "Draw") +
    COUNTIFS(MATCH_INPUT!$J$10:$J$13, AA3, MATCH_INPUT!$K$10:$K$13, "Draw"),
0)</f>
        <v>0</v>
      </c>
      <c r="AG3" s="20">
        <f>IF(AA3&lt;&gt;"",
    COUNTIFS(MATCH_INPUT!$F$10:$F$13, AA3, MATCH_INPUT!$K$10:$K$13, "&lt;&gt;"&amp;AA3, MATCH_INPUT!$K$10:$K$13, "&lt;&gt;Draw", MATCH_INPUT!$K$10:$K$13, "&lt;&gt;""") +
    COUNTIFS(MATCH_INPUT!$J$10:$J$13, AA3, MATCH_INPUT!$K$10:$K$13, "&lt;&gt;"&amp;AA3, MATCH_INPUT!$K$10:$K$13, "&lt;&gt;Draw", MATCH_INPUT!$K$10:$K$13, "&lt;&gt;"""),
0)</f>
        <v>1</v>
      </c>
      <c r="AH3" s="21"/>
      <c r="AI3" s="21"/>
      <c r="AJ3" s="30"/>
      <c r="AK3" s="23">
        <f t="shared" ref="AK3:AK38" si="17">RANK(AB3, AB$3:AB$38, 0)</f>
        <v>2</v>
      </c>
      <c r="AL3" s="24" t="str">
        <f t="shared" ref="AL3:AL98" si="18">IF(AK3&lt;Y3, "↑", IF(AK3&gt;Y3, "↓", "="))</f>
        <v>↑</v>
      </c>
      <c r="AM3" s="25" t="s">
        <v>139</v>
      </c>
      <c r="AN3" s="26">
        <f t="shared" ref="AN3:AN98" si="19">SUM(AO3:AP3)+AB3+AU3</f>
        <v>22</v>
      </c>
      <c r="AO3" s="26">
        <f t="shared" ref="AO3:AO98" si="20">COUNTA(AM3)*2</f>
        <v>2</v>
      </c>
      <c r="AP3" s="26">
        <f t="shared" ref="AP3:AP98" si="21">SUM(AQ3*2)+(AR3*1)</f>
        <v>4</v>
      </c>
      <c r="AQ3" s="26">
        <f>IF(AM3&lt;&gt;"",
    COUNTIFS(MATCH_INPUT!$K$14:$K$17,AM3),
0)</f>
        <v>2</v>
      </c>
      <c r="AR3" s="26">
        <f>IF(AM3&lt;&gt;"",
    COUNTIFS(MATCH_INPUT!$F$14:$F$17, AM3, MATCH_INPUT!$K$14:$K$17, "Draw") +
    COUNTIFS(MATCH_INPUT!$J$14:$J$17, AM3, MATCH_INPUT!$K$14:$K$17, "Draw"),
0)</f>
        <v>0</v>
      </c>
      <c r="AS3" s="26">
        <f>IF(AM3&lt;&gt;"",
    COUNTIFS(MATCH_INPUT!$F$14:$F$17, AM3, MATCH_INPUT!$K$14:$K$17, "&lt;&gt;"&amp;AM3, MATCH_INPUT!$K$14:$K$17, "&lt;&gt;Draw", MATCH_INPUT!$K$14:$K$17, "&lt;&gt;""") +
    COUNTIFS(MATCH_INPUT!$J$14:$J$17, AM3, MATCH_INPUT!$K$14:$K$17, "&lt;&gt;"&amp;AM3, MATCH_INPUT!$K$14:$K$17, "&lt;&gt;Draw", MATCH_INPUT!$K$14:$K$17, "&lt;&gt;"""),
0)</f>
        <v>0</v>
      </c>
      <c r="AT3" s="27"/>
      <c r="AU3" s="27"/>
      <c r="AV3" s="28"/>
      <c r="AW3" s="26">
        <f t="shared" ref="AW3:AW38" si="22">RANK(AN3, AN$3:AN$38, 0)</f>
        <v>1</v>
      </c>
      <c r="AX3" s="29" t="str">
        <f t="shared" ref="AX3:AX98" si="23">IF(AW3&lt;AK3, "↑", IF(AW3&gt;AK3, "↓", "="))</f>
        <v>↑</v>
      </c>
      <c r="AY3" s="19" t="s">
        <v>139</v>
      </c>
      <c r="AZ3" s="23">
        <f t="shared" ref="AZ3:AZ98" si="24">SUM(BA3:BB3)+BG3+AN3</f>
        <v>30</v>
      </c>
      <c r="BA3" s="20">
        <f t="shared" ref="BA3:BA98" si="25">COUNTA(AY3)*2</f>
        <v>2</v>
      </c>
      <c r="BB3" s="20">
        <f>SUM(BC3*2) + (BD3*1) + SUMIFS(MATCH_INPUT!$G$18:$G$21, MATCH_INPUT!$F$18:$F$21, AY3) + SUMIFS(MATCH_INPUT!$I$18:$I$21, MATCH_INPUT!$J$18:$J$21, AY3)
</f>
        <v>6</v>
      </c>
      <c r="BC3" s="20">
        <f>IF(AY3&lt;&gt;"",
    COUNTIFS(MATCH_INPUT!$K$18:$K$21,AY3),
0)</f>
        <v>1</v>
      </c>
      <c r="BD3" s="20">
        <f>IF(AY3&lt;&gt;"",
    COUNTIFS(MATCH_INPUT!$F$18:$F$21, AY3, MATCH_INPUT!$K$18:$K$21, "Draw") +
    COUNTIFS(MATCH_INPUT!$J$18:$J$21, AY3, MATCH_INPUT!$K$18:$K$21, "Draw"),
0)</f>
        <v>0</v>
      </c>
      <c r="BE3" s="20">
        <f>IF(AY3&lt;&gt;"",
    COUNTIFS(MATCH_INPUT!$F$18:$F$21, AY3, MATCH_INPUT!$K$18:$K$21, "&lt;&gt;"&amp;AY3, MATCH_INPUT!$K$18:$K$21, "&lt;&gt;Draw", MATCH_INPUT!$K$18:$K$21, "&lt;&gt;""") +
    COUNTIFS(MATCH_INPUT!$J$18:$J$21, AY3, MATCH_INPUT!$K$18:$K$21, "&lt;&gt;"&amp;AY3, MATCH_INPUT!$K$18:$K$21, "&lt;&gt;Draw", MATCH_INPUT!$K$18:$K$21, "&lt;&gt;"""),
0)</f>
        <v>1</v>
      </c>
      <c r="BF3" s="27" t="str">
        <f t="array" ref="BF3">IFERROR(INDEX(Form_Response!E:E, MATCH(1, (Form_Response!C:C='MATCH DATES'!$B$6)*(Form_Response!D:D=B3), 0)), "")
</f>
        <v/>
      </c>
      <c r="BG3" s="27">
        <f t="array" ref="BG3">IFERROR(IF(INDEX(Form_Response!F:F, MATCH(1, (Form_Response!C:C='MATCH DATES'!$B$6)*(Form_Response!D:D=B3), 0))="Yes", 1, 0), 0)
</f>
        <v>0</v>
      </c>
      <c r="BH3" s="27" t="str">
        <f t="array" ref="BH3">IFERROR(INDEX(Form_Response!G:G, MATCH(1, (Form_Response!C:C='MATCH DATES'!$B$6)*(Form_Response!D:D=B3), 0)), "")
</f>
        <v/>
      </c>
      <c r="BI3" s="23">
        <f t="shared" ref="BI3:BI38" si="26">RANK(AZ3, AZ$3:AZ$38, 0)</f>
        <v>1</v>
      </c>
      <c r="BJ3" s="24" t="str">
        <f t="shared" ref="BJ3:BJ98" si="27">IF(BI3&lt;AW3, "↑", IF(BI3&gt;AW3, "↓", "="))</f>
        <v>=</v>
      </c>
      <c r="BK3" s="25" t="s">
        <v>139</v>
      </c>
      <c r="BL3" s="26">
        <f t="shared" ref="BL3:BL98" si="28">SUM(BM3:BN3)+BS3+AZ3</f>
        <v>40</v>
      </c>
      <c r="BM3" s="26">
        <f t="shared" ref="BM3:BM99" si="29">COUNTA(BK3)*4</f>
        <v>4</v>
      </c>
      <c r="BN3" s="26">
        <f>SUM(BO3*2) + (BP3*1) + SUMIFS(MATCH_INPUT!$G$22:$G$25, MATCH_INPUT!$F$22:$F$25, BK3) + SUMIFS(MATCH_INPUT!$I$22:$I$25, MATCH_INPUT!$J$22:$J$25, BK3)
</f>
        <v>6</v>
      </c>
      <c r="BO3" s="26">
        <f>IF(BK3&lt;&gt;"",
    COUNTIFS(MATCH_INPUT!$K$22:$K$25,BK3),
0)</f>
        <v>1</v>
      </c>
      <c r="BP3" s="26">
        <f>IF(BK3&lt;&gt;"",
    COUNTIFS(MATCH_INPUT!$F$22:$F$25, BK3, MATCH_INPUT!$K$22:$K$25, "Draw") +
    COUNTIFS(MATCH_INPUT!$J$22:$J$25, BK3, MATCH_INPUT!$K$22:$K$25, "Draw"),
0)</f>
        <v>1</v>
      </c>
      <c r="BQ3" s="26">
        <f>IF(BK3&lt;&gt;"",
    COUNTIFS(MATCH_INPUT!$F$22:$F$25, BK3, MATCH_INPUT!$K$22:$K$25, "&lt;&gt;"&amp;BK3, MATCH_INPUT!$K$22:$K$25, "&lt;&gt;Draw", MATCH_INPUT!$K$22:$K$25, "&lt;&gt;""") +
    COUNTIFS(MATCH_INPUT!$J$22:$J$25, BK3, MATCH_INPUT!$K$22:$K$25, "&lt;&gt;"&amp;BK3, MATCH_INPUT!$K$22:$K$25, "&lt;&gt;Draw", MATCH_INPUT!$K$22:$K$25, "&lt;&gt;"""),
0)</f>
        <v>0</v>
      </c>
      <c r="BR3" s="27"/>
      <c r="BS3" s="27"/>
      <c r="BT3" s="28"/>
      <c r="BU3" s="26">
        <f t="shared" ref="BU3:BU38" si="30">RANK(BL3, BL$3:BL$38, 0)</f>
        <v>1</v>
      </c>
      <c r="BV3" s="29" t="str">
        <f t="shared" ref="BV3:BV98" si="31">IF(BU3&lt;BI3, "↑", IF(BU3&gt;BI3, "↓", "="))</f>
        <v>=</v>
      </c>
      <c r="BW3" s="19" t="s">
        <v>141</v>
      </c>
      <c r="BX3" s="23">
        <f t="shared" ref="BX3:BX98" si="32">SUM(BY3:BZ3)+CE3+BL3</f>
        <v>46</v>
      </c>
      <c r="BY3" s="20">
        <f t="shared" ref="BY3:BY98" si="33">COUNTA(BW3)*2</f>
        <v>2</v>
      </c>
      <c r="BZ3" s="20">
        <f>SUM(CA3*2)+(CB3*1) + SUMIFS(MATCH_INPUT!$G$26:$G$29, MATCH_INPUT!$F$26:$F$29, BW3) + SUMIFS(MATCH_INPUT!$I$26:$I$29, MATCH_INPUT!$J$26:$J$29, BW3)
</f>
        <v>4</v>
      </c>
      <c r="CA3" s="20">
        <f>IF(BW3&lt;&gt;"",
    COUNTIFS(MATCH_INPUT!$K$26:$K$29,BW3),
0)</f>
        <v>1</v>
      </c>
      <c r="CB3" s="20">
        <f>IF(BW3&lt;&gt;"",
    COUNTIFS(MATCH_INPUT!$F$26:$F$29, BW3, MATCH_INPUT!$K$26:$K$29, "Draw") +
    COUNTIFS(MATCH_INPUT!$J$26:$J$29, BW3, MATCH_INPUT!$K$26:$K$29, "Draw"),
0)</f>
        <v>0</v>
      </c>
      <c r="CC3" s="20">
        <f>IF(BW3&lt;&gt;"",
    COUNTIFS(MATCH_INPUT!$F$26:$F$29, BW3, MATCH_INPUT!$K$26:$K$29, "&lt;&gt;"&amp;BW3, MATCH_INPUT!$K$26:$K$29, "&lt;&gt;Draw", MATCH_INPUT!$K$26:$K$29, "&lt;&gt;""") +
    COUNTIFS(MATCH_INPUT!$J$26:$J$29, BW3, MATCH_INPUT!$K$26:$K$29, "&lt;&gt;"&amp;BW3, MATCH_INPUT!$K$26:$K$29, "&lt;&gt;Draw", MATCH_INPUT!$K$26:$K$29, "&lt;&gt;"""),
0)</f>
        <v>1</v>
      </c>
      <c r="CD3" s="21"/>
      <c r="CE3" s="21"/>
      <c r="CF3" s="30"/>
      <c r="CG3" s="23">
        <f t="shared" ref="CG3:CG38" si="34">RANK(BX3, BX$3:BX$38, 0)</f>
        <v>2</v>
      </c>
      <c r="CH3" s="24" t="str">
        <f t="shared" ref="CH3:CH98" si="35">IF(CG3&lt;BU3, "↑", IF(CG3&gt;BU3, "↓", "="))</f>
        <v>↓</v>
      </c>
      <c r="CI3" s="25" t="s">
        <v>139</v>
      </c>
      <c r="CJ3" s="26">
        <f t="shared" ref="CJ3:CJ82" si="36">SUM(CK3:CL3)+CQ3+BX3</f>
        <v>49</v>
      </c>
      <c r="CK3" s="26">
        <f t="shared" ref="CK3:CK98" si="37">COUNTA(CI3)*2</f>
        <v>2</v>
      </c>
      <c r="CL3" s="26">
        <f>SUM(CM3*2)+(CN3*1) + SUMIFS(MATCH_INPUT!$G$30:$G$33, MATCH_INPUT!$F$30:$F$33, CI3) + SUMIFS(MATCH_INPUT!$I$30:$I$33, MATCH_INPUT!$J$30:$J$33, CI3)
</f>
        <v>1</v>
      </c>
      <c r="CM3" s="26">
        <f>IF(CI3&lt;&gt;"",
    COUNTIFS(MATCH_INPUT!$K$30:$K$33,CI3),
0)</f>
        <v>0</v>
      </c>
      <c r="CN3" s="26">
        <f>IF(CI3&lt;&gt;"",
    COUNTIFS(MATCH_INPUT!$F$30:$F$33, CI3, MATCH_INPUT!$K$30:$K$33, "Draw") +
    COUNTIFS(MATCH_INPUT!$J$30:$J$33, CI3, MATCH_INPUT!$K$30:$K$33, "Draw"),
0)</f>
        <v>0</v>
      </c>
      <c r="CO3" s="26">
        <f>IF(CI3&lt;&gt;"",
    COUNTIFS(MATCH_INPUT!$F$30:$F$33, CI3, MATCH_INPUT!$K$30:$K$33, "&lt;&gt;"&amp;CI3, MATCH_INPUT!$K$30:$K$33, "&lt;&gt;Draw", MATCH_INPUT!$K$30:$K$33, "&lt;&gt;""") +
    COUNTIFS(MATCH_INPUT!$J$30:$J$33, CI3, MATCH_INPUT!$K$30:$K$33, "&lt;&gt;"&amp;CI3, MATCH_INPUT!$K$30:$K$33, "&lt;&gt;Draw", MATCH_INPUT!$K$30:$K$33, "&lt;&gt;"""),
0)</f>
        <v>2</v>
      </c>
      <c r="CP3" s="27" t="str">
        <f t="array" ref="CP3">IFERROR(INDEX(Form_Response!E:E, MATCH(1, (Form_Response!C:C='MATCH DATES'!$B$9)*(Form_Response!D:D=B3), 0)), "")
</f>
        <v/>
      </c>
      <c r="CQ3" s="27">
        <f t="array" ref="CQ3">IFERROR(IF(INDEX(Form_Response!F:F, MATCH(1, (Form_Response!C:C='MATCH DATES'!$B$9)*(Form_Response!D:D=B3), 0))="Yes", 1, 0), 0)
</f>
        <v>0</v>
      </c>
      <c r="CR3" s="27" t="str">
        <f t="array" ref="CR3">IFERROR(INDEX(Form_Response!G:G, MATCH(1, (Form_Response!C:C='MATCH DATES'!$B$9)*(Form_Response!D:D=B3), 0)), "")
</f>
        <v/>
      </c>
      <c r="CS3" s="31">
        <f t="shared" ref="CS3:CS38" si="38">RANK(CJ3, CJ$3:CJ$38, 0)</f>
        <v>6</v>
      </c>
      <c r="CT3" s="31" t="str">
        <f t="shared" ref="CT3:CT98" si="39">IF(CS3&lt;CG3, "↑", IF(CS3&gt;CG3, "↓", "="))</f>
        <v>↓</v>
      </c>
      <c r="CU3" s="32">
        <f t="shared" ref="CU3:CU98" si="40">SUM(F3,R3,AD3,AP3,BB3,BN3,BZ3,CL3)</f>
        <v>31</v>
      </c>
      <c r="CV3" s="32" t="str">
        <f t="shared" ref="CV3:CW3" si="1">A3</f>
        <v>⭐️</v>
      </c>
      <c r="CW3" s="33" t="str">
        <f t="shared" si="1"/>
        <v>Osmin</v>
      </c>
      <c r="CX3" s="33">
        <f t="shared" ref="CX3:CX98" si="42">SUM(CU3,CY3,DD3)</f>
        <v>49</v>
      </c>
      <c r="CY3" s="32">
        <f>SUM(
  IF(AND('MATCH DATES'!$A$2 &lt;= TODAY(), NOW() &gt;= 'MATCH DATES'!$A$2 + TIME(22, 0, 0)), E3, 0),
  IF(AND('MATCH DATES'!$A$3 &lt;= TODAY(), NOW() &gt;= 'MATCH DATES'!$A$3 + TIME(22, 0, 0)), Q3, 0),
  IF(AND('MATCH DATES'!$A$4 &lt;= TODAY(), NOW() &gt;= 'MATCH DATES'!$A$4 + TIME(22, 0, 0)), AC3, 0),
  IF(AND('MATCH DATES'!$A$5 &lt;= TODAY(), NOW() &gt;= 'MATCH DATES'!$A$5 + TIME(22, 0, 0)), AO3, 0),
  IF(AND('MATCH DATES'!$A$6 &lt;= TODAY(), NOW() &gt;= 'MATCH DATES'!$A$6 + TIME(22, 0, 0)), BA3, 0),
  IF(AND('MATCH DATES'!$A$7 &lt;= TODAY(), NOW() &gt;= 'MATCH DATES'!$A$7 + TIME(22, 0, 0)), BM3, 0),
  IF(AND('MATCH DATES'!$A$8 &lt;= TODAY(), NOW() &gt;= 'MATCH DATES'!$A$8 + TIME(22, 0, 0)), BY3, 0),
  IF(AND('MATCH DATES'!$A$9 &lt;= TODAY(), NOW() &gt;= 'MATCH DATES'!$A$9 + TIME(22, 0, 0)), CK3, 0)
)
</f>
        <v>18</v>
      </c>
      <c r="CZ3" s="33">
        <f t="shared" ref="CZ3:DA3" si="2">SUM(G3,S3,AE3,AQ3,BC3,BO3,CA3,CM3)</f>
        <v>10</v>
      </c>
      <c r="DA3" s="33">
        <f t="shared" si="2"/>
        <v>1</v>
      </c>
      <c r="DB3" s="33">
        <f>SUM(
  IF(AND('MATCH DATES'!$A$2 &lt;= TODAY(), NOW() &gt;= 'MATCH DATES'!$A$2 + TIME(22, 0, 0)), I3, 0),
  IF(AND('MATCH DATES'!$A$3 &lt;= TODAY(), NOW() &gt;= 'MATCH DATES'!$A$3 + TIME(22, 0, 0)), U3, 0),
  IF(AND('MATCH DATES'!$A$4 &lt;= TODAY(), NOW() &gt;= 'MATCH DATES'!$A$4 + TIME(22, 0, 0)), AG3, 0),
  IF(AND('MATCH DATES'!$A$5 &lt;= TODAY(), NOW() &gt;= 'MATCH DATES'!$A$5 + TIME(22, 0, 0)), AS3, 0),
  IF(AND('MATCH DATES'!$A$6 &lt;= TODAY(), NOW() &gt;= 'MATCH DATES'!$A$6 + TIME(22, 0, 0)), BE3, 0),
  IF(AND('MATCH DATES'!$A$7 &lt;= TODAY(), NOW() &gt;= 'MATCH DATES'!$A$7 + TIME(22, 0, 0)), BQ3, 0),
  IF(AND('MATCH DATES'!$A$8 &lt;= TODAY(), NOW() &gt;= 'MATCH DATES'!$A$8 + TIME(22, 0, 0)), CC3, 0),
  IF(AND('MATCH DATES'!$A$9 &lt;= TODAY(), NOW() &gt;= 'MATCH DATES'!$A$9 + TIME(22, 0, 0)), CO3, 0)
)</f>
        <v>5</v>
      </c>
      <c r="DC3" s="33">
        <f t="shared" ref="DC3:DC98" si="44">sum(J3,V3,AH3,AT3,BF3,BR3,CD3,CP3)</f>
        <v>0</v>
      </c>
      <c r="DD3" s="33">
        <f t="shared" ref="DD3:DE3" si="3">SUM(K3,W3,AI3,AU3,BG3,BS3,CE3,CQ3)</f>
        <v>0</v>
      </c>
      <c r="DE3" s="33">
        <f t="shared" si="3"/>
        <v>0</v>
      </c>
    </row>
    <row r="4" ht="24.75" customHeight="1">
      <c r="A4" s="17" t="s">
        <v>136</v>
      </c>
      <c r="B4" s="18" t="s">
        <v>142</v>
      </c>
      <c r="C4" s="19" t="s">
        <v>138</v>
      </c>
      <c r="D4" s="20">
        <f t="shared" si="4"/>
        <v>7</v>
      </c>
      <c r="E4" s="20">
        <f t="shared" si="5"/>
        <v>2</v>
      </c>
      <c r="F4" s="20">
        <f t="shared" si="6"/>
        <v>4</v>
      </c>
      <c r="G4" s="20">
        <f>IF(C4&lt;&gt;"",
    COUNTIFS(MATCH_INPUT!$K$2:$K$5,C4),
0)</f>
        <v>2</v>
      </c>
      <c r="H4" s="20">
        <f>IF(C4&lt;&gt;"",
    COUNTIFS(MATCH_INPUT!$F$2:$F$5, C4, MATCH_INPUT!$K$2:$K$5, "Draw") +
    COUNTIFS(MATCH_INPUT!$J$2:$J$5, C4, MATCH_INPUT!$K$2:$K$5, "Draw"),
0)</f>
        <v>0</v>
      </c>
      <c r="I4" s="20">
        <f>IF(C4&lt;&gt;"",
    COUNTIFS(MATCH_INPUT!$F$2:$F$5, C4, MATCH_INPUT!$K$2:$K$5, "&lt;&gt;"&amp;C4, MATCH_INPUT!$K$2:$K$5, "&lt;&gt;Draw", MATCH_INPUT!$K$2:$K$5, "&lt;&gt;""") +
    COUNTIFS(MATCH_INPUT!$J$2:$J$5, C4, MATCH_INPUT!$K$2:$K$5, "&lt;&gt;"&amp;C4, MATCH_INPUT!$K$2:$K$5, "&lt;&gt;Draw", MATCH_INPUT!$K$2:$K$5, "&lt;&gt;"""),
0)</f>
        <v>0</v>
      </c>
      <c r="J4" s="21"/>
      <c r="K4" s="21">
        <v>1.0</v>
      </c>
      <c r="L4" s="22"/>
      <c r="M4" s="23">
        <f t="shared" si="7"/>
        <v>1</v>
      </c>
      <c r="N4" s="24" t="str">
        <f t="shared" si="8"/>
        <v>=</v>
      </c>
      <c r="O4" s="25" t="s">
        <v>139</v>
      </c>
      <c r="P4" s="26">
        <f t="shared" si="9"/>
        <v>14</v>
      </c>
      <c r="Q4" s="26">
        <f t="shared" si="10"/>
        <v>2</v>
      </c>
      <c r="R4" s="26">
        <f t="shared" si="11"/>
        <v>4</v>
      </c>
      <c r="S4" s="26">
        <f>IF(O4&lt;&gt;"",
    COUNTIFS(MATCH_INPUT!$K$6:$K$9,O4),
0)</f>
        <v>2</v>
      </c>
      <c r="T4" s="26">
        <f>IF(O4&lt;&gt;"",
    COUNTIFS(MATCH_INPUT!$F$6:$F$9, O4, MATCH_INPUT!$K$6:$K$9, "Draw") +
    COUNTIFS(MATCH_INPUT!$J$6:$J$9, O4, MATCH_INPUT!$K$6:$K$9, "Draw"),
0)</f>
        <v>0</v>
      </c>
      <c r="U4" s="26">
        <f>IF(O4&lt;&gt;"",
    COUNTIFS(MATCH_INPUT!$F$6:$F$9, O4, MATCH_INPUT!$K$6:$K$9, "&lt;&gt;"&amp;O4, MATCH_INPUT!$K$6:$K$9, "&lt;&gt;Draw", MATCH_INPUT!$K$6:$K$9, "&lt;&gt;""") +
    COUNTIFS(MATCH_INPUT!$J$6:$J$9, O4, MATCH_INPUT!$K$6:$K$9, "&lt;&gt;"&amp;O4, MATCH_INPUT!$K$6:$K$9, "&lt;&gt;Draw", MATCH_INPUT!$K$6:$K$9, "&lt;&gt;"""),
0)</f>
        <v>0</v>
      </c>
      <c r="V4" s="27"/>
      <c r="W4" s="27">
        <v>1.0</v>
      </c>
      <c r="X4" s="28"/>
      <c r="Y4" s="26">
        <f t="shared" si="12"/>
        <v>1</v>
      </c>
      <c r="Z4" s="29" t="str">
        <f t="shared" si="13"/>
        <v>=</v>
      </c>
      <c r="AA4" s="19" t="s">
        <v>138</v>
      </c>
      <c r="AB4" s="23">
        <f t="shared" si="14"/>
        <v>16</v>
      </c>
      <c r="AC4" s="20">
        <f t="shared" si="15"/>
        <v>2</v>
      </c>
      <c r="AD4" s="20">
        <f t="shared" si="16"/>
        <v>0</v>
      </c>
      <c r="AE4" s="20">
        <f>IF(AA4&lt;&gt;"",
    COUNTIFS(MATCH_INPUT!$K$10:$K$13,AA4),
0)</f>
        <v>0</v>
      </c>
      <c r="AF4" s="20">
        <f>IF(AA4&lt;&gt;"",
    COUNTIFS(MATCH_INPUT!$F$10:$F$13, AA4, MATCH_INPUT!$K$10:$K$13, "Draw") +
    COUNTIFS(MATCH_INPUT!$J$10:$J$13, AA4, MATCH_INPUT!$K$10:$K$13, "Draw"),
0)</f>
        <v>0</v>
      </c>
      <c r="AG4" s="20">
        <f>IF(AA4&lt;&gt;"",
    COUNTIFS(MATCH_INPUT!$F$10:$F$13, AA4, MATCH_INPUT!$K$10:$K$13, "&lt;&gt;"&amp;AA4, MATCH_INPUT!$K$10:$K$13, "&lt;&gt;Draw", MATCH_INPUT!$K$10:$K$13, "&lt;&gt;""") +
    COUNTIFS(MATCH_INPUT!$J$10:$J$13, AA4, MATCH_INPUT!$K$10:$K$13, "&lt;&gt;"&amp;AA4, MATCH_INPUT!$K$10:$K$13, "&lt;&gt;Draw", MATCH_INPUT!$K$10:$K$13, "&lt;&gt;"""),
0)</f>
        <v>2</v>
      </c>
      <c r="AH4" s="21"/>
      <c r="AI4" s="21"/>
      <c r="AJ4" s="30"/>
      <c r="AK4" s="23">
        <f t="shared" si="17"/>
        <v>2</v>
      </c>
      <c r="AL4" s="24" t="str">
        <f t="shared" si="18"/>
        <v>↓</v>
      </c>
      <c r="AM4" s="25" t="s">
        <v>140</v>
      </c>
      <c r="AN4" s="26">
        <f t="shared" si="19"/>
        <v>20</v>
      </c>
      <c r="AO4" s="26">
        <f t="shared" si="20"/>
        <v>2</v>
      </c>
      <c r="AP4" s="26">
        <f t="shared" si="21"/>
        <v>2</v>
      </c>
      <c r="AQ4" s="26">
        <f>IF(AM4&lt;&gt;"",
    COUNTIFS(MATCH_INPUT!$K$14:$K$17,AM4),
0)</f>
        <v>1</v>
      </c>
      <c r="AR4" s="26">
        <f>IF(AM4&lt;&gt;"",
    COUNTIFS(MATCH_INPUT!$F$14:$F$17, AM4, MATCH_INPUT!$K$14:$K$17, "Draw") +
    COUNTIFS(MATCH_INPUT!$J$14:$J$17, AM4, MATCH_INPUT!$K$14:$K$17, "Draw"),
0)</f>
        <v>0</v>
      </c>
      <c r="AS4" s="26">
        <f>IF(AM4&lt;&gt;"",
    COUNTIFS(MATCH_INPUT!$F$14:$F$17, AM4, MATCH_INPUT!$K$14:$K$17, "&lt;&gt;"&amp;AM4, MATCH_INPUT!$K$14:$K$17, "&lt;&gt;Draw", MATCH_INPUT!$K$14:$K$17, "&lt;&gt;""") +
    COUNTIFS(MATCH_INPUT!$J$14:$J$17, AM4, MATCH_INPUT!$K$14:$K$17, "&lt;&gt;"&amp;AM4, MATCH_INPUT!$K$14:$K$17, "&lt;&gt;Draw", MATCH_INPUT!$K$14:$K$17, "&lt;&gt;"""),
0)</f>
        <v>1</v>
      </c>
      <c r="AT4" s="27"/>
      <c r="AU4" s="27"/>
      <c r="AV4" s="28"/>
      <c r="AW4" s="26">
        <f t="shared" si="22"/>
        <v>4</v>
      </c>
      <c r="AX4" s="29" t="str">
        <f t="shared" si="23"/>
        <v>↓</v>
      </c>
      <c r="AY4" s="19" t="s">
        <v>141</v>
      </c>
      <c r="AZ4" s="23">
        <f t="shared" si="24"/>
        <v>27</v>
      </c>
      <c r="BA4" s="20">
        <f t="shared" si="25"/>
        <v>2</v>
      </c>
      <c r="BB4" s="20">
        <f>SUM(BC4*2) + (BD4*1) + SUMIFS(MATCH_INPUT!$G$18:$G$21, MATCH_INPUT!$F$18:$F$21, AY4) + SUMIFS(MATCH_INPUT!$I$18:$I$21, MATCH_INPUT!$J$18:$J$21, AY4)
</f>
        <v>4</v>
      </c>
      <c r="BC4" s="20">
        <f>IF(AY4&lt;&gt;"",
    COUNTIFS(MATCH_INPUT!$K$18:$K$21,AY4),
0)</f>
        <v>0</v>
      </c>
      <c r="BD4" s="20">
        <f>IF(AY4&lt;&gt;"",
    COUNTIFS(MATCH_INPUT!$F$18:$F$21, AY4, MATCH_INPUT!$K$18:$K$21, "Draw") +
    COUNTIFS(MATCH_INPUT!$J$18:$J$21, AY4, MATCH_INPUT!$K$18:$K$21, "Draw"),
0)</f>
        <v>1</v>
      </c>
      <c r="BE4" s="20">
        <f>IF(AY4&lt;&gt;"",
    COUNTIFS(MATCH_INPUT!$F$18:$F$21, AY4, MATCH_INPUT!$K$18:$K$21, "&lt;&gt;"&amp;AY4, MATCH_INPUT!$K$18:$K$21, "&lt;&gt;Draw", MATCH_INPUT!$K$18:$K$21, "&lt;&gt;""") +
    COUNTIFS(MATCH_INPUT!$J$18:$J$21, AY4, MATCH_INPUT!$K$18:$K$21, "&lt;&gt;"&amp;AY4, MATCH_INPUT!$K$18:$K$21, "&lt;&gt;Draw", MATCH_INPUT!$K$18:$K$21, "&lt;&gt;"""),
0)</f>
        <v>1</v>
      </c>
      <c r="BF4" s="21" t="str">
        <f t="array" ref="BF4">IFERROR(INDEX(Form_Response!E:E, MATCH(1, (Form_Response!C:C='MATCH DATES'!$B$6)*(Form_Response!D:D=B4), 0)), "")
</f>
        <v/>
      </c>
      <c r="BG4" s="21">
        <f t="array" ref="BG4">IFERROR(IF(INDEX(Form_Response!F:F, MATCH(1, (Form_Response!C:C='MATCH DATES'!$B$6)*(Form_Response!D:D=B4), 0))="Yes", 1, 0), 0)
</f>
        <v>1</v>
      </c>
      <c r="BH4" s="30" t="str">
        <f t="array" ref="BH4">IFERROR(INDEX(Form_Response!G:G, MATCH(1, (Form_Response!C:C='MATCH DATES'!$B$6)*(Form_Response!D:D=B4), 0)), "")
</f>
        <v/>
      </c>
      <c r="BI4" s="23">
        <f t="shared" si="26"/>
        <v>3</v>
      </c>
      <c r="BJ4" s="24" t="str">
        <f t="shared" si="27"/>
        <v>↑</v>
      </c>
      <c r="BK4" s="25" t="s">
        <v>140</v>
      </c>
      <c r="BL4" s="26">
        <f t="shared" si="28"/>
        <v>39</v>
      </c>
      <c r="BM4" s="26">
        <f t="shared" si="29"/>
        <v>4</v>
      </c>
      <c r="BN4" s="26">
        <f>SUM(BO4*2) + (BP4*1) + SUMIFS(MATCH_INPUT!$G$22:$G$25, MATCH_INPUT!$F$22:$F$25, BK4) + SUMIFS(MATCH_INPUT!$I$22:$I$25, MATCH_INPUT!$J$22:$J$25, BK4)
</f>
        <v>8</v>
      </c>
      <c r="BO4" s="26">
        <f>IF(BK4&lt;&gt;"",
    COUNTIFS(MATCH_INPUT!$K$22:$K$25,BK4),
0)</f>
        <v>1</v>
      </c>
      <c r="BP4" s="26">
        <f>IF(BK4&lt;&gt;"",
    COUNTIFS(MATCH_INPUT!$F$22:$F$25, BK4, MATCH_INPUT!$K$22:$K$25, "Draw") +
    COUNTIFS(MATCH_INPUT!$J$22:$J$25, BK4, MATCH_INPUT!$K$22:$K$25, "Draw"),
0)</f>
        <v>1</v>
      </c>
      <c r="BQ4" s="26">
        <f>IF(BK4&lt;&gt;"",
    COUNTIFS(MATCH_INPUT!$F$22:$F$25, BK4, MATCH_INPUT!$K$22:$K$25, "&lt;&gt;"&amp;BK4, MATCH_INPUT!$K$22:$K$25, "&lt;&gt;Draw", MATCH_INPUT!$K$22:$K$25, "&lt;&gt;""") +
    COUNTIFS(MATCH_INPUT!$J$22:$J$25, BK4, MATCH_INPUT!$K$22:$K$25, "&lt;&gt;"&amp;BK4, MATCH_INPUT!$K$22:$K$25, "&lt;&gt;Draw", MATCH_INPUT!$K$22:$K$25, "&lt;&gt;"""),
0)</f>
        <v>0</v>
      </c>
      <c r="BR4" s="27"/>
      <c r="BS4" s="27"/>
      <c r="BT4" s="28"/>
      <c r="BU4" s="26">
        <f t="shared" si="30"/>
        <v>2</v>
      </c>
      <c r="BV4" s="29" t="str">
        <f t="shared" si="31"/>
        <v>↑</v>
      </c>
      <c r="BW4" s="19" t="s">
        <v>141</v>
      </c>
      <c r="BX4" s="23">
        <f t="shared" si="32"/>
        <v>46</v>
      </c>
      <c r="BY4" s="20">
        <f t="shared" si="33"/>
        <v>2</v>
      </c>
      <c r="BZ4" s="20">
        <f>SUM(CA4*2)+(CB4*1) + SUMIFS(MATCH_INPUT!$G$26:$G$29, MATCH_INPUT!$F$26:$F$29, BW4) + SUMIFS(MATCH_INPUT!$I$26:$I$29, MATCH_INPUT!$J$26:$J$29, BW4)
</f>
        <v>4</v>
      </c>
      <c r="CA4" s="20">
        <f>IF(BW4&lt;&gt;"",
    COUNTIFS(MATCH_INPUT!$K$26:$K$29,BW4),
0)</f>
        <v>1</v>
      </c>
      <c r="CB4" s="20">
        <f>IF(BW4&lt;&gt;"",
    COUNTIFS(MATCH_INPUT!$F$26:$F$29, BW4, MATCH_INPUT!$K$26:$K$29, "Draw") +
    COUNTIFS(MATCH_INPUT!$J$26:$J$29, BW4, MATCH_INPUT!$K$26:$K$29, "Draw"),
0)</f>
        <v>0</v>
      </c>
      <c r="CC4" s="20">
        <f>IF(BW4&lt;&gt;"",
    COUNTIFS(MATCH_INPUT!$F$26:$F$29, BW4, MATCH_INPUT!$K$26:$K$29, "&lt;&gt;"&amp;BW4, MATCH_INPUT!$K$26:$K$29, "&lt;&gt;Draw", MATCH_INPUT!$K$26:$K$29, "&lt;&gt;""") +
    COUNTIFS(MATCH_INPUT!$J$26:$J$29, BW4, MATCH_INPUT!$K$26:$K$29, "&lt;&gt;"&amp;BW4, MATCH_INPUT!$K$26:$K$29, "&lt;&gt;Draw", MATCH_INPUT!$K$26:$K$29, "&lt;&gt;"""),
0)</f>
        <v>1</v>
      </c>
      <c r="CD4" s="21"/>
      <c r="CE4" s="21">
        <v>1.0</v>
      </c>
      <c r="CF4" s="30">
        <v>1.0</v>
      </c>
      <c r="CG4" s="23">
        <f t="shared" si="34"/>
        <v>2</v>
      </c>
      <c r="CH4" s="24" t="str">
        <f t="shared" si="35"/>
        <v>=</v>
      </c>
      <c r="CI4" s="25" t="s">
        <v>140</v>
      </c>
      <c r="CJ4" s="26">
        <f t="shared" si="36"/>
        <v>52</v>
      </c>
      <c r="CK4" s="26">
        <f t="shared" si="37"/>
        <v>2</v>
      </c>
      <c r="CL4" s="26">
        <f>SUM(CM4*2)+(CN4*1) + SUMIFS(MATCH_INPUT!$G$30:$G$33, MATCH_INPUT!$F$30:$F$33, CI4) + SUMIFS(MATCH_INPUT!$I$30:$I$33, MATCH_INPUT!$J$30:$J$33, CI4)
</f>
        <v>3</v>
      </c>
      <c r="CM4" s="26">
        <f>IF(CI4&lt;&gt;"",
    COUNTIFS(MATCH_INPUT!$K$30:$K$33,CI4),
0)</f>
        <v>1</v>
      </c>
      <c r="CN4" s="26">
        <f>IF(CI4&lt;&gt;"",
    COUNTIFS(MATCH_INPUT!$F$30:$F$33, CI4, MATCH_INPUT!$K$30:$K$33, "Draw") +
    COUNTIFS(MATCH_INPUT!$J$30:$J$33, CI4, MATCH_INPUT!$K$30:$K$33, "Draw"),
0)</f>
        <v>0</v>
      </c>
      <c r="CO4" s="26">
        <f>IF(CI4&lt;&gt;"",
    COUNTIFS(MATCH_INPUT!$F$30:$F$33, CI4, MATCH_INPUT!$K$30:$K$33, "&lt;&gt;"&amp;CI4, MATCH_INPUT!$K$30:$K$33, "&lt;&gt;Draw", MATCH_INPUT!$K$30:$K$33, "&lt;&gt;""") +
    COUNTIFS(MATCH_INPUT!$J$30:$J$33, CI4, MATCH_INPUT!$K$30:$K$33, "&lt;&gt;"&amp;CI4, MATCH_INPUT!$K$30:$K$33, "&lt;&gt;Draw", MATCH_INPUT!$K$30:$K$33, "&lt;&gt;"""),
0)</f>
        <v>1</v>
      </c>
      <c r="CP4" s="27" t="str">
        <f t="array" ref="CP4">IFERROR(INDEX(Form_Response!E:E, MATCH(1, (Form_Response!C:C='MATCH DATES'!$B$9)*(Form_Response!D:D=B4), 0)), "")
</f>
        <v/>
      </c>
      <c r="CQ4" s="27">
        <v>1.0</v>
      </c>
      <c r="CR4" s="28">
        <v>1.0</v>
      </c>
      <c r="CS4" s="31">
        <f t="shared" si="38"/>
        <v>4</v>
      </c>
      <c r="CT4" s="31" t="str">
        <f t="shared" si="39"/>
        <v>↓</v>
      </c>
      <c r="CU4" s="32">
        <f t="shared" si="40"/>
        <v>29</v>
      </c>
      <c r="CV4" s="32" t="str">
        <f t="shared" ref="CV4:CW4" si="41">A4</f>
        <v>⭐️</v>
      </c>
      <c r="CW4" s="33" t="str">
        <f t="shared" si="41"/>
        <v>Fabian</v>
      </c>
      <c r="CX4" s="33">
        <f t="shared" si="42"/>
        <v>52</v>
      </c>
      <c r="CY4" s="32">
        <f>SUM(
  IF(AND('MATCH DATES'!$A$2 &lt;= TODAY(), NOW() &gt;= 'MATCH DATES'!$A$2 + TIME(22, 0, 0)), E4, 0),
  IF(AND('MATCH DATES'!$A$3 &lt;= TODAY(), NOW() &gt;= 'MATCH DATES'!$A$3 + TIME(22, 0, 0)), Q4, 0),
  IF(AND('MATCH DATES'!$A$4 &lt;= TODAY(), NOW() &gt;= 'MATCH DATES'!$A$4 + TIME(22, 0, 0)), AC4, 0),
  IF(AND('MATCH DATES'!$A$5 &lt;= TODAY(), NOW() &gt;= 'MATCH DATES'!$A$5 + TIME(22, 0, 0)), AO4, 0),
  IF(AND('MATCH DATES'!$A$6 &lt;= TODAY(), NOW() &gt;= 'MATCH DATES'!$A$6 + TIME(22, 0, 0)), BA4, 0),
  IF(AND('MATCH DATES'!$A$7 &lt;= TODAY(), NOW() &gt;= 'MATCH DATES'!$A$7 + TIME(22, 0, 0)), BM4, 0),
  IF(AND('MATCH DATES'!$A$8 &lt;= TODAY(), NOW() &gt;= 'MATCH DATES'!$A$8 + TIME(22, 0, 0)), BY4, 0),
  IF(AND('MATCH DATES'!$A$9 &lt;= TODAY(), NOW() &gt;= 'MATCH DATES'!$A$9 + TIME(22, 0, 0)), CK4, 0)
)
</f>
        <v>18</v>
      </c>
      <c r="CZ4" s="33">
        <f t="shared" ref="CZ4:DA4" si="43">SUM(G4,S4,AE4,AQ4,BC4,BO4,CA4,CM4)</f>
        <v>8</v>
      </c>
      <c r="DA4" s="33">
        <f t="shared" si="43"/>
        <v>2</v>
      </c>
      <c r="DB4" s="33">
        <f>SUM(
  IF(AND('MATCH DATES'!$A$2 &lt;= TODAY(), NOW() &gt;= 'MATCH DATES'!$A$2 + TIME(22, 0, 0)), I4, 0),
  IF(AND('MATCH DATES'!$A$3 &lt;= TODAY(), NOW() &gt;= 'MATCH DATES'!$A$3 + TIME(22, 0, 0)), U4, 0),
  IF(AND('MATCH DATES'!$A$4 &lt;= TODAY(), NOW() &gt;= 'MATCH DATES'!$A$4 + TIME(22, 0, 0)), AG4, 0),
  IF(AND('MATCH DATES'!$A$5 &lt;= TODAY(), NOW() &gt;= 'MATCH DATES'!$A$5 + TIME(22, 0, 0)), AS4, 0),
  IF(AND('MATCH DATES'!$A$6 &lt;= TODAY(), NOW() &gt;= 'MATCH DATES'!$A$6 + TIME(22, 0, 0)), BE4, 0),
  IF(AND('MATCH DATES'!$A$7 &lt;= TODAY(), NOW() &gt;= 'MATCH DATES'!$A$7 + TIME(22, 0, 0)), BQ4, 0),
  IF(AND('MATCH DATES'!$A$8 &lt;= TODAY(), NOW() &gt;= 'MATCH DATES'!$A$8 + TIME(22, 0, 0)), CC4, 0),
  IF(AND('MATCH DATES'!$A$9 &lt;= TODAY(), NOW() &gt;= 'MATCH DATES'!$A$9 + TIME(22, 0, 0)), CO4, 0)
)</f>
        <v>6</v>
      </c>
      <c r="DC4" s="33">
        <f t="shared" si="44"/>
        <v>0</v>
      </c>
      <c r="DD4" s="33">
        <f t="shared" ref="DD4:DE4" si="45">SUM(K4,W4,AI4,AU4,BG4,BS4,CE4,CQ4)</f>
        <v>5</v>
      </c>
      <c r="DE4" s="33">
        <f t="shared" si="45"/>
        <v>2</v>
      </c>
    </row>
    <row r="5" ht="24.75" customHeight="1">
      <c r="A5" s="17" t="s">
        <v>136</v>
      </c>
      <c r="B5" s="18" t="s">
        <v>143</v>
      </c>
      <c r="C5" s="19" t="s">
        <v>138</v>
      </c>
      <c r="D5" s="20">
        <f t="shared" si="4"/>
        <v>6</v>
      </c>
      <c r="E5" s="20">
        <f t="shared" si="5"/>
        <v>2</v>
      </c>
      <c r="F5" s="20">
        <f t="shared" si="6"/>
        <v>4</v>
      </c>
      <c r="G5" s="20">
        <f>IF(C5&lt;&gt;"",
    COUNTIFS(MATCH_INPUT!$K$2:$K$5,C5),
0)</f>
        <v>2</v>
      </c>
      <c r="H5" s="20">
        <f>IF(C5&lt;&gt;"",
    COUNTIFS(MATCH_INPUT!$F$2:$F$5, C5, MATCH_INPUT!$K$2:$K$5, "Draw") +
    COUNTIFS(MATCH_INPUT!$J$2:$J$5, C5, MATCH_INPUT!$K$2:$K$5, "Draw"),
0)</f>
        <v>0</v>
      </c>
      <c r="I5" s="20">
        <f>IF(C5&lt;&gt;"",
    COUNTIFS(MATCH_INPUT!$F$2:$F$5, C5, MATCH_INPUT!$K$2:$K$5, "&lt;&gt;"&amp;C5, MATCH_INPUT!$K$2:$K$5, "&lt;&gt;Draw", MATCH_INPUT!$K$2:$K$5, "&lt;&gt;""") +
    COUNTIFS(MATCH_INPUT!$J$2:$J$5, C5, MATCH_INPUT!$K$2:$K$5, "&lt;&gt;"&amp;C5, MATCH_INPUT!$K$2:$K$5, "&lt;&gt;Draw", MATCH_INPUT!$K$2:$K$5, "&lt;&gt;"""),
0)</f>
        <v>0</v>
      </c>
      <c r="J5" s="21">
        <v>1.0</v>
      </c>
      <c r="K5" s="21"/>
      <c r="L5" s="22"/>
      <c r="M5" s="23">
        <f t="shared" si="7"/>
        <v>2</v>
      </c>
      <c r="N5" s="24" t="str">
        <f t="shared" si="8"/>
        <v>↓</v>
      </c>
      <c r="O5" s="25" t="s">
        <v>141</v>
      </c>
      <c r="P5" s="26">
        <f t="shared" si="9"/>
        <v>11</v>
      </c>
      <c r="Q5" s="26">
        <f t="shared" si="10"/>
        <v>2</v>
      </c>
      <c r="R5" s="26">
        <f t="shared" si="11"/>
        <v>3</v>
      </c>
      <c r="S5" s="26">
        <f>IF(O5&lt;&gt;"",
    COUNTIFS(MATCH_INPUT!$K$6:$K$9,O5),
0)</f>
        <v>1</v>
      </c>
      <c r="T5" s="26">
        <f>IF(O5&lt;&gt;"",
    COUNTIFS(MATCH_INPUT!$F$6:$F$9, O5, MATCH_INPUT!$K$6:$K$9, "Draw") +
    COUNTIFS(MATCH_INPUT!$J$6:$J$9, O5, MATCH_INPUT!$K$6:$K$9, "Draw"),
0)</f>
        <v>1</v>
      </c>
      <c r="U5" s="26">
        <f>IF(O5&lt;&gt;"",
    COUNTIFS(MATCH_INPUT!$F$6:$F$9, O5, MATCH_INPUT!$K$6:$K$9, "&lt;&gt;"&amp;O5, MATCH_INPUT!$K$6:$K$9, "&lt;&gt;Draw", MATCH_INPUT!$K$6:$K$9, "&lt;&gt;""") +
    COUNTIFS(MATCH_INPUT!$J$6:$J$9, O5, MATCH_INPUT!$K$6:$K$9, "&lt;&gt;"&amp;O5, MATCH_INPUT!$K$6:$K$9, "&lt;&gt;Draw", MATCH_INPUT!$K$6:$K$9, "&lt;&gt;"""),
0)</f>
        <v>0</v>
      </c>
      <c r="V5" s="27"/>
      <c r="W5" s="27"/>
      <c r="X5" s="28"/>
      <c r="Y5" s="26">
        <f t="shared" si="12"/>
        <v>5</v>
      </c>
      <c r="Z5" s="29" t="str">
        <f t="shared" si="13"/>
        <v>↓</v>
      </c>
      <c r="AA5" s="19"/>
      <c r="AB5" s="23">
        <f t="shared" si="14"/>
        <v>11</v>
      </c>
      <c r="AC5" s="20">
        <f t="shared" si="15"/>
        <v>0</v>
      </c>
      <c r="AD5" s="20">
        <f t="shared" si="16"/>
        <v>0</v>
      </c>
      <c r="AE5" s="20">
        <f>IF(AA5&lt;&gt;"",
    COUNTIFS(MATCH_INPUT!$K$10:$K$13,AA5),
0)</f>
        <v>0</v>
      </c>
      <c r="AF5" s="20">
        <f>IF(AA5&lt;&gt;"",
    COUNTIFS(MATCH_INPUT!$F$10:$F$13, AA5, MATCH_INPUT!$K$10:$K$13, "Draw") +
    COUNTIFS(MATCH_INPUT!$J$10:$J$13, AA5, MATCH_INPUT!$K$10:$K$13, "Draw"),
0)</f>
        <v>0</v>
      </c>
      <c r="AG5" s="20">
        <f>IF(AA5&lt;&gt;"",
    COUNTIFS(MATCH_INPUT!$F$10:$F$13, AA5, MATCH_INPUT!$K$10:$K$13, "&lt;&gt;"&amp;AA5, MATCH_INPUT!$K$10:$K$13, "&lt;&gt;Draw", MATCH_INPUT!$K$10:$K$13, "&lt;&gt;""") +
    COUNTIFS(MATCH_INPUT!$J$10:$J$13, AA5, MATCH_INPUT!$K$10:$K$13, "&lt;&gt;"&amp;AA5, MATCH_INPUT!$K$10:$K$13, "&lt;&gt;Draw", MATCH_INPUT!$K$10:$K$13, "&lt;&gt;"""),
0)</f>
        <v>0</v>
      </c>
      <c r="AH5" s="21"/>
      <c r="AI5" s="21"/>
      <c r="AJ5" s="30"/>
      <c r="AK5" s="23">
        <f t="shared" si="17"/>
        <v>17</v>
      </c>
      <c r="AL5" s="24" t="str">
        <f t="shared" si="18"/>
        <v>↓</v>
      </c>
      <c r="AM5" s="25" t="s">
        <v>139</v>
      </c>
      <c r="AN5" s="26">
        <f t="shared" si="19"/>
        <v>17</v>
      </c>
      <c r="AO5" s="26">
        <f t="shared" si="20"/>
        <v>2</v>
      </c>
      <c r="AP5" s="26">
        <f t="shared" si="21"/>
        <v>4</v>
      </c>
      <c r="AQ5" s="26">
        <f>IF(AM5&lt;&gt;"",
    COUNTIFS(MATCH_INPUT!$K$14:$K$17,AM5),
0)</f>
        <v>2</v>
      </c>
      <c r="AR5" s="26">
        <f>IF(AM5&lt;&gt;"",
    COUNTIFS(MATCH_INPUT!$F$14:$F$17, AM5, MATCH_INPUT!$K$14:$K$17, "Draw") +
    COUNTIFS(MATCH_INPUT!$J$14:$J$17, AM5, MATCH_INPUT!$K$14:$K$17, "Draw"),
0)</f>
        <v>0</v>
      </c>
      <c r="AS5" s="26">
        <f>IF(AM5&lt;&gt;"",
    COUNTIFS(MATCH_INPUT!$F$14:$F$17, AM5, MATCH_INPUT!$K$14:$K$17, "&lt;&gt;"&amp;AM5, MATCH_INPUT!$K$14:$K$17, "&lt;&gt;Draw", MATCH_INPUT!$K$14:$K$17, "&lt;&gt;""") +
    COUNTIFS(MATCH_INPUT!$J$14:$J$17, AM5, MATCH_INPUT!$K$14:$K$17, "&lt;&gt;"&amp;AM5, MATCH_INPUT!$K$14:$K$17, "&lt;&gt;Draw", MATCH_INPUT!$K$14:$K$17, "&lt;&gt;"""),
0)</f>
        <v>0</v>
      </c>
      <c r="AT5" s="27"/>
      <c r="AU5" s="27"/>
      <c r="AV5" s="28"/>
      <c r="AW5" s="26">
        <f t="shared" si="22"/>
        <v>9</v>
      </c>
      <c r="AX5" s="29" t="str">
        <f t="shared" si="23"/>
        <v>↑</v>
      </c>
      <c r="AY5" s="19" t="s">
        <v>140</v>
      </c>
      <c r="AZ5" s="23">
        <f t="shared" si="24"/>
        <v>26</v>
      </c>
      <c r="BA5" s="20">
        <f t="shared" si="25"/>
        <v>2</v>
      </c>
      <c r="BB5" s="20">
        <f>SUM(BC5*2) + (BD5*1) + SUMIFS(MATCH_INPUT!$G$18:$G$21, MATCH_INPUT!$F$18:$F$21, AY5) + SUMIFS(MATCH_INPUT!$I$18:$I$21, MATCH_INPUT!$J$18:$J$21, AY5)
</f>
        <v>7</v>
      </c>
      <c r="BC5" s="20">
        <f>IF(AY5&lt;&gt;"",
    COUNTIFS(MATCH_INPUT!$K$18:$K$21,AY5),
0)</f>
        <v>1</v>
      </c>
      <c r="BD5" s="20">
        <f>IF(AY5&lt;&gt;"",
    COUNTIFS(MATCH_INPUT!$F$18:$F$21, AY5, MATCH_INPUT!$K$18:$K$21, "Draw") +
    COUNTIFS(MATCH_INPUT!$J$18:$J$21, AY5, MATCH_INPUT!$K$18:$K$21, "Draw"),
0)</f>
        <v>1</v>
      </c>
      <c r="BE5" s="20">
        <f>IF(AY5&lt;&gt;"",
    COUNTIFS(MATCH_INPUT!$F$18:$F$21, AY5, MATCH_INPUT!$K$18:$K$21, "&lt;&gt;"&amp;AY5, MATCH_INPUT!$K$18:$K$21, "&lt;&gt;Draw", MATCH_INPUT!$K$18:$K$21, "&lt;&gt;""") +
    COUNTIFS(MATCH_INPUT!$J$18:$J$21, AY5, MATCH_INPUT!$K$18:$K$21, "&lt;&gt;"&amp;AY5, MATCH_INPUT!$K$18:$K$21, "&lt;&gt;Draw", MATCH_INPUT!$K$18:$K$21, "&lt;&gt;"""),
0)</f>
        <v>0</v>
      </c>
      <c r="BF5" s="21" t="str">
        <f t="array" ref="BF5">IFERROR(INDEX(Form_Response!E:E, MATCH(1, (Form_Response!C:C='MATCH DATES'!$B$6)*(Form_Response!D:D=B5), 0)), "")
</f>
        <v/>
      </c>
      <c r="BG5" s="21">
        <f t="array" ref="BG5">IFERROR(IF(INDEX(Form_Response!F:F, MATCH(1, (Form_Response!C:C='MATCH DATES'!$B$6)*(Form_Response!D:D=B5), 0))="Yes", 1, 0), 0)
</f>
        <v>0</v>
      </c>
      <c r="BH5" s="30" t="str">
        <f t="array" ref="BH5">IFERROR(INDEX(Form_Response!G:G, MATCH(1, (Form_Response!C:C='MATCH DATES'!$B$6)*(Form_Response!D:D=B5), 0)), "")
</f>
        <v/>
      </c>
      <c r="BI5" s="23">
        <f t="shared" si="26"/>
        <v>5</v>
      </c>
      <c r="BJ5" s="24" t="str">
        <f t="shared" si="27"/>
        <v>↑</v>
      </c>
      <c r="BK5" s="25" t="s">
        <v>140</v>
      </c>
      <c r="BL5" s="26">
        <f t="shared" si="28"/>
        <v>38</v>
      </c>
      <c r="BM5" s="26">
        <f t="shared" si="29"/>
        <v>4</v>
      </c>
      <c r="BN5" s="26">
        <f>SUM(BO5*2) + (BP5*1) + SUMIFS(MATCH_INPUT!$G$22:$G$25, MATCH_INPUT!$F$22:$F$25, BK5) + SUMIFS(MATCH_INPUT!$I$22:$I$25, MATCH_INPUT!$J$22:$J$25, BK5)
</f>
        <v>8</v>
      </c>
      <c r="BO5" s="26">
        <f>IF(BK5&lt;&gt;"",
    COUNTIFS(MATCH_INPUT!$K$22:$K$25,BK5),
0)</f>
        <v>1</v>
      </c>
      <c r="BP5" s="26">
        <f>IF(BK5&lt;&gt;"",
    COUNTIFS(MATCH_INPUT!$F$22:$F$25, BK5, MATCH_INPUT!$K$22:$K$25, "Draw") +
    COUNTIFS(MATCH_INPUT!$J$22:$J$25, BK5, MATCH_INPUT!$K$22:$K$25, "Draw"),
0)</f>
        <v>1</v>
      </c>
      <c r="BQ5" s="26">
        <f>IF(BK5&lt;&gt;"",
    COUNTIFS(MATCH_INPUT!$F$22:$F$25, BK5, MATCH_INPUT!$K$22:$K$25, "&lt;&gt;"&amp;BK5, MATCH_INPUT!$K$22:$K$25, "&lt;&gt;Draw", MATCH_INPUT!$K$22:$K$25, "&lt;&gt;""") +
    COUNTIFS(MATCH_INPUT!$J$22:$J$25, BK5, MATCH_INPUT!$K$22:$K$25, "&lt;&gt;"&amp;BK5, MATCH_INPUT!$K$22:$K$25, "&lt;&gt;Draw", MATCH_INPUT!$K$22:$K$25, "&lt;&gt;"""),
0)</f>
        <v>0</v>
      </c>
      <c r="BR5" s="27">
        <v>1.0</v>
      </c>
      <c r="BS5" s="27"/>
      <c r="BT5" s="28"/>
      <c r="BU5" s="26">
        <f t="shared" si="30"/>
        <v>3</v>
      </c>
      <c r="BV5" s="29" t="str">
        <f t="shared" si="31"/>
        <v>↑</v>
      </c>
      <c r="BW5" s="19" t="s">
        <v>138</v>
      </c>
      <c r="BX5" s="23">
        <f t="shared" si="32"/>
        <v>49</v>
      </c>
      <c r="BY5" s="20">
        <f t="shared" si="33"/>
        <v>2</v>
      </c>
      <c r="BZ5" s="20">
        <f>SUM(CA5*2)+(CB5*1) + SUMIFS(MATCH_INPUT!$G$26:$G$29, MATCH_INPUT!$F$26:$F$29, BW5) + SUMIFS(MATCH_INPUT!$I$26:$I$29, MATCH_INPUT!$J$26:$J$29, BW5)
</f>
        <v>9</v>
      </c>
      <c r="CA5" s="20">
        <f>IF(BW5&lt;&gt;"",
    COUNTIFS(MATCH_INPUT!$K$26:$K$29,BW5),
0)</f>
        <v>2</v>
      </c>
      <c r="CB5" s="20">
        <f>IF(BW5&lt;&gt;"",
    COUNTIFS(MATCH_INPUT!$F$26:$F$29, BW5, MATCH_INPUT!$K$26:$K$29, "Draw") +
    COUNTIFS(MATCH_INPUT!$J$26:$J$29, BW5, MATCH_INPUT!$K$26:$K$29, "Draw"),
0)</f>
        <v>0</v>
      </c>
      <c r="CC5" s="20">
        <f>IF(BW5&lt;&gt;"",
    COUNTIFS(MATCH_INPUT!$F$26:$F$29, BW5, MATCH_INPUT!$K$26:$K$29, "&lt;&gt;"&amp;BW5, MATCH_INPUT!$K$26:$K$29, "&lt;&gt;Draw", MATCH_INPUT!$K$26:$K$29, "&lt;&gt;""") +
    COUNTIFS(MATCH_INPUT!$J$26:$J$29, BW5, MATCH_INPUT!$K$26:$K$29, "&lt;&gt;"&amp;BW5, MATCH_INPUT!$K$26:$K$29, "&lt;&gt;Draw", MATCH_INPUT!$K$26:$K$29, "&lt;&gt;"""),
0)</f>
        <v>0</v>
      </c>
      <c r="CD5" s="21"/>
      <c r="CE5" s="21"/>
      <c r="CF5" s="30"/>
      <c r="CG5" s="23">
        <f t="shared" si="34"/>
        <v>1</v>
      </c>
      <c r="CH5" s="24" t="str">
        <f t="shared" si="35"/>
        <v>↑</v>
      </c>
      <c r="CI5" s="25" t="s">
        <v>141</v>
      </c>
      <c r="CJ5" s="26">
        <f t="shared" si="36"/>
        <v>61</v>
      </c>
      <c r="CK5" s="26">
        <f t="shared" si="37"/>
        <v>2</v>
      </c>
      <c r="CL5" s="26">
        <f>SUM(CM5*2)+(CN5*1) + SUMIFS(MATCH_INPUT!$G$30:$G$33, MATCH_INPUT!$F$30:$F$33, CI5) + SUMIFS(MATCH_INPUT!$I$30:$I$33, MATCH_INPUT!$J$30:$J$33, CI5)
</f>
        <v>10</v>
      </c>
      <c r="CM5" s="26">
        <f>IF(CI5&lt;&gt;"",
    COUNTIFS(MATCH_INPUT!$K$30:$K$33,CI5),
0)</f>
        <v>2</v>
      </c>
      <c r="CN5" s="26">
        <f>IF(CI5&lt;&gt;"",
    COUNTIFS(MATCH_INPUT!$F$30:$F$33, CI5, MATCH_INPUT!$K$30:$K$33, "Draw") +
    COUNTIFS(MATCH_INPUT!$J$30:$J$33, CI5, MATCH_INPUT!$K$30:$K$33, "Draw"),
0)</f>
        <v>0</v>
      </c>
      <c r="CO5" s="26">
        <f>IF(CI5&lt;&gt;"",
    COUNTIFS(MATCH_INPUT!$F$30:$F$33, CI5, MATCH_INPUT!$K$30:$K$33, "&lt;&gt;"&amp;CI5, MATCH_INPUT!$K$30:$K$33, "&lt;&gt;Draw", MATCH_INPUT!$K$30:$K$33, "&lt;&gt;""") +
    COUNTIFS(MATCH_INPUT!$J$30:$J$33, CI5, MATCH_INPUT!$K$30:$K$33, "&lt;&gt;"&amp;CI5, MATCH_INPUT!$K$30:$K$33, "&lt;&gt;Draw", MATCH_INPUT!$K$30:$K$33, "&lt;&gt;"""),
0)</f>
        <v>0</v>
      </c>
      <c r="CP5" s="27" t="str">
        <f t="array" ref="CP5">IFERROR(INDEX(Form_Response!E:E, MATCH(1, (Form_Response!C:C='MATCH DATES'!$B$9)*(Form_Response!D:D=B5), 0)), "")
</f>
        <v/>
      </c>
      <c r="CQ5" s="27">
        <f t="array" ref="CQ5">IFERROR(IF(INDEX(Form_Response!F:F, MATCH(1, (Form_Response!C:C='MATCH DATES'!$B$9)*(Form_Response!D:D=B5), 0))="Yes", 1, 0), 0)
</f>
        <v>0</v>
      </c>
      <c r="CR5" s="28" t="str">
        <f t="array" ref="CR5">IFERROR(INDEX(Form_Response!G:G, MATCH(1, (Form_Response!C:C='MATCH DATES'!$B$9)*(Form_Response!D:D=B5), 0)), "")
</f>
        <v/>
      </c>
      <c r="CS5" s="31">
        <f t="shared" si="38"/>
        <v>1</v>
      </c>
      <c r="CT5" s="31" t="str">
        <f t="shared" si="39"/>
        <v>=</v>
      </c>
      <c r="CU5" s="32">
        <f t="shared" si="40"/>
        <v>45</v>
      </c>
      <c r="CV5" s="32" t="str">
        <f t="shared" ref="CV5:CW5" si="46">A5</f>
        <v>⭐️</v>
      </c>
      <c r="CW5" s="33" t="str">
        <f t="shared" si="46"/>
        <v>🏆 Jordan</v>
      </c>
      <c r="CX5" s="33">
        <f t="shared" si="42"/>
        <v>61</v>
      </c>
      <c r="CY5" s="32">
        <f>SUM(
  IF(AND('MATCH DATES'!$A$2 &lt;= TODAY(), NOW() &gt;= 'MATCH DATES'!$A$2 + TIME(22, 0, 0)), E5, 0),
  IF(AND('MATCH DATES'!$A$3 &lt;= TODAY(), NOW() &gt;= 'MATCH DATES'!$A$3 + TIME(22, 0, 0)), Q5, 0),
  IF(AND('MATCH DATES'!$A$4 &lt;= TODAY(), NOW() &gt;= 'MATCH DATES'!$A$4 + TIME(22, 0, 0)), AC5, 0),
  IF(AND('MATCH DATES'!$A$5 &lt;= TODAY(), NOW() &gt;= 'MATCH DATES'!$A$5 + TIME(22, 0, 0)), AO5, 0),
  IF(AND('MATCH DATES'!$A$6 &lt;= TODAY(), NOW() &gt;= 'MATCH DATES'!$A$6 + TIME(22, 0, 0)), BA5, 0),
  IF(AND('MATCH DATES'!$A$7 &lt;= TODAY(), NOW() &gt;= 'MATCH DATES'!$A$7 + TIME(22, 0, 0)), BM5, 0),
  IF(AND('MATCH DATES'!$A$8 &lt;= TODAY(), NOW() &gt;= 'MATCH DATES'!$A$8 + TIME(22, 0, 0)), BY5, 0),
  IF(AND('MATCH DATES'!$A$9 &lt;= TODAY(), NOW() &gt;= 'MATCH DATES'!$A$9 + TIME(22, 0, 0)), CK5, 0)
)
</f>
        <v>16</v>
      </c>
      <c r="CZ5" s="33">
        <f t="shared" ref="CZ5:DA5" si="47">SUM(G5,S5,AE5,AQ5,BC5,BO5,CA5,CM5)</f>
        <v>11</v>
      </c>
      <c r="DA5" s="33">
        <f t="shared" si="47"/>
        <v>3</v>
      </c>
      <c r="DB5" s="33">
        <f>SUM(
  IF(AND('MATCH DATES'!$A$2 &lt;= TODAY(), NOW() &gt;= 'MATCH DATES'!$A$2 + TIME(22, 0, 0)), I5, 0),
  IF(AND('MATCH DATES'!$A$3 &lt;= TODAY(), NOW() &gt;= 'MATCH DATES'!$A$3 + TIME(22, 0, 0)), U5, 0),
  IF(AND('MATCH DATES'!$A$4 &lt;= TODAY(), NOW() &gt;= 'MATCH DATES'!$A$4 + TIME(22, 0, 0)), AG5, 0),
  IF(AND('MATCH DATES'!$A$5 &lt;= TODAY(), NOW() &gt;= 'MATCH DATES'!$A$5 + TIME(22, 0, 0)), AS5, 0),
  IF(AND('MATCH DATES'!$A$6 &lt;= TODAY(), NOW() &gt;= 'MATCH DATES'!$A$6 + TIME(22, 0, 0)), BE5, 0),
  IF(AND('MATCH DATES'!$A$7 &lt;= TODAY(), NOW() &gt;= 'MATCH DATES'!$A$7 + TIME(22, 0, 0)), BQ5, 0),
  IF(AND('MATCH DATES'!$A$8 &lt;= TODAY(), NOW() &gt;= 'MATCH DATES'!$A$8 + TIME(22, 0, 0)), CC5, 0),
  IF(AND('MATCH DATES'!$A$9 &lt;= TODAY(), NOW() &gt;= 'MATCH DATES'!$A$9 + TIME(22, 0, 0)), CO5, 0)
)</f>
        <v>0</v>
      </c>
      <c r="DC5" s="33">
        <f t="shared" si="44"/>
        <v>2</v>
      </c>
      <c r="DD5" s="33">
        <f t="shared" ref="DD5:DE5" si="48">SUM(K5,W5,AI5,AU5,BG5,BS5,CE5,CQ5)</f>
        <v>0</v>
      </c>
      <c r="DE5" s="33">
        <f t="shared" si="48"/>
        <v>0</v>
      </c>
    </row>
    <row r="6" ht="24.75" customHeight="1">
      <c r="A6" s="17" t="s">
        <v>136</v>
      </c>
      <c r="B6" s="18" t="s">
        <v>144</v>
      </c>
      <c r="C6" s="19" t="s">
        <v>140</v>
      </c>
      <c r="D6" s="20">
        <f t="shared" si="4"/>
        <v>4</v>
      </c>
      <c r="E6" s="20">
        <f t="shared" si="5"/>
        <v>2</v>
      </c>
      <c r="F6" s="20">
        <f t="shared" si="6"/>
        <v>2</v>
      </c>
      <c r="G6" s="20">
        <f>IF(C6&lt;&gt;"",
    COUNTIFS(MATCH_INPUT!$K$2:$K$5,C6),
0)</f>
        <v>1</v>
      </c>
      <c r="H6" s="20">
        <f>IF(C6&lt;&gt;"",
    COUNTIFS(MATCH_INPUT!$F$2:$F$5, C6, MATCH_INPUT!$K$2:$K$5, "Draw") +
    COUNTIFS(MATCH_INPUT!$J$2:$J$5, C6, MATCH_INPUT!$K$2:$K$5, "Draw"),
0)</f>
        <v>0</v>
      </c>
      <c r="I6" s="20">
        <f>IF(C6&lt;&gt;"",
    COUNTIFS(MATCH_INPUT!$F$2:$F$5, C6, MATCH_INPUT!$K$2:$K$5, "&lt;&gt;"&amp;C6, MATCH_INPUT!$K$2:$K$5, "&lt;&gt;Draw", MATCH_INPUT!$K$2:$K$5, "&lt;&gt;""") +
    COUNTIFS(MATCH_INPUT!$J$2:$J$5, C6, MATCH_INPUT!$K$2:$K$5, "&lt;&gt;"&amp;C6, MATCH_INPUT!$K$2:$K$5, "&lt;&gt;Draw", MATCH_INPUT!$K$2:$K$5, "&lt;&gt;"""),
0)</f>
        <v>1</v>
      </c>
      <c r="J6" s="21">
        <v>1.0</v>
      </c>
      <c r="K6" s="21"/>
      <c r="L6" s="22"/>
      <c r="M6" s="23">
        <f t="shared" si="7"/>
        <v>11</v>
      </c>
      <c r="N6" s="24" t="str">
        <f t="shared" si="8"/>
        <v>↓</v>
      </c>
      <c r="O6" s="25" t="s">
        <v>141</v>
      </c>
      <c r="P6" s="26">
        <f t="shared" si="9"/>
        <v>9</v>
      </c>
      <c r="Q6" s="26">
        <f t="shared" si="10"/>
        <v>2</v>
      </c>
      <c r="R6" s="26">
        <f t="shared" si="11"/>
        <v>3</v>
      </c>
      <c r="S6" s="26">
        <f>IF(O6&lt;&gt;"",
    COUNTIFS(MATCH_INPUT!$K$6:$K$9,O6),
0)</f>
        <v>1</v>
      </c>
      <c r="T6" s="26">
        <f>IF(O6&lt;&gt;"",
    COUNTIFS(MATCH_INPUT!$F$6:$F$9, O6, MATCH_INPUT!$K$6:$K$9, "Draw") +
    COUNTIFS(MATCH_INPUT!$J$6:$J$9, O6, MATCH_INPUT!$K$6:$K$9, "Draw"),
0)</f>
        <v>1</v>
      </c>
      <c r="U6" s="26">
        <f>IF(O6&lt;&gt;"",
    COUNTIFS(MATCH_INPUT!$F$6:$F$9, O6, MATCH_INPUT!$K$6:$K$9, "&lt;&gt;"&amp;O6, MATCH_INPUT!$K$6:$K$9, "&lt;&gt;Draw", MATCH_INPUT!$K$6:$K$9, "&lt;&gt;""") +
    COUNTIFS(MATCH_INPUT!$J$6:$J$9, O6, MATCH_INPUT!$K$6:$K$9, "&lt;&gt;"&amp;O6, MATCH_INPUT!$K$6:$K$9, "&lt;&gt;Draw", MATCH_INPUT!$K$6:$K$9, "&lt;&gt;"""),
0)</f>
        <v>0</v>
      </c>
      <c r="V6" s="27"/>
      <c r="W6" s="27"/>
      <c r="X6" s="28"/>
      <c r="Y6" s="26">
        <f t="shared" si="12"/>
        <v>11</v>
      </c>
      <c r="Z6" s="29" t="str">
        <f t="shared" si="13"/>
        <v>=</v>
      </c>
      <c r="AA6" s="19" t="s">
        <v>139</v>
      </c>
      <c r="AB6" s="23">
        <f t="shared" si="14"/>
        <v>13</v>
      </c>
      <c r="AC6" s="20">
        <f t="shared" si="15"/>
        <v>2</v>
      </c>
      <c r="AD6" s="20">
        <f t="shared" si="16"/>
        <v>2</v>
      </c>
      <c r="AE6" s="20">
        <f>IF(AA6&lt;&gt;"",
    COUNTIFS(MATCH_INPUT!$K$10:$K$13,AA6),
0)</f>
        <v>1</v>
      </c>
      <c r="AF6" s="20">
        <f>IF(AA6&lt;&gt;"",
    COUNTIFS(MATCH_INPUT!$F$10:$F$13, AA6, MATCH_INPUT!$K$10:$K$13, "Draw") +
    COUNTIFS(MATCH_INPUT!$J$10:$J$13, AA6, MATCH_INPUT!$K$10:$K$13, "Draw"),
0)</f>
        <v>0</v>
      </c>
      <c r="AG6" s="20">
        <f>IF(AA6&lt;&gt;"",
    COUNTIFS(MATCH_INPUT!$F$10:$F$13, AA6, MATCH_INPUT!$K$10:$K$13, "&lt;&gt;"&amp;AA6, MATCH_INPUT!$K$10:$K$13, "&lt;&gt;Draw", MATCH_INPUT!$K$10:$K$13, "&lt;&gt;""") +
    COUNTIFS(MATCH_INPUT!$J$10:$J$13, AA6, MATCH_INPUT!$K$10:$K$13, "&lt;&gt;"&amp;AA6, MATCH_INPUT!$K$10:$K$13, "&lt;&gt;Draw", MATCH_INPUT!$K$10:$K$13, "&lt;&gt;"""),
0)</f>
        <v>1</v>
      </c>
      <c r="AH6" s="21">
        <v>3.0</v>
      </c>
      <c r="AI6" s="21"/>
      <c r="AJ6" s="30"/>
      <c r="AK6" s="23">
        <f t="shared" si="17"/>
        <v>8</v>
      </c>
      <c r="AL6" s="24" t="str">
        <f t="shared" si="18"/>
        <v>↑</v>
      </c>
      <c r="AM6" s="25" t="s">
        <v>141</v>
      </c>
      <c r="AN6" s="26">
        <f t="shared" si="19"/>
        <v>18</v>
      </c>
      <c r="AO6" s="26">
        <f t="shared" si="20"/>
        <v>2</v>
      </c>
      <c r="AP6" s="26">
        <f t="shared" si="21"/>
        <v>2</v>
      </c>
      <c r="AQ6" s="26">
        <f>IF(AM6&lt;&gt;"",
    COUNTIFS(MATCH_INPUT!$K$14:$K$17,AM6),
0)</f>
        <v>1</v>
      </c>
      <c r="AR6" s="26">
        <f>IF(AM6&lt;&gt;"",
    COUNTIFS(MATCH_INPUT!$F$14:$F$17, AM6, MATCH_INPUT!$K$14:$K$17, "Draw") +
    COUNTIFS(MATCH_INPUT!$J$14:$J$17, AM6, MATCH_INPUT!$K$14:$K$17, "Draw"),
0)</f>
        <v>0</v>
      </c>
      <c r="AS6" s="26">
        <f>IF(AM6&lt;&gt;"",
    COUNTIFS(MATCH_INPUT!$F$14:$F$17, AM6, MATCH_INPUT!$K$14:$K$17, "&lt;&gt;"&amp;AM6, MATCH_INPUT!$K$14:$K$17, "&lt;&gt;Draw", MATCH_INPUT!$K$14:$K$17, "&lt;&gt;""") +
    COUNTIFS(MATCH_INPUT!$J$14:$J$17, AM6, MATCH_INPUT!$K$14:$K$17, "&lt;&gt;"&amp;AM6, MATCH_INPUT!$K$14:$K$17, "&lt;&gt;Draw", MATCH_INPUT!$K$14:$K$17, "&lt;&gt;"""),
0)</f>
        <v>1</v>
      </c>
      <c r="AT6" s="27"/>
      <c r="AU6" s="27">
        <v>1.0</v>
      </c>
      <c r="AV6" s="28"/>
      <c r="AW6" s="26">
        <f t="shared" si="22"/>
        <v>6</v>
      </c>
      <c r="AX6" s="29" t="str">
        <f t="shared" si="23"/>
        <v>↑</v>
      </c>
      <c r="AY6" s="19" t="s">
        <v>141</v>
      </c>
      <c r="AZ6" s="23">
        <f t="shared" si="24"/>
        <v>24</v>
      </c>
      <c r="BA6" s="20">
        <f t="shared" si="25"/>
        <v>2</v>
      </c>
      <c r="BB6" s="20">
        <f>SUM(BC6*2) + (BD6*1) + SUMIFS(MATCH_INPUT!$G$18:$G$21, MATCH_INPUT!$F$18:$F$21, AY6) + SUMIFS(MATCH_INPUT!$I$18:$I$21, MATCH_INPUT!$J$18:$J$21, AY6)
</f>
        <v>4</v>
      </c>
      <c r="BC6" s="20">
        <f>IF(AY6&lt;&gt;"",
    COUNTIFS(MATCH_INPUT!$K$18:$K$21,AY6),
0)</f>
        <v>0</v>
      </c>
      <c r="BD6" s="20">
        <f>IF(AY6&lt;&gt;"",
    COUNTIFS(MATCH_INPUT!$F$18:$F$21, AY6, MATCH_INPUT!$K$18:$K$21, "Draw") +
    COUNTIFS(MATCH_INPUT!$J$18:$J$21, AY6, MATCH_INPUT!$K$18:$K$21, "Draw"),
0)</f>
        <v>1</v>
      </c>
      <c r="BE6" s="20">
        <f>IF(AY6&lt;&gt;"",
    COUNTIFS(MATCH_INPUT!$F$18:$F$21, AY6, MATCH_INPUT!$K$18:$K$21, "&lt;&gt;"&amp;AY6, MATCH_INPUT!$K$18:$K$21, "&lt;&gt;Draw", MATCH_INPUT!$K$18:$K$21, "&lt;&gt;""") +
    COUNTIFS(MATCH_INPUT!$J$18:$J$21, AY6, MATCH_INPUT!$K$18:$K$21, "&lt;&gt;"&amp;AY6, MATCH_INPUT!$K$18:$K$21, "&lt;&gt;Draw", MATCH_INPUT!$K$18:$K$21, "&lt;&gt;"""),
0)</f>
        <v>1</v>
      </c>
      <c r="BF6" s="21">
        <v>3.0</v>
      </c>
      <c r="BG6" s="21">
        <f t="array" ref="BG6">IFERROR(IF(INDEX(Form_Response!F:F, MATCH(1, (Form_Response!C:C='MATCH DATES'!$B$6)*(Form_Response!D:D=B6), 0))="Yes", 1, 0), 0)
</f>
        <v>0</v>
      </c>
      <c r="BH6" s="30" t="str">
        <f t="array" ref="BH6">IFERROR(INDEX(Form_Response!G:G, MATCH(1, (Form_Response!C:C='MATCH DATES'!$B$6)*(Form_Response!D:D=B6), 0)), "")
</f>
        <v/>
      </c>
      <c r="BI6" s="23">
        <f t="shared" si="26"/>
        <v>13</v>
      </c>
      <c r="BJ6" s="24" t="str">
        <f t="shared" si="27"/>
        <v>↓</v>
      </c>
      <c r="BK6" s="25" t="s">
        <v>140</v>
      </c>
      <c r="BL6" s="26">
        <f t="shared" si="28"/>
        <v>36</v>
      </c>
      <c r="BM6" s="26">
        <f t="shared" si="29"/>
        <v>4</v>
      </c>
      <c r="BN6" s="26">
        <f>SUM(BO6*2) + (BP6*1) + SUMIFS(MATCH_INPUT!$G$22:$G$25, MATCH_INPUT!$F$22:$F$25, BK6) + SUMIFS(MATCH_INPUT!$I$22:$I$25, MATCH_INPUT!$J$22:$J$25, BK6)
</f>
        <v>8</v>
      </c>
      <c r="BO6" s="26">
        <f>IF(BK6&lt;&gt;"",
    COUNTIFS(MATCH_INPUT!$K$22:$K$25,BK6),
0)</f>
        <v>1</v>
      </c>
      <c r="BP6" s="26">
        <f>IF(BK6&lt;&gt;"",
    COUNTIFS(MATCH_INPUT!$F$22:$F$25, BK6, MATCH_INPUT!$K$22:$K$25, "Draw") +
    COUNTIFS(MATCH_INPUT!$J$22:$J$25, BK6, MATCH_INPUT!$K$22:$K$25, "Draw"),
0)</f>
        <v>1</v>
      </c>
      <c r="BQ6" s="26">
        <f>IF(BK6&lt;&gt;"",
    COUNTIFS(MATCH_INPUT!$F$22:$F$25, BK6, MATCH_INPUT!$K$22:$K$25, "&lt;&gt;"&amp;BK6, MATCH_INPUT!$K$22:$K$25, "&lt;&gt;Draw", MATCH_INPUT!$K$22:$K$25, "&lt;&gt;""") +
    COUNTIFS(MATCH_INPUT!$J$22:$J$25, BK6, MATCH_INPUT!$K$22:$K$25, "&lt;&gt;"&amp;BK6, MATCH_INPUT!$K$22:$K$25, "&lt;&gt;Draw", MATCH_INPUT!$K$22:$K$25, "&lt;&gt;"""),
0)</f>
        <v>0</v>
      </c>
      <c r="BR6" s="27"/>
      <c r="BS6" s="27"/>
      <c r="BT6" s="28"/>
      <c r="BU6" s="26">
        <f t="shared" si="30"/>
        <v>4</v>
      </c>
      <c r="BV6" s="29" t="str">
        <f t="shared" si="31"/>
        <v>↑</v>
      </c>
      <c r="BW6" s="19" t="s">
        <v>141</v>
      </c>
      <c r="BX6" s="23">
        <f t="shared" si="32"/>
        <v>42</v>
      </c>
      <c r="BY6" s="20">
        <f t="shared" si="33"/>
        <v>2</v>
      </c>
      <c r="BZ6" s="20">
        <f>SUM(CA6*2)+(CB6*1) + SUMIFS(MATCH_INPUT!$G$26:$G$29, MATCH_INPUT!$F$26:$F$29, BW6) + SUMIFS(MATCH_INPUT!$I$26:$I$29, MATCH_INPUT!$J$26:$J$29, BW6)
</f>
        <v>4</v>
      </c>
      <c r="CA6" s="20">
        <f>IF(BW6&lt;&gt;"",
    COUNTIFS(MATCH_INPUT!$K$26:$K$29,BW6),
0)</f>
        <v>1</v>
      </c>
      <c r="CB6" s="20">
        <f>IF(BW6&lt;&gt;"",
    COUNTIFS(MATCH_INPUT!$F$26:$F$29, BW6, MATCH_INPUT!$K$26:$K$29, "Draw") +
    COUNTIFS(MATCH_INPUT!$J$26:$J$29, BW6, MATCH_INPUT!$K$26:$K$29, "Draw"),
0)</f>
        <v>0</v>
      </c>
      <c r="CC6" s="20">
        <f>IF(BW6&lt;&gt;"",
    COUNTIFS(MATCH_INPUT!$F$26:$F$29, BW6, MATCH_INPUT!$K$26:$K$29, "&lt;&gt;"&amp;BW6, MATCH_INPUT!$K$26:$K$29, "&lt;&gt;Draw", MATCH_INPUT!$K$26:$K$29, "&lt;&gt;""") +
    COUNTIFS(MATCH_INPUT!$J$26:$J$29, BW6, MATCH_INPUT!$K$26:$K$29, "&lt;&gt;"&amp;BW6, MATCH_INPUT!$K$26:$K$29, "&lt;&gt;Draw", MATCH_INPUT!$K$26:$K$29, "&lt;&gt;"""),
0)</f>
        <v>1</v>
      </c>
      <c r="CD6" s="21">
        <v>1.0</v>
      </c>
      <c r="CE6" s="21"/>
      <c r="CF6" s="30"/>
      <c r="CG6" s="23">
        <f t="shared" si="34"/>
        <v>6</v>
      </c>
      <c r="CH6" s="24" t="str">
        <f t="shared" si="35"/>
        <v>↓</v>
      </c>
      <c r="CI6" s="25" t="s">
        <v>139</v>
      </c>
      <c r="CJ6" s="26">
        <f t="shared" si="36"/>
        <v>45</v>
      </c>
      <c r="CK6" s="26">
        <f t="shared" si="37"/>
        <v>2</v>
      </c>
      <c r="CL6" s="26">
        <f>SUM(CM6*2)+(CN6*1) + SUMIFS(MATCH_INPUT!$G$30:$G$33, MATCH_INPUT!$F$30:$F$33, CI6) + SUMIFS(MATCH_INPUT!$I$30:$I$33, MATCH_INPUT!$J$30:$J$33, CI6)
</f>
        <v>1</v>
      </c>
      <c r="CM6" s="26">
        <f>IF(CI6&lt;&gt;"",
    COUNTIFS(MATCH_INPUT!$K$30:$K$33,CI6),
0)</f>
        <v>0</v>
      </c>
      <c r="CN6" s="26">
        <f>IF(CI6&lt;&gt;"",
    COUNTIFS(MATCH_INPUT!$F$30:$F$33, CI6, MATCH_INPUT!$K$30:$K$33, "Draw") +
    COUNTIFS(MATCH_INPUT!$J$30:$J$33, CI6, MATCH_INPUT!$K$30:$K$33, "Draw"),
0)</f>
        <v>0</v>
      </c>
      <c r="CO6" s="26">
        <f>IF(CI6&lt;&gt;"",
    COUNTIFS(MATCH_INPUT!$F$30:$F$33, CI6, MATCH_INPUT!$K$30:$K$33, "&lt;&gt;"&amp;CI6, MATCH_INPUT!$K$30:$K$33, "&lt;&gt;Draw", MATCH_INPUT!$K$30:$K$33, "&lt;&gt;""") +
    COUNTIFS(MATCH_INPUT!$J$30:$J$33, CI6, MATCH_INPUT!$K$30:$K$33, "&lt;&gt;"&amp;CI6, MATCH_INPUT!$K$30:$K$33, "&lt;&gt;Draw", MATCH_INPUT!$K$30:$K$33, "&lt;&gt;"""),
0)</f>
        <v>2</v>
      </c>
      <c r="CP6" s="27" t="str">
        <f t="array" ref="CP6">IFERROR(INDEX(Form_Response!E:E, MATCH(1, (Form_Response!C:C='MATCH DATES'!$B$9)*(Form_Response!D:D=B6), 0)), "")
</f>
        <v/>
      </c>
      <c r="CQ6" s="27">
        <f t="array" ref="CQ6">IFERROR(IF(INDEX(Form_Response!F:F, MATCH(1, (Form_Response!C:C='MATCH DATES'!$B$9)*(Form_Response!D:D=B6), 0))="Yes", 1, 0), 0)
</f>
        <v>0</v>
      </c>
      <c r="CR6" s="28" t="str">
        <f t="array" ref="CR6">IFERROR(INDEX(Form_Response!G:G, MATCH(1, (Form_Response!C:C='MATCH DATES'!$B$9)*(Form_Response!D:D=B6), 0)), "")
</f>
        <v/>
      </c>
      <c r="CS6" s="31">
        <f t="shared" si="38"/>
        <v>10</v>
      </c>
      <c r="CT6" s="31" t="str">
        <f t="shared" si="39"/>
        <v>↓</v>
      </c>
      <c r="CU6" s="32">
        <f t="shared" si="40"/>
        <v>26</v>
      </c>
      <c r="CV6" s="32" t="str">
        <f t="shared" ref="CV6:CW6" si="49">A6</f>
        <v>⭐️</v>
      </c>
      <c r="CW6" s="33" t="str">
        <f t="shared" si="49"/>
        <v>Cuñis 👨🏽‍🤝‍👨🏼 Karter</v>
      </c>
      <c r="CX6" s="33">
        <f t="shared" si="42"/>
        <v>45</v>
      </c>
      <c r="CY6" s="32">
        <f>SUM(
  IF(AND('MATCH DATES'!$A$2 &lt;= TODAY(), NOW() &gt;= 'MATCH DATES'!$A$2 + TIME(22, 0, 0)), E6, 0),
  IF(AND('MATCH DATES'!$A$3 &lt;= TODAY(), NOW() &gt;= 'MATCH DATES'!$A$3 + TIME(22, 0, 0)), Q6, 0),
  IF(AND('MATCH DATES'!$A$4 &lt;= TODAY(), NOW() &gt;= 'MATCH DATES'!$A$4 + TIME(22, 0, 0)), AC6, 0),
  IF(AND('MATCH DATES'!$A$5 &lt;= TODAY(), NOW() &gt;= 'MATCH DATES'!$A$5 + TIME(22, 0, 0)), AO6, 0),
  IF(AND('MATCH DATES'!$A$6 &lt;= TODAY(), NOW() &gt;= 'MATCH DATES'!$A$6 + TIME(22, 0, 0)), BA6, 0),
  IF(AND('MATCH DATES'!$A$7 &lt;= TODAY(), NOW() &gt;= 'MATCH DATES'!$A$7 + TIME(22, 0, 0)), BM6, 0),
  IF(AND('MATCH DATES'!$A$8 &lt;= TODAY(), NOW() &gt;= 'MATCH DATES'!$A$8 + TIME(22, 0, 0)), BY6, 0),
  IF(AND('MATCH DATES'!$A$9 &lt;= TODAY(), NOW() &gt;= 'MATCH DATES'!$A$9 + TIME(22, 0, 0)), CK6, 0)
)
</f>
        <v>18</v>
      </c>
      <c r="CZ6" s="33">
        <f t="shared" ref="CZ6:DA6" si="50">SUM(G6,S6,AE6,AQ6,BC6,BO6,CA6,CM6)</f>
        <v>6</v>
      </c>
      <c r="DA6" s="33">
        <f t="shared" si="50"/>
        <v>3</v>
      </c>
      <c r="DB6" s="33">
        <f>SUM(
  IF(AND('MATCH DATES'!$A$2 &lt;= TODAY(), NOW() &gt;= 'MATCH DATES'!$A$2 + TIME(22, 0, 0)), I6, 0),
  IF(AND('MATCH DATES'!$A$3 &lt;= TODAY(), NOW() &gt;= 'MATCH DATES'!$A$3 + TIME(22, 0, 0)), U6, 0),
  IF(AND('MATCH DATES'!$A$4 &lt;= TODAY(), NOW() &gt;= 'MATCH DATES'!$A$4 + TIME(22, 0, 0)), AG6, 0),
  IF(AND('MATCH DATES'!$A$5 &lt;= TODAY(), NOW() &gt;= 'MATCH DATES'!$A$5 + TIME(22, 0, 0)), AS6, 0),
  IF(AND('MATCH DATES'!$A$6 &lt;= TODAY(), NOW() &gt;= 'MATCH DATES'!$A$6 + TIME(22, 0, 0)), BE6, 0),
  IF(AND('MATCH DATES'!$A$7 &lt;= TODAY(), NOW() &gt;= 'MATCH DATES'!$A$7 + TIME(22, 0, 0)), BQ6, 0),
  IF(AND('MATCH DATES'!$A$8 &lt;= TODAY(), NOW() &gt;= 'MATCH DATES'!$A$8 + TIME(22, 0, 0)), CC6, 0),
  IF(AND('MATCH DATES'!$A$9 &lt;= TODAY(), NOW() &gt;= 'MATCH DATES'!$A$9 + TIME(22, 0, 0)), CO6, 0)
)</f>
        <v>7</v>
      </c>
      <c r="DC6" s="33">
        <f t="shared" si="44"/>
        <v>8</v>
      </c>
      <c r="DD6" s="33">
        <f t="shared" ref="DD6:DE6" si="51">SUM(K6,W6,AI6,AU6,BG6,BS6,CE6,CQ6)</f>
        <v>1</v>
      </c>
      <c r="DE6" s="33">
        <f t="shared" si="51"/>
        <v>0</v>
      </c>
    </row>
    <row r="7" ht="24.75" customHeight="1">
      <c r="A7" s="17" t="s">
        <v>136</v>
      </c>
      <c r="B7" s="18" t="s">
        <v>145</v>
      </c>
      <c r="C7" s="19" t="s">
        <v>138</v>
      </c>
      <c r="D7" s="20">
        <f t="shared" si="4"/>
        <v>6</v>
      </c>
      <c r="E7" s="20">
        <f t="shared" si="5"/>
        <v>2</v>
      </c>
      <c r="F7" s="20">
        <f t="shared" si="6"/>
        <v>4</v>
      </c>
      <c r="G7" s="20">
        <f>IF(C7&lt;&gt;"",
    COUNTIFS(MATCH_INPUT!$K$2:$K$5,C7),
0)</f>
        <v>2</v>
      </c>
      <c r="H7" s="20">
        <f>IF(C7&lt;&gt;"",
    COUNTIFS(MATCH_INPUT!$F$2:$F$5, C7, MATCH_INPUT!$K$2:$K$5, "Draw") +
    COUNTIFS(MATCH_INPUT!$J$2:$J$5, C7, MATCH_INPUT!$K$2:$K$5, "Draw"),
0)</f>
        <v>0</v>
      </c>
      <c r="I7" s="20">
        <f>IF(C7&lt;&gt;"",
    COUNTIFS(MATCH_INPUT!$F$2:$F$5, C7, MATCH_INPUT!$K$2:$K$5, "&lt;&gt;"&amp;C7, MATCH_INPUT!$K$2:$K$5, "&lt;&gt;Draw", MATCH_INPUT!$K$2:$K$5, "&lt;&gt;""") +
    COUNTIFS(MATCH_INPUT!$J$2:$J$5, C7, MATCH_INPUT!$K$2:$K$5, "&lt;&gt;"&amp;C7, MATCH_INPUT!$K$2:$K$5, "&lt;&gt;Draw", MATCH_INPUT!$K$2:$K$5, "&lt;&gt;"""),
0)</f>
        <v>0</v>
      </c>
      <c r="J7" s="21">
        <v>1.0</v>
      </c>
      <c r="K7" s="21"/>
      <c r="L7" s="22"/>
      <c r="M7" s="23">
        <f t="shared" si="7"/>
        <v>2</v>
      </c>
      <c r="N7" s="24" t="str">
        <f t="shared" si="8"/>
        <v>↓</v>
      </c>
      <c r="O7" s="25" t="s">
        <v>138</v>
      </c>
      <c r="P7" s="26">
        <f t="shared" si="9"/>
        <v>8</v>
      </c>
      <c r="Q7" s="26">
        <f t="shared" si="10"/>
        <v>2</v>
      </c>
      <c r="R7" s="26">
        <f t="shared" si="11"/>
        <v>0</v>
      </c>
      <c r="S7" s="26">
        <f>IF(O7&lt;&gt;"",
    COUNTIFS(MATCH_INPUT!$K$6:$K$9,O7),
0)</f>
        <v>0</v>
      </c>
      <c r="T7" s="26">
        <f>IF(O7&lt;&gt;"",
    COUNTIFS(MATCH_INPUT!$F$6:$F$9, O7, MATCH_INPUT!$K$6:$K$9, "Draw") +
    COUNTIFS(MATCH_INPUT!$J$6:$J$9, O7, MATCH_INPUT!$K$6:$K$9, "Draw"),
0)</f>
        <v>0</v>
      </c>
      <c r="U7" s="26">
        <f>IF(O7&lt;&gt;"",
    COUNTIFS(MATCH_INPUT!$F$6:$F$9, O7, MATCH_INPUT!$K$6:$K$9, "&lt;&gt;"&amp;O7, MATCH_INPUT!$K$6:$K$9, "&lt;&gt;Draw", MATCH_INPUT!$K$6:$K$9, "&lt;&gt;""") +
    COUNTIFS(MATCH_INPUT!$J$6:$J$9, O7, MATCH_INPUT!$K$6:$K$9, "&lt;&gt;"&amp;O7, MATCH_INPUT!$K$6:$K$9, "&lt;&gt;Draw", MATCH_INPUT!$K$6:$K$9, "&lt;&gt;"""),
0)</f>
        <v>2</v>
      </c>
      <c r="V7" s="27">
        <v>1.0</v>
      </c>
      <c r="W7" s="27"/>
      <c r="X7" s="28"/>
      <c r="Y7" s="26">
        <f t="shared" si="12"/>
        <v>13</v>
      </c>
      <c r="Z7" s="29" t="str">
        <f t="shared" si="13"/>
        <v>↓</v>
      </c>
      <c r="AA7" s="19" t="s">
        <v>141</v>
      </c>
      <c r="AB7" s="23">
        <f t="shared" si="14"/>
        <v>14</v>
      </c>
      <c r="AC7" s="20">
        <f t="shared" si="15"/>
        <v>2</v>
      </c>
      <c r="AD7" s="20">
        <f t="shared" si="16"/>
        <v>4</v>
      </c>
      <c r="AE7" s="20">
        <f>IF(AA7&lt;&gt;"",
    COUNTIFS(MATCH_INPUT!$K$10:$K$13,AA7),
0)</f>
        <v>2</v>
      </c>
      <c r="AF7" s="20">
        <f>IF(AA7&lt;&gt;"",
    COUNTIFS(MATCH_INPUT!$F$10:$F$13, AA7, MATCH_INPUT!$K$10:$K$13, "Draw") +
    COUNTIFS(MATCH_INPUT!$J$10:$J$13, AA7, MATCH_INPUT!$K$10:$K$13, "Draw"),
0)</f>
        <v>0</v>
      </c>
      <c r="AG7" s="20">
        <f>IF(AA7&lt;&gt;"",
    COUNTIFS(MATCH_INPUT!$F$10:$F$13, AA7, MATCH_INPUT!$K$10:$K$13, "&lt;&gt;"&amp;AA7, MATCH_INPUT!$K$10:$K$13, "&lt;&gt;Draw", MATCH_INPUT!$K$10:$K$13, "&lt;&gt;""") +
    COUNTIFS(MATCH_INPUT!$J$10:$J$13, AA7, MATCH_INPUT!$K$10:$K$13, "&lt;&gt;"&amp;AA7, MATCH_INPUT!$K$10:$K$13, "&lt;&gt;Draw", MATCH_INPUT!$K$10:$K$13, "&lt;&gt;"""),
0)</f>
        <v>0</v>
      </c>
      <c r="AH7" s="21"/>
      <c r="AI7" s="21"/>
      <c r="AJ7" s="30"/>
      <c r="AK7" s="23">
        <f t="shared" si="17"/>
        <v>5</v>
      </c>
      <c r="AL7" s="24" t="str">
        <f t="shared" si="18"/>
        <v>↑</v>
      </c>
      <c r="AM7" s="25" t="s">
        <v>140</v>
      </c>
      <c r="AN7" s="26">
        <f t="shared" si="19"/>
        <v>18</v>
      </c>
      <c r="AO7" s="26">
        <f t="shared" si="20"/>
        <v>2</v>
      </c>
      <c r="AP7" s="26">
        <f t="shared" si="21"/>
        <v>2</v>
      </c>
      <c r="AQ7" s="26">
        <f>IF(AM7&lt;&gt;"",
    COUNTIFS(MATCH_INPUT!$K$14:$K$17,AM7),
0)</f>
        <v>1</v>
      </c>
      <c r="AR7" s="26">
        <f>IF(AM7&lt;&gt;"",
    COUNTIFS(MATCH_INPUT!$F$14:$F$17, AM7, MATCH_INPUT!$K$14:$K$17, "Draw") +
    COUNTIFS(MATCH_INPUT!$J$14:$J$17, AM7, MATCH_INPUT!$K$14:$K$17, "Draw"),
0)</f>
        <v>0</v>
      </c>
      <c r="AS7" s="26">
        <f>IF(AM7&lt;&gt;"",
    COUNTIFS(MATCH_INPUT!$F$14:$F$17, AM7, MATCH_INPUT!$K$14:$K$17, "&lt;&gt;"&amp;AM7, MATCH_INPUT!$K$14:$K$17, "&lt;&gt;Draw", MATCH_INPUT!$K$14:$K$17, "&lt;&gt;""") +
    COUNTIFS(MATCH_INPUT!$J$14:$J$17, AM7, MATCH_INPUT!$K$14:$K$17, "&lt;&gt;"&amp;AM7, MATCH_INPUT!$K$14:$K$17, "&lt;&gt;Draw", MATCH_INPUT!$K$14:$K$17, "&lt;&gt;"""),
0)</f>
        <v>1</v>
      </c>
      <c r="AT7" s="27">
        <v>2.0</v>
      </c>
      <c r="AU7" s="27"/>
      <c r="AV7" s="28"/>
      <c r="AW7" s="26">
        <f t="shared" si="22"/>
        <v>6</v>
      </c>
      <c r="AX7" s="29" t="str">
        <f t="shared" si="23"/>
        <v>↓</v>
      </c>
      <c r="AY7" s="19" t="s">
        <v>139</v>
      </c>
      <c r="AZ7" s="23">
        <f t="shared" si="24"/>
        <v>26</v>
      </c>
      <c r="BA7" s="20">
        <f t="shared" si="25"/>
        <v>2</v>
      </c>
      <c r="BB7" s="20">
        <f>SUM(BC7*2) + (BD7*1) + SUMIFS(MATCH_INPUT!$G$18:$G$21, MATCH_INPUT!$F$18:$F$21, AY7) + SUMIFS(MATCH_INPUT!$I$18:$I$21, MATCH_INPUT!$J$18:$J$21, AY7)
</f>
        <v>6</v>
      </c>
      <c r="BC7" s="20">
        <f>IF(AY7&lt;&gt;"",
    COUNTIFS(MATCH_INPUT!$K$18:$K$21,AY7),
0)</f>
        <v>1</v>
      </c>
      <c r="BD7" s="20">
        <f>IF(AY7&lt;&gt;"",
    COUNTIFS(MATCH_INPUT!$F$18:$F$21, AY7, MATCH_INPUT!$K$18:$K$21, "Draw") +
    COUNTIFS(MATCH_INPUT!$J$18:$J$21, AY7, MATCH_INPUT!$K$18:$K$21, "Draw"),
0)</f>
        <v>0</v>
      </c>
      <c r="BE7" s="20">
        <f>IF(AY7&lt;&gt;"",
    COUNTIFS(MATCH_INPUT!$F$18:$F$21, AY7, MATCH_INPUT!$K$18:$K$21, "&lt;&gt;"&amp;AY7, MATCH_INPUT!$K$18:$K$21, "&lt;&gt;Draw", MATCH_INPUT!$K$18:$K$21, "&lt;&gt;""") +
    COUNTIFS(MATCH_INPUT!$J$18:$J$21, AY7, MATCH_INPUT!$K$18:$K$21, "&lt;&gt;"&amp;AY7, MATCH_INPUT!$K$18:$K$21, "&lt;&gt;Draw", MATCH_INPUT!$K$18:$K$21, "&lt;&gt;"""),
0)</f>
        <v>1</v>
      </c>
      <c r="BF7" s="21" t="str">
        <f t="array" ref="BF7">IFERROR(INDEX(Form_Response!E:E, MATCH(1, (Form_Response!C:C='MATCH DATES'!$B$6)*(Form_Response!D:D=B7), 0)), "")
</f>
        <v/>
      </c>
      <c r="BG7" s="21">
        <f t="array" ref="BG7">IFERROR(IF(INDEX(Form_Response!F:F, MATCH(1, (Form_Response!C:C='MATCH DATES'!$B$6)*(Form_Response!D:D=B7), 0))="Yes", 1, 0), 0)
</f>
        <v>0</v>
      </c>
      <c r="BH7" s="30" t="str">
        <f t="array" ref="BH7">IFERROR(INDEX(Form_Response!G:G, MATCH(1, (Form_Response!C:C='MATCH DATES'!$B$6)*(Form_Response!D:D=B7), 0)), "")
</f>
        <v/>
      </c>
      <c r="BI7" s="23">
        <f t="shared" si="26"/>
        <v>5</v>
      </c>
      <c r="BJ7" s="24" t="str">
        <f t="shared" si="27"/>
        <v>↑</v>
      </c>
      <c r="BK7" s="25" t="s">
        <v>139</v>
      </c>
      <c r="BL7" s="26">
        <f t="shared" si="28"/>
        <v>36</v>
      </c>
      <c r="BM7" s="26">
        <f t="shared" si="29"/>
        <v>4</v>
      </c>
      <c r="BN7" s="26">
        <f>SUM(BO7*2) + (BP7*1) + SUMIFS(MATCH_INPUT!$G$22:$G$25, MATCH_INPUT!$F$22:$F$25, BK7) + SUMIFS(MATCH_INPUT!$I$22:$I$25, MATCH_INPUT!$J$22:$J$25, BK7)
</f>
        <v>6</v>
      </c>
      <c r="BO7" s="26">
        <f>IF(BK7&lt;&gt;"",
    COUNTIFS(MATCH_INPUT!$K$22:$K$25,BK7),
0)</f>
        <v>1</v>
      </c>
      <c r="BP7" s="26">
        <f>IF(BK7&lt;&gt;"",
    COUNTIFS(MATCH_INPUT!$F$22:$F$25, BK7, MATCH_INPUT!$K$22:$K$25, "Draw") +
    COUNTIFS(MATCH_INPUT!$J$22:$J$25, BK7, MATCH_INPUT!$K$22:$K$25, "Draw"),
0)</f>
        <v>1</v>
      </c>
      <c r="BQ7" s="26">
        <f>IF(BK7&lt;&gt;"",
    COUNTIFS(MATCH_INPUT!$F$22:$F$25, BK7, MATCH_INPUT!$K$22:$K$25, "&lt;&gt;"&amp;BK7, MATCH_INPUT!$K$22:$K$25, "&lt;&gt;Draw", MATCH_INPUT!$K$22:$K$25, "&lt;&gt;""") +
    COUNTIFS(MATCH_INPUT!$J$22:$J$25, BK7, MATCH_INPUT!$K$22:$K$25, "&lt;&gt;"&amp;BK7, MATCH_INPUT!$K$22:$K$25, "&lt;&gt;Draw", MATCH_INPUT!$K$22:$K$25, "&lt;&gt;"""),
0)</f>
        <v>0</v>
      </c>
      <c r="BR7" s="27">
        <v>2.0</v>
      </c>
      <c r="BS7" s="27"/>
      <c r="BT7" s="28"/>
      <c r="BU7" s="26">
        <f t="shared" si="30"/>
        <v>4</v>
      </c>
      <c r="BV7" s="29" t="str">
        <f t="shared" si="31"/>
        <v>↑</v>
      </c>
      <c r="BW7" s="19" t="s">
        <v>139</v>
      </c>
      <c r="BX7" s="23">
        <f t="shared" si="32"/>
        <v>40</v>
      </c>
      <c r="BY7" s="20">
        <f t="shared" si="33"/>
        <v>2</v>
      </c>
      <c r="BZ7" s="20">
        <f>SUM(CA7*2)+(CB7*1) + SUMIFS(MATCH_INPUT!$G$26:$G$29, MATCH_INPUT!$F$26:$F$29, BW7) + SUMIFS(MATCH_INPUT!$I$26:$I$29, MATCH_INPUT!$J$26:$J$29, BW7)
</f>
        <v>2</v>
      </c>
      <c r="CA7" s="20">
        <f>IF(BW7&lt;&gt;"",
    COUNTIFS(MATCH_INPUT!$K$26:$K$29,BW7),
0)</f>
        <v>0</v>
      </c>
      <c r="CB7" s="20">
        <f>IF(BW7&lt;&gt;"",
    COUNTIFS(MATCH_INPUT!$F$26:$F$29, BW7, MATCH_INPUT!$K$26:$K$29, "Draw") +
    COUNTIFS(MATCH_INPUT!$J$26:$J$29, BW7, MATCH_INPUT!$K$26:$K$29, "Draw"),
0)</f>
        <v>0</v>
      </c>
      <c r="CC7" s="20">
        <f>IF(BW7&lt;&gt;"",
    COUNTIFS(MATCH_INPUT!$F$26:$F$29, BW7, MATCH_INPUT!$K$26:$K$29, "&lt;&gt;"&amp;BW7, MATCH_INPUT!$K$26:$K$29, "&lt;&gt;Draw", MATCH_INPUT!$K$26:$K$29, "&lt;&gt;""") +
    COUNTIFS(MATCH_INPUT!$J$26:$J$29, BW7, MATCH_INPUT!$K$26:$K$29, "&lt;&gt;"&amp;BW7, MATCH_INPUT!$K$26:$K$29, "&lt;&gt;Draw", MATCH_INPUT!$K$26:$K$29, "&lt;&gt;"""),
0)</f>
        <v>2</v>
      </c>
      <c r="CD7" s="21"/>
      <c r="CE7" s="21"/>
      <c r="CF7" s="30"/>
      <c r="CG7" s="23">
        <f t="shared" si="34"/>
        <v>10</v>
      </c>
      <c r="CH7" s="24" t="str">
        <f t="shared" si="35"/>
        <v>↓</v>
      </c>
      <c r="CI7" s="25"/>
      <c r="CJ7" s="26">
        <f t="shared" si="36"/>
        <v>40</v>
      </c>
      <c r="CK7" s="26">
        <f t="shared" si="37"/>
        <v>0</v>
      </c>
      <c r="CL7" s="26">
        <f>SUM(CM7*2)+(CN7*1) + SUMIFS(MATCH_INPUT!$G$30:$G$33, MATCH_INPUT!$F$30:$F$33, CI7) + SUMIFS(MATCH_INPUT!$I$30:$I$33, MATCH_INPUT!$J$30:$J$33, CI7)
</f>
        <v>0</v>
      </c>
      <c r="CM7" s="26">
        <f>IF(CI7&lt;&gt;"",
    COUNTIFS(MATCH_INPUT!$K$30:$K$33,CI7),
0)</f>
        <v>0</v>
      </c>
      <c r="CN7" s="26">
        <f>IF(CI7&lt;&gt;"",
    COUNTIFS(MATCH_INPUT!$F$30:$F$33, CI7, MATCH_INPUT!$K$30:$K$33, "Draw") +
    COUNTIFS(MATCH_INPUT!$J$30:$J$33, CI7, MATCH_INPUT!$K$30:$K$33, "Draw"),
0)</f>
        <v>0</v>
      </c>
      <c r="CO7" s="26">
        <f>IF(CI7&lt;&gt;"",
    COUNTIFS(MATCH_INPUT!$F$30:$F$33, CI7, MATCH_INPUT!$K$30:$K$33, "&lt;&gt;"&amp;CI7, MATCH_INPUT!$K$30:$K$33, "&lt;&gt;Draw", MATCH_INPUT!$K$30:$K$33, "&lt;&gt;""") +
    COUNTIFS(MATCH_INPUT!$J$30:$J$33, CI7, MATCH_INPUT!$K$30:$K$33, "&lt;&gt;"&amp;CI7, MATCH_INPUT!$K$30:$K$33, "&lt;&gt;Draw", MATCH_INPUT!$K$30:$K$33, "&lt;&gt;"""),
0)</f>
        <v>0</v>
      </c>
      <c r="CP7" s="27" t="str">
        <f t="array" ref="CP7">IFERROR(INDEX(Form_Response!E:E, MATCH(1, (Form_Response!C:C='MATCH DATES'!$B$9)*(Form_Response!D:D=B7), 0)), "")
</f>
        <v/>
      </c>
      <c r="CQ7" s="27">
        <f t="array" ref="CQ7">IFERROR(IF(INDEX(Form_Response!F:F, MATCH(1, (Form_Response!C:C='MATCH DATES'!$B$9)*(Form_Response!D:D=B7), 0))="Yes", 1, 0), 0)
</f>
        <v>0</v>
      </c>
      <c r="CR7" s="28" t="str">
        <f t="array" ref="CR7">IFERROR(INDEX(Form_Response!G:G, MATCH(1, (Form_Response!C:C='MATCH DATES'!$B$9)*(Form_Response!D:D=B7), 0)), "")
</f>
        <v/>
      </c>
      <c r="CS7" s="31">
        <f t="shared" si="38"/>
        <v>17</v>
      </c>
      <c r="CT7" s="31" t="str">
        <f t="shared" si="39"/>
        <v>↓</v>
      </c>
      <c r="CU7" s="32">
        <f t="shared" si="40"/>
        <v>24</v>
      </c>
      <c r="CV7" s="32" t="str">
        <f t="shared" ref="CV7:CW7" si="52">A7</f>
        <v>⭐️</v>
      </c>
      <c r="CW7" s="33" t="str">
        <f t="shared" si="52"/>
        <v>Javier</v>
      </c>
      <c r="CX7" s="33">
        <f t="shared" si="42"/>
        <v>40</v>
      </c>
      <c r="CY7" s="32">
        <f>SUM(
  IF(AND('MATCH DATES'!$A$2 &lt;= TODAY(), NOW() &gt;= 'MATCH DATES'!$A$2 + TIME(22, 0, 0)), E7, 0),
  IF(AND('MATCH DATES'!$A$3 &lt;= TODAY(), NOW() &gt;= 'MATCH DATES'!$A$3 + TIME(22, 0, 0)), Q7, 0),
  IF(AND('MATCH DATES'!$A$4 &lt;= TODAY(), NOW() &gt;= 'MATCH DATES'!$A$4 + TIME(22, 0, 0)), AC7, 0),
  IF(AND('MATCH DATES'!$A$5 &lt;= TODAY(), NOW() &gt;= 'MATCH DATES'!$A$5 + TIME(22, 0, 0)), AO7, 0),
  IF(AND('MATCH DATES'!$A$6 &lt;= TODAY(), NOW() &gt;= 'MATCH DATES'!$A$6 + TIME(22, 0, 0)), BA7, 0),
  IF(AND('MATCH DATES'!$A$7 &lt;= TODAY(), NOW() &gt;= 'MATCH DATES'!$A$7 + TIME(22, 0, 0)), BM7, 0),
  IF(AND('MATCH DATES'!$A$8 &lt;= TODAY(), NOW() &gt;= 'MATCH DATES'!$A$8 + TIME(22, 0, 0)), BY7, 0),
  IF(AND('MATCH DATES'!$A$9 &lt;= TODAY(), NOW() &gt;= 'MATCH DATES'!$A$9 + TIME(22, 0, 0)), CK7, 0)
)
</f>
        <v>16</v>
      </c>
      <c r="CZ7" s="33">
        <f t="shared" ref="CZ7:DA7" si="53">SUM(G7,S7,AE7,AQ7,BC7,BO7,CA7,CM7)</f>
        <v>7</v>
      </c>
      <c r="DA7" s="33">
        <f t="shared" si="53"/>
        <v>1</v>
      </c>
      <c r="DB7" s="33">
        <f>SUM(
  IF(AND('MATCH DATES'!$A$2 &lt;= TODAY(), NOW() &gt;= 'MATCH DATES'!$A$2 + TIME(22, 0, 0)), I7, 0),
  IF(AND('MATCH DATES'!$A$3 &lt;= TODAY(), NOW() &gt;= 'MATCH DATES'!$A$3 + TIME(22, 0, 0)), U7, 0),
  IF(AND('MATCH DATES'!$A$4 &lt;= TODAY(), NOW() &gt;= 'MATCH DATES'!$A$4 + TIME(22, 0, 0)), AG7, 0),
  IF(AND('MATCH DATES'!$A$5 &lt;= TODAY(), NOW() &gt;= 'MATCH DATES'!$A$5 + TIME(22, 0, 0)), AS7, 0),
  IF(AND('MATCH DATES'!$A$6 &lt;= TODAY(), NOW() &gt;= 'MATCH DATES'!$A$6 + TIME(22, 0, 0)), BE7, 0),
  IF(AND('MATCH DATES'!$A$7 &lt;= TODAY(), NOW() &gt;= 'MATCH DATES'!$A$7 + TIME(22, 0, 0)), BQ7, 0),
  IF(AND('MATCH DATES'!$A$8 &lt;= TODAY(), NOW() &gt;= 'MATCH DATES'!$A$8 + TIME(22, 0, 0)), CC7, 0),
  IF(AND('MATCH DATES'!$A$9 &lt;= TODAY(), NOW() &gt;= 'MATCH DATES'!$A$9 + TIME(22, 0, 0)), CO7, 0)
)</f>
        <v>6</v>
      </c>
      <c r="DC7" s="33">
        <f t="shared" si="44"/>
        <v>6</v>
      </c>
      <c r="DD7" s="33">
        <f t="shared" ref="DD7:DE7" si="54">SUM(K7,W7,AI7,AU7,BG7,BS7,CE7,CQ7)</f>
        <v>0</v>
      </c>
      <c r="DE7" s="33">
        <f t="shared" si="54"/>
        <v>0</v>
      </c>
    </row>
    <row r="8" ht="24.75" customHeight="1">
      <c r="A8" s="17" t="s">
        <v>136</v>
      </c>
      <c r="B8" s="18" t="s">
        <v>146</v>
      </c>
      <c r="C8" s="19"/>
      <c r="D8" s="20">
        <f t="shared" si="4"/>
        <v>0</v>
      </c>
      <c r="E8" s="20">
        <f t="shared" si="5"/>
        <v>0</v>
      </c>
      <c r="F8" s="20">
        <f t="shared" si="6"/>
        <v>0</v>
      </c>
      <c r="G8" s="20">
        <f>IF(C8&lt;&gt;"",
    COUNTIFS(MATCH_INPUT!$K$2:$K$5,C8),
0)</f>
        <v>0</v>
      </c>
      <c r="H8" s="20">
        <f>IF(C8&lt;&gt;"",
    COUNTIFS(MATCH_INPUT!$F$2:$F$5, C8, MATCH_INPUT!$K$2:$K$5, "Draw") +
    COUNTIFS(MATCH_INPUT!$J$2:$J$5, C8, MATCH_INPUT!$K$2:$K$5, "Draw"),
0)</f>
        <v>0</v>
      </c>
      <c r="I8" s="20">
        <f>IF(C8&lt;&gt;"",
    COUNTIFS(MATCH_INPUT!$F$2:$F$5, C8, MATCH_INPUT!$K$2:$K$5, "&lt;&gt;"&amp;C8, MATCH_INPUT!$K$2:$K$5, "&lt;&gt;Draw", MATCH_INPUT!$K$2:$K$5, "&lt;&gt;""") +
    COUNTIFS(MATCH_INPUT!$J$2:$J$5, C8, MATCH_INPUT!$K$2:$K$5, "&lt;&gt;"&amp;C8, MATCH_INPUT!$K$2:$K$5, "&lt;&gt;Draw", MATCH_INPUT!$K$2:$K$5, "&lt;&gt;"""),
0)</f>
        <v>0</v>
      </c>
      <c r="J8" s="21"/>
      <c r="K8" s="21"/>
      <c r="L8" s="22"/>
      <c r="M8" s="23">
        <f t="shared" si="7"/>
        <v>34</v>
      </c>
      <c r="N8" s="24" t="str">
        <f t="shared" si="8"/>
        <v>↓</v>
      </c>
      <c r="O8" s="25" t="s">
        <v>141</v>
      </c>
      <c r="P8" s="26">
        <f t="shared" si="9"/>
        <v>5</v>
      </c>
      <c r="Q8" s="26">
        <f t="shared" si="10"/>
        <v>2</v>
      </c>
      <c r="R8" s="26">
        <f t="shared" si="11"/>
        <v>3</v>
      </c>
      <c r="S8" s="26">
        <f>IF(O8&lt;&gt;"",
    COUNTIFS(MATCH_INPUT!$K$6:$K$9,O8),
0)</f>
        <v>1</v>
      </c>
      <c r="T8" s="26">
        <f>IF(O8&lt;&gt;"",
    COUNTIFS(MATCH_INPUT!$F$6:$F$9, O8, MATCH_INPUT!$K$6:$K$9, "Draw") +
    COUNTIFS(MATCH_INPUT!$J$6:$J$9, O8, MATCH_INPUT!$K$6:$K$9, "Draw"),
0)</f>
        <v>1</v>
      </c>
      <c r="U8" s="26">
        <f>IF(O8&lt;&gt;"",
    COUNTIFS(MATCH_INPUT!$F$6:$F$9, O8, MATCH_INPUT!$K$6:$K$9, "&lt;&gt;"&amp;O8, MATCH_INPUT!$K$6:$K$9, "&lt;&gt;Draw", MATCH_INPUT!$K$6:$K$9, "&lt;&gt;""") +
    COUNTIFS(MATCH_INPUT!$J$6:$J$9, O8, MATCH_INPUT!$K$6:$K$9, "&lt;&gt;"&amp;O8, MATCH_INPUT!$K$6:$K$9, "&lt;&gt;Draw", MATCH_INPUT!$K$6:$K$9, "&lt;&gt;"""),
0)</f>
        <v>0</v>
      </c>
      <c r="V8" s="27"/>
      <c r="W8" s="27"/>
      <c r="X8" s="28"/>
      <c r="Y8" s="26">
        <f t="shared" si="12"/>
        <v>28</v>
      </c>
      <c r="Z8" s="29" t="str">
        <f t="shared" si="13"/>
        <v>↑</v>
      </c>
      <c r="AA8" s="19" t="s">
        <v>141</v>
      </c>
      <c r="AB8" s="23">
        <f t="shared" si="14"/>
        <v>11</v>
      </c>
      <c r="AC8" s="20">
        <f t="shared" si="15"/>
        <v>2</v>
      </c>
      <c r="AD8" s="20">
        <f t="shared" si="16"/>
        <v>4</v>
      </c>
      <c r="AE8" s="20">
        <f>IF(AA8&lt;&gt;"",
    COUNTIFS(MATCH_INPUT!$K$10:$K$13,AA8),
0)</f>
        <v>2</v>
      </c>
      <c r="AF8" s="20">
        <f>IF(AA8&lt;&gt;"",
    COUNTIFS(MATCH_INPUT!$F$10:$F$13, AA8, MATCH_INPUT!$K$10:$K$13, "Draw") +
    COUNTIFS(MATCH_INPUT!$J$10:$J$13, AA8, MATCH_INPUT!$K$10:$K$13, "Draw"),
0)</f>
        <v>0</v>
      </c>
      <c r="AG8" s="20">
        <f>IF(AA8&lt;&gt;"",
    COUNTIFS(MATCH_INPUT!$F$10:$F$13, AA8, MATCH_INPUT!$K$10:$K$13, "&lt;&gt;"&amp;AA8, MATCH_INPUT!$K$10:$K$13, "&lt;&gt;Draw", MATCH_INPUT!$K$10:$K$13, "&lt;&gt;""") +
    COUNTIFS(MATCH_INPUT!$J$10:$J$13, AA8, MATCH_INPUT!$K$10:$K$13, "&lt;&gt;"&amp;AA8, MATCH_INPUT!$K$10:$K$13, "&lt;&gt;Draw", MATCH_INPUT!$K$10:$K$13, "&lt;&gt;"""),
0)</f>
        <v>0</v>
      </c>
      <c r="AH8" s="21"/>
      <c r="AI8" s="21"/>
      <c r="AJ8" s="30"/>
      <c r="AK8" s="23">
        <f t="shared" si="17"/>
        <v>17</v>
      </c>
      <c r="AL8" s="24" t="str">
        <f t="shared" si="18"/>
        <v>↑</v>
      </c>
      <c r="AM8" s="25" t="s">
        <v>139</v>
      </c>
      <c r="AN8" s="26">
        <f t="shared" si="19"/>
        <v>17</v>
      </c>
      <c r="AO8" s="26">
        <f t="shared" si="20"/>
        <v>2</v>
      </c>
      <c r="AP8" s="26">
        <f t="shared" si="21"/>
        <v>4</v>
      </c>
      <c r="AQ8" s="26">
        <f>IF(AM8&lt;&gt;"",
    COUNTIFS(MATCH_INPUT!$K$14:$K$17,AM8),
0)</f>
        <v>2</v>
      </c>
      <c r="AR8" s="26">
        <f>IF(AM8&lt;&gt;"",
    COUNTIFS(MATCH_INPUT!$F$14:$F$17, AM8, MATCH_INPUT!$K$14:$K$17, "Draw") +
    COUNTIFS(MATCH_INPUT!$J$14:$J$17, AM8, MATCH_INPUT!$K$14:$K$17, "Draw"),
0)</f>
        <v>0</v>
      </c>
      <c r="AS8" s="26">
        <f>IF(AM8&lt;&gt;"",
    COUNTIFS(MATCH_INPUT!$F$14:$F$17, AM8, MATCH_INPUT!$K$14:$K$17, "&lt;&gt;"&amp;AM8, MATCH_INPUT!$K$14:$K$17, "&lt;&gt;Draw", MATCH_INPUT!$K$14:$K$17, "&lt;&gt;""") +
    COUNTIFS(MATCH_INPUT!$J$14:$J$17, AM8, MATCH_INPUT!$K$14:$K$17, "&lt;&gt;"&amp;AM8, MATCH_INPUT!$K$14:$K$17, "&lt;&gt;Draw", MATCH_INPUT!$K$14:$K$17, "&lt;&gt;"""),
0)</f>
        <v>0</v>
      </c>
      <c r="AT8" s="27"/>
      <c r="AU8" s="27"/>
      <c r="AV8" s="28"/>
      <c r="AW8" s="26">
        <f t="shared" si="22"/>
        <v>9</v>
      </c>
      <c r="AX8" s="29" t="str">
        <f t="shared" si="23"/>
        <v>↑</v>
      </c>
      <c r="AY8" s="19" t="s">
        <v>140</v>
      </c>
      <c r="AZ8" s="23">
        <f t="shared" si="24"/>
        <v>26</v>
      </c>
      <c r="BA8" s="20">
        <f t="shared" si="25"/>
        <v>2</v>
      </c>
      <c r="BB8" s="20">
        <f>SUM(BC8*2) + (BD8*1) + SUMIFS(MATCH_INPUT!$G$18:$G$21, MATCH_INPUT!$F$18:$F$21, AY8) + SUMIFS(MATCH_INPUT!$I$18:$I$21, MATCH_INPUT!$J$18:$J$21, AY8)
</f>
        <v>7</v>
      </c>
      <c r="BC8" s="20">
        <f>IF(AY8&lt;&gt;"",
    COUNTIFS(MATCH_INPUT!$K$18:$K$21,AY8),
0)</f>
        <v>1</v>
      </c>
      <c r="BD8" s="20">
        <f>IF(AY8&lt;&gt;"",
    COUNTIFS(MATCH_INPUT!$F$18:$F$21, AY8, MATCH_INPUT!$K$18:$K$21, "Draw") +
    COUNTIFS(MATCH_INPUT!$J$18:$J$21, AY8, MATCH_INPUT!$K$18:$K$21, "Draw"),
0)</f>
        <v>1</v>
      </c>
      <c r="BE8" s="20">
        <f>IF(AY8&lt;&gt;"",
    COUNTIFS(MATCH_INPUT!$F$18:$F$21, AY8, MATCH_INPUT!$K$18:$K$21, "&lt;&gt;"&amp;AY8, MATCH_INPUT!$K$18:$K$21, "&lt;&gt;Draw", MATCH_INPUT!$K$18:$K$21, "&lt;&gt;""") +
    COUNTIFS(MATCH_INPUT!$J$18:$J$21, AY8, MATCH_INPUT!$K$18:$K$21, "&lt;&gt;"&amp;AY8, MATCH_INPUT!$K$18:$K$21, "&lt;&gt;Draw", MATCH_INPUT!$K$18:$K$21, "&lt;&gt;"""),
0)</f>
        <v>0</v>
      </c>
      <c r="BF8" s="21">
        <v>1.0</v>
      </c>
      <c r="BG8" s="21">
        <f t="array" ref="BG8">IFERROR(IF(INDEX(Form_Response!F:F, MATCH(1, (Form_Response!C:C='MATCH DATES'!$B$6)*(Form_Response!D:D=B8), 0))="Yes", 1, 0), 0)
</f>
        <v>0</v>
      </c>
      <c r="BH8" s="30" t="str">
        <f t="array" ref="BH8">IFERROR(INDEX(Form_Response!G:G, MATCH(1, (Form_Response!C:C='MATCH DATES'!$B$6)*(Form_Response!D:D=B8), 0)), "")
</f>
        <v/>
      </c>
      <c r="BI8" s="23">
        <f t="shared" si="26"/>
        <v>5</v>
      </c>
      <c r="BJ8" s="24" t="str">
        <f t="shared" si="27"/>
        <v>↑</v>
      </c>
      <c r="BK8" s="25" t="s">
        <v>138</v>
      </c>
      <c r="BL8" s="26">
        <f t="shared" si="28"/>
        <v>35</v>
      </c>
      <c r="BM8" s="26">
        <f t="shared" si="29"/>
        <v>4</v>
      </c>
      <c r="BN8" s="26">
        <f>SUM(BO8*2) + (BP8*1) + SUMIFS(MATCH_INPUT!$G$22:$G$25, MATCH_INPUT!$F$22:$F$25, BK8) + SUMIFS(MATCH_INPUT!$I$22:$I$25, MATCH_INPUT!$J$22:$J$25, BK8)
</f>
        <v>5</v>
      </c>
      <c r="BO8" s="26">
        <f>IF(BK8&lt;&gt;"",
    COUNTIFS(MATCH_INPUT!$K$22:$K$25,BK8),
0)</f>
        <v>1</v>
      </c>
      <c r="BP8" s="26">
        <f>IF(BK8&lt;&gt;"",
    COUNTIFS(MATCH_INPUT!$F$22:$F$25, BK8, MATCH_INPUT!$K$22:$K$25, "Draw") +
    COUNTIFS(MATCH_INPUT!$J$22:$J$25, BK8, MATCH_INPUT!$K$22:$K$25, "Draw"),
0)</f>
        <v>0</v>
      </c>
      <c r="BQ8" s="26">
        <f>IF(BK8&lt;&gt;"",
    COUNTIFS(MATCH_INPUT!$F$22:$F$25, BK8, MATCH_INPUT!$K$22:$K$25, "&lt;&gt;"&amp;BK8, MATCH_INPUT!$K$22:$K$25, "&lt;&gt;Draw", MATCH_INPUT!$K$22:$K$25, "&lt;&gt;""") +
    COUNTIFS(MATCH_INPUT!$J$22:$J$25, BK8, MATCH_INPUT!$K$22:$K$25, "&lt;&gt;"&amp;BK8, MATCH_INPUT!$K$22:$K$25, "&lt;&gt;Draw", MATCH_INPUT!$K$22:$K$25, "&lt;&gt;"""),
0)</f>
        <v>1</v>
      </c>
      <c r="BR8" s="27"/>
      <c r="BS8" s="27"/>
      <c r="BT8" s="28"/>
      <c r="BU8" s="26">
        <f t="shared" si="30"/>
        <v>6</v>
      </c>
      <c r="BV8" s="29" t="str">
        <f t="shared" si="31"/>
        <v>↓</v>
      </c>
      <c r="BW8" s="19" t="s">
        <v>140</v>
      </c>
      <c r="BX8" s="23">
        <f t="shared" si="32"/>
        <v>41</v>
      </c>
      <c r="BY8" s="20">
        <f t="shared" si="33"/>
        <v>2</v>
      </c>
      <c r="BZ8" s="20">
        <f>SUM(CA8*2)+(CB8*1) + SUMIFS(MATCH_INPUT!$G$26:$G$29, MATCH_INPUT!$F$26:$F$29, BW8) + SUMIFS(MATCH_INPUT!$I$26:$I$29, MATCH_INPUT!$J$26:$J$29, BW8)
</f>
        <v>4</v>
      </c>
      <c r="CA8" s="20">
        <f>IF(BW8&lt;&gt;"",
    COUNTIFS(MATCH_INPUT!$K$26:$K$29,BW8),
0)</f>
        <v>1</v>
      </c>
      <c r="CB8" s="20">
        <f>IF(BW8&lt;&gt;"",
    COUNTIFS(MATCH_INPUT!$F$26:$F$29, BW8, MATCH_INPUT!$K$26:$K$29, "Draw") +
    COUNTIFS(MATCH_INPUT!$J$26:$J$29, BW8, MATCH_INPUT!$K$26:$K$29, "Draw"),
0)</f>
        <v>0</v>
      </c>
      <c r="CC8" s="20">
        <f>IF(BW8&lt;&gt;"",
    COUNTIFS(MATCH_INPUT!$F$26:$F$29, BW8, MATCH_INPUT!$K$26:$K$29, "&lt;&gt;"&amp;BW8, MATCH_INPUT!$K$26:$K$29, "&lt;&gt;Draw", MATCH_INPUT!$K$26:$K$29, "&lt;&gt;""") +
    COUNTIFS(MATCH_INPUT!$J$26:$J$29, BW8, MATCH_INPUT!$K$26:$K$29, "&lt;&gt;"&amp;BW8, MATCH_INPUT!$K$26:$K$29, "&lt;&gt;Draw", MATCH_INPUT!$K$26:$K$29, "&lt;&gt;"""),
0)</f>
        <v>1</v>
      </c>
      <c r="CD8" s="21"/>
      <c r="CE8" s="21"/>
      <c r="CF8" s="30"/>
      <c r="CG8" s="23">
        <f t="shared" si="34"/>
        <v>7</v>
      </c>
      <c r="CH8" s="24" t="str">
        <f t="shared" si="35"/>
        <v>↓</v>
      </c>
      <c r="CI8" s="25"/>
      <c r="CJ8" s="26">
        <f t="shared" si="36"/>
        <v>41</v>
      </c>
      <c r="CK8" s="26">
        <f t="shared" si="37"/>
        <v>0</v>
      </c>
      <c r="CL8" s="26">
        <f>SUM(CM8*2)+(CN8*1) + SUMIFS(MATCH_INPUT!$G$30:$G$33, MATCH_INPUT!$F$30:$F$33, CI8) + SUMIFS(MATCH_INPUT!$I$30:$I$33, MATCH_INPUT!$J$30:$J$33, CI8)
</f>
        <v>0</v>
      </c>
      <c r="CM8" s="26">
        <f>IF(CI8&lt;&gt;"",
    COUNTIFS(MATCH_INPUT!$K$30:$K$33,CI8),
0)</f>
        <v>0</v>
      </c>
      <c r="CN8" s="26">
        <f>IF(CI8&lt;&gt;"",
    COUNTIFS(MATCH_INPUT!$F$30:$F$33, CI8, MATCH_INPUT!$K$30:$K$33, "Draw") +
    COUNTIFS(MATCH_INPUT!$J$30:$J$33, CI8, MATCH_INPUT!$K$30:$K$33, "Draw"),
0)</f>
        <v>0</v>
      </c>
      <c r="CO8" s="26">
        <f>IF(CI8&lt;&gt;"",
    COUNTIFS(MATCH_INPUT!$F$30:$F$33, CI8, MATCH_INPUT!$K$30:$K$33, "&lt;&gt;"&amp;CI8, MATCH_INPUT!$K$30:$K$33, "&lt;&gt;Draw", MATCH_INPUT!$K$30:$K$33, "&lt;&gt;""") +
    COUNTIFS(MATCH_INPUT!$J$30:$J$33, CI8, MATCH_INPUT!$K$30:$K$33, "&lt;&gt;"&amp;CI8, MATCH_INPUT!$K$30:$K$33, "&lt;&gt;Draw", MATCH_INPUT!$K$30:$K$33, "&lt;&gt;"""),
0)</f>
        <v>0</v>
      </c>
      <c r="CP8" s="27" t="str">
        <f t="array" ref="CP8">IFERROR(INDEX(Form_Response!E:E, MATCH(1, (Form_Response!C:C='MATCH DATES'!$B$9)*(Form_Response!D:D=B8), 0)), "")
</f>
        <v/>
      </c>
      <c r="CQ8" s="27">
        <f t="array" ref="CQ8">IFERROR(IF(INDEX(Form_Response!F:F, MATCH(1, (Form_Response!C:C='MATCH DATES'!$B$9)*(Form_Response!D:D=B8), 0))="Yes", 1, 0), 0)
</f>
        <v>0</v>
      </c>
      <c r="CR8" s="28" t="str">
        <f t="array" ref="CR8">IFERROR(INDEX(Form_Response!G:G, MATCH(1, (Form_Response!C:C='MATCH DATES'!$B$9)*(Form_Response!D:D=B8), 0)), "")
</f>
        <v/>
      </c>
      <c r="CS8" s="31">
        <f t="shared" si="38"/>
        <v>16</v>
      </c>
      <c r="CT8" s="31" t="str">
        <f t="shared" si="39"/>
        <v>↓</v>
      </c>
      <c r="CU8" s="32">
        <f t="shared" si="40"/>
        <v>27</v>
      </c>
      <c r="CV8" s="32" t="str">
        <f t="shared" ref="CV8:CW8" si="55">A8</f>
        <v>⭐️</v>
      </c>
      <c r="CW8" s="33" t="str">
        <f t="shared" si="55"/>
        <v>Gabriel</v>
      </c>
      <c r="CX8" s="33">
        <f t="shared" si="42"/>
        <v>41</v>
      </c>
      <c r="CY8" s="32">
        <f>SUM(
  IF(AND('MATCH DATES'!$A$2 &lt;= TODAY(), NOW() &gt;= 'MATCH DATES'!$A$2 + TIME(22, 0, 0)), E8, 0),
  IF(AND('MATCH DATES'!$A$3 &lt;= TODAY(), NOW() &gt;= 'MATCH DATES'!$A$3 + TIME(22, 0, 0)), Q8, 0),
  IF(AND('MATCH DATES'!$A$4 &lt;= TODAY(), NOW() &gt;= 'MATCH DATES'!$A$4 + TIME(22, 0, 0)), AC8, 0),
  IF(AND('MATCH DATES'!$A$5 &lt;= TODAY(), NOW() &gt;= 'MATCH DATES'!$A$5 + TIME(22, 0, 0)), AO8, 0),
  IF(AND('MATCH DATES'!$A$6 &lt;= TODAY(), NOW() &gt;= 'MATCH DATES'!$A$6 + TIME(22, 0, 0)), BA8, 0),
  IF(AND('MATCH DATES'!$A$7 &lt;= TODAY(), NOW() &gt;= 'MATCH DATES'!$A$7 + TIME(22, 0, 0)), BM8, 0),
  IF(AND('MATCH DATES'!$A$8 &lt;= TODAY(), NOW() &gt;= 'MATCH DATES'!$A$8 + TIME(22, 0, 0)), BY8, 0),
  IF(AND('MATCH DATES'!$A$9 &lt;= TODAY(), NOW() &gt;= 'MATCH DATES'!$A$9 + TIME(22, 0, 0)), CK8, 0)
)
</f>
        <v>14</v>
      </c>
      <c r="CZ8" s="33">
        <f t="shared" ref="CZ8:DA8" si="56">SUM(G8,S8,AE8,AQ8,BC8,BO8,CA8,CM8)</f>
        <v>8</v>
      </c>
      <c r="DA8" s="33">
        <f t="shared" si="56"/>
        <v>2</v>
      </c>
      <c r="DB8" s="33">
        <f>SUM(
  IF(AND('MATCH DATES'!$A$2 &lt;= TODAY(), NOW() &gt;= 'MATCH DATES'!$A$2 + TIME(22, 0, 0)), I8, 0),
  IF(AND('MATCH DATES'!$A$3 &lt;= TODAY(), NOW() &gt;= 'MATCH DATES'!$A$3 + TIME(22, 0, 0)), U8, 0),
  IF(AND('MATCH DATES'!$A$4 &lt;= TODAY(), NOW() &gt;= 'MATCH DATES'!$A$4 + TIME(22, 0, 0)), AG8, 0),
  IF(AND('MATCH DATES'!$A$5 &lt;= TODAY(), NOW() &gt;= 'MATCH DATES'!$A$5 + TIME(22, 0, 0)), AS8, 0),
  IF(AND('MATCH DATES'!$A$6 &lt;= TODAY(), NOW() &gt;= 'MATCH DATES'!$A$6 + TIME(22, 0, 0)), BE8, 0),
  IF(AND('MATCH DATES'!$A$7 &lt;= TODAY(), NOW() &gt;= 'MATCH DATES'!$A$7 + TIME(22, 0, 0)), BQ8, 0),
  IF(AND('MATCH DATES'!$A$8 &lt;= TODAY(), NOW() &gt;= 'MATCH DATES'!$A$8 + TIME(22, 0, 0)), CC8, 0),
  IF(AND('MATCH DATES'!$A$9 &lt;= TODAY(), NOW() &gt;= 'MATCH DATES'!$A$9 + TIME(22, 0, 0)), CO8, 0)
)</f>
        <v>2</v>
      </c>
      <c r="DC8" s="33">
        <f t="shared" si="44"/>
        <v>1</v>
      </c>
      <c r="DD8" s="33">
        <f t="shared" ref="DD8:DE8" si="57">SUM(K8,W8,AI8,AU8,BG8,BS8,CE8,CQ8)</f>
        <v>0</v>
      </c>
      <c r="DE8" s="33">
        <f t="shared" si="57"/>
        <v>0</v>
      </c>
    </row>
    <row r="9" ht="24.75" customHeight="1">
      <c r="A9" s="17" t="s">
        <v>136</v>
      </c>
      <c r="B9" s="18" t="s">
        <v>147</v>
      </c>
      <c r="C9" s="19" t="s">
        <v>138</v>
      </c>
      <c r="D9" s="20">
        <f t="shared" si="4"/>
        <v>6</v>
      </c>
      <c r="E9" s="20">
        <f t="shared" si="5"/>
        <v>2</v>
      </c>
      <c r="F9" s="20">
        <f t="shared" si="6"/>
        <v>4</v>
      </c>
      <c r="G9" s="20">
        <f>IF(C9&lt;&gt;"",
    COUNTIFS(MATCH_INPUT!$K$2:$K$5,C9),
0)</f>
        <v>2</v>
      </c>
      <c r="H9" s="20">
        <f>IF(C9&lt;&gt;"",
    COUNTIFS(MATCH_INPUT!$F$2:$F$5, C9, MATCH_INPUT!$K$2:$K$5, "Draw") +
    COUNTIFS(MATCH_INPUT!$J$2:$J$5, C9, MATCH_INPUT!$K$2:$K$5, "Draw"),
0)</f>
        <v>0</v>
      </c>
      <c r="I9" s="20">
        <f>IF(C9&lt;&gt;"",
    COUNTIFS(MATCH_INPUT!$F$2:$F$5, C9, MATCH_INPUT!$K$2:$K$5, "&lt;&gt;"&amp;C9, MATCH_INPUT!$K$2:$K$5, "&lt;&gt;Draw", MATCH_INPUT!$K$2:$K$5, "&lt;&gt;""") +
    COUNTIFS(MATCH_INPUT!$J$2:$J$5, C9, MATCH_INPUT!$K$2:$K$5, "&lt;&gt;"&amp;C9, MATCH_INPUT!$K$2:$K$5, "&lt;&gt;Draw", MATCH_INPUT!$K$2:$K$5, "&lt;&gt;"""),
0)</f>
        <v>0</v>
      </c>
      <c r="J9" s="21">
        <v>1.0</v>
      </c>
      <c r="K9" s="21"/>
      <c r="L9" s="22"/>
      <c r="M9" s="23">
        <f t="shared" si="7"/>
        <v>2</v>
      </c>
      <c r="N9" s="24" t="str">
        <f t="shared" si="8"/>
        <v>↓</v>
      </c>
      <c r="O9" s="25" t="s">
        <v>141</v>
      </c>
      <c r="P9" s="26">
        <f t="shared" si="9"/>
        <v>11</v>
      </c>
      <c r="Q9" s="26">
        <f t="shared" si="10"/>
        <v>2</v>
      </c>
      <c r="R9" s="26">
        <f t="shared" si="11"/>
        <v>3</v>
      </c>
      <c r="S9" s="26">
        <f>IF(O9&lt;&gt;"",
    COUNTIFS(MATCH_INPUT!$K$6:$K$9,O9),
0)</f>
        <v>1</v>
      </c>
      <c r="T9" s="26">
        <f>IF(O9&lt;&gt;"",
    COUNTIFS(MATCH_INPUT!$F$6:$F$9, O9, MATCH_INPUT!$K$6:$K$9, "Draw") +
    COUNTIFS(MATCH_INPUT!$J$6:$J$9, O9, MATCH_INPUT!$K$6:$K$9, "Draw"),
0)</f>
        <v>1</v>
      </c>
      <c r="U9" s="26">
        <f>IF(O9&lt;&gt;"",
    COUNTIFS(MATCH_INPUT!$F$6:$F$9, O9, MATCH_INPUT!$K$6:$K$9, "&lt;&gt;"&amp;O9, MATCH_INPUT!$K$6:$K$9, "&lt;&gt;Draw", MATCH_INPUT!$K$6:$K$9, "&lt;&gt;""") +
    COUNTIFS(MATCH_INPUT!$J$6:$J$9, O9, MATCH_INPUT!$K$6:$K$9, "&lt;&gt;"&amp;O9, MATCH_INPUT!$K$6:$K$9, "&lt;&gt;Draw", MATCH_INPUT!$K$6:$K$9, "&lt;&gt;"""),
0)</f>
        <v>0</v>
      </c>
      <c r="V9" s="27">
        <v>1.0</v>
      </c>
      <c r="W9" s="27"/>
      <c r="X9" s="28"/>
      <c r="Y9" s="26">
        <f t="shared" si="12"/>
        <v>5</v>
      </c>
      <c r="Z9" s="29" t="str">
        <f t="shared" si="13"/>
        <v>↓</v>
      </c>
      <c r="AA9" s="19" t="s">
        <v>138</v>
      </c>
      <c r="AB9" s="23">
        <f t="shared" si="14"/>
        <v>13</v>
      </c>
      <c r="AC9" s="20">
        <f t="shared" si="15"/>
        <v>2</v>
      </c>
      <c r="AD9" s="20">
        <f t="shared" si="16"/>
        <v>0</v>
      </c>
      <c r="AE9" s="20">
        <f>IF(AA9&lt;&gt;"",
    COUNTIFS(MATCH_INPUT!$K$10:$K$13,AA9),
0)</f>
        <v>0</v>
      </c>
      <c r="AF9" s="20">
        <f>IF(AA9&lt;&gt;"",
    COUNTIFS(MATCH_INPUT!$F$10:$F$13, AA9, MATCH_INPUT!$K$10:$K$13, "Draw") +
    COUNTIFS(MATCH_INPUT!$J$10:$J$13, AA9, MATCH_INPUT!$K$10:$K$13, "Draw"),
0)</f>
        <v>0</v>
      </c>
      <c r="AG9" s="20">
        <f>IF(AA9&lt;&gt;"",
    COUNTIFS(MATCH_INPUT!$F$10:$F$13, AA9, MATCH_INPUT!$K$10:$K$13, "&lt;&gt;"&amp;AA9, MATCH_INPUT!$K$10:$K$13, "&lt;&gt;Draw", MATCH_INPUT!$K$10:$K$13, "&lt;&gt;""") +
    COUNTIFS(MATCH_INPUT!$J$10:$J$13, AA9, MATCH_INPUT!$K$10:$K$13, "&lt;&gt;"&amp;AA9, MATCH_INPUT!$K$10:$K$13, "&lt;&gt;Draw", MATCH_INPUT!$K$10:$K$13, "&lt;&gt;"""),
0)</f>
        <v>2</v>
      </c>
      <c r="AH9" s="21"/>
      <c r="AI9" s="21"/>
      <c r="AJ9" s="30"/>
      <c r="AK9" s="23">
        <f t="shared" si="17"/>
        <v>8</v>
      </c>
      <c r="AL9" s="24" t="str">
        <f t="shared" si="18"/>
        <v>↓</v>
      </c>
      <c r="AM9" s="25" t="s">
        <v>139</v>
      </c>
      <c r="AN9" s="26">
        <f t="shared" si="19"/>
        <v>19</v>
      </c>
      <c r="AO9" s="26">
        <f t="shared" si="20"/>
        <v>2</v>
      </c>
      <c r="AP9" s="26">
        <f t="shared" si="21"/>
        <v>4</v>
      </c>
      <c r="AQ9" s="26">
        <f>IF(AM9&lt;&gt;"",
    COUNTIFS(MATCH_INPUT!$K$14:$K$17,AM9),
0)</f>
        <v>2</v>
      </c>
      <c r="AR9" s="26">
        <f>IF(AM9&lt;&gt;"",
    COUNTIFS(MATCH_INPUT!$F$14:$F$17, AM9, MATCH_INPUT!$K$14:$K$17, "Draw") +
    COUNTIFS(MATCH_INPUT!$J$14:$J$17, AM9, MATCH_INPUT!$K$14:$K$17, "Draw"),
0)</f>
        <v>0</v>
      </c>
      <c r="AS9" s="26">
        <f>IF(AM9&lt;&gt;"",
    COUNTIFS(MATCH_INPUT!$F$14:$F$17, AM9, MATCH_INPUT!$K$14:$K$17, "&lt;&gt;"&amp;AM9, MATCH_INPUT!$K$14:$K$17, "&lt;&gt;Draw", MATCH_INPUT!$K$14:$K$17, "&lt;&gt;""") +
    COUNTIFS(MATCH_INPUT!$J$14:$J$17, AM9, MATCH_INPUT!$K$14:$K$17, "&lt;&gt;"&amp;AM9, MATCH_INPUT!$K$14:$K$17, "&lt;&gt;Draw", MATCH_INPUT!$K$14:$K$17, "&lt;&gt;"""),
0)</f>
        <v>0</v>
      </c>
      <c r="AT9" s="27">
        <v>1.0</v>
      </c>
      <c r="AU9" s="27"/>
      <c r="AV9" s="28"/>
      <c r="AW9" s="26">
        <f t="shared" si="22"/>
        <v>5</v>
      </c>
      <c r="AX9" s="29" t="str">
        <f t="shared" si="23"/>
        <v>↑</v>
      </c>
      <c r="AY9" s="19" t="s">
        <v>141</v>
      </c>
      <c r="AZ9" s="23">
        <f t="shared" si="24"/>
        <v>25</v>
      </c>
      <c r="BA9" s="20">
        <f t="shared" si="25"/>
        <v>2</v>
      </c>
      <c r="BB9" s="20">
        <f>SUM(BC9*2) + (BD9*1) + SUMIFS(MATCH_INPUT!$G$18:$G$21, MATCH_INPUT!$F$18:$F$21, AY9) + SUMIFS(MATCH_INPUT!$I$18:$I$21, MATCH_INPUT!$J$18:$J$21, AY9)
</f>
        <v>4</v>
      </c>
      <c r="BC9" s="20">
        <f>IF(AY9&lt;&gt;"",
    COUNTIFS(MATCH_INPUT!$K$18:$K$21,AY9),
0)</f>
        <v>0</v>
      </c>
      <c r="BD9" s="20">
        <f>IF(AY9&lt;&gt;"",
    COUNTIFS(MATCH_INPUT!$F$18:$F$21, AY9, MATCH_INPUT!$K$18:$K$21, "Draw") +
    COUNTIFS(MATCH_INPUT!$J$18:$J$21, AY9, MATCH_INPUT!$K$18:$K$21, "Draw"),
0)</f>
        <v>1</v>
      </c>
      <c r="BE9" s="20">
        <f>IF(AY9&lt;&gt;"",
    COUNTIFS(MATCH_INPUT!$F$18:$F$21, AY9, MATCH_INPUT!$K$18:$K$21, "&lt;&gt;"&amp;AY9, MATCH_INPUT!$K$18:$K$21, "&lt;&gt;Draw", MATCH_INPUT!$K$18:$K$21, "&lt;&gt;""") +
    COUNTIFS(MATCH_INPUT!$J$18:$J$21, AY9, MATCH_INPUT!$K$18:$K$21, "&lt;&gt;"&amp;AY9, MATCH_INPUT!$K$18:$K$21, "&lt;&gt;Draw", MATCH_INPUT!$K$18:$K$21, "&lt;&gt;"""),
0)</f>
        <v>1</v>
      </c>
      <c r="BF9" s="21" t="str">
        <f t="array" ref="BF9">IFERROR(INDEX(Form_Response!E:E, MATCH(1, (Form_Response!C:C='MATCH DATES'!$B$6)*(Form_Response!D:D=B9), 0)), "")
</f>
        <v/>
      </c>
      <c r="BG9" s="21">
        <f t="array" ref="BG9">IFERROR(IF(INDEX(Form_Response!F:F, MATCH(1, (Form_Response!C:C='MATCH DATES'!$B$6)*(Form_Response!D:D=B9), 0))="Yes", 1, 0), 0)
</f>
        <v>0</v>
      </c>
      <c r="BH9" s="30" t="str">
        <f t="array" ref="BH9">IFERROR(INDEX(Form_Response!G:G, MATCH(1, (Form_Response!C:C='MATCH DATES'!$B$6)*(Form_Response!D:D=B9), 0)), "")
</f>
        <v/>
      </c>
      <c r="BI9" s="23">
        <f t="shared" si="26"/>
        <v>8</v>
      </c>
      <c r="BJ9" s="24" t="str">
        <f t="shared" si="27"/>
        <v>↓</v>
      </c>
      <c r="BK9" s="25" t="s">
        <v>138</v>
      </c>
      <c r="BL9" s="26">
        <f t="shared" si="28"/>
        <v>34</v>
      </c>
      <c r="BM9" s="26">
        <f t="shared" si="29"/>
        <v>4</v>
      </c>
      <c r="BN9" s="26">
        <f>SUM(BO9*2) + (BP9*1) + SUMIFS(MATCH_INPUT!$G$22:$G$25, MATCH_INPUT!$F$22:$F$25, BK9) + SUMIFS(MATCH_INPUT!$I$22:$I$25, MATCH_INPUT!$J$22:$J$25, BK9)
</f>
        <v>5</v>
      </c>
      <c r="BO9" s="26">
        <f>IF(BK9&lt;&gt;"",
    COUNTIFS(MATCH_INPUT!$K$22:$K$25,BK9),
0)</f>
        <v>1</v>
      </c>
      <c r="BP9" s="26">
        <f>IF(BK9&lt;&gt;"",
    COUNTIFS(MATCH_INPUT!$F$22:$F$25, BK9, MATCH_INPUT!$K$22:$K$25, "Draw") +
    COUNTIFS(MATCH_INPUT!$J$22:$J$25, BK9, MATCH_INPUT!$K$22:$K$25, "Draw"),
0)</f>
        <v>0</v>
      </c>
      <c r="BQ9" s="26">
        <f>IF(BK9&lt;&gt;"",
    COUNTIFS(MATCH_INPUT!$F$22:$F$25, BK9, MATCH_INPUT!$K$22:$K$25, "&lt;&gt;"&amp;BK9, MATCH_INPUT!$K$22:$K$25, "&lt;&gt;Draw", MATCH_INPUT!$K$22:$K$25, "&lt;&gt;""") +
    COUNTIFS(MATCH_INPUT!$J$22:$J$25, BK9, MATCH_INPUT!$K$22:$K$25, "&lt;&gt;"&amp;BK9, MATCH_INPUT!$K$22:$K$25, "&lt;&gt;Draw", MATCH_INPUT!$K$22:$K$25, "&lt;&gt;"""),
0)</f>
        <v>1</v>
      </c>
      <c r="BR9" s="27">
        <v>1.0</v>
      </c>
      <c r="BS9" s="27"/>
      <c r="BT9" s="28"/>
      <c r="BU9" s="26">
        <f t="shared" si="30"/>
        <v>7</v>
      </c>
      <c r="BV9" s="29" t="str">
        <f t="shared" si="31"/>
        <v>↑</v>
      </c>
      <c r="BW9" s="19" t="s">
        <v>141</v>
      </c>
      <c r="BX9" s="23">
        <f t="shared" si="32"/>
        <v>40</v>
      </c>
      <c r="BY9" s="20">
        <f t="shared" si="33"/>
        <v>2</v>
      </c>
      <c r="BZ9" s="20">
        <f>SUM(CA9*2)+(CB9*1) + SUMIFS(MATCH_INPUT!$G$26:$G$29, MATCH_INPUT!$F$26:$F$29, BW9) + SUMIFS(MATCH_INPUT!$I$26:$I$29, MATCH_INPUT!$J$26:$J$29, BW9)
</f>
        <v>4</v>
      </c>
      <c r="CA9" s="20">
        <f>IF(BW9&lt;&gt;"",
    COUNTIFS(MATCH_INPUT!$K$26:$K$29,BW9),
0)</f>
        <v>1</v>
      </c>
      <c r="CB9" s="20">
        <f>IF(BW9&lt;&gt;"",
    COUNTIFS(MATCH_INPUT!$F$26:$F$29, BW9, MATCH_INPUT!$K$26:$K$29, "Draw") +
    COUNTIFS(MATCH_INPUT!$J$26:$J$29, BW9, MATCH_INPUT!$K$26:$K$29, "Draw"),
0)</f>
        <v>0</v>
      </c>
      <c r="CC9" s="20">
        <f>IF(BW9&lt;&gt;"",
    COUNTIFS(MATCH_INPUT!$F$26:$F$29, BW9, MATCH_INPUT!$K$26:$K$29, "&lt;&gt;"&amp;BW9, MATCH_INPUT!$K$26:$K$29, "&lt;&gt;Draw", MATCH_INPUT!$K$26:$K$29, "&lt;&gt;""") +
    COUNTIFS(MATCH_INPUT!$J$26:$J$29, BW9, MATCH_INPUT!$K$26:$K$29, "&lt;&gt;"&amp;BW9, MATCH_INPUT!$K$26:$K$29, "&lt;&gt;Draw", MATCH_INPUT!$K$26:$K$29, "&lt;&gt;"""),
0)</f>
        <v>1</v>
      </c>
      <c r="CD9" s="21"/>
      <c r="CE9" s="21"/>
      <c r="CF9" s="30"/>
      <c r="CG9" s="23">
        <f t="shared" si="34"/>
        <v>10</v>
      </c>
      <c r="CH9" s="24" t="str">
        <f t="shared" si="35"/>
        <v>↓</v>
      </c>
      <c r="CI9" s="25"/>
      <c r="CJ9" s="26">
        <f t="shared" si="36"/>
        <v>40</v>
      </c>
      <c r="CK9" s="26">
        <f t="shared" si="37"/>
        <v>0</v>
      </c>
      <c r="CL9" s="26">
        <f>SUM(CM9*2)+(CN9*1) + SUMIFS(MATCH_INPUT!$G$30:$G$33, MATCH_INPUT!$F$30:$F$33, CI9) + SUMIFS(MATCH_INPUT!$I$30:$I$33, MATCH_INPUT!$J$30:$J$33, CI9)
</f>
        <v>0</v>
      </c>
      <c r="CM9" s="26">
        <f>IF(CI9&lt;&gt;"",
    COUNTIFS(MATCH_INPUT!$K$30:$K$33,CI9),
0)</f>
        <v>0</v>
      </c>
      <c r="CN9" s="26">
        <f>IF(CI9&lt;&gt;"",
    COUNTIFS(MATCH_INPUT!$F$30:$F$33, CI9, MATCH_INPUT!$K$30:$K$33, "Draw") +
    COUNTIFS(MATCH_INPUT!$J$30:$J$33, CI9, MATCH_INPUT!$K$30:$K$33, "Draw"),
0)</f>
        <v>0</v>
      </c>
      <c r="CO9" s="26">
        <f>IF(CI9&lt;&gt;"",
    COUNTIFS(MATCH_INPUT!$F$30:$F$33, CI9, MATCH_INPUT!$K$30:$K$33, "&lt;&gt;"&amp;CI9, MATCH_INPUT!$K$30:$K$33, "&lt;&gt;Draw", MATCH_INPUT!$K$30:$K$33, "&lt;&gt;""") +
    COUNTIFS(MATCH_INPUT!$J$30:$J$33, CI9, MATCH_INPUT!$K$30:$K$33, "&lt;&gt;"&amp;CI9, MATCH_INPUT!$K$30:$K$33, "&lt;&gt;Draw", MATCH_INPUT!$K$30:$K$33, "&lt;&gt;"""),
0)</f>
        <v>0</v>
      </c>
      <c r="CP9" s="27" t="str">
        <f t="array" ref="CP9">IFERROR(INDEX(Form_Response!E:E, MATCH(1, (Form_Response!C:C='MATCH DATES'!$B$9)*(Form_Response!D:D=B9), 0)), "")
</f>
        <v/>
      </c>
      <c r="CQ9" s="27">
        <f t="array" ref="CQ9">IFERROR(IF(INDEX(Form_Response!F:F, MATCH(1, (Form_Response!C:C='MATCH DATES'!$B$9)*(Form_Response!D:D=B9), 0))="Yes", 1, 0), 0)
</f>
        <v>0</v>
      </c>
      <c r="CR9" s="28" t="str">
        <f t="array" ref="CR9">IFERROR(INDEX(Form_Response!G:G, MATCH(1, (Form_Response!C:C='MATCH DATES'!$B$9)*(Form_Response!D:D=B9), 0)), "")
</f>
        <v/>
      </c>
      <c r="CS9" s="31">
        <f t="shared" si="38"/>
        <v>17</v>
      </c>
      <c r="CT9" s="31" t="str">
        <f t="shared" si="39"/>
        <v>↓</v>
      </c>
      <c r="CU9" s="32">
        <f t="shared" si="40"/>
        <v>24</v>
      </c>
      <c r="CV9" s="32" t="str">
        <f t="shared" ref="CV9:CW9" si="58">A9</f>
        <v>⭐️</v>
      </c>
      <c r="CW9" s="33" t="str">
        <f t="shared" si="58"/>
        <v>Nicky</v>
      </c>
      <c r="CX9" s="33">
        <f t="shared" si="42"/>
        <v>40</v>
      </c>
      <c r="CY9" s="32">
        <f>SUM(
  IF(AND('MATCH DATES'!$A$2 &lt;= TODAY(), NOW() &gt;= 'MATCH DATES'!$A$2 + TIME(22, 0, 0)), E9, 0),
  IF(AND('MATCH DATES'!$A$3 &lt;= TODAY(), NOW() &gt;= 'MATCH DATES'!$A$3 + TIME(22, 0, 0)), Q9, 0),
  IF(AND('MATCH DATES'!$A$4 &lt;= TODAY(), NOW() &gt;= 'MATCH DATES'!$A$4 + TIME(22, 0, 0)), AC9, 0),
  IF(AND('MATCH DATES'!$A$5 &lt;= TODAY(), NOW() &gt;= 'MATCH DATES'!$A$5 + TIME(22, 0, 0)), AO9, 0),
  IF(AND('MATCH DATES'!$A$6 &lt;= TODAY(), NOW() &gt;= 'MATCH DATES'!$A$6 + TIME(22, 0, 0)), BA9, 0),
  IF(AND('MATCH DATES'!$A$7 &lt;= TODAY(), NOW() &gt;= 'MATCH DATES'!$A$7 + TIME(22, 0, 0)), BM9, 0),
  IF(AND('MATCH DATES'!$A$8 &lt;= TODAY(), NOW() &gt;= 'MATCH DATES'!$A$8 + TIME(22, 0, 0)), BY9, 0),
  IF(AND('MATCH DATES'!$A$9 &lt;= TODAY(), NOW() &gt;= 'MATCH DATES'!$A$9 + TIME(22, 0, 0)), CK9, 0)
)
</f>
        <v>16</v>
      </c>
      <c r="CZ9" s="33">
        <f t="shared" ref="CZ9:DA9" si="59">SUM(G9,S9,AE9,AQ9,BC9,BO9,CA9,CM9)</f>
        <v>7</v>
      </c>
      <c r="DA9" s="33">
        <f t="shared" si="59"/>
        <v>2</v>
      </c>
      <c r="DB9" s="33">
        <f>SUM(
  IF(AND('MATCH DATES'!$A$2 &lt;= TODAY(), NOW() &gt;= 'MATCH DATES'!$A$2 + TIME(22, 0, 0)), I9, 0),
  IF(AND('MATCH DATES'!$A$3 &lt;= TODAY(), NOW() &gt;= 'MATCH DATES'!$A$3 + TIME(22, 0, 0)), U9, 0),
  IF(AND('MATCH DATES'!$A$4 &lt;= TODAY(), NOW() &gt;= 'MATCH DATES'!$A$4 + TIME(22, 0, 0)), AG9, 0),
  IF(AND('MATCH DATES'!$A$5 &lt;= TODAY(), NOW() &gt;= 'MATCH DATES'!$A$5 + TIME(22, 0, 0)), AS9, 0),
  IF(AND('MATCH DATES'!$A$6 &lt;= TODAY(), NOW() &gt;= 'MATCH DATES'!$A$6 + TIME(22, 0, 0)), BE9, 0),
  IF(AND('MATCH DATES'!$A$7 &lt;= TODAY(), NOW() &gt;= 'MATCH DATES'!$A$7 + TIME(22, 0, 0)), BQ9, 0),
  IF(AND('MATCH DATES'!$A$8 &lt;= TODAY(), NOW() &gt;= 'MATCH DATES'!$A$8 + TIME(22, 0, 0)), CC9, 0),
  IF(AND('MATCH DATES'!$A$9 &lt;= TODAY(), NOW() &gt;= 'MATCH DATES'!$A$9 + TIME(22, 0, 0)), CO9, 0)
)</f>
        <v>5</v>
      </c>
      <c r="DC9" s="33">
        <f t="shared" si="44"/>
        <v>4</v>
      </c>
      <c r="DD9" s="33">
        <f t="shared" ref="DD9:DE9" si="60">SUM(K9,W9,AI9,AU9,BG9,BS9,CE9,CQ9)</f>
        <v>0</v>
      </c>
      <c r="DE9" s="33">
        <f t="shared" si="60"/>
        <v>0</v>
      </c>
    </row>
    <row r="10" ht="24.75" customHeight="1">
      <c r="A10" s="17" t="s">
        <v>136</v>
      </c>
      <c r="B10" s="18" t="s">
        <v>148</v>
      </c>
      <c r="C10" s="19" t="s">
        <v>140</v>
      </c>
      <c r="D10" s="20">
        <f t="shared" si="4"/>
        <v>4</v>
      </c>
      <c r="E10" s="20">
        <f t="shared" si="5"/>
        <v>2</v>
      </c>
      <c r="F10" s="20">
        <f t="shared" si="6"/>
        <v>2</v>
      </c>
      <c r="G10" s="20">
        <f>IF(C10&lt;&gt;"",
    COUNTIFS(MATCH_INPUT!$K$2:$K$5,C10),
0)</f>
        <v>1</v>
      </c>
      <c r="H10" s="20">
        <f>IF(C10&lt;&gt;"",
    COUNTIFS(MATCH_INPUT!$F$2:$F$5, C10, MATCH_INPUT!$K$2:$K$5, "Draw") +
    COUNTIFS(MATCH_INPUT!$J$2:$J$5, C10, MATCH_INPUT!$K$2:$K$5, "Draw"),
0)</f>
        <v>0</v>
      </c>
      <c r="I10" s="20">
        <f>IF(C10&lt;&gt;"",
    COUNTIFS(MATCH_INPUT!$F$2:$F$5, C10, MATCH_INPUT!$K$2:$K$5, "&lt;&gt;"&amp;C10, MATCH_INPUT!$K$2:$K$5, "&lt;&gt;Draw", MATCH_INPUT!$K$2:$K$5, "&lt;&gt;""") +
    COUNTIFS(MATCH_INPUT!$J$2:$J$5, C10, MATCH_INPUT!$K$2:$K$5, "&lt;&gt;"&amp;C10, MATCH_INPUT!$K$2:$K$5, "&lt;&gt;Draw", MATCH_INPUT!$K$2:$K$5, "&lt;&gt;"""),
0)</f>
        <v>1</v>
      </c>
      <c r="J10" s="21">
        <v>1.0</v>
      </c>
      <c r="K10" s="21"/>
      <c r="L10" s="22"/>
      <c r="M10" s="23">
        <f t="shared" si="7"/>
        <v>11</v>
      </c>
      <c r="N10" s="24" t="str">
        <f t="shared" si="8"/>
        <v>↓</v>
      </c>
      <c r="O10" s="25" t="s">
        <v>140</v>
      </c>
      <c r="P10" s="26">
        <f t="shared" si="9"/>
        <v>7</v>
      </c>
      <c r="Q10" s="26">
        <f t="shared" si="10"/>
        <v>2</v>
      </c>
      <c r="R10" s="26">
        <f t="shared" si="11"/>
        <v>1</v>
      </c>
      <c r="S10" s="26">
        <f>IF(O10&lt;&gt;"",
    COUNTIFS(MATCH_INPUT!$K$6:$K$9,O10),
0)</f>
        <v>0</v>
      </c>
      <c r="T10" s="26">
        <f>IF(O10&lt;&gt;"",
    COUNTIFS(MATCH_INPUT!$F$6:$F$9, O10, MATCH_INPUT!$K$6:$K$9, "Draw") +
    COUNTIFS(MATCH_INPUT!$J$6:$J$9, O10, MATCH_INPUT!$K$6:$K$9, "Draw"),
0)</f>
        <v>1</v>
      </c>
      <c r="U10" s="26">
        <f>IF(O10&lt;&gt;"",
    COUNTIFS(MATCH_INPUT!$F$6:$F$9, O10, MATCH_INPUT!$K$6:$K$9, "&lt;&gt;"&amp;O10, MATCH_INPUT!$K$6:$K$9, "&lt;&gt;Draw", MATCH_INPUT!$K$6:$K$9, "&lt;&gt;""") +
    COUNTIFS(MATCH_INPUT!$J$6:$J$9, O10, MATCH_INPUT!$K$6:$K$9, "&lt;&gt;"&amp;O10, MATCH_INPUT!$K$6:$K$9, "&lt;&gt;Draw", MATCH_INPUT!$K$6:$K$9, "&lt;&gt;"""),
0)</f>
        <v>1</v>
      </c>
      <c r="V10" s="27"/>
      <c r="W10" s="27"/>
      <c r="X10" s="28"/>
      <c r="Y10" s="26">
        <f t="shared" si="12"/>
        <v>15</v>
      </c>
      <c r="Z10" s="29" t="str">
        <f t="shared" si="13"/>
        <v>↓</v>
      </c>
      <c r="AA10" s="19" t="s">
        <v>139</v>
      </c>
      <c r="AB10" s="23">
        <f t="shared" si="14"/>
        <v>12</v>
      </c>
      <c r="AC10" s="20">
        <f t="shared" si="15"/>
        <v>2</v>
      </c>
      <c r="AD10" s="20">
        <f t="shared" si="16"/>
        <v>2</v>
      </c>
      <c r="AE10" s="20">
        <f>IF(AA10&lt;&gt;"",
    COUNTIFS(MATCH_INPUT!$K$10:$K$13,AA10),
0)</f>
        <v>1</v>
      </c>
      <c r="AF10" s="20">
        <f>IF(AA10&lt;&gt;"",
    COUNTIFS(MATCH_INPUT!$F$10:$F$13, AA10, MATCH_INPUT!$K$10:$K$13, "Draw") +
    COUNTIFS(MATCH_INPUT!$J$10:$J$13, AA10, MATCH_INPUT!$K$10:$K$13, "Draw"),
0)</f>
        <v>0</v>
      </c>
      <c r="AG10" s="20">
        <f>IF(AA10&lt;&gt;"",
    COUNTIFS(MATCH_INPUT!$F$10:$F$13, AA10, MATCH_INPUT!$K$10:$K$13, "&lt;&gt;"&amp;AA10, MATCH_INPUT!$K$10:$K$13, "&lt;&gt;Draw", MATCH_INPUT!$K$10:$K$13, "&lt;&gt;""") +
    COUNTIFS(MATCH_INPUT!$J$10:$J$13, AA10, MATCH_INPUT!$K$10:$K$13, "&lt;&gt;"&amp;AA10, MATCH_INPUT!$K$10:$K$13, "&lt;&gt;Draw", MATCH_INPUT!$K$10:$K$13, "&lt;&gt;"""),
0)</f>
        <v>1</v>
      </c>
      <c r="AH10" s="21"/>
      <c r="AI10" s="21">
        <v>1.0</v>
      </c>
      <c r="AJ10" s="30">
        <v>1.0</v>
      </c>
      <c r="AK10" s="23">
        <f t="shared" si="17"/>
        <v>13</v>
      </c>
      <c r="AL10" s="24" t="str">
        <f t="shared" si="18"/>
        <v>↑</v>
      </c>
      <c r="AM10" s="25" t="s">
        <v>141</v>
      </c>
      <c r="AN10" s="26">
        <f t="shared" si="19"/>
        <v>16</v>
      </c>
      <c r="AO10" s="26">
        <f t="shared" si="20"/>
        <v>2</v>
      </c>
      <c r="AP10" s="26">
        <f t="shared" si="21"/>
        <v>2</v>
      </c>
      <c r="AQ10" s="26">
        <f>IF(AM10&lt;&gt;"",
    COUNTIFS(MATCH_INPUT!$K$14:$K$17,AM10),
0)</f>
        <v>1</v>
      </c>
      <c r="AR10" s="26">
        <f>IF(AM10&lt;&gt;"",
    COUNTIFS(MATCH_INPUT!$F$14:$F$17, AM10, MATCH_INPUT!$K$14:$K$17, "Draw") +
    COUNTIFS(MATCH_INPUT!$J$14:$J$17, AM10, MATCH_INPUT!$K$14:$K$17, "Draw"),
0)</f>
        <v>0</v>
      </c>
      <c r="AS10" s="26">
        <f>IF(AM10&lt;&gt;"",
    COUNTIFS(MATCH_INPUT!$F$14:$F$17, AM10, MATCH_INPUT!$K$14:$K$17, "&lt;&gt;"&amp;AM10, MATCH_INPUT!$K$14:$K$17, "&lt;&gt;Draw", MATCH_INPUT!$K$14:$K$17, "&lt;&gt;""") +
    COUNTIFS(MATCH_INPUT!$J$14:$J$17, AM10, MATCH_INPUT!$K$14:$K$17, "&lt;&gt;"&amp;AM10, MATCH_INPUT!$K$14:$K$17, "&lt;&gt;Draw", MATCH_INPUT!$K$14:$K$17, "&lt;&gt;"""),
0)</f>
        <v>1</v>
      </c>
      <c r="AT10" s="27">
        <v>1.0</v>
      </c>
      <c r="AU10" s="27"/>
      <c r="AV10" s="28"/>
      <c r="AW10" s="26">
        <f t="shared" si="22"/>
        <v>12</v>
      </c>
      <c r="AX10" s="29" t="str">
        <f t="shared" si="23"/>
        <v>↑</v>
      </c>
      <c r="AY10" s="19" t="s">
        <v>140</v>
      </c>
      <c r="AZ10" s="23">
        <f t="shared" si="24"/>
        <v>25</v>
      </c>
      <c r="BA10" s="20">
        <f t="shared" si="25"/>
        <v>2</v>
      </c>
      <c r="BB10" s="20">
        <f>SUM(BC10*2) + (BD10*1) + SUMIFS(MATCH_INPUT!$G$18:$G$21, MATCH_INPUT!$F$18:$F$21, AY10) + SUMIFS(MATCH_INPUT!$I$18:$I$21, MATCH_INPUT!$J$18:$J$21, AY10)
</f>
        <v>7</v>
      </c>
      <c r="BC10" s="20">
        <f>IF(AY10&lt;&gt;"",
    COUNTIFS(MATCH_INPUT!$K$18:$K$21,AY10),
0)</f>
        <v>1</v>
      </c>
      <c r="BD10" s="20">
        <f>IF(AY10&lt;&gt;"",
    COUNTIFS(MATCH_INPUT!$F$18:$F$21, AY10, MATCH_INPUT!$K$18:$K$21, "Draw") +
    COUNTIFS(MATCH_INPUT!$J$18:$J$21, AY10, MATCH_INPUT!$K$18:$K$21, "Draw"),
0)</f>
        <v>1</v>
      </c>
      <c r="BE10" s="20">
        <f>IF(AY10&lt;&gt;"",
    COUNTIFS(MATCH_INPUT!$F$18:$F$21, AY10, MATCH_INPUT!$K$18:$K$21, "&lt;&gt;"&amp;AY10, MATCH_INPUT!$K$18:$K$21, "&lt;&gt;Draw", MATCH_INPUT!$K$18:$K$21, "&lt;&gt;""") +
    COUNTIFS(MATCH_INPUT!$J$18:$J$21, AY10, MATCH_INPUT!$K$18:$K$21, "&lt;&gt;"&amp;AY10, MATCH_INPUT!$K$18:$K$21, "&lt;&gt;Draw", MATCH_INPUT!$K$18:$K$21, "&lt;&gt;"""),
0)</f>
        <v>0</v>
      </c>
      <c r="BF10" s="21">
        <v>1.0</v>
      </c>
      <c r="BG10" s="21">
        <f t="array" ref="BG10">IFERROR(IF(INDEX(Form_Response!F:F, MATCH(1, (Form_Response!C:C='MATCH DATES'!$B$6)*(Form_Response!D:D=B10), 0))="Yes", 1, 0), 0)
</f>
        <v>0</v>
      </c>
      <c r="BH10" s="30" t="str">
        <f t="array" ref="BH10">IFERROR(INDEX(Form_Response!G:G, MATCH(1, (Form_Response!C:C='MATCH DATES'!$B$6)*(Form_Response!D:D=B10), 0)), "")
</f>
        <v/>
      </c>
      <c r="BI10" s="23">
        <f t="shared" si="26"/>
        <v>8</v>
      </c>
      <c r="BJ10" s="24" t="str">
        <f t="shared" si="27"/>
        <v>↑</v>
      </c>
      <c r="BK10" s="25" t="s">
        <v>138</v>
      </c>
      <c r="BL10" s="26">
        <f t="shared" si="28"/>
        <v>34</v>
      </c>
      <c r="BM10" s="26">
        <f t="shared" si="29"/>
        <v>4</v>
      </c>
      <c r="BN10" s="26">
        <f>SUM(BO10*2) + (BP10*1) + SUMIFS(MATCH_INPUT!$G$22:$G$25, MATCH_INPUT!$F$22:$F$25, BK10) + SUMIFS(MATCH_INPUT!$I$22:$I$25, MATCH_INPUT!$J$22:$J$25, BK10)
</f>
        <v>5</v>
      </c>
      <c r="BO10" s="26">
        <f>IF(BK10&lt;&gt;"",
    COUNTIFS(MATCH_INPUT!$K$22:$K$25,BK10),
0)</f>
        <v>1</v>
      </c>
      <c r="BP10" s="26">
        <f>IF(BK10&lt;&gt;"",
    COUNTIFS(MATCH_INPUT!$F$22:$F$25, BK10, MATCH_INPUT!$K$22:$K$25, "Draw") +
    COUNTIFS(MATCH_INPUT!$J$22:$J$25, BK10, MATCH_INPUT!$K$22:$K$25, "Draw"),
0)</f>
        <v>0</v>
      </c>
      <c r="BQ10" s="26">
        <f>IF(BK10&lt;&gt;"",
    COUNTIFS(MATCH_INPUT!$F$22:$F$25, BK10, MATCH_INPUT!$K$22:$K$25, "&lt;&gt;"&amp;BK10, MATCH_INPUT!$K$22:$K$25, "&lt;&gt;Draw", MATCH_INPUT!$K$22:$K$25, "&lt;&gt;""") +
    COUNTIFS(MATCH_INPUT!$J$22:$J$25, BK10, MATCH_INPUT!$K$22:$K$25, "&lt;&gt;"&amp;BK10, MATCH_INPUT!$K$22:$K$25, "&lt;&gt;Draw", MATCH_INPUT!$K$22:$K$25, "&lt;&gt;"""),
0)</f>
        <v>1</v>
      </c>
      <c r="BR10" s="27"/>
      <c r="BS10" s="27"/>
      <c r="BT10" s="28"/>
      <c r="BU10" s="26">
        <f t="shared" si="30"/>
        <v>7</v>
      </c>
      <c r="BV10" s="29" t="str">
        <f t="shared" si="31"/>
        <v>↑</v>
      </c>
      <c r="BW10" s="19" t="s">
        <v>140</v>
      </c>
      <c r="BX10" s="23">
        <f t="shared" si="32"/>
        <v>40</v>
      </c>
      <c r="BY10" s="20">
        <f t="shared" si="33"/>
        <v>2</v>
      </c>
      <c r="BZ10" s="20">
        <f>SUM(CA10*2)+(CB10*1) + SUMIFS(MATCH_INPUT!$G$26:$G$29, MATCH_INPUT!$F$26:$F$29, BW10) + SUMIFS(MATCH_INPUT!$I$26:$I$29, MATCH_INPUT!$J$26:$J$29, BW10)
</f>
        <v>4</v>
      </c>
      <c r="CA10" s="20">
        <f>IF(BW10&lt;&gt;"",
    COUNTIFS(MATCH_INPUT!$K$26:$K$29,BW10),
0)</f>
        <v>1</v>
      </c>
      <c r="CB10" s="20">
        <f>IF(BW10&lt;&gt;"",
    COUNTIFS(MATCH_INPUT!$F$26:$F$29, BW10, MATCH_INPUT!$K$26:$K$29, "Draw") +
    COUNTIFS(MATCH_INPUT!$J$26:$J$29, BW10, MATCH_INPUT!$K$26:$K$29, "Draw"),
0)</f>
        <v>0</v>
      </c>
      <c r="CC10" s="20">
        <f>IF(BW10&lt;&gt;"",
    COUNTIFS(MATCH_INPUT!$F$26:$F$29, BW10, MATCH_INPUT!$K$26:$K$29, "&lt;&gt;"&amp;BW10, MATCH_INPUT!$K$26:$K$29, "&lt;&gt;Draw", MATCH_INPUT!$K$26:$K$29, "&lt;&gt;""") +
    COUNTIFS(MATCH_INPUT!$J$26:$J$29, BW10, MATCH_INPUT!$K$26:$K$29, "&lt;&gt;"&amp;BW10, MATCH_INPUT!$K$26:$K$29, "&lt;&gt;Draw", MATCH_INPUT!$K$26:$K$29, "&lt;&gt;"""),
0)</f>
        <v>1</v>
      </c>
      <c r="CD10" s="21"/>
      <c r="CE10" s="21"/>
      <c r="CF10" s="30"/>
      <c r="CG10" s="23">
        <f t="shared" si="34"/>
        <v>10</v>
      </c>
      <c r="CH10" s="24" t="str">
        <f t="shared" si="35"/>
        <v>↓</v>
      </c>
      <c r="CI10" s="25"/>
      <c r="CJ10" s="26">
        <f t="shared" si="36"/>
        <v>40</v>
      </c>
      <c r="CK10" s="26">
        <f t="shared" si="37"/>
        <v>0</v>
      </c>
      <c r="CL10" s="26">
        <f>SUM(CM10*2)+(CN10*1) + SUMIFS(MATCH_INPUT!$G$30:$G$33, MATCH_INPUT!$F$30:$F$33, CI10) + SUMIFS(MATCH_INPUT!$I$30:$I$33, MATCH_INPUT!$J$30:$J$33, CI10)
</f>
        <v>0</v>
      </c>
      <c r="CM10" s="26">
        <f>IF(CI10&lt;&gt;"",
    COUNTIFS(MATCH_INPUT!$K$30:$K$33,CI10),
0)</f>
        <v>0</v>
      </c>
      <c r="CN10" s="26">
        <f>IF(CI10&lt;&gt;"",
    COUNTIFS(MATCH_INPUT!$F$30:$F$33, CI10, MATCH_INPUT!$K$30:$K$33, "Draw") +
    COUNTIFS(MATCH_INPUT!$J$30:$J$33, CI10, MATCH_INPUT!$K$30:$K$33, "Draw"),
0)</f>
        <v>0</v>
      </c>
      <c r="CO10" s="26">
        <f>IF(CI10&lt;&gt;"",
    COUNTIFS(MATCH_INPUT!$F$30:$F$33, CI10, MATCH_INPUT!$K$30:$K$33, "&lt;&gt;"&amp;CI10, MATCH_INPUT!$K$30:$K$33, "&lt;&gt;Draw", MATCH_INPUT!$K$30:$K$33, "&lt;&gt;""") +
    COUNTIFS(MATCH_INPUT!$J$30:$J$33, CI10, MATCH_INPUT!$K$30:$K$33, "&lt;&gt;"&amp;CI10, MATCH_INPUT!$K$30:$K$33, "&lt;&gt;Draw", MATCH_INPUT!$K$30:$K$33, "&lt;&gt;"""),
0)</f>
        <v>0</v>
      </c>
      <c r="CP10" s="27" t="str">
        <f t="array" ref="CP10">IFERROR(INDEX(Form_Response!E:E, MATCH(1, (Form_Response!C:C='MATCH DATES'!$B$9)*(Form_Response!D:D=B10), 0)), "")
</f>
        <v/>
      </c>
      <c r="CQ10" s="27">
        <f t="array" ref="CQ10">IFERROR(IF(INDEX(Form_Response!F:F, MATCH(1, (Form_Response!C:C='MATCH DATES'!$B$9)*(Form_Response!D:D=B10), 0))="Yes", 1, 0), 0)
</f>
        <v>0</v>
      </c>
      <c r="CR10" s="28" t="str">
        <f t="array" ref="CR10">IFERROR(INDEX(Form_Response!G:G, MATCH(1, (Form_Response!C:C='MATCH DATES'!$B$9)*(Form_Response!D:D=B10), 0)), "")
</f>
        <v/>
      </c>
      <c r="CS10" s="31">
        <f t="shared" si="38"/>
        <v>17</v>
      </c>
      <c r="CT10" s="31" t="str">
        <f t="shared" si="39"/>
        <v>↓</v>
      </c>
      <c r="CU10" s="32">
        <f t="shared" si="40"/>
        <v>23</v>
      </c>
      <c r="CV10" s="32" t="str">
        <f t="shared" ref="CV10:CW10" si="61">A10</f>
        <v>⭐️</v>
      </c>
      <c r="CW10" s="33" t="str">
        <f t="shared" si="61"/>
        <v>Carlos S.</v>
      </c>
      <c r="CX10" s="33">
        <f t="shared" si="42"/>
        <v>40</v>
      </c>
      <c r="CY10" s="32">
        <f>SUM(
  IF(AND('MATCH DATES'!$A$2 &lt;= TODAY(), NOW() &gt;= 'MATCH DATES'!$A$2 + TIME(22, 0, 0)), E10, 0),
  IF(AND('MATCH DATES'!$A$3 &lt;= TODAY(), NOW() &gt;= 'MATCH DATES'!$A$3 + TIME(22, 0, 0)), Q10, 0),
  IF(AND('MATCH DATES'!$A$4 &lt;= TODAY(), NOW() &gt;= 'MATCH DATES'!$A$4 + TIME(22, 0, 0)), AC10, 0),
  IF(AND('MATCH DATES'!$A$5 &lt;= TODAY(), NOW() &gt;= 'MATCH DATES'!$A$5 + TIME(22, 0, 0)), AO10, 0),
  IF(AND('MATCH DATES'!$A$6 &lt;= TODAY(), NOW() &gt;= 'MATCH DATES'!$A$6 + TIME(22, 0, 0)), BA10, 0),
  IF(AND('MATCH DATES'!$A$7 &lt;= TODAY(), NOW() &gt;= 'MATCH DATES'!$A$7 + TIME(22, 0, 0)), BM10, 0),
  IF(AND('MATCH DATES'!$A$8 &lt;= TODAY(), NOW() &gt;= 'MATCH DATES'!$A$8 + TIME(22, 0, 0)), BY10, 0),
  IF(AND('MATCH DATES'!$A$9 &lt;= TODAY(), NOW() &gt;= 'MATCH DATES'!$A$9 + TIME(22, 0, 0)), CK10, 0)
)
</f>
        <v>16</v>
      </c>
      <c r="CZ10" s="33">
        <f t="shared" ref="CZ10:DA10" si="62">SUM(G10,S10,AE10,AQ10,BC10,BO10,CA10,CM10)</f>
        <v>6</v>
      </c>
      <c r="DA10" s="33">
        <f t="shared" si="62"/>
        <v>2</v>
      </c>
      <c r="DB10" s="33">
        <f>SUM(
  IF(AND('MATCH DATES'!$A$2 &lt;= TODAY(), NOW() &gt;= 'MATCH DATES'!$A$2 + TIME(22, 0, 0)), I10, 0),
  IF(AND('MATCH DATES'!$A$3 &lt;= TODAY(), NOW() &gt;= 'MATCH DATES'!$A$3 + TIME(22, 0, 0)), U10, 0),
  IF(AND('MATCH DATES'!$A$4 &lt;= TODAY(), NOW() &gt;= 'MATCH DATES'!$A$4 + TIME(22, 0, 0)), AG10, 0),
  IF(AND('MATCH DATES'!$A$5 &lt;= TODAY(), NOW() &gt;= 'MATCH DATES'!$A$5 + TIME(22, 0, 0)), AS10, 0),
  IF(AND('MATCH DATES'!$A$6 &lt;= TODAY(), NOW() &gt;= 'MATCH DATES'!$A$6 + TIME(22, 0, 0)), BE10, 0),
  IF(AND('MATCH DATES'!$A$7 &lt;= TODAY(), NOW() &gt;= 'MATCH DATES'!$A$7 + TIME(22, 0, 0)), BQ10, 0),
  IF(AND('MATCH DATES'!$A$8 &lt;= TODAY(), NOW() &gt;= 'MATCH DATES'!$A$8 + TIME(22, 0, 0)), CC10, 0),
  IF(AND('MATCH DATES'!$A$9 &lt;= TODAY(), NOW() &gt;= 'MATCH DATES'!$A$9 + TIME(22, 0, 0)), CO10, 0)
)</f>
        <v>6</v>
      </c>
      <c r="DC10" s="33">
        <f t="shared" si="44"/>
        <v>3</v>
      </c>
      <c r="DD10" s="33">
        <f t="shared" ref="DD10:DE10" si="63">SUM(K10,W10,AI10,AU10,BG10,BS10,CE10,CQ10)</f>
        <v>1</v>
      </c>
      <c r="DE10" s="33">
        <f t="shared" si="63"/>
        <v>1</v>
      </c>
    </row>
    <row r="11" ht="24.75" customHeight="1">
      <c r="A11" s="17" t="s">
        <v>136</v>
      </c>
      <c r="B11" s="18" t="s">
        <v>149</v>
      </c>
      <c r="C11" s="19" t="s">
        <v>138</v>
      </c>
      <c r="D11" s="20">
        <f t="shared" si="4"/>
        <v>6</v>
      </c>
      <c r="E11" s="20">
        <f t="shared" si="5"/>
        <v>2</v>
      </c>
      <c r="F11" s="20">
        <f t="shared" si="6"/>
        <v>4</v>
      </c>
      <c r="G11" s="20">
        <f>IF(C11&lt;&gt;"",
    COUNTIFS(MATCH_INPUT!$K$2:$K$5,C11),
0)</f>
        <v>2</v>
      </c>
      <c r="H11" s="20">
        <f>IF(C11&lt;&gt;"",
    COUNTIFS(MATCH_INPUT!$F$2:$F$5, C11, MATCH_INPUT!$K$2:$K$5, "Draw") +
    COUNTIFS(MATCH_INPUT!$J$2:$J$5, C11, MATCH_INPUT!$K$2:$K$5, "Draw"),
0)</f>
        <v>0</v>
      </c>
      <c r="I11" s="20">
        <f>IF(C11&lt;&gt;"",
    COUNTIFS(MATCH_INPUT!$F$2:$F$5, C11, MATCH_INPUT!$K$2:$K$5, "&lt;&gt;"&amp;C11, MATCH_INPUT!$K$2:$K$5, "&lt;&gt;Draw", MATCH_INPUT!$K$2:$K$5, "&lt;&gt;""") +
    COUNTIFS(MATCH_INPUT!$J$2:$J$5, C11, MATCH_INPUT!$K$2:$K$5, "&lt;&gt;"&amp;C11, MATCH_INPUT!$K$2:$K$5, "&lt;&gt;Draw", MATCH_INPUT!$K$2:$K$5, "&lt;&gt;"""),
0)</f>
        <v>0</v>
      </c>
      <c r="J11" s="21">
        <v>1.0</v>
      </c>
      <c r="K11" s="21"/>
      <c r="L11" s="22"/>
      <c r="M11" s="23">
        <f t="shared" si="7"/>
        <v>2</v>
      </c>
      <c r="N11" s="24" t="str">
        <f t="shared" si="8"/>
        <v>↓</v>
      </c>
      <c r="O11" s="25" t="s">
        <v>139</v>
      </c>
      <c r="P11" s="26">
        <f t="shared" si="9"/>
        <v>12</v>
      </c>
      <c r="Q11" s="26">
        <f t="shared" si="10"/>
        <v>2</v>
      </c>
      <c r="R11" s="26">
        <f t="shared" si="11"/>
        <v>4</v>
      </c>
      <c r="S11" s="26">
        <f>IF(O11&lt;&gt;"",
    COUNTIFS(MATCH_INPUT!$K$6:$K$9,O11),
0)</f>
        <v>2</v>
      </c>
      <c r="T11" s="26">
        <f>IF(O11&lt;&gt;"",
    COUNTIFS(MATCH_INPUT!$F$6:$F$9, O11, MATCH_INPUT!$K$6:$K$9, "Draw") +
    COUNTIFS(MATCH_INPUT!$J$6:$J$9, O11, MATCH_INPUT!$K$6:$K$9, "Draw"),
0)</f>
        <v>0</v>
      </c>
      <c r="U11" s="26">
        <f>IF(O11&lt;&gt;"",
    COUNTIFS(MATCH_INPUT!$F$6:$F$9, O11, MATCH_INPUT!$K$6:$K$9, "&lt;&gt;"&amp;O11, MATCH_INPUT!$K$6:$K$9, "&lt;&gt;Draw", MATCH_INPUT!$K$6:$K$9, "&lt;&gt;""") +
    COUNTIFS(MATCH_INPUT!$J$6:$J$9, O11, MATCH_INPUT!$K$6:$K$9, "&lt;&gt;"&amp;O11, MATCH_INPUT!$K$6:$K$9, "&lt;&gt;Draw", MATCH_INPUT!$K$6:$K$9, "&lt;&gt;"""),
0)</f>
        <v>0</v>
      </c>
      <c r="V11" s="27">
        <v>1.0</v>
      </c>
      <c r="W11" s="27"/>
      <c r="X11" s="28"/>
      <c r="Y11" s="26">
        <f t="shared" si="12"/>
        <v>3</v>
      </c>
      <c r="Z11" s="29" t="str">
        <f t="shared" si="13"/>
        <v>↓</v>
      </c>
      <c r="AA11" s="19" t="s">
        <v>138</v>
      </c>
      <c r="AB11" s="23">
        <f t="shared" si="14"/>
        <v>14</v>
      </c>
      <c r="AC11" s="20">
        <f t="shared" si="15"/>
        <v>2</v>
      </c>
      <c r="AD11" s="20">
        <f t="shared" si="16"/>
        <v>0</v>
      </c>
      <c r="AE11" s="20">
        <f>IF(AA11&lt;&gt;"",
    COUNTIFS(MATCH_INPUT!$K$10:$K$13,AA11),
0)</f>
        <v>0</v>
      </c>
      <c r="AF11" s="20">
        <f>IF(AA11&lt;&gt;"",
    COUNTIFS(MATCH_INPUT!$F$10:$F$13, AA11, MATCH_INPUT!$K$10:$K$13, "Draw") +
    COUNTIFS(MATCH_INPUT!$J$10:$J$13, AA11, MATCH_INPUT!$K$10:$K$13, "Draw"),
0)</f>
        <v>0</v>
      </c>
      <c r="AG11" s="20">
        <f>IF(AA11&lt;&gt;"",
    COUNTIFS(MATCH_INPUT!$F$10:$F$13, AA11, MATCH_INPUT!$K$10:$K$13, "&lt;&gt;"&amp;AA11, MATCH_INPUT!$K$10:$K$13, "&lt;&gt;Draw", MATCH_INPUT!$K$10:$K$13, "&lt;&gt;""") +
    COUNTIFS(MATCH_INPUT!$J$10:$J$13, AA11, MATCH_INPUT!$K$10:$K$13, "&lt;&gt;"&amp;AA11, MATCH_INPUT!$K$10:$K$13, "&lt;&gt;Draw", MATCH_INPUT!$K$10:$K$13, "&lt;&gt;"""),
0)</f>
        <v>2</v>
      </c>
      <c r="AH11" s="21"/>
      <c r="AI11" s="21"/>
      <c r="AJ11" s="30"/>
      <c r="AK11" s="23">
        <f t="shared" si="17"/>
        <v>5</v>
      </c>
      <c r="AL11" s="24" t="str">
        <f t="shared" si="18"/>
        <v>↓</v>
      </c>
      <c r="AM11" s="25" t="s">
        <v>140</v>
      </c>
      <c r="AN11" s="26">
        <f t="shared" si="19"/>
        <v>18</v>
      </c>
      <c r="AO11" s="26">
        <f t="shared" si="20"/>
        <v>2</v>
      </c>
      <c r="AP11" s="26">
        <f t="shared" si="21"/>
        <v>2</v>
      </c>
      <c r="AQ11" s="26">
        <f>IF(AM11&lt;&gt;"",
    COUNTIFS(MATCH_INPUT!$K$14:$K$17,AM11),
0)</f>
        <v>1</v>
      </c>
      <c r="AR11" s="26">
        <f>IF(AM11&lt;&gt;"",
    COUNTIFS(MATCH_INPUT!$F$14:$F$17, AM11, MATCH_INPUT!$K$14:$K$17, "Draw") +
    COUNTIFS(MATCH_INPUT!$J$14:$J$17, AM11, MATCH_INPUT!$K$14:$K$17, "Draw"),
0)</f>
        <v>0</v>
      </c>
      <c r="AS11" s="26">
        <f>IF(AM11&lt;&gt;"",
    COUNTIFS(MATCH_INPUT!$F$14:$F$17, AM11, MATCH_INPUT!$K$14:$K$17, "&lt;&gt;"&amp;AM11, MATCH_INPUT!$K$14:$K$17, "&lt;&gt;Draw", MATCH_INPUT!$K$14:$K$17, "&lt;&gt;""") +
    COUNTIFS(MATCH_INPUT!$J$14:$J$17, AM11, MATCH_INPUT!$K$14:$K$17, "&lt;&gt;"&amp;AM11, MATCH_INPUT!$K$14:$K$17, "&lt;&gt;Draw", MATCH_INPUT!$K$14:$K$17, "&lt;&gt;"""),
0)</f>
        <v>1</v>
      </c>
      <c r="AT11" s="27">
        <v>1.0</v>
      </c>
      <c r="AU11" s="27"/>
      <c r="AV11" s="28"/>
      <c r="AW11" s="26">
        <f t="shared" si="22"/>
        <v>6</v>
      </c>
      <c r="AX11" s="29" t="str">
        <f t="shared" si="23"/>
        <v>↓</v>
      </c>
      <c r="AY11" s="19" t="s">
        <v>138</v>
      </c>
      <c r="AZ11" s="23">
        <f t="shared" si="24"/>
        <v>25</v>
      </c>
      <c r="BA11" s="20">
        <f t="shared" si="25"/>
        <v>2</v>
      </c>
      <c r="BB11" s="20">
        <f>SUM(BC11*2) + (BD11*1) + SUMIFS(MATCH_INPUT!$G$18:$G$21, MATCH_INPUT!$F$18:$F$21, AY11) + SUMIFS(MATCH_INPUT!$I$18:$I$21, MATCH_INPUT!$J$18:$J$21, AY11)
</f>
        <v>5</v>
      </c>
      <c r="BC11" s="20">
        <f>IF(AY11&lt;&gt;"",
    COUNTIFS(MATCH_INPUT!$K$18:$K$21,AY11),
0)</f>
        <v>1</v>
      </c>
      <c r="BD11" s="20">
        <f>IF(AY11&lt;&gt;"",
    COUNTIFS(MATCH_INPUT!$F$18:$F$21, AY11, MATCH_INPUT!$K$18:$K$21, "Draw") +
    COUNTIFS(MATCH_INPUT!$J$18:$J$21, AY11, MATCH_INPUT!$K$18:$K$21, "Draw"),
0)</f>
        <v>0</v>
      </c>
      <c r="BE11" s="20">
        <f>IF(AY11&lt;&gt;"",
    COUNTIFS(MATCH_INPUT!$F$18:$F$21, AY11, MATCH_INPUT!$K$18:$K$21, "&lt;&gt;"&amp;AY11, MATCH_INPUT!$K$18:$K$21, "&lt;&gt;Draw", MATCH_INPUT!$K$18:$K$21, "&lt;&gt;""") +
    COUNTIFS(MATCH_INPUT!$J$18:$J$21, AY11, MATCH_INPUT!$K$18:$K$21, "&lt;&gt;"&amp;AY11, MATCH_INPUT!$K$18:$K$21, "&lt;&gt;Draw", MATCH_INPUT!$K$18:$K$21, "&lt;&gt;"""),
0)</f>
        <v>1</v>
      </c>
      <c r="BF11" s="21">
        <v>1.0</v>
      </c>
      <c r="BG11" s="21">
        <f t="array" ref="BG11">IFERROR(IF(INDEX(Form_Response!F:F, MATCH(1, (Form_Response!C:C='MATCH DATES'!$B$6)*(Form_Response!D:D=B11), 0))="Yes", 1, 0), 0)
</f>
        <v>0</v>
      </c>
      <c r="BH11" s="30" t="str">
        <f t="array" ref="BH11">IFERROR(INDEX(Form_Response!G:G, MATCH(1, (Form_Response!C:C='MATCH DATES'!$B$6)*(Form_Response!D:D=B11), 0)), "")
</f>
        <v/>
      </c>
      <c r="BI11" s="23">
        <f t="shared" si="26"/>
        <v>8</v>
      </c>
      <c r="BJ11" s="24" t="str">
        <f t="shared" si="27"/>
        <v>↓</v>
      </c>
      <c r="BK11" s="25" t="s">
        <v>138</v>
      </c>
      <c r="BL11" s="26">
        <f t="shared" si="28"/>
        <v>34</v>
      </c>
      <c r="BM11" s="26">
        <f t="shared" si="29"/>
        <v>4</v>
      </c>
      <c r="BN11" s="26">
        <f>SUM(BO11*2) + (BP11*1) + SUMIFS(MATCH_INPUT!$G$22:$G$25, MATCH_INPUT!$F$22:$F$25, BK11) + SUMIFS(MATCH_INPUT!$I$22:$I$25, MATCH_INPUT!$J$22:$J$25, BK11)
</f>
        <v>5</v>
      </c>
      <c r="BO11" s="26">
        <f>IF(BK11&lt;&gt;"",
    COUNTIFS(MATCH_INPUT!$K$22:$K$25,BK11),
0)</f>
        <v>1</v>
      </c>
      <c r="BP11" s="26">
        <f>IF(BK11&lt;&gt;"",
    COUNTIFS(MATCH_INPUT!$F$22:$F$25, BK11, MATCH_INPUT!$K$22:$K$25, "Draw") +
    COUNTIFS(MATCH_INPUT!$J$22:$J$25, BK11, MATCH_INPUT!$K$22:$K$25, "Draw"),
0)</f>
        <v>0</v>
      </c>
      <c r="BQ11" s="26">
        <f>IF(BK11&lt;&gt;"",
    COUNTIFS(MATCH_INPUT!$F$22:$F$25, BK11, MATCH_INPUT!$K$22:$K$25, "&lt;&gt;"&amp;BK11, MATCH_INPUT!$K$22:$K$25, "&lt;&gt;Draw", MATCH_INPUT!$K$22:$K$25, "&lt;&gt;""") +
    COUNTIFS(MATCH_INPUT!$J$22:$J$25, BK11, MATCH_INPUT!$K$22:$K$25, "&lt;&gt;"&amp;BK11, MATCH_INPUT!$K$22:$K$25, "&lt;&gt;Draw", MATCH_INPUT!$K$22:$K$25, "&lt;&gt;"""),
0)</f>
        <v>1</v>
      </c>
      <c r="BR11" s="27">
        <v>2.0</v>
      </c>
      <c r="BS11" s="27"/>
      <c r="BT11" s="28"/>
      <c r="BU11" s="26">
        <f t="shared" si="30"/>
        <v>7</v>
      </c>
      <c r="BV11" s="29" t="str">
        <f t="shared" si="31"/>
        <v>↑</v>
      </c>
      <c r="BW11" s="19" t="s">
        <v>138</v>
      </c>
      <c r="BX11" s="23">
        <f t="shared" si="32"/>
        <v>45</v>
      </c>
      <c r="BY11" s="20">
        <f t="shared" si="33"/>
        <v>2</v>
      </c>
      <c r="BZ11" s="20">
        <f>SUM(CA11*2)+(CB11*1) + SUMIFS(MATCH_INPUT!$G$26:$G$29, MATCH_INPUT!$F$26:$F$29, BW11) + SUMIFS(MATCH_INPUT!$I$26:$I$29, MATCH_INPUT!$J$26:$J$29, BW11)
</f>
        <v>9</v>
      </c>
      <c r="CA11" s="20">
        <f>IF(BW11&lt;&gt;"",
    COUNTIFS(MATCH_INPUT!$K$26:$K$29,BW11),
0)</f>
        <v>2</v>
      </c>
      <c r="CB11" s="20">
        <f>IF(BW11&lt;&gt;"",
    COUNTIFS(MATCH_INPUT!$F$26:$F$29, BW11, MATCH_INPUT!$K$26:$K$29, "Draw") +
    COUNTIFS(MATCH_INPUT!$J$26:$J$29, BW11, MATCH_INPUT!$K$26:$K$29, "Draw"),
0)</f>
        <v>0</v>
      </c>
      <c r="CC11" s="20">
        <f>IF(BW11&lt;&gt;"",
    COUNTIFS(MATCH_INPUT!$F$26:$F$29, BW11, MATCH_INPUT!$K$26:$K$29, "&lt;&gt;"&amp;BW11, MATCH_INPUT!$K$26:$K$29, "&lt;&gt;Draw", MATCH_INPUT!$K$26:$K$29, "&lt;&gt;""") +
    COUNTIFS(MATCH_INPUT!$J$26:$J$29, BW11, MATCH_INPUT!$K$26:$K$29, "&lt;&gt;"&amp;BW11, MATCH_INPUT!$K$26:$K$29, "&lt;&gt;Draw", MATCH_INPUT!$K$26:$K$29, "&lt;&gt;"""),
0)</f>
        <v>0</v>
      </c>
      <c r="CD11" s="21">
        <v>2.0</v>
      </c>
      <c r="CE11" s="21"/>
      <c r="CF11" s="30"/>
      <c r="CG11" s="23">
        <f t="shared" si="34"/>
        <v>4</v>
      </c>
      <c r="CH11" s="24" t="str">
        <f t="shared" si="35"/>
        <v>↑</v>
      </c>
      <c r="CI11" s="25" t="s">
        <v>138</v>
      </c>
      <c r="CJ11" s="26">
        <f t="shared" si="36"/>
        <v>50</v>
      </c>
      <c r="CK11" s="26">
        <f t="shared" si="37"/>
        <v>2</v>
      </c>
      <c r="CL11" s="26">
        <f>SUM(CM11*2)+(CN11*1) + SUMIFS(MATCH_INPUT!$G$30:$G$33, MATCH_INPUT!$F$30:$F$33, CI11) + SUMIFS(MATCH_INPUT!$I$30:$I$33, MATCH_INPUT!$J$30:$J$33, CI11)
</f>
        <v>3</v>
      </c>
      <c r="CM11" s="26">
        <f>IF(CI11&lt;&gt;"",
    COUNTIFS(MATCH_INPUT!$K$30:$K$33,CI11),
0)</f>
        <v>1</v>
      </c>
      <c r="CN11" s="26">
        <f>IF(CI11&lt;&gt;"",
    COUNTIFS(MATCH_INPUT!$F$30:$F$33, CI11, MATCH_INPUT!$K$30:$K$33, "Draw") +
    COUNTIFS(MATCH_INPUT!$J$30:$J$33, CI11, MATCH_INPUT!$K$30:$K$33, "Draw"),
0)</f>
        <v>0</v>
      </c>
      <c r="CO11" s="26">
        <f>IF(CI11&lt;&gt;"",
    COUNTIFS(MATCH_INPUT!$F$30:$F$33, CI11, MATCH_INPUT!$K$30:$K$33, "&lt;&gt;"&amp;CI11, MATCH_INPUT!$K$30:$K$33, "&lt;&gt;Draw", MATCH_INPUT!$K$30:$K$33, "&lt;&gt;""") +
    COUNTIFS(MATCH_INPUT!$J$30:$J$33, CI11, MATCH_INPUT!$K$30:$K$33, "&lt;&gt;"&amp;CI11, MATCH_INPUT!$K$30:$K$33, "&lt;&gt;Draw", MATCH_INPUT!$K$30:$K$33, "&lt;&gt;"""),
0)</f>
        <v>1</v>
      </c>
      <c r="CP11" s="27" t="str">
        <f t="array" ref="CP11">IFERROR(INDEX(Form_Response!E:E, MATCH(1, (Form_Response!C:C='MATCH DATES'!$B$9)*(Form_Response!D:D=B11), 0)), "")
</f>
        <v/>
      </c>
      <c r="CQ11" s="27">
        <f t="array" ref="CQ11">IFERROR(IF(INDEX(Form_Response!F:F, MATCH(1, (Form_Response!C:C='MATCH DATES'!$B$9)*(Form_Response!D:D=B11), 0))="Yes", 1, 0), 0)
</f>
        <v>0</v>
      </c>
      <c r="CR11" s="28" t="str">
        <f t="array" ref="CR11">IFERROR(INDEX(Form_Response!G:G, MATCH(1, (Form_Response!C:C='MATCH DATES'!$B$9)*(Form_Response!D:D=B11), 0)), "")
</f>
        <v/>
      </c>
      <c r="CS11" s="31">
        <f t="shared" si="38"/>
        <v>5</v>
      </c>
      <c r="CT11" s="31" t="str">
        <f t="shared" si="39"/>
        <v>↓</v>
      </c>
      <c r="CU11" s="32">
        <f t="shared" si="40"/>
        <v>32</v>
      </c>
      <c r="CV11" s="32" t="str">
        <f t="shared" ref="CV11:CW11" si="64">A11</f>
        <v>⭐️</v>
      </c>
      <c r="CW11" s="33" t="str">
        <f t="shared" si="64"/>
        <v>Valencia</v>
      </c>
      <c r="CX11" s="33">
        <f t="shared" si="42"/>
        <v>50</v>
      </c>
      <c r="CY11" s="32">
        <f>SUM(
  IF(AND('MATCH DATES'!$A$2 &lt;= TODAY(), NOW() &gt;= 'MATCH DATES'!$A$2 + TIME(22, 0, 0)), E11, 0),
  IF(AND('MATCH DATES'!$A$3 &lt;= TODAY(), NOW() &gt;= 'MATCH DATES'!$A$3 + TIME(22, 0, 0)), Q11, 0),
  IF(AND('MATCH DATES'!$A$4 &lt;= TODAY(), NOW() &gt;= 'MATCH DATES'!$A$4 + TIME(22, 0, 0)), AC11, 0),
  IF(AND('MATCH DATES'!$A$5 &lt;= TODAY(), NOW() &gt;= 'MATCH DATES'!$A$5 + TIME(22, 0, 0)), AO11, 0),
  IF(AND('MATCH DATES'!$A$6 &lt;= TODAY(), NOW() &gt;= 'MATCH DATES'!$A$6 + TIME(22, 0, 0)), BA11, 0),
  IF(AND('MATCH DATES'!$A$7 &lt;= TODAY(), NOW() &gt;= 'MATCH DATES'!$A$7 + TIME(22, 0, 0)), BM11, 0),
  IF(AND('MATCH DATES'!$A$8 &lt;= TODAY(), NOW() &gt;= 'MATCH DATES'!$A$8 + TIME(22, 0, 0)), BY11, 0),
  IF(AND('MATCH DATES'!$A$9 &lt;= TODAY(), NOW() &gt;= 'MATCH DATES'!$A$9 + TIME(22, 0, 0)), CK11, 0)
)
</f>
        <v>18</v>
      </c>
      <c r="CZ11" s="33">
        <f t="shared" ref="CZ11:DA11" si="65">SUM(G11,S11,AE11,AQ11,BC11,BO11,CA11,CM11)</f>
        <v>10</v>
      </c>
      <c r="DA11" s="33">
        <f t="shared" si="65"/>
        <v>0</v>
      </c>
      <c r="DB11" s="33">
        <f>SUM(
  IF(AND('MATCH DATES'!$A$2 &lt;= TODAY(), NOW() &gt;= 'MATCH DATES'!$A$2 + TIME(22, 0, 0)), I11, 0),
  IF(AND('MATCH DATES'!$A$3 &lt;= TODAY(), NOW() &gt;= 'MATCH DATES'!$A$3 + TIME(22, 0, 0)), U11, 0),
  IF(AND('MATCH DATES'!$A$4 &lt;= TODAY(), NOW() &gt;= 'MATCH DATES'!$A$4 + TIME(22, 0, 0)), AG11, 0),
  IF(AND('MATCH DATES'!$A$5 &lt;= TODAY(), NOW() &gt;= 'MATCH DATES'!$A$5 + TIME(22, 0, 0)), AS11, 0),
  IF(AND('MATCH DATES'!$A$6 &lt;= TODAY(), NOW() &gt;= 'MATCH DATES'!$A$6 + TIME(22, 0, 0)), BE11, 0),
  IF(AND('MATCH DATES'!$A$7 &lt;= TODAY(), NOW() &gt;= 'MATCH DATES'!$A$7 + TIME(22, 0, 0)), BQ11, 0),
  IF(AND('MATCH DATES'!$A$8 &lt;= TODAY(), NOW() &gt;= 'MATCH DATES'!$A$8 + TIME(22, 0, 0)), CC11, 0),
  IF(AND('MATCH DATES'!$A$9 &lt;= TODAY(), NOW() &gt;= 'MATCH DATES'!$A$9 + TIME(22, 0, 0)), CO11, 0)
)</f>
        <v>6</v>
      </c>
      <c r="DC11" s="33">
        <f t="shared" si="44"/>
        <v>8</v>
      </c>
      <c r="DD11" s="33">
        <f t="shared" ref="DD11:DE11" si="66">SUM(K11,W11,AI11,AU11,BG11,BS11,CE11,CQ11)</f>
        <v>0</v>
      </c>
      <c r="DE11" s="33">
        <f t="shared" si="66"/>
        <v>0</v>
      </c>
    </row>
    <row r="12" ht="24.75" customHeight="1">
      <c r="A12" s="17" t="s">
        <v>136</v>
      </c>
      <c r="B12" s="18" t="s">
        <v>150</v>
      </c>
      <c r="C12" s="19" t="s">
        <v>141</v>
      </c>
      <c r="D12" s="20">
        <f t="shared" si="4"/>
        <v>5</v>
      </c>
      <c r="E12" s="20">
        <f t="shared" si="5"/>
        <v>2</v>
      </c>
      <c r="F12" s="20">
        <f t="shared" si="6"/>
        <v>2</v>
      </c>
      <c r="G12" s="20">
        <f>IF(C12&lt;&gt;"",
    COUNTIFS(MATCH_INPUT!$K$2:$K$5,C12),
0)</f>
        <v>1</v>
      </c>
      <c r="H12" s="20">
        <f>IF(C12&lt;&gt;"",
    COUNTIFS(MATCH_INPUT!$F$2:$F$5, C12, MATCH_INPUT!$K$2:$K$5, "Draw") +
    COUNTIFS(MATCH_INPUT!$J$2:$J$5, C12, MATCH_INPUT!$K$2:$K$5, "Draw"),
0)</f>
        <v>0</v>
      </c>
      <c r="I12" s="20">
        <f>IF(C12&lt;&gt;"",
    COUNTIFS(MATCH_INPUT!$F$2:$F$5, C12, MATCH_INPUT!$K$2:$K$5, "&lt;&gt;"&amp;C12, MATCH_INPUT!$K$2:$K$5, "&lt;&gt;Draw", MATCH_INPUT!$K$2:$K$5, "&lt;&gt;""") +
    COUNTIFS(MATCH_INPUT!$J$2:$J$5, C12, MATCH_INPUT!$K$2:$K$5, "&lt;&gt;"&amp;C12, MATCH_INPUT!$K$2:$K$5, "&lt;&gt;Draw", MATCH_INPUT!$K$2:$K$5, "&lt;&gt;"""),
0)</f>
        <v>1</v>
      </c>
      <c r="J12" s="21"/>
      <c r="K12" s="21">
        <v>1.0</v>
      </c>
      <c r="L12" s="22"/>
      <c r="M12" s="23">
        <f t="shared" si="7"/>
        <v>9</v>
      </c>
      <c r="N12" s="24" t="str">
        <f t="shared" si="8"/>
        <v>↓</v>
      </c>
      <c r="O12" s="25"/>
      <c r="P12" s="26">
        <f t="shared" si="9"/>
        <v>5</v>
      </c>
      <c r="Q12" s="26">
        <f t="shared" si="10"/>
        <v>0</v>
      </c>
      <c r="R12" s="26">
        <f t="shared" si="11"/>
        <v>0</v>
      </c>
      <c r="S12" s="26">
        <f>IF(O12&lt;&gt;"",
    COUNTIFS(MATCH_INPUT!$K$6:$K$9,O12),
0)</f>
        <v>0</v>
      </c>
      <c r="T12" s="26">
        <f>IF(O12&lt;&gt;"",
    COUNTIFS(MATCH_INPUT!$F$6:$F$9, O12, MATCH_INPUT!$K$6:$K$9, "Draw") +
    COUNTIFS(MATCH_INPUT!$J$6:$J$9, O12, MATCH_INPUT!$K$6:$K$9, "Draw"),
0)</f>
        <v>0</v>
      </c>
      <c r="U12" s="26">
        <f>IF(O12&lt;&gt;"",
    COUNTIFS(MATCH_INPUT!$F$6:$F$9, O12, MATCH_INPUT!$K$6:$K$9, "&lt;&gt;"&amp;O12, MATCH_INPUT!$K$6:$K$9, "&lt;&gt;Draw", MATCH_INPUT!$K$6:$K$9, "&lt;&gt;""") +
    COUNTIFS(MATCH_INPUT!$J$6:$J$9, O12, MATCH_INPUT!$K$6:$K$9, "&lt;&gt;"&amp;O12, MATCH_INPUT!$K$6:$K$9, "&lt;&gt;Draw", MATCH_INPUT!$K$6:$K$9, "&lt;&gt;"""),
0)</f>
        <v>0</v>
      </c>
      <c r="V12" s="27"/>
      <c r="W12" s="27"/>
      <c r="X12" s="28"/>
      <c r="Y12" s="26">
        <f t="shared" si="12"/>
        <v>28</v>
      </c>
      <c r="Z12" s="29" t="str">
        <f t="shared" si="13"/>
        <v>↓</v>
      </c>
      <c r="AA12" s="19" t="s">
        <v>138</v>
      </c>
      <c r="AB12" s="23">
        <f t="shared" si="14"/>
        <v>8</v>
      </c>
      <c r="AC12" s="20">
        <f t="shared" si="15"/>
        <v>2</v>
      </c>
      <c r="AD12" s="20">
        <f t="shared" si="16"/>
        <v>0</v>
      </c>
      <c r="AE12" s="20">
        <f>IF(AA12&lt;&gt;"",
    COUNTIFS(MATCH_INPUT!$K$10:$K$13,AA12),
0)</f>
        <v>0</v>
      </c>
      <c r="AF12" s="20">
        <f>IF(AA12&lt;&gt;"",
    COUNTIFS(MATCH_INPUT!$F$10:$F$13, AA12, MATCH_INPUT!$K$10:$K$13, "Draw") +
    COUNTIFS(MATCH_INPUT!$J$10:$J$13, AA12, MATCH_INPUT!$K$10:$K$13, "Draw"),
0)</f>
        <v>0</v>
      </c>
      <c r="AG12" s="20">
        <f>IF(AA12&lt;&gt;"",
    COUNTIFS(MATCH_INPUT!$F$10:$F$13, AA12, MATCH_INPUT!$K$10:$K$13, "&lt;&gt;"&amp;AA12, MATCH_INPUT!$K$10:$K$13, "&lt;&gt;Draw", MATCH_INPUT!$K$10:$K$13, "&lt;&gt;""") +
    COUNTIFS(MATCH_INPUT!$J$10:$J$13, AA12, MATCH_INPUT!$K$10:$K$13, "&lt;&gt;"&amp;AA12, MATCH_INPUT!$K$10:$K$13, "&lt;&gt;Draw", MATCH_INPUT!$K$10:$K$13, "&lt;&gt;"""),
0)</f>
        <v>2</v>
      </c>
      <c r="AH12" s="21"/>
      <c r="AI12" s="21">
        <v>1.0</v>
      </c>
      <c r="AJ12" s="30"/>
      <c r="AK12" s="23">
        <f t="shared" si="17"/>
        <v>29</v>
      </c>
      <c r="AL12" s="24" t="str">
        <f t="shared" si="18"/>
        <v>↓</v>
      </c>
      <c r="AM12" s="25" t="s">
        <v>140</v>
      </c>
      <c r="AN12" s="26">
        <f t="shared" si="19"/>
        <v>13</v>
      </c>
      <c r="AO12" s="26">
        <f t="shared" si="20"/>
        <v>2</v>
      </c>
      <c r="AP12" s="26">
        <f t="shared" si="21"/>
        <v>2</v>
      </c>
      <c r="AQ12" s="26">
        <f>IF(AM12&lt;&gt;"",
    COUNTIFS(MATCH_INPUT!$K$14:$K$17,AM12),
0)</f>
        <v>1</v>
      </c>
      <c r="AR12" s="26">
        <f>IF(AM12&lt;&gt;"",
    COUNTIFS(MATCH_INPUT!$F$14:$F$17, AM12, MATCH_INPUT!$K$14:$K$17, "Draw") +
    COUNTIFS(MATCH_INPUT!$J$14:$J$17, AM12, MATCH_INPUT!$K$14:$K$17, "Draw"),
0)</f>
        <v>0</v>
      </c>
      <c r="AS12" s="26">
        <f>IF(AM12&lt;&gt;"",
    COUNTIFS(MATCH_INPUT!$F$14:$F$17, AM12, MATCH_INPUT!$K$14:$K$17, "&lt;&gt;"&amp;AM12, MATCH_INPUT!$K$14:$K$17, "&lt;&gt;Draw", MATCH_INPUT!$K$14:$K$17, "&lt;&gt;""") +
    COUNTIFS(MATCH_INPUT!$J$14:$J$17, AM12, MATCH_INPUT!$K$14:$K$17, "&lt;&gt;"&amp;AM12, MATCH_INPUT!$K$14:$K$17, "&lt;&gt;Draw", MATCH_INPUT!$K$14:$K$17, "&lt;&gt;"""),
0)</f>
        <v>1</v>
      </c>
      <c r="AT12" s="27"/>
      <c r="AU12" s="27">
        <v>1.0</v>
      </c>
      <c r="AV12" s="28"/>
      <c r="AW12" s="26">
        <f t="shared" si="22"/>
        <v>24</v>
      </c>
      <c r="AX12" s="29" t="str">
        <f t="shared" si="23"/>
        <v>↑</v>
      </c>
      <c r="AY12" s="19" t="s">
        <v>138</v>
      </c>
      <c r="AZ12" s="23">
        <f t="shared" si="24"/>
        <v>21</v>
      </c>
      <c r="BA12" s="20">
        <f t="shared" si="25"/>
        <v>2</v>
      </c>
      <c r="BB12" s="20">
        <f>SUM(BC12*2) + (BD12*1) + SUMIFS(MATCH_INPUT!$G$18:$G$21, MATCH_INPUT!$F$18:$F$21, AY12) + SUMIFS(MATCH_INPUT!$I$18:$I$21, MATCH_INPUT!$J$18:$J$21, AY12)
</f>
        <v>5</v>
      </c>
      <c r="BC12" s="20">
        <f>IF(AY12&lt;&gt;"",
    COUNTIFS(MATCH_INPUT!$K$18:$K$21,AY12),
0)</f>
        <v>1</v>
      </c>
      <c r="BD12" s="20">
        <f>IF(AY12&lt;&gt;"",
    COUNTIFS(MATCH_INPUT!$F$18:$F$21, AY12, MATCH_INPUT!$K$18:$K$21, "Draw") +
    COUNTIFS(MATCH_INPUT!$J$18:$J$21, AY12, MATCH_INPUT!$K$18:$K$21, "Draw"),
0)</f>
        <v>0</v>
      </c>
      <c r="BE12" s="20">
        <f>IF(AY12&lt;&gt;"",
    COUNTIFS(MATCH_INPUT!$F$18:$F$21, AY12, MATCH_INPUT!$K$18:$K$21, "&lt;&gt;"&amp;AY12, MATCH_INPUT!$K$18:$K$21, "&lt;&gt;Draw", MATCH_INPUT!$K$18:$K$21, "&lt;&gt;""") +
    COUNTIFS(MATCH_INPUT!$J$18:$J$21, AY12, MATCH_INPUT!$K$18:$K$21, "&lt;&gt;"&amp;AY12, MATCH_INPUT!$K$18:$K$21, "&lt;&gt;Draw", MATCH_INPUT!$K$18:$K$21, "&lt;&gt;"""),
0)</f>
        <v>1</v>
      </c>
      <c r="BF12" s="21" t="str">
        <f t="array" ref="BF12">IFERROR(INDEX(Form_Response!E:E, MATCH(1, (Form_Response!C:C='MATCH DATES'!$B$6)*(Form_Response!D:D=B12), 0)), "")
</f>
        <v/>
      </c>
      <c r="BG12" s="21">
        <v>1.0</v>
      </c>
      <c r="BH12" s="30" t="str">
        <f t="array" ref="BH12">IFERROR(INDEX(Form_Response!G:G, MATCH(1, (Form_Response!C:C='MATCH DATES'!$B$6)*(Form_Response!D:D=B12), 0)), "")
</f>
        <v/>
      </c>
      <c r="BI12" s="23">
        <f t="shared" si="26"/>
        <v>20</v>
      </c>
      <c r="BJ12" s="24" t="str">
        <f t="shared" si="27"/>
        <v>↑</v>
      </c>
      <c r="BK12" s="25" t="s">
        <v>140</v>
      </c>
      <c r="BL12" s="26">
        <f t="shared" si="28"/>
        <v>34</v>
      </c>
      <c r="BM12" s="26">
        <f t="shared" si="29"/>
        <v>4</v>
      </c>
      <c r="BN12" s="26">
        <f>SUM(BO12*2) + (BP12*1) + SUMIFS(MATCH_INPUT!$G$22:$G$25, MATCH_INPUT!$F$22:$F$25, BK12) + SUMIFS(MATCH_INPUT!$I$22:$I$25, MATCH_INPUT!$J$22:$J$25, BK12)
</f>
        <v>8</v>
      </c>
      <c r="BO12" s="26">
        <f>IF(BK12&lt;&gt;"",
    COUNTIFS(MATCH_INPUT!$K$22:$K$25,BK12),
0)</f>
        <v>1</v>
      </c>
      <c r="BP12" s="26">
        <f>IF(BK12&lt;&gt;"",
    COUNTIFS(MATCH_INPUT!$F$22:$F$25, BK12, MATCH_INPUT!$K$22:$K$25, "Draw") +
    COUNTIFS(MATCH_INPUT!$J$22:$J$25, BK12, MATCH_INPUT!$K$22:$K$25, "Draw"),
0)</f>
        <v>1</v>
      </c>
      <c r="BQ12" s="26">
        <f>IF(BK12&lt;&gt;"",
    COUNTIFS(MATCH_INPUT!$F$22:$F$25, BK12, MATCH_INPUT!$K$22:$K$25, "&lt;&gt;"&amp;BK12, MATCH_INPUT!$K$22:$K$25, "&lt;&gt;Draw", MATCH_INPUT!$K$22:$K$25, "&lt;&gt;""") +
    COUNTIFS(MATCH_INPUT!$J$22:$J$25, BK12, MATCH_INPUT!$K$22:$K$25, "&lt;&gt;"&amp;BK12, MATCH_INPUT!$K$22:$K$25, "&lt;&gt;Draw", MATCH_INPUT!$K$22:$K$25, "&lt;&gt;"""),
0)</f>
        <v>0</v>
      </c>
      <c r="BR12" s="27"/>
      <c r="BS12" s="27">
        <v>1.0</v>
      </c>
      <c r="BT12" s="28">
        <v>1.0</v>
      </c>
      <c r="BU12" s="26">
        <f t="shared" si="30"/>
        <v>7</v>
      </c>
      <c r="BV12" s="29" t="str">
        <f t="shared" si="31"/>
        <v>↑</v>
      </c>
      <c r="BW12" s="19" t="s">
        <v>140</v>
      </c>
      <c r="BX12" s="23">
        <f t="shared" si="32"/>
        <v>40</v>
      </c>
      <c r="BY12" s="20">
        <f t="shared" si="33"/>
        <v>2</v>
      </c>
      <c r="BZ12" s="20">
        <f>SUM(CA12*2)+(CB12*1) + SUMIFS(MATCH_INPUT!$G$26:$G$29, MATCH_INPUT!$F$26:$F$29, BW12) + SUMIFS(MATCH_INPUT!$I$26:$I$29, MATCH_INPUT!$J$26:$J$29, BW12)
</f>
        <v>4</v>
      </c>
      <c r="CA12" s="20">
        <f>IF(BW12&lt;&gt;"",
    COUNTIFS(MATCH_INPUT!$K$26:$K$29,BW12),
0)</f>
        <v>1</v>
      </c>
      <c r="CB12" s="20">
        <f>IF(BW12&lt;&gt;"",
    COUNTIFS(MATCH_INPUT!$F$26:$F$29, BW12, MATCH_INPUT!$K$26:$K$29, "Draw") +
    COUNTIFS(MATCH_INPUT!$J$26:$J$29, BW12, MATCH_INPUT!$K$26:$K$29, "Draw"),
0)</f>
        <v>0</v>
      </c>
      <c r="CC12" s="20">
        <f>IF(BW12&lt;&gt;"",
    COUNTIFS(MATCH_INPUT!$F$26:$F$29, BW12, MATCH_INPUT!$K$26:$K$29, "&lt;&gt;"&amp;BW12, MATCH_INPUT!$K$26:$K$29, "&lt;&gt;Draw", MATCH_INPUT!$K$26:$K$29, "&lt;&gt;""") +
    COUNTIFS(MATCH_INPUT!$J$26:$J$29, BW12, MATCH_INPUT!$K$26:$K$29, "&lt;&gt;"&amp;BW12, MATCH_INPUT!$K$26:$K$29, "&lt;&gt;Draw", MATCH_INPUT!$K$26:$K$29, "&lt;&gt;"""),
0)</f>
        <v>1</v>
      </c>
      <c r="CD12" s="21"/>
      <c r="CE12" s="21"/>
      <c r="CF12" s="30"/>
      <c r="CG12" s="23">
        <f t="shared" si="34"/>
        <v>10</v>
      </c>
      <c r="CH12" s="24" t="str">
        <f t="shared" si="35"/>
        <v>↓</v>
      </c>
      <c r="CI12" s="25" t="s">
        <v>141</v>
      </c>
      <c r="CJ12" s="26">
        <f t="shared" si="36"/>
        <v>53</v>
      </c>
      <c r="CK12" s="26">
        <f t="shared" si="37"/>
        <v>2</v>
      </c>
      <c r="CL12" s="26">
        <f>SUM(CM12*2)+(CN12*1) + SUMIFS(MATCH_INPUT!$G$30:$G$33, MATCH_INPUT!$F$30:$F$33, CI12) + SUMIFS(MATCH_INPUT!$I$30:$I$33, MATCH_INPUT!$J$30:$J$33, CI12)
</f>
        <v>10</v>
      </c>
      <c r="CM12" s="26">
        <f>IF(CI12&lt;&gt;"",
    COUNTIFS(MATCH_INPUT!$K$30:$K$33,CI12),
0)</f>
        <v>2</v>
      </c>
      <c r="CN12" s="26">
        <f>IF(CI12&lt;&gt;"",
    COUNTIFS(MATCH_INPUT!$F$30:$F$33, CI12, MATCH_INPUT!$K$30:$K$33, "Draw") +
    COUNTIFS(MATCH_INPUT!$J$30:$J$33, CI12, MATCH_INPUT!$K$30:$K$33, "Draw"),
0)</f>
        <v>0</v>
      </c>
      <c r="CO12" s="26">
        <f>IF(CI12&lt;&gt;"",
    COUNTIFS(MATCH_INPUT!$F$30:$F$33, CI12, MATCH_INPUT!$K$30:$K$33, "&lt;&gt;"&amp;CI12, MATCH_INPUT!$K$30:$K$33, "&lt;&gt;Draw", MATCH_INPUT!$K$30:$K$33, "&lt;&gt;""") +
    COUNTIFS(MATCH_INPUT!$J$30:$J$33, CI12, MATCH_INPUT!$K$30:$K$33, "&lt;&gt;"&amp;CI12, MATCH_INPUT!$K$30:$K$33, "&lt;&gt;Draw", MATCH_INPUT!$K$30:$K$33, "&lt;&gt;"""),
0)</f>
        <v>0</v>
      </c>
      <c r="CP12" s="27" t="str">
        <f t="array" ref="CP12">IFERROR(INDEX(Form_Response!E:E, MATCH(1, (Form_Response!C:C='MATCH DATES'!$B$9)*(Form_Response!D:D=B12), 0)), "")
</f>
        <v/>
      </c>
      <c r="CQ12" s="27">
        <v>1.0</v>
      </c>
      <c r="CR12" s="28">
        <v>1.0</v>
      </c>
      <c r="CS12" s="31">
        <f t="shared" si="38"/>
        <v>2</v>
      </c>
      <c r="CT12" s="31" t="str">
        <f t="shared" si="39"/>
        <v>↑</v>
      </c>
      <c r="CU12" s="32">
        <f t="shared" si="40"/>
        <v>31</v>
      </c>
      <c r="CV12" s="32" t="str">
        <f t="shared" ref="CV12:CW12" si="67">A12</f>
        <v>⭐️</v>
      </c>
      <c r="CW12" s="33" t="str">
        <f t="shared" si="67"/>
        <v>Fer</v>
      </c>
      <c r="CX12" s="33">
        <f t="shared" si="42"/>
        <v>53</v>
      </c>
      <c r="CY12" s="32">
        <f>SUM(
  IF(AND('MATCH DATES'!$A$2 &lt;= TODAY(), NOW() &gt;= 'MATCH DATES'!$A$2 + TIME(22, 0, 0)), E12, 0),
  IF(AND('MATCH DATES'!$A$3 &lt;= TODAY(), NOW() &gt;= 'MATCH DATES'!$A$3 + TIME(22, 0, 0)), Q12, 0),
  IF(AND('MATCH DATES'!$A$4 &lt;= TODAY(), NOW() &gt;= 'MATCH DATES'!$A$4 + TIME(22, 0, 0)), AC12, 0),
  IF(AND('MATCH DATES'!$A$5 &lt;= TODAY(), NOW() &gt;= 'MATCH DATES'!$A$5 + TIME(22, 0, 0)), AO12, 0),
  IF(AND('MATCH DATES'!$A$6 &lt;= TODAY(), NOW() &gt;= 'MATCH DATES'!$A$6 + TIME(22, 0, 0)), BA12, 0),
  IF(AND('MATCH DATES'!$A$7 &lt;= TODAY(), NOW() &gt;= 'MATCH DATES'!$A$7 + TIME(22, 0, 0)), BM12, 0),
  IF(AND('MATCH DATES'!$A$8 &lt;= TODAY(), NOW() &gt;= 'MATCH DATES'!$A$8 + TIME(22, 0, 0)), BY12, 0),
  IF(AND('MATCH DATES'!$A$9 &lt;= TODAY(), NOW() &gt;= 'MATCH DATES'!$A$9 + TIME(22, 0, 0)), CK12, 0)
)
</f>
        <v>16</v>
      </c>
      <c r="CZ12" s="33">
        <f t="shared" ref="CZ12:DA12" si="68">SUM(G12,S12,AE12,AQ12,BC12,BO12,CA12,CM12)</f>
        <v>7</v>
      </c>
      <c r="DA12" s="33">
        <f t="shared" si="68"/>
        <v>1</v>
      </c>
      <c r="DB12" s="33">
        <f>SUM(
  IF(AND('MATCH DATES'!$A$2 &lt;= TODAY(), NOW() &gt;= 'MATCH DATES'!$A$2 + TIME(22, 0, 0)), I12, 0),
  IF(AND('MATCH DATES'!$A$3 &lt;= TODAY(), NOW() &gt;= 'MATCH DATES'!$A$3 + TIME(22, 0, 0)), U12, 0),
  IF(AND('MATCH DATES'!$A$4 &lt;= TODAY(), NOW() &gt;= 'MATCH DATES'!$A$4 + TIME(22, 0, 0)), AG12, 0),
  IF(AND('MATCH DATES'!$A$5 &lt;= TODAY(), NOW() &gt;= 'MATCH DATES'!$A$5 + TIME(22, 0, 0)), AS12, 0),
  IF(AND('MATCH DATES'!$A$6 &lt;= TODAY(), NOW() &gt;= 'MATCH DATES'!$A$6 + TIME(22, 0, 0)), BE12, 0),
  IF(AND('MATCH DATES'!$A$7 &lt;= TODAY(), NOW() &gt;= 'MATCH DATES'!$A$7 + TIME(22, 0, 0)), BQ12, 0),
  IF(AND('MATCH DATES'!$A$8 &lt;= TODAY(), NOW() &gt;= 'MATCH DATES'!$A$8 + TIME(22, 0, 0)), CC12, 0),
  IF(AND('MATCH DATES'!$A$9 &lt;= TODAY(), NOW() &gt;= 'MATCH DATES'!$A$9 + TIME(22, 0, 0)), CO12, 0)
)</f>
        <v>6</v>
      </c>
      <c r="DC12" s="33">
        <f t="shared" si="44"/>
        <v>0</v>
      </c>
      <c r="DD12" s="33">
        <f t="shared" ref="DD12:DE12" si="69">SUM(K12,W12,AI12,AU12,BG12,BS12,CE12,CQ12)</f>
        <v>6</v>
      </c>
      <c r="DE12" s="33">
        <f t="shared" si="69"/>
        <v>2</v>
      </c>
    </row>
    <row r="13" ht="24.75" customHeight="1">
      <c r="A13" s="17" t="s">
        <v>136</v>
      </c>
      <c r="B13" s="18" t="s">
        <v>151</v>
      </c>
      <c r="C13" s="19" t="s">
        <v>141</v>
      </c>
      <c r="D13" s="20">
        <f t="shared" si="4"/>
        <v>4</v>
      </c>
      <c r="E13" s="20">
        <f t="shared" si="5"/>
        <v>2</v>
      </c>
      <c r="F13" s="20">
        <f t="shared" si="6"/>
        <v>2</v>
      </c>
      <c r="G13" s="20">
        <f>IF(C13&lt;&gt;"",
    COUNTIFS(MATCH_INPUT!$K$2:$K$5,C13),
0)</f>
        <v>1</v>
      </c>
      <c r="H13" s="20">
        <f>IF(C13&lt;&gt;"",
    COUNTIFS(MATCH_INPUT!$F$2:$F$5, C13, MATCH_INPUT!$K$2:$K$5, "Draw") +
    COUNTIFS(MATCH_INPUT!$J$2:$J$5, C13, MATCH_INPUT!$K$2:$K$5, "Draw"),
0)</f>
        <v>0</v>
      </c>
      <c r="I13" s="20">
        <f>IF(C13&lt;&gt;"",
    COUNTIFS(MATCH_INPUT!$F$2:$F$5, C13, MATCH_INPUT!$K$2:$K$5, "&lt;&gt;"&amp;C13, MATCH_INPUT!$K$2:$K$5, "&lt;&gt;Draw", MATCH_INPUT!$K$2:$K$5, "&lt;&gt;""") +
    COUNTIFS(MATCH_INPUT!$J$2:$J$5, C13, MATCH_INPUT!$K$2:$K$5, "&lt;&gt;"&amp;C13, MATCH_INPUT!$K$2:$K$5, "&lt;&gt;Draw", MATCH_INPUT!$K$2:$K$5, "&lt;&gt;"""),
0)</f>
        <v>1</v>
      </c>
      <c r="J13" s="21"/>
      <c r="K13" s="21"/>
      <c r="L13" s="22"/>
      <c r="M13" s="23">
        <f t="shared" si="7"/>
        <v>11</v>
      </c>
      <c r="N13" s="24" t="str">
        <f t="shared" si="8"/>
        <v>↓</v>
      </c>
      <c r="O13" s="25" t="s">
        <v>140</v>
      </c>
      <c r="P13" s="26">
        <f t="shared" si="9"/>
        <v>7</v>
      </c>
      <c r="Q13" s="26">
        <f t="shared" si="10"/>
        <v>2</v>
      </c>
      <c r="R13" s="26">
        <f t="shared" si="11"/>
        <v>1</v>
      </c>
      <c r="S13" s="26">
        <f>IF(O13&lt;&gt;"",
    COUNTIFS(MATCH_INPUT!$K$6:$K$9,O13),
0)</f>
        <v>0</v>
      </c>
      <c r="T13" s="26">
        <f>IF(O13&lt;&gt;"",
    COUNTIFS(MATCH_INPUT!$F$6:$F$9, O13, MATCH_INPUT!$K$6:$K$9, "Draw") +
    COUNTIFS(MATCH_INPUT!$J$6:$J$9, O13, MATCH_INPUT!$K$6:$K$9, "Draw"),
0)</f>
        <v>1</v>
      </c>
      <c r="U13" s="26">
        <f>IF(O13&lt;&gt;"",
    COUNTIFS(MATCH_INPUT!$F$6:$F$9, O13, MATCH_INPUT!$K$6:$K$9, "&lt;&gt;"&amp;O13, MATCH_INPUT!$K$6:$K$9, "&lt;&gt;Draw", MATCH_INPUT!$K$6:$K$9, "&lt;&gt;""") +
    COUNTIFS(MATCH_INPUT!$J$6:$J$9, O13, MATCH_INPUT!$K$6:$K$9, "&lt;&gt;"&amp;O13, MATCH_INPUT!$K$6:$K$9, "&lt;&gt;Draw", MATCH_INPUT!$K$6:$K$9, "&lt;&gt;"""),
0)</f>
        <v>1</v>
      </c>
      <c r="V13" s="27"/>
      <c r="W13" s="27"/>
      <c r="X13" s="28"/>
      <c r="Y13" s="26">
        <f t="shared" si="12"/>
        <v>15</v>
      </c>
      <c r="Z13" s="29" t="str">
        <f t="shared" si="13"/>
        <v>↓</v>
      </c>
      <c r="AA13" s="19" t="s">
        <v>140</v>
      </c>
      <c r="AB13" s="23">
        <f t="shared" si="14"/>
        <v>12</v>
      </c>
      <c r="AC13" s="20">
        <f t="shared" si="15"/>
        <v>2</v>
      </c>
      <c r="AD13" s="20">
        <f t="shared" si="16"/>
        <v>2</v>
      </c>
      <c r="AE13" s="20">
        <f>IF(AA13&lt;&gt;"",
    COUNTIFS(MATCH_INPUT!$K$10:$K$13,AA13),
0)</f>
        <v>1</v>
      </c>
      <c r="AF13" s="20">
        <f>IF(AA13&lt;&gt;"",
    COUNTIFS(MATCH_INPUT!$F$10:$F$13, AA13, MATCH_INPUT!$K$10:$K$13, "Draw") +
    COUNTIFS(MATCH_INPUT!$J$10:$J$13, AA13, MATCH_INPUT!$K$10:$K$13, "Draw"),
0)</f>
        <v>0</v>
      </c>
      <c r="AG13" s="20">
        <f>IF(AA13&lt;&gt;"",
    COUNTIFS(MATCH_INPUT!$F$10:$F$13, AA13, MATCH_INPUT!$K$10:$K$13, "&lt;&gt;"&amp;AA13, MATCH_INPUT!$K$10:$K$13, "&lt;&gt;Draw", MATCH_INPUT!$K$10:$K$13, "&lt;&gt;""") +
    COUNTIFS(MATCH_INPUT!$J$10:$J$13, AA13, MATCH_INPUT!$K$10:$K$13, "&lt;&gt;"&amp;AA13, MATCH_INPUT!$K$10:$K$13, "&lt;&gt;Draw", MATCH_INPUT!$K$10:$K$13, "&lt;&gt;"""),
0)</f>
        <v>1</v>
      </c>
      <c r="AH13" s="21"/>
      <c r="AI13" s="21">
        <v>1.0</v>
      </c>
      <c r="AJ13" s="30"/>
      <c r="AK13" s="23">
        <f t="shared" si="17"/>
        <v>13</v>
      </c>
      <c r="AL13" s="24" t="str">
        <f t="shared" si="18"/>
        <v>↑</v>
      </c>
      <c r="AM13" s="25" t="s">
        <v>138</v>
      </c>
      <c r="AN13" s="26">
        <f t="shared" si="19"/>
        <v>15</v>
      </c>
      <c r="AO13" s="26">
        <f t="shared" si="20"/>
        <v>2</v>
      </c>
      <c r="AP13" s="26">
        <f t="shared" si="21"/>
        <v>0</v>
      </c>
      <c r="AQ13" s="26">
        <f>IF(AM13&lt;&gt;"",
    COUNTIFS(MATCH_INPUT!$K$14:$K$17,AM13),
0)</f>
        <v>0</v>
      </c>
      <c r="AR13" s="26">
        <f>IF(AM13&lt;&gt;"",
    COUNTIFS(MATCH_INPUT!$F$14:$F$17, AM13, MATCH_INPUT!$K$14:$K$17, "Draw") +
    COUNTIFS(MATCH_INPUT!$J$14:$J$17, AM13, MATCH_INPUT!$K$14:$K$17, "Draw"),
0)</f>
        <v>0</v>
      </c>
      <c r="AS13" s="26">
        <f>IF(AM13&lt;&gt;"",
    COUNTIFS(MATCH_INPUT!$F$14:$F$17, AM13, MATCH_INPUT!$K$14:$K$17, "&lt;&gt;"&amp;AM13, MATCH_INPUT!$K$14:$K$17, "&lt;&gt;Draw", MATCH_INPUT!$K$14:$K$17, "&lt;&gt;""") +
    COUNTIFS(MATCH_INPUT!$J$14:$J$17, AM13, MATCH_INPUT!$K$14:$K$17, "&lt;&gt;"&amp;AM13, MATCH_INPUT!$K$14:$K$17, "&lt;&gt;Draw", MATCH_INPUT!$K$14:$K$17, "&lt;&gt;"""),
0)</f>
        <v>2</v>
      </c>
      <c r="AT13" s="27"/>
      <c r="AU13" s="27">
        <v>1.0</v>
      </c>
      <c r="AV13" s="28"/>
      <c r="AW13" s="26">
        <f t="shared" si="22"/>
        <v>17</v>
      </c>
      <c r="AX13" s="29" t="str">
        <f t="shared" si="23"/>
        <v>↓</v>
      </c>
      <c r="AY13" s="19" t="s">
        <v>139</v>
      </c>
      <c r="AZ13" s="23">
        <f t="shared" si="24"/>
        <v>24</v>
      </c>
      <c r="BA13" s="20">
        <f t="shared" si="25"/>
        <v>2</v>
      </c>
      <c r="BB13" s="20">
        <f>SUM(BC13*2) + (BD13*1) + SUMIFS(MATCH_INPUT!$G$18:$G$21, MATCH_INPUT!$F$18:$F$21, AY13) + SUMIFS(MATCH_INPUT!$I$18:$I$21, MATCH_INPUT!$J$18:$J$21, AY13)
</f>
        <v>6</v>
      </c>
      <c r="BC13" s="20">
        <f>IF(AY13&lt;&gt;"",
    COUNTIFS(MATCH_INPUT!$K$18:$K$21,AY13),
0)</f>
        <v>1</v>
      </c>
      <c r="BD13" s="20">
        <f>IF(AY13&lt;&gt;"",
    COUNTIFS(MATCH_INPUT!$F$18:$F$21, AY13, MATCH_INPUT!$K$18:$K$21, "Draw") +
    COUNTIFS(MATCH_INPUT!$J$18:$J$21, AY13, MATCH_INPUT!$K$18:$K$21, "Draw"),
0)</f>
        <v>0</v>
      </c>
      <c r="BE13" s="20">
        <f>IF(AY13&lt;&gt;"",
    COUNTIFS(MATCH_INPUT!$F$18:$F$21, AY13, MATCH_INPUT!$K$18:$K$21, "&lt;&gt;"&amp;AY13, MATCH_INPUT!$K$18:$K$21, "&lt;&gt;Draw", MATCH_INPUT!$K$18:$K$21, "&lt;&gt;""") +
    COUNTIFS(MATCH_INPUT!$J$18:$J$21, AY13, MATCH_INPUT!$K$18:$K$21, "&lt;&gt;"&amp;AY13, MATCH_INPUT!$K$18:$K$21, "&lt;&gt;Draw", MATCH_INPUT!$K$18:$K$21, "&lt;&gt;"""),
0)</f>
        <v>1</v>
      </c>
      <c r="BF13" s="21" t="str">
        <f t="array" ref="BF13">IFERROR(INDEX(Form_Response!E:E, MATCH(1, (Form_Response!C:C='MATCH DATES'!$B$6)*(Form_Response!D:D=B13), 0)), "")
</f>
        <v/>
      </c>
      <c r="BG13" s="21">
        <f t="array" ref="BG13">IFERROR(IF(INDEX(Form_Response!F:F, MATCH(1, (Form_Response!C:C='MATCH DATES'!$B$6)*(Form_Response!D:D=B13), 0))="Yes", 1, 0), 0)
</f>
        <v>1</v>
      </c>
      <c r="BH13" s="30" t="str">
        <f t="array" ref="BH13">IFERROR(INDEX(Form_Response!G:G, MATCH(1, (Form_Response!C:C='MATCH DATES'!$B$6)*(Form_Response!D:D=B13), 0)), "")
</f>
        <v/>
      </c>
      <c r="BI13" s="23">
        <f t="shared" si="26"/>
        <v>13</v>
      </c>
      <c r="BJ13" s="24" t="str">
        <f t="shared" si="27"/>
        <v>↑</v>
      </c>
      <c r="BK13" s="25" t="s">
        <v>139</v>
      </c>
      <c r="BL13" s="26">
        <f t="shared" si="28"/>
        <v>34</v>
      </c>
      <c r="BM13" s="26">
        <f t="shared" si="29"/>
        <v>4</v>
      </c>
      <c r="BN13" s="26">
        <f>SUM(BO13*2) + (BP13*1) + SUMIFS(MATCH_INPUT!$G$22:$G$25, MATCH_INPUT!$F$22:$F$25, BK13) + SUMIFS(MATCH_INPUT!$I$22:$I$25, MATCH_INPUT!$J$22:$J$25, BK13)
</f>
        <v>6</v>
      </c>
      <c r="BO13" s="26">
        <f>IF(BK13&lt;&gt;"",
    COUNTIFS(MATCH_INPUT!$K$22:$K$25,BK13),
0)</f>
        <v>1</v>
      </c>
      <c r="BP13" s="26">
        <f>IF(BK13&lt;&gt;"",
    COUNTIFS(MATCH_INPUT!$F$22:$F$25, BK13, MATCH_INPUT!$K$22:$K$25, "Draw") +
    COUNTIFS(MATCH_INPUT!$J$22:$J$25, BK13, MATCH_INPUT!$K$22:$K$25, "Draw"),
0)</f>
        <v>1</v>
      </c>
      <c r="BQ13" s="26">
        <f>IF(BK13&lt;&gt;"",
    COUNTIFS(MATCH_INPUT!$F$22:$F$25, BK13, MATCH_INPUT!$K$22:$K$25, "&lt;&gt;"&amp;BK13, MATCH_INPUT!$K$22:$K$25, "&lt;&gt;Draw", MATCH_INPUT!$K$22:$K$25, "&lt;&gt;""") +
    COUNTIFS(MATCH_INPUT!$J$22:$J$25, BK13, MATCH_INPUT!$K$22:$K$25, "&lt;&gt;"&amp;BK13, MATCH_INPUT!$K$22:$K$25, "&lt;&gt;Draw", MATCH_INPUT!$K$22:$K$25, "&lt;&gt;"""),
0)</f>
        <v>0</v>
      </c>
      <c r="BR13" s="27"/>
      <c r="BS13" s="27"/>
      <c r="BT13" s="28"/>
      <c r="BU13" s="26">
        <f t="shared" si="30"/>
        <v>7</v>
      </c>
      <c r="BV13" s="29" t="str">
        <f t="shared" si="31"/>
        <v>↑</v>
      </c>
      <c r="BW13" s="19" t="s">
        <v>140</v>
      </c>
      <c r="BX13" s="23">
        <f t="shared" si="32"/>
        <v>40</v>
      </c>
      <c r="BY13" s="20">
        <f t="shared" si="33"/>
        <v>2</v>
      </c>
      <c r="BZ13" s="20">
        <f>SUM(CA13*2)+(CB13*1) + SUMIFS(MATCH_INPUT!$G$26:$G$29, MATCH_INPUT!$F$26:$F$29, BW13) + SUMIFS(MATCH_INPUT!$I$26:$I$29, MATCH_INPUT!$J$26:$J$29, BW13)
</f>
        <v>4</v>
      </c>
      <c r="CA13" s="20">
        <f>IF(BW13&lt;&gt;"",
    COUNTIFS(MATCH_INPUT!$K$26:$K$29,BW13),
0)</f>
        <v>1</v>
      </c>
      <c r="CB13" s="20">
        <f>IF(BW13&lt;&gt;"",
    COUNTIFS(MATCH_INPUT!$F$26:$F$29, BW13, MATCH_INPUT!$K$26:$K$29, "Draw") +
    COUNTIFS(MATCH_INPUT!$J$26:$J$29, BW13, MATCH_INPUT!$K$26:$K$29, "Draw"),
0)</f>
        <v>0</v>
      </c>
      <c r="CC13" s="20">
        <f>IF(BW13&lt;&gt;"",
    COUNTIFS(MATCH_INPUT!$F$26:$F$29, BW13, MATCH_INPUT!$K$26:$K$29, "&lt;&gt;"&amp;BW13, MATCH_INPUT!$K$26:$K$29, "&lt;&gt;Draw", MATCH_INPUT!$K$26:$K$29, "&lt;&gt;""") +
    COUNTIFS(MATCH_INPUT!$J$26:$J$29, BW13, MATCH_INPUT!$K$26:$K$29, "&lt;&gt;"&amp;BW13, MATCH_INPUT!$K$26:$K$29, "&lt;&gt;Draw", MATCH_INPUT!$K$26:$K$29, "&lt;&gt;"""),
0)</f>
        <v>1</v>
      </c>
      <c r="CD13" s="21"/>
      <c r="CE13" s="21"/>
      <c r="CF13" s="30"/>
      <c r="CG13" s="23">
        <f t="shared" si="34"/>
        <v>10</v>
      </c>
      <c r="CH13" s="24" t="str">
        <f t="shared" si="35"/>
        <v>↓</v>
      </c>
      <c r="CI13" s="25" t="s">
        <v>138</v>
      </c>
      <c r="CJ13" s="26">
        <f t="shared" si="36"/>
        <v>45</v>
      </c>
      <c r="CK13" s="26">
        <f t="shared" si="37"/>
        <v>2</v>
      </c>
      <c r="CL13" s="26">
        <f>SUM(CM13*2)+(CN13*1) + SUMIFS(MATCH_INPUT!$G$30:$G$33, MATCH_INPUT!$F$30:$F$33, CI13) + SUMIFS(MATCH_INPUT!$I$30:$I$33, MATCH_INPUT!$J$30:$J$33, CI13)
</f>
        <v>3</v>
      </c>
      <c r="CM13" s="26">
        <f>IF(CI13&lt;&gt;"",
    COUNTIFS(MATCH_INPUT!$K$30:$K$33,CI13),
0)</f>
        <v>1</v>
      </c>
      <c r="CN13" s="26">
        <f>IF(CI13&lt;&gt;"",
    COUNTIFS(MATCH_INPUT!$F$30:$F$33, CI13, MATCH_INPUT!$K$30:$K$33, "Draw") +
    COUNTIFS(MATCH_INPUT!$J$30:$J$33, CI13, MATCH_INPUT!$K$30:$K$33, "Draw"),
0)</f>
        <v>0</v>
      </c>
      <c r="CO13" s="26">
        <f>IF(CI13&lt;&gt;"",
    COUNTIFS(MATCH_INPUT!$F$30:$F$33, CI13, MATCH_INPUT!$K$30:$K$33, "&lt;&gt;"&amp;CI13, MATCH_INPUT!$K$30:$K$33, "&lt;&gt;Draw", MATCH_INPUT!$K$30:$K$33, "&lt;&gt;""") +
    COUNTIFS(MATCH_INPUT!$J$30:$J$33, CI13, MATCH_INPUT!$K$30:$K$33, "&lt;&gt;"&amp;CI13, MATCH_INPUT!$K$30:$K$33, "&lt;&gt;Draw", MATCH_INPUT!$K$30:$K$33, "&lt;&gt;"""),
0)</f>
        <v>1</v>
      </c>
      <c r="CP13" s="27" t="str">
        <f t="array" ref="CP13">IFERROR(INDEX(Form_Response!E:E, MATCH(1, (Form_Response!C:C='MATCH DATES'!$B$9)*(Form_Response!D:D=B13), 0)), "")
</f>
        <v/>
      </c>
      <c r="CQ13" s="27">
        <f t="array" ref="CQ13">IFERROR(IF(INDEX(Form_Response!F:F, MATCH(1, (Form_Response!C:C='MATCH DATES'!$B$9)*(Form_Response!D:D=B13), 0))="Yes", 1, 0), 0)
</f>
        <v>0</v>
      </c>
      <c r="CR13" s="28" t="str">
        <f t="array" ref="CR13">IFERROR(INDEX(Form_Response!G:G, MATCH(1, (Form_Response!C:C='MATCH DATES'!$B$9)*(Form_Response!D:D=B13), 0)), "")
</f>
        <v/>
      </c>
      <c r="CS13" s="31">
        <f t="shared" si="38"/>
        <v>10</v>
      </c>
      <c r="CT13" s="31" t="str">
        <f t="shared" si="39"/>
        <v>=</v>
      </c>
      <c r="CU13" s="32">
        <f t="shared" si="40"/>
        <v>24</v>
      </c>
      <c r="CV13" s="32" t="str">
        <f t="shared" ref="CV13:CW13" si="70">A13</f>
        <v>⭐️</v>
      </c>
      <c r="CW13" s="33" t="str">
        <f t="shared" si="70"/>
        <v>Asdruval</v>
      </c>
      <c r="CX13" s="33">
        <f t="shared" si="42"/>
        <v>45</v>
      </c>
      <c r="CY13" s="32">
        <f>SUM(
  IF(AND('MATCH DATES'!$A$2 &lt;= TODAY(), NOW() &gt;= 'MATCH DATES'!$A$2 + TIME(22, 0, 0)), E13, 0),
  IF(AND('MATCH DATES'!$A$3 &lt;= TODAY(), NOW() &gt;= 'MATCH DATES'!$A$3 + TIME(22, 0, 0)), Q13, 0),
  IF(AND('MATCH DATES'!$A$4 &lt;= TODAY(), NOW() &gt;= 'MATCH DATES'!$A$4 + TIME(22, 0, 0)), AC13, 0),
  IF(AND('MATCH DATES'!$A$5 &lt;= TODAY(), NOW() &gt;= 'MATCH DATES'!$A$5 + TIME(22, 0, 0)), AO13, 0),
  IF(AND('MATCH DATES'!$A$6 &lt;= TODAY(), NOW() &gt;= 'MATCH DATES'!$A$6 + TIME(22, 0, 0)), BA13, 0),
  IF(AND('MATCH DATES'!$A$7 &lt;= TODAY(), NOW() &gt;= 'MATCH DATES'!$A$7 + TIME(22, 0, 0)), BM13, 0),
  IF(AND('MATCH DATES'!$A$8 &lt;= TODAY(), NOW() &gt;= 'MATCH DATES'!$A$8 + TIME(22, 0, 0)), BY13, 0),
  IF(AND('MATCH DATES'!$A$9 &lt;= TODAY(), NOW() &gt;= 'MATCH DATES'!$A$9 + TIME(22, 0, 0)), CK13, 0)
)
</f>
        <v>18</v>
      </c>
      <c r="CZ13" s="33">
        <f t="shared" ref="CZ13:DA13" si="71">SUM(G13,S13,AE13,AQ13,BC13,BO13,CA13,CM13)</f>
        <v>6</v>
      </c>
      <c r="DA13" s="33">
        <f t="shared" si="71"/>
        <v>2</v>
      </c>
      <c r="DB13" s="33">
        <f>SUM(
  IF(AND('MATCH DATES'!$A$2 &lt;= TODAY(), NOW() &gt;= 'MATCH DATES'!$A$2 + TIME(22, 0, 0)), I13, 0),
  IF(AND('MATCH DATES'!$A$3 &lt;= TODAY(), NOW() &gt;= 'MATCH DATES'!$A$3 + TIME(22, 0, 0)), U13, 0),
  IF(AND('MATCH DATES'!$A$4 &lt;= TODAY(), NOW() &gt;= 'MATCH DATES'!$A$4 + TIME(22, 0, 0)), AG13, 0),
  IF(AND('MATCH DATES'!$A$5 &lt;= TODAY(), NOW() &gt;= 'MATCH DATES'!$A$5 + TIME(22, 0, 0)), AS13, 0),
  IF(AND('MATCH DATES'!$A$6 &lt;= TODAY(), NOW() &gt;= 'MATCH DATES'!$A$6 + TIME(22, 0, 0)), BE13, 0),
  IF(AND('MATCH DATES'!$A$7 &lt;= TODAY(), NOW() &gt;= 'MATCH DATES'!$A$7 + TIME(22, 0, 0)), BQ13, 0),
  IF(AND('MATCH DATES'!$A$8 &lt;= TODAY(), NOW() &gt;= 'MATCH DATES'!$A$8 + TIME(22, 0, 0)), CC13, 0),
  IF(AND('MATCH DATES'!$A$9 &lt;= TODAY(), NOW() &gt;= 'MATCH DATES'!$A$9 + TIME(22, 0, 0)), CO13, 0)
)</f>
        <v>8</v>
      </c>
      <c r="DC13" s="33">
        <f t="shared" si="44"/>
        <v>0</v>
      </c>
      <c r="DD13" s="33">
        <f t="shared" ref="DD13:DE13" si="72">SUM(K13,W13,AI13,AU13,BG13,BS13,CE13,CQ13)</f>
        <v>3</v>
      </c>
      <c r="DE13" s="33">
        <f t="shared" si="72"/>
        <v>0</v>
      </c>
    </row>
    <row r="14" ht="24.75" customHeight="1">
      <c r="A14" s="17" t="s">
        <v>136</v>
      </c>
      <c r="B14" s="18" t="s">
        <v>152</v>
      </c>
      <c r="C14" s="19" t="s">
        <v>141</v>
      </c>
      <c r="D14" s="20">
        <f t="shared" si="4"/>
        <v>4</v>
      </c>
      <c r="E14" s="20">
        <f t="shared" si="5"/>
        <v>2</v>
      </c>
      <c r="F14" s="20">
        <f t="shared" si="6"/>
        <v>2</v>
      </c>
      <c r="G14" s="20">
        <f>IF(C14&lt;&gt;"",
    COUNTIFS(MATCH_INPUT!$K$2:$K$5,C14),
0)</f>
        <v>1</v>
      </c>
      <c r="H14" s="20">
        <f>IF(C14&lt;&gt;"",
    COUNTIFS(MATCH_INPUT!$F$2:$F$5, C14, MATCH_INPUT!$K$2:$K$5, "Draw") +
    COUNTIFS(MATCH_INPUT!$J$2:$J$5, C14, MATCH_INPUT!$K$2:$K$5, "Draw"),
0)</f>
        <v>0</v>
      </c>
      <c r="I14" s="20">
        <f>IF(C14&lt;&gt;"",
    COUNTIFS(MATCH_INPUT!$F$2:$F$5, C14, MATCH_INPUT!$K$2:$K$5, "&lt;&gt;"&amp;C14, MATCH_INPUT!$K$2:$K$5, "&lt;&gt;Draw", MATCH_INPUT!$K$2:$K$5, "&lt;&gt;""") +
    COUNTIFS(MATCH_INPUT!$J$2:$J$5, C14, MATCH_INPUT!$K$2:$K$5, "&lt;&gt;"&amp;C14, MATCH_INPUT!$K$2:$K$5, "&lt;&gt;Draw", MATCH_INPUT!$K$2:$K$5, "&lt;&gt;"""),
0)</f>
        <v>1</v>
      </c>
      <c r="J14" s="21"/>
      <c r="K14" s="21"/>
      <c r="L14" s="22"/>
      <c r="M14" s="23">
        <f t="shared" si="7"/>
        <v>11</v>
      </c>
      <c r="N14" s="24" t="str">
        <f t="shared" si="8"/>
        <v>↓</v>
      </c>
      <c r="O14" s="25" t="s">
        <v>138</v>
      </c>
      <c r="P14" s="26">
        <f t="shared" si="9"/>
        <v>6</v>
      </c>
      <c r="Q14" s="26">
        <f t="shared" si="10"/>
        <v>2</v>
      </c>
      <c r="R14" s="26">
        <f t="shared" si="11"/>
        <v>0</v>
      </c>
      <c r="S14" s="26">
        <f>IF(O14&lt;&gt;"",
    COUNTIFS(MATCH_INPUT!$K$6:$K$9,O14),
0)</f>
        <v>0</v>
      </c>
      <c r="T14" s="26">
        <f>IF(O14&lt;&gt;"",
    COUNTIFS(MATCH_INPUT!$F$6:$F$9, O14, MATCH_INPUT!$K$6:$K$9, "Draw") +
    COUNTIFS(MATCH_INPUT!$J$6:$J$9, O14, MATCH_INPUT!$K$6:$K$9, "Draw"),
0)</f>
        <v>0</v>
      </c>
      <c r="U14" s="26">
        <f>IF(O14&lt;&gt;"",
    COUNTIFS(MATCH_INPUT!$F$6:$F$9, O14, MATCH_INPUT!$K$6:$K$9, "&lt;&gt;"&amp;O14, MATCH_INPUT!$K$6:$K$9, "&lt;&gt;Draw", MATCH_INPUT!$K$6:$K$9, "&lt;&gt;""") +
    COUNTIFS(MATCH_INPUT!$J$6:$J$9, O14, MATCH_INPUT!$K$6:$K$9, "&lt;&gt;"&amp;O14, MATCH_INPUT!$K$6:$K$9, "&lt;&gt;Draw", MATCH_INPUT!$K$6:$K$9, "&lt;&gt;"""),
0)</f>
        <v>2</v>
      </c>
      <c r="V14" s="27"/>
      <c r="W14" s="27"/>
      <c r="X14" s="28"/>
      <c r="Y14" s="26">
        <f t="shared" si="12"/>
        <v>20</v>
      </c>
      <c r="Z14" s="29" t="str">
        <f t="shared" si="13"/>
        <v>↓</v>
      </c>
      <c r="AA14" s="19"/>
      <c r="AB14" s="23">
        <f t="shared" si="14"/>
        <v>6</v>
      </c>
      <c r="AC14" s="20">
        <f t="shared" si="15"/>
        <v>0</v>
      </c>
      <c r="AD14" s="20">
        <f t="shared" si="16"/>
        <v>0</v>
      </c>
      <c r="AE14" s="20">
        <f>IF(AA14&lt;&gt;"",
    COUNTIFS(MATCH_INPUT!$K$10:$K$13,AA14),
0)</f>
        <v>0</v>
      </c>
      <c r="AF14" s="20">
        <f>IF(AA14&lt;&gt;"",
    COUNTIFS(MATCH_INPUT!$F$10:$F$13, AA14, MATCH_INPUT!$K$10:$K$13, "Draw") +
    COUNTIFS(MATCH_INPUT!$J$10:$J$13, AA14, MATCH_INPUT!$K$10:$K$13, "Draw"),
0)</f>
        <v>0</v>
      </c>
      <c r="AG14" s="20">
        <f>IF(AA14&lt;&gt;"",
    COUNTIFS(MATCH_INPUT!$F$10:$F$13, AA14, MATCH_INPUT!$K$10:$K$13, "&lt;&gt;"&amp;AA14, MATCH_INPUT!$K$10:$K$13, "&lt;&gt;Draw", MATCH_INPUT!$K$10:$K$13, "&lt;&gt;""") +
    COUNTIFS(MATCH_INPUT!$J$10:$J$13, AA14, MATCH_INPUT!$K$10:$K$13, "&lt;&gt;"&amp;AA14, MATCH_INPUT!$K$10:$K$13, "&lt;&gt;Draw", MATCH_INPUT!$K$10:$K$13, "&lt;&gt;"""),
0)</f>
        <v>0</v>
      </c>
      <c r="AH14" s="21"/>
      <c r="AI14" s="21"/>
      <c r="AJ14" s="30"/>
      <c r="AK14" s="23">
        <f t="shared" si="17"/>
        <v>33</v>
      </c>
      <c r="AL14" s="24" t="str">
        <f t="shared" si="18"/>
        <v>↓</v>
      </c>
      <c r="AM14" s="25" t="s">
        <v>139</v>
      </c>
      <c r="AN14" s="26">
        <f t="shared" si="19"/>
        <v>13</v>
      </c>
      <c r="AO14" s="26">
        <f t="shared" si="20"/>
        <v>2</v>
      </c>
      <c r="AP14" s="26">
        <f t="shared" si="21"/>
        <v>4</v>
      </c>
      <c r="AQ14" s="26">
        <f>IF(AM14&lt;&gt;"",
    COUNTIFS(MATCH_INPUT!$K$14:$K$17,AM14),
0)</f>
        <v>2</v>
      </c>
      <c r="AR14" s="26">
        <f>IF(AM14&lt;&gt;"",
    COUNTIFS(MATCH_INPUT!$F$14:$F$17, AM14, MATCH_INPUT!$K$14:$K$17, "Draw") +
    COUNTIFS(MATCH_INPUT!$J$14:$J$17, AM14, MATCH_INPUT!$K$14:$K$17, "Draw"),
0)</f>
        <v>0</v>
      </c>
      <c r="AS14" s="26">
        <f>IF(AM14&lt;&gt;"",
    COUNTIFS(MATCH_INPUT!$F$14:$F$17, AM14, MATCH_INPUT!$K$14:$K$17, "&lt;&gt;"&amp;AM14, MATCH_INPUT!$K$14:$K$17, "&lt;&gt;Draw", MATCH_INPUT!$K$14:$K$17, "&lt;&gt;""") +
    COUNTIFS(MATCH_INPUT!$J$14:$J$17, AM14, MATCH_INPUT!$K$14:$K$17, "&lt;&gt;"&amp;AM14, MATCH_INPUT!$K$14:$K$17, "&lt;&gt;Draw", MATCH_INPUT!$K$14:$K$17, "&lt;&gt;"""),
0)</f>
        <v>0</v>
      </c>
      <c r="AT14" s="27"/>
      <c r="AU14" s="27">
        <v>1.0</v>
      </c>
      <c r="AV14" s="28">
        <v>1.0</v>
      </c>
      <c r="AW14" s="26">
        <f t="shared" si="22"/>
        <v>24</v>
      </c>
      <c r="AX14" s="29" t="str">
        <f t="shared" si="23"/>
        <v>↑</v>
      </c>
      <c r="AY14" s="19" t="s">
        <v>140</v>
      </c>
      <c r="AZ14" s="23">
        <f t="shared" si="24"/>
        <v>23</v>
      </c>
      <c r="BA14" s="20">
        <f t="shared" si="25"/>
        <v>2</v>
      </c>
      <c r="BB14" s="20">
        <f>SUM(BC14*2) + (BD14*1) + SUMIFS(MATCH_INPUT!$G$18:$G$21, MATCH_INPUT!$F$18:$F$21, AY14) + SUMIFS(MATCH_INPUT!$I$18:$I$21, MATCH_INPUT!$J$18:$J$21, AY14)
</f>
        <v>7</v>
      </c>
      <c r="BC14" s="20">
        <f>IF(AY14&lt;&gt;"",
    COUNTIFS(MATCH_INPUT!$K$18:$K$21,AY14),
0)</f>
        <v>1</v>
      </c>
      <c r="BD14" s="20">
        <f>IF(AY14&lt;&gt;"",
    COUNTIFS(MATCH_INPUT!$F$18:$F$21, AY14, MATCH_INPUT!$K$18:$K$21, "Draw") +
    COUNTIFS(MATCH_INPUT!$J$18:$J$21, AY14, MATCH_INPUT!$K$18:$K$21, "Draw"),
0)</f>
        <v>1</v>
      </c>
      <c r="BE14" s="20">
        <f>IF(AY14&lt;&gt;"",
    COUNTIFS(MATCH_INPUT!$F$18:$F$21, AY14, MATCH_INPUT!$K$18:$K$21, "&lt;&gt;"&amp;AY14, MATCH_INPUT!$K$18:$K$21, "&lt;&gt;Draw", MATCH_INPUT!$K$18:$K$21, "&lt;&gt;""") +
    COUNTIFS(MATCH_INPUT!$J$18:$J$21, AY14, MATCH_INPUT!$K$18:$K$21, "&lt;&gt;"&amp;AY14, MATCH_INPUT!$K$18:$K$21, "&lt;&gt;Draw", MATCH_INPUT!$K$18:$K$21, "&lt;&gt;"""),
0)</f>
        <v>0</v>
      </c>
      <c r="BF14" s="21" t="str">
        <f t="array" ref="BF14">IFERROR(INDEX(Form_Response!E:E, MATCH(1, (Form_Response!C:C='MATCH DATES'!$B$6)*(Form_Response!D:D=B14), 0)), "")
</f>
        <v/>
      </c>
      <c r="BG14" s="21">
        <v>1.0</v>
      </c>
      <c r="BH14" s="30">
        <v>1.0</v>
      </c>
      <c r="BI14" s="23">
        <f t="shared" si="26"/>
        <v>16</v>
      </c>
      <c r="BJ14" s="24" t="str">
        <f t="shared" si="27"/>
        <v>↑</v>
      </c>
      <c r="BK14" s="25" t="s">
        <v>139</v>
      </c>
      <c r="BL14" s="26">
        <f t="shared" si="28"/>
        <v>34</v>
      </c>
      <c r="BM14" s="26">
        <f t="shared" si="29"/>
        <v>4</v>
      </c>
      <c r="BN14" s="26">
        <f>SUM(BO14*2) + (BP14*1) + SUMIFS(MATCH_INPUT!$G$22:$G$25, MATCH_INPUT!$F$22:$F$25, BK14) + SUMIFS(MATCH_INPUT!$I$22:$I$25, MATCH_INPUT!$J$22:$J$25, BK14)
</f>
        <v>6</v>
      </c>
      <c r="BO14" s="26">
        <f>IF(BK14&lt;&gt;"",
    COUNTIFS(MATCH_INPUT!$K$22:$K$25,BK14),
0)</f>
        <v>1</v>
      </c>
      <c r="BP14" s="26">
        <f>IF(BK14&lt;&gt;"",
    COUNTIFS(MATCH_INPUT!$F$22:$F$25, BK14, MATCH_INPUT!$K$22:$K$25, "Draw") +
    COUNTIFS(MATCH_INPUT!$J$22:$J$25, BK14, MATCH_INPUT!$K$22:$K$25, "Draw"),
0)</f>
        <v>1</v>
      </c>
      <c r="BQ14" s="26">
        <f>IF(BK14&lt;&gt;"",
    COUNTIFS(MATCH_INPUT!$F$22:$F$25, BK14, MATCH_INPUT!$K$22:$K$25, "&lt;&gt;"&amp;BK14, MATCH_INPUT!$K$22:$K$25, "&lt;&gt;Draw", MATCH_INPUT!$K$22:$K$25, "&lt;&gt;""") +
    COUNTIFS(MATCH_INPUT!$J$22:$J$25, BK14, MATCH_INPUT!$K$22:$K$25, "&lt;&gt;"&amp;BK14, MATCH_INPUT!$K$22:$K$25, "&lt;&gt;Draw", MATCH_INPUT!$K$22:$K$25, "&lt;&gt;"""),
0)</f>
        <v>0</v>
      </c>
      <c r="BR14" s="27"/>
      <c r="BS14" s="27">
        <v>1.0</v>
      </c>
      <c r="BT14" s="28"/>
      <c r="BU14" s="26">
        <f t="shared" si="30"/>
        <v>7</v>
      </c>
      <c r="BV14" s="29" t="str">
        <f t="shared" si="31"/>
        <v>↑</v>
      </c>
      <c r="BW14" s="19" t="s">
        <v>140</v>
      </c>
      <c r="BX14" s="23">
        <f t="shared" si="32"/>
        <v>40</v>
      </c>
      <c r="BY14" s="20">
        <f t="shared" si="33"/>
        <v>2</v>
      </c>
      <c r="BZ14" s="20">
        <f>SUM(CA14*2)+(CB14*1) + SUMIFS(MATCH_INPUT!$G$26:$G$29, MATCH_INPUT!$F$26:$F$29, BW14) + SUMIFS(MATCH_INPUT!$I$26:$I$29, MATCH_INPUT!$J$26:$J$29, BW14)
</f>
        <v>4</v>
      </c>
      <c r="CA14" s="20">
        <f>IF(BW14&lt;&gt;"",
    COUNTIFS(MATCH_INPUT!$K$26:$K$29,BW14),
0)</f>
        <v>1</v>
      </c>
      <c r="CB14" s="20">
        <f>IF(BW14&lt;&gt;"",
    COUNTIFS(MATCH_INPUT!$F$26:$F$29, BW14, MATCH_INPUT!$K$26:$K$29, "Draw") +
    COUNTIFS(MATCH_INPUT!$J$26:$J$29, BW14, MATCH_INPUT!$K$26:$K$29, "Draw"),
0)</f>
        <v>0</v>
      </c>
      <c r="CC14" s="20">
        <f>IF(BW14&lt;&gt;"",
    COUNTIFS(MATCH_INPUT!$F$26:$F$29, BW14, MATCH_INPUT!$K$26:$K$29, "&lt;&gt;"&amp;BW14, MATCH_INPUT!$K$26:$K$29, "&lt;&gt;Draw", MATCH_INPUT!$K$26:$K$29, "&lt;&gt;""") +
    COUNTIFS(MATCH_INPUT!$J$26:$J$29, BW14, MATCH_INPUT!$K$26:$K$29, "&lt;&gt;"&amp;BW14, MATCH_INPUT!$K$26:$K$29, "&lt;&gt;Draw", MATCH_INPUT!$K$26:$K$29, "&lt;&gt;"""),
0)</f>
        <v>1</v>
      </c>
      <c r="CD14" s="21"/>
      <c r="CE14" s="21"/>
      <c r="CF14" s="30"/>
      <c r="CG14" s="23">
        <f t="shared" si="34"/>
        <v>10</v>
      </c>
      <c r="CH14" s="24" t="str">
        <f t="shared" si="35"/>
        <v>↓</v>
      </c>
      <c r="CI14" s="25"/>
      <c r="CJ14" s="26">
        <f t="shared" si="36"/>
        <v>40</v>
      </c>
      <c r="CK14" s="26">
        <f t="shared" si="37"/>
        <v>0</v>
      </c>
      <c r="CL14" s="26">
        <f>SUM(CM14*2)+(CN14*1) + SUMIFS(MATCH_INPUT!$G$30:$G$33, MATCH_INPUT!$F$30:$F$33, CI14) + SUMIFS(MATCH_INPUT!$I$30:$I$33, MATCH_INPUT!$J$30:$J$33, CI14)
</f>
        <v>0</v>
      </c>
      <c r="CM14" s="26">
        <f>IF(CI14&lt;&gt;"",
    COUNTIFS(MATCH_INPUT!$K$30:$K$33,CI14),
0)</f>
        <v>0</v>
      </c>
      <c r="CN14" s="26">
        <f>IF(CI14&lt;&gt;"",
    COUNTIFS(MATCH_INPUT!$F$30:$F$33, CI14, MATCH_INPUT!$K$30:$K$33, "Draw") +
    COUNTIFS(MATCH_INPUT!$J$30:$J$33, CI14, MATCH_INPUT!$K$30:$K$33, "Draw"),
0)</f>
        <v>0</v>
      </c>
      <c r="CO14" s="26">
        <f>IF(CI14&lt;&gt;"",
    COUNTIFS(MATCH_INPUT!$F$30:$F$33, CI14, MATCH_INPUT!$K$30:$K$33, "&lt;&gt;"&amp;CI14, MATCH_INPUT!$K$30:$K$33, "&lt;&gt;Draw", MATCH_INPUT!$K$30:$K$33, "&lt;&gt;""") +
    COUNTIFS(MATCH_INPUT!$J$30:$J$33, CI14, MATCH_INPUT!$K$30:$K$33, "&lt;&gt;"&amp;CI14, MATCH_INPUT!$K$30:$K$33, "&lt;&gt;Draw", MATCH_INPUT!$K$30:$K$33, "&lt;&gt;"""),
0)</f>
        <v>0</v>
      </c>
      <c r="CP14" s="27" t="str">
        <f t="array" ref="CP14">IFERROR(INDEX(Form_Response!E:E, MATCH(1, (Form_Response!C:C='MATCH DATES'!$B$9)*(Form_Response!D:D=B14), 0)), "")
</f>
        <v/>
      </c>
      <c r="CQ14" s="27">
        <f t="array" ref="CQ14">IFERROR(IF(INDEX(Form_Response!F:F, MATCH(1, (Form_Response!C:C='MATCH DATES'!$B$9)*(Form_Response!D:D=B14), 0))="Yes", 1, 0), 0)
</f>
        <v>0</v>
      </c>
      <c r="CR14" s="28" t="str">
        <f t="array" ref="CR14">IFERROR(INDEX(Form_Response!G:G, MATCH(1, (Form_Response!C:C='MATCH DATES'!$B$9)*(Form_Response!D:D=B14), 0)), "")
</f>
        <v/>
      </c>
      <c r="CS14" s="31">
        <f t="shared" si="38"/>
        <v>17</v>
      </c>
      <c r="CT14" s="31" t="str">
        <f t="shared" si="39"/>
        <v>↓</v>
      </c>
      <c r="CU14" s="32">
        <f t="shared" si="40"/>
        <v>23</v>
      </c>
      <c r="CV14" s="32" t="str">
        <f t="shared" ref="CV14:CW14" si="73">A14</f>
        <v>⭐️</v>
      </c>
      <c r="CW14" s="33" t="str">
        <f t="shared" si="73"/>
        <v>Rodolfo</v>
      </c>
      <c r="CX14" s="33">
        <f t="shared" si="42"/>
        <v>40</v>
      </c>
      <c r="CY14" s="32">
        <f>SUM(
  IF(AND('MATCH DATES'!$A$2 &lt;= TODAY(), NOW() &gt;= 'MATCH DATES'!$A$2 + TIME(22, 0, 0)), E14, 0),
  IF(AND('MATCH DATES'!$A$3 &lt;= TODAY(), NOW() &gt;= 'MATCH DATES'!$A$3 + TIME(22, 0, 0)), Q14, 0),
  IF(AND('MATCH DATES'!$A$4 &lt;= TODAY(), NOW() &gt;= 'MATCH DATES'!$A$4 + TIME(22, 0, 0)), AC14, 0),
  IF(AND('MATCH DATES'!$A$5 &lt;= TODAY(), NOW() &gt;= 'MATCH DATES'!$A$5 + TIME(22, 0, 0)), AO14, 0),
  IF(AND('MATCH DATES'!$A$6 &lt;= TODAY(), NOW() &gt;= 'MATCH DATES'!$A$6 + TIME(22, 0, 0)), BA14, 0),
  IF(AND('MATCH DATES'!$A$7 &lt;= TODAY(), NOW() &gt;= 'MATCH DATES'!$A$7 + TIME(22, 0, 0)), BM14, 0),
  IF(AND('MATCH DATES'!$A$8 &lt;= TODAY(), NOW() &gt;= 'MATCH DATES'!$A$8 + TIME(22, 0, 0)), BY14, 0),
  IF(AND('MATCH DATES'!$A$9 &lt;= TODAY(), NOW() &gt;= 'MATCH DATES'!$A$9 + TIME(22, 0, 0)), CK14, 0)
)
</f>
        <v>14</v>
      </c>
      <c r="CZ14" s="33">
        <f t="shared" ref="CZ14:DA14" si="74">SUM(G14,S14,AE14,AQ14,BC14,BO14,CA14,CM14)</f>
        <v>6</v>
      </c>
      <c r="DA14" s="33">
        <f t="shared" si="74"/>
        <v>2</v>
      </c>
      <c r="DB14" s="33">
        <f>SUM(
  IF(AND('MATCH DATES'!$A$2 &lt;= TODAY(), NOW() &gt;= 'MATCH DATES'!$A$2 + TIME(22, 0, 0)), I14, 0),
  IF(AND('MATCH DATES'!$A$3 &lt;= TODAY(), NOW() &gt;= 'MATCH DATES'!$A$3 + TIME(22, 0, 0)), U14, 0),
  IF(AND('MATCH DATES'!$A$4 &lt;= TODAY(), NOW() &gt;= 'MATCH DATES'!$A$4 + TIME(22, 0, 0)), AG14, 0),
  IF(AND('MATCH DATES'!$A$5 &lt;= TODAY(), NOW() &gt;= 'MATCH DATES'!$A$5 + TIME(22, 0, 0)), AS14, 0),
  IF(AND('MATCH DATES'!$A$6 &lt;= TODAY(), NOW() &gt;= 'MATCH DATES'!$A$6 + TIME(22, 0, 0)), BE14, 0),
  IF(AND('MATCH DATES'!$A$7 &lt;= TODAY(), NOW() &gt;= 'MATCH DATES'!$A$7 + TIME(22, 0, 0)), BQ14, 0),
  IF(AND('MATCH DATES'!$A$8 &lt;= TODAY(), NOW() &gt;= 'MATCH DATES'!$A$8 + TIME(22, 0, 0)), CC14, 0),
  IF(AND('MATCH DATES'!$A$9 &lt;= TODAY(), NOW() &gt;= 'MATCH DATES'!$A$9 + TIME(22, 0, 0)), CO14, 0)
)</f>
        <v>4</v>
      </c>
      <c r="DC14" s="33">
        <f t="shared" si="44"/>
        <v>0</v>
      </c>
      <c r="DD14" s="33">
        <f t="shared" ref="DD14:DE14" si="75">SUM(K14,W14,AI14,AU14,BG14,BS14,CE14,CQ14)</f>
        <v>3</v>
      </c>
      <c r="DE14" s="33">
        <f t="shared" si="75"/>
        <v>2</v>
      </c>
    </row>
    <row r="15" ht="24.75" customHeight="1">
      <c r="A15" s="17" t="s">
        <v>136</v>
      </c>
      <c r="B15" s="18" t="s">
        <v>153</v>
      </c>
      <c r="C15" s="19" t="s">
        <v>140</v>
      </c>
      <c r="D15" s="20">
        <f t="shared" si="4"/>
        <v>4</v>
      </c>
      <c r="E15" s="20">
        <f t="shared" si="5"/>
        <v>2</v>
      </c>
      <c r="F15" s="20">
        <f t="shared" si="6"/>
        <v>2</v>
      </c>
      <c r="G15" s="20">
        <f>IF(C15&lt;&gt;"",
    COUNTIFS(MATCH_INPUT!$K$2:$K$5,C15),
0)</f>
        <v>1</v>
      </c>
      <c r="H15" s="20">
        <f>IF(C15&lt;&gt;"",
    COUNTIFS(MATCH_INPUT!$F$2:$F$5, C15, MATCH_INPUT!$K$2:$K$5, "Draw") +
    COUNTIFS(MATCH_INPUT!$J$2:$J$5, C15, MATCH_INPUT!$K$2:$K$5, "Draw"),
0)</f>
        <v>0</v>
      </c>
      <c r="I15" s="20">
        <f>IF(C15&lt;&gt;"",
    COUNTIFS(MATCH_INPUT!$F$2:$F$5, C15, MATCH_INPUT!$K$2:$K$5, "&lt;&gt;"&amp;C15, MATCH_INPUT!$K$2:$K$5, "&lt;&gt;Draw", MATCH_INPUT!$K$2:$K$5, "&lt;&gt;""") +
    COUNTIFS(MATCH_INPUT!$J$2:$J$5, C15, MATCH_INPUT!$K$2:$K$5, "&lt;&gt;"&amp;C15, MATCH_INPUT!$K$2:$K$5, "&lt;&gt;Draw", MATCH_INPUT!$K$2:$K$5, "&lt;&gt;"""),
0)</f>
        <v>1</v>
      </c>
      <c r="J15" s="21"/>
      <c r="K15" s="21"/>
      <c r="L15" s="22"/>
      <c r="M15" s="23">
        <f t="shared" si="7"/>
        <v>11</v>
      </c>
      <c r="N15" s="24" t="str">
        <f t="shared" si="8"/>
        <v>↓</v>
      </c>
      <c r="O15" s="25" t="s">
        <v>140</v>
      </c>
      <c r="P15" s="26">
        <f t="shared" si="9"/>
        <v>7</v>
      </c>
      <c r="Q15" s="26">
        <f t="shared" si="10"/>
        <v>2</v>
      </c>
      <c r="R15" s="26">
        <f t="shared" si="11"/>
        <v>1</v>
      </c>
      <c r="S15" s="26">
        <f>IF(O15&lt;&gt;"",
    COUNTIFS(MATCH_INPUT!$K$6:$K$9,O15),
0)</f>
        <v>0</v>
      </c>
      <c r="T15" s="26">
        <f>IF(O15&lt;&gt;"",
    COUNTIFS(MATCH_INPUT!$F$6:$F$9, O15, MATCH_INPUT!$K$6:$K$9, "Draw") +
    COUNTIFS(MATCH_INPUT!$J$6:$J$9, O15, MATCH_INPUT!$K$6:$K$9, "Draw"),
0)</f>
        <v>1</v>
      </c>
      <c r="U15" s="26">
        <f>IF(O15&lt;&gt;"",
    COUNTIFS(MATCH_INPUT!$F$6:$F$9, O15, MATCH_INPUT!$K$6:$K$9, "&lt;&gt;"&amp;O15, MATCH_INPUT!$K$6:$K$9, "&lt;&gt;Draw", MATCH_INPUT!$K$6:$K$9, "&lt;&gt;""") +
    COUNTIFS(MATCH_INPUT!$J$6:$J$9, O15, MATCH_INPUT!$K$6:$K$9, "&lt;&gt;"&amp;O15, MATCH_INPUT!$K$6:$K$9, "&lt;&gt;Draw", MATCH_INPUT!$K$6:$K$9, "&lt;&gt;"""),
0)</f>
        <v>1</v>
      </c>
      <c r="V15" s="27"/>
      <c r="W15" s="27"/>
      <c r="X15" s="28"/>
      <c r="Y15" s="26">
        <f t="shared" si="12"/>
        <v>15</v>
      </c>
      <c r="Z15" s="29" t="str">
        <f t="shared" si="13"/>
        <v>↓</v>
      </c>
      <c r="AA15" s="19" t="s">
        <v>139</v>
      </c>
      <c r="AB15" s="23">
        <f t="shared" si="14"/>
        <v>11</v>
      </c>
      <c r="AC15" s="20">
        <f t="shared" si="15"/>
        <v>2</v>
      </c>
      <c r="AD15" s="20">
        <f t="shared" si="16"/>
        <v>2</v>
      </c>
      <c r="AE15" s="20">
        <f>IF(AA15&lt;&gt;"",
    COUNTIFS(MATCH_INPUT!$K$10:$K$13,AA15),
0)</f>
        <v>1</v>
      </c>
      <c r="AF15" s="20">
        <f>IF(AA15&lt;&gt;"",
    COUNTIFS(MATCH_INPUT!$F$10:$F$13, AA15, MATCH_INPUT!$K$10:$K$13, "Draw") +
    COUNTIFS(MATCH_INPUT!$J$10:$J$13, AA15, MATCH_INPUT!$K$10:$K$13, "Draw"),
0)</f>
        <v>0</v>
      </c>
      <c r="AG15" s="20">
        <f>IF(AA15&lt;&gt;"",
    COUNTIFS(MATCH_INPUT!$F$10:$F$13, AA15, MATCH_INPUT!$K$10:$K$13, "&lt;&gt;"&amp;AA15, MATCH_INPUT!$K$10:$K$13, "&lt;&gt;Draw", MATCH_INPUT!$K$10:$K$13, "&lt;&gt;""") +
    COUNTIFS(MATCH_INPUT!$J$10:$J$13, AA15, MATCH_INPUT!$K$10:$K$13, "&lt;&gt;"&amp;AA15, MATCH_INPUT!$K$10:$K$13, "&lt;&gt;Draw", MATCH_INPUT!$K$10:$K$13, "&lt;&gt;"""),
0)</f>
        <v>1</v>
      </c>
      <c r="AH15" s="21"/>
      <c r="AI15" s="21"/>
      <c r="AJ15" s="30"/>
      <c r="AK15" s="23">
        <f t="shared" si="17"/>
        <v>17</v>
      </c>
      <c r="AL15" s="24" t="str">
        <f t="shared" si="18"/>
        <v>↓</v>
      </c>
      <c r="AM15" s="25" t="s">
        <v>138</v>
      </c>
      <c r="AN15" s="26">
        <f t="shared" si="19"/>
        <v>13</v>
      </c>
      <c r="AO15" s="26">
        <f t="shared" si="20"/>
        <v>2</v>
      </c>
      <c r="AP15" s="26">
        <f t="shared" si="21"/>
        <v>0</v>
      </c>
      <c r="AQ15" s="26">
        <f>IF(AM15&lt;&gt;"",
    COUNTIFS(MATCH_INPUT!$K$14:$K$17,AM15),
0)</f>
        <v>0</v>
      </c>
      <c r="AR15" s="26">
        <f>IF(AM15&lt;&gt;"",
    COUNTIFS(MATCH_INPUT!$F$14:$F$17, AM15, MATCH_INPUT!$K$14:$K$17, "Draw") +
    COUNTIFS(MATCH_INPUT!$J$14:$J$17, AM15, MATCH_INPUT!$K$14:$K$17, "Draw"),
0)</f>
        <v>0</v>
      </c>
      <c r="AS15" s="26">
        <f>IF(AM15&lt;&gt;"",
    COUNTIFS(MATCH_INPUT!$F$14:$F$17, AM15, MATCH_INPUT!$K$14:$K$17, "&lt;&gt;"&amp;AM15, MATCH_INPUT!$K$14:$K$17, "&lt;&gt;Draw", MATCH_INPUT!$K$14:$K$17, "&lt;&gt;""") +
    COUNTIFS(MATCH_INPUT!$J$14:$J$17, AM15, MATCH_INPUT!$K$14:$K$17, "&lt;&gt;"&amp;AM15, MATCH_INPUT!$K$14:$K$17, "&lt;&gt;Draw", MATCH_INPUT!$K$14:$K$17, "&lt;&gt;"""),
0)</f>
        <v>2</v>
      </c>
      <c r="AT15" s="27"/>
      <c r="AU15" s="27"/>
      <c r="AV15" s="28"/>
      <c r="AW15" s="26">
        <f t="shared" si="22"/>
        <v>24</v>
      </c>
      <c r="AX15" s="29" t="str">
        <f t="shared" si="23"/>
        <v>↓</v>
      </c>
      <c r="AY15" s="19" t="s">
        <v>139</v>
      </c>
      <c r="AZ15" s="23">
        <f t="shared" si="24"/>
        <v>21</v>
      </c>
      <c r="BA15" s="20">
        <f t="shared" si="25"/>
        <v>2</v>
      </c>
      <c r="BB15" s="20">
        <f>SUM(BC15*2) + (BD15*1) + SUMIFS(MATCH_INPUT!$G$18:$G$21, MATCH_INPUT!$F$18:$F$21, AY15) + SUMIFS(MATCH_INPUT!$I$18:$I$21, MATCH_INPUT!$J$18:$J$21, AY15)
</f>
        <v>6</v>
      </c>
      <c r="BC15" s="20">
        <f>IF(AY15&lt;&gt;"",
    COUNTIFS(MATCH_INPUT!$K$18:$K$21,AY15),
0)</f>
        <v>1</v>
      </c>
      <c r="BD15" s="20">
        <f>IF(AY15&lt;&gt;"",
    COUNTIFS(MATCH_INPUT!$F$18:$F$21, AY15, MATCH_INPUT!$K$18:$K$21, "Draw") +
    COUNTIFS(MATCH_INPUT!$J$18:$J$21, AY15, MATCH_INPUT!$K$18:$K$21, "Draw"),
0)</f>
        <v>0</v>
      </c>
      <c r="BE15" s="20">
        <f>IF(AY15&lt;&gt;"",
    COUNTIFS(MATCH_INPUT!$F$18:$F$21, AY15, MATCH_INPUT!$K$18:$K$21, "&lt;&gt;"&amp;AY15, MATCH_INPUT!$K$18:$K$21, "&lt;&gt;Draw", MATCH_INPUT!$K$18:$K$21, "&lt;&gt;""") +
    COUNTIFS(MATCH_INPUT!$J$18:$J$21, AY15, MATCH_INPUT!$K$18:$K$21, "&lt;&gt;"&amp;AY15, MATCH_INPUT!$K$18:$K$21, "&lt;&gt;Draw", MATCH_INPUT!$K$18:$K$21, "&lt;&gt;"""),
0)</f>
        <v>1</v>
      </c>
      <c r="BF15" s="21">
        <f t="array" ref="BF15">IFERROR(INDEX(Form_Response!E:E, MATCH(1, (Form_Response!C:C='MATCH DATES'!$B$6)*(Form_Response!D:D=B15), 0)), "")
</f>
        <v>1</v>
      </c>
      <c r="BG15" s="21">
        <f t="array" ref="BG15">IFERROR(IF(INDEX(Form_Response!F:F, MATCH(1, (Form_Response!C:C='MATCH DATES'!$B$6)*(Form_Response!D:D=B15), 0))="Yes", 1, 0), 0)
</f>
        <v>0</v>
      </c>
      <c r="BH15" s="30" t="str">
        <f t="array" ref="BH15">IFERROR(INDEX(Form_Response!G:G, MATCH(1, (Form_Response!C:C='MATCH DATES'!$B$6)*(Form_Response!D:D=B15), 0)), "")
</f>
        <v/>
      </c>
      <c r="BI15" s="23">
        <f t="shared" si="26"/>
        <v>20</v>
      </c>
      <c r="BJ15" s="24" t="str">
        <f t="shared" si="27"/>
        <v>↑</v>
      </c>
      <c r="BK15" s="25" t="s">
        <v>140</v>
      </c>
      <c r="BL15" s="26">
        <f t="shared" si="28"/>
        <v>33</v>
      </c>
      <c r="BM15" s="26">
        <f t="shared" si="29"/>
        <v>4</v>
      </c>
      <c r="BN15" s="26">
        <f>SUM(BO15*2) + (BP15*1) + SUMIFS(MATCH_INPUT!$G$22:$G$25, MATCH_INPUT!$F$22:$F$25, BK15) + SUMIFS(MATCH_INPUT!$I$22:$I$25, MATCH_INPUT!$J$22:$J$25, BK15)
</f>
        <v>8</v>
      </c>
      <c r="BO15" s="26">
        <f>IF(BK15&lt;&gt;"",
    COUNTIFS(MATCH_INPUT!$K$22:$K$25,BK15),
0)</f>
        <v>1</v>
      </c>
      <c r="BP15" s="26">
        <f>IF(BK15&lt;&gt;"",
    COUNTIFS(MATCH_INPUT!$F$22:$F$25, BK15, MATCH_INPUT!$K$22:$K$25, "Draw") +
    COUNTIFS(MATCH_INPUT!$J$22:$J$25, BK15, MATCH_INPUT!$K$22:$K$25, "Draw"),
0)</f>
        <v>1</v>
      </c>
      <c r="BQ15" s="26">
        <f>IF(BK15&lt;&gt;"",
    COUNTIFS(MATCH_INPUT!$F$22:$F$25, BK15, MATCH_INPUT!$K$22:$K$25, "&lt;&gt;"&amp;BK15, MATCH_INPUT!$K$22:$K$25, "&lt;&gt;Draw", MATCH_INPUT!$K$22:$K$25, "&lt;&gt;""") +
    COUNTIFS(MATCH_INPUT!$J$22:$J$25, BK15, MATCH_INPUT!$K$22:$K$25, "&lt;&gt;"&amp;BK15, MATCH_INPUT!$K$22:$K$25, "&lt;&gt;Draw", MATCH_INPUT!$K$22:$K$25, "&lt;&gt;"""),
0)</f>
        <v>0</v>
      </c>
      <c r="BR15" s="27">
        <v>1.0</v>
      </c>
      <c r="BS15" s="27"/>
      <c r="BT15" s="28"/>
      <c r="BU15" s="26">
        <f t="shared" si="30"/>
        <v>13</v>
      </c>
      <c r="BV15" s="29" t="str">
        <f t="shared" si="31"/>
        <v>↑</v>
      </c>
      <c r="BW15" s="19" t="s">
        <v>139</v>
      </c>
      <c r="BX15" s="23">
        <f t="shared" si="32"/>
        <v>37</v>
      </c>
      <c r="BY15" s="20">
        <f t="shared" si="33"/>
        <v>2</v>
      </c>
      <c r="BZ15" s="20">
        <f>SUM(CA15*2)+(CB15*1) + SUMIFS(MATCH_INPUT!$G$26:$G$29, MATCH_INPUT!$F$26:$F$29, BW15) + SUMIFS(MATCH_INPUT!$I$26:$I$29, MATCH_INPUT!$J$26:$J$29, BW15)
</f>
        <v>2</v>
      </c>
      <c r="CA15" s="20">
        <f>IF(BW15&lt;&gt;"",
    COUNTIFS(MATCH_INPUT!$K$26:$K$29,BW15),
0)</f>
        <v>0</v>
      </c>
      <c r="CB15" s="20">
        <f>IF(BW15&lt;&gt;"",
    COUNTIFS(MATCH_INPUT!$F$26:$F$29, BW15, MATCH_INPUT!$K$26:$K$29, "Draw") +
    COUNTIFS(MATCH_INPUT!$J$26:$J$29, BW15, MATCH_INPUT!$K$26:$K$29, "Draw"),
0)</f>
        <v>0</v>
      </c>
      <c r="CC15" s="20">
        <f>IF(BW15&lt;&gt;"",
    COUNTIFS(MATCH_INPUT!$F$26:$F$29, BW15, MATCH_INPUT!$K$26:$K$29, "&lt;&gt;"&amp;BW15, MATCH_INPUT!$K$26:$K$29, "&lt;&gt;Draw", MATCH_INPUT!$K$26:$K$29, "&lt;&gt;""") +
    COUNTIFS(MATCH_INPUT!$J$26:$J$29, BW15, MATCH_INPUT!$K$26:$K$29, "&lt;&gt;"&amp;BW15, MATCH_INPUT!$K$26:$K$29, "&lt;&gt;Draw", MATCH_INPUT!$K$26:$K$29, "&lt;&gt;"""),
0)</f>
        <v>2</v>
      </c>
      <c r="CD15" s="21">
        <v>1.0</v>
      </c>
      <c r="CE15" s="21"/>
      <c r="CF15" s="30"/>
      <c r="CG15" s="23">
        <f t="shared" si="34"/>
        <v>17</v>
      </c>
      <c r="CH15" s="24" t="str">
        <f t="shared" si="35"/>
        <v>↓</v>
      </c>
      <c r="CI15" s="25" t="s">
        <v>141</v>
      </c>
      <c r="CJ15" s="26">
        <f t="shared" si="36"/>
        <v>49</v>
      </c>
      <c r="CK15" s="26">
        <f t="shared" si="37"/>
        <v>2</v>
      </c>
      <c r="CL15" s="26">
        <f>SUM(CM15*2)+(CN15*1) + SUMIFS(MATCH_INPUT!$G$30:$G$33, MATCH_INPUT!$F$30:$F$33, CI15) + SUMIFS(MATCH_INPUT!$I$30:$I$33, MATCH_INPUT!$J$30:$J$33, CI15)
</f>
        <v>10</v>
      </c>
      <c r="CM15" s="26">
        <f>IF(CI15&lt;&gt;"",
    COUNTIFS(MATCH_INPUT!$K$30:$K$33,CI15),
0)</f>
        <v>2</v>
      </c>
      <c r="CN15" s="26">
        <f>IF(CI15&lt;&gt;"",
    COUNTIFS(MATCH_INPUT!$F$30:$F$33, CI15, MATCH_INPUT!$K$30:$K$33, "Draw") +
    COUNTIFS(MATCH_INPUT!$J$30:$J$33, CI15, MATCH_INPUT!$K$30:$K$33, "Draw"),
0)</f>
        <v>0</v>
      </c>
      <c r="CO15" s="26">
        <f>IF(CI15&lt;&gt;"",
    COUNTIFS(MATCH_INPUT!$F$30:$F$33, CI15, MATCH_INPUT!$K$30:$K$33, "&lt;&gt;"&amp;CI15, MATCH_INPUT!$K$30:$K$33, "&lt;&gt;Draw", MATCH_INPUT!$K$30:$K$33, "&lt;&gt;""") +
    COUNTIFS(MATCH_INPUT!$J$30:$J$33, CI15, MATCH_INPUT!$K$30:$K$33, "&lt;&gt;"&amp;CI15, MATCH_INPUT!$K$30:$K$33, "&lt;&gt;Draw", MATCH_INPUT!$K$30:$K$33, "&lt;&gt;"""),
0)</f>
        <v>0</v>
      </c>
      <c r="CP15" s="27">
        <v>2.0</v>
      </c>
      <c r="CQ15" s="27">
        <f t="array" ref="CQ15">IFERROR(IF(INDEX(Form_Response!F:F, MATCH(1, (Form_Response!C:C='MATCH DATES'!$B$9)*(Form_Response!D:D=B15), 0))="Yes", 1, 0), 0)
</f>
        <v>0</v>
      </c>
      <c r="CR15" s="28" t="str">
        <f t="array" ref="CR15">IFERROR(INDEX(Form_Response!G:G, MATCH(1, (Form_Response!C:C='MATCH DATES'!$B$9)*(Form_Response!D:D=B15), 0)), "")
</f>
        <v/>
      </c>
      <c r="CS15" s="31">
        <f t="shared" si="38"/>
        <v>6</v>
      </c>
      <c r="CT15" s="31" t="str">
        <f t="shared" si="39"/>
        <v>↑</v>
      </c>
      <c r="CU15" s="32">
        <f t="shared" si="40"/>
        <v>31</v>
      </c>
      <c r="CV15" s="32" t="str">
        <f t="shared" ref="CV15:CW15" si="76">A15</f>
        <v>⭐️</v>
      </c>
      <c r="CW15" s="33" t="str">
        <f t="shared" si="76"/>
        <v>Gerardo</v>
      </c>
      <c r="CX15" s="33">
        <f t="shared" si="42"/>
        <v>49</v>
      </c>
      <c r="CY15" s="32">
        <f>SUM(
  IF(AND('MATCH DATES'!$A$2 &lt;= TODAY(), NOW() &gt;= 'MATCH DATES'!$A$2 + TIME(22, 0, 0)), E15, 0),
  IF(AND('MATCH DATES'!$A$3 &lt;= TODAY(), NOW() &gt;= 'MATCH DATES'!$A$3 + TIME(22, 0, 0)), Q15, 0),
  IF(AND('MATCH DATES'!$A$4 &lt;= TODAY(), NOW() &gt;= 'MATCH DATES'!$A$4 + TIME(22, 0, 0)), AC15, 0),
  IF(AND('MATCH DATES'!$A$5 &lt;= TODAY(), NOW() &gt;= 'MATCH DATES'!$A$5 + TIME(22, 0, 0)), AO15, 0),
  IF(AND('MATCH DATES'!$A$6 &lt;= TODAY(), NOW() &gt;= 'MATCH DATES'!$A$6 + TIME(22, 0, 0)), BA15, 0),
  IF(AND('MATCH DATES'!$A$7 &lt;= TODAY(), NOW() &gt;= 'MATCH DATES'!$A$7 + TIME(22, 0, 0)), BM15, 0),
  IF(AND('MATCH DATES'!$A$8 &lt;= TODAY(), NOW() &gt;= 'MATCH DATES'!$A$8 + TIME(22, 0, 0)), BY15, 0),
  IF(AND('MATCH DATES'!$A$9 &lt;= TODAY(), NOW() &gt;= 'MATCH DATES'!$A$9 + TIME(22, 0, 0)), CK15, 0)
)
</f>
        <v>18</v>
      </c>
      <c r="CZ15" s="33">
        <f t="shared" ref="CZ15:DA15" si="77">SUM(G15,S15,AE15,AQ15,BC15,BO15,CA15,CM15)</f>
        <v>6</v>
      </c>
      <c r="DA15" s="33">
        <f t="shared" si="77"/>
        <v>2</v>
      </c>
      <c r="DB15" s="33">
        <f>SUM(
  IF(AND('MATCH DATES'!$A$2 &lt;= TODAY(), NOW() &gt;= 'MATCH DATES'!$A$2 + TIME(22, 0, 0)), I15, 0),
  IF(AND('MATCH DATES'!$A$3 &lt;= TODAY(), NOW() &gt;= 'MATCH DATES'!$A$3 + TIME(22, 0, 0)), U15, 0),
  IF(AND('MATCH DATES'!$A$4 &lt;= TODAY(), NOW() &gt;= 'MATCH DATES'!$A$4 + TIME(22, 0, 0)), AG15, 0),
  IF(AND('MATCH DATES'!$A$5 &lt;= TODAY(), NOW() &gt;= 'MATCH DATES'!$A$5 + TIME(22, 0, 0)), AS15, 0),
  IF(AND('MATCH DATES'!$A$6 &lt;= TODAY(), NOW() &gt;= 'MATCH DATES'!$A$6 + TIME(22, 0, 0)), BE15, 0),
  IF(AND('MATCH DATES'!$A$7 &lt;= TODAY(), NOW() &gt;= 'MATCH DATES'!$A$7 + TIME(22, 0, 0)), BQ15, 0),
  IF(AND('MATCH DATES'!$A$8 &lt;= TODAY(), NOW() &gt;= 'MATCH DATES'!$A$8 + TIME(22, 0, 0)), CC15, 0),
  IF(AND('MATCH DATES'!$A$9 &lt;= TODAY(), NOW() &gt;= 'MATCH DATES'!$A$9 + TIME(22, 0, 0)), CO15, 0)
)</f>
        <v>8</v>
      </c>
      <c r="DC15" s="33">
        <f t="shared" si="44"/>
        <v>5</v>
      </c>
      <c r="DD15" s="33">
        <f t="shared" ref="DD15:DE15" si="78">SUM(K15,W15,AI15,AU15,BG15,BS15,CE15,CQ15)</f>
        <v>0</v>
      </c>
      <c r="DE15" s="33">
        <f t="shared" si="78"/>
        <v>0</v>
      </c>
    </row>
    <row r="16" ht="24.75" customHeight="1">
      <c r="A16" s="17" t="s">
        <v>136</v>
      </c>
      <c r="B16" s="18" t="s">
        <v>154</v>
      </c>
      <c r="C16" s="19" t="s">
        <v>140</v>
      </c>
      <c r="D16" s="20">
        <f t="shared" si="4"/>
        <v>4</v>
      </c>
      <c r="E16" s="20">
        <f t="shared" si="5"/>
        <v>2</v>
      </c>
      <c r="F16" s="20">
        <f t="shared" si="6"/>
        <v>2</v>
      </c>
      <c r="G16" s="20">
        <f>IF(C16&lt;&gt;"",
    COUNTIFS(MATCH_INPUT!$K$2:$K$5,C16),
0)</f>
        <v>1</v>
      </c>
      <c r="H16" s="20">
        <f>IF(C16&lt;&gt;"",
    COUNTIFS(MATCH_INPUT!$F$2:$F$5, C16, MATCH_INPUT!$K$2:$K$5, "Draw") +
    COUNTIFS(MATCH_INPUT!$J$2:$J$5, C16, MATCH_INPUT!$K$2:$K$5, "Draw"),
0)</f>
        <v>0</v>
      </c>
      <c r="I16" s="20">
        <f>IF(C16&lt;&gt;"",
    COUNTIFS(MATCH_INPUT!$F$2:$F$5, C16, MATCH_INPUT!$K$2:$K$5, "&lt;&gt;"&amp;C16, MATCH_INPUT!$K$2:$K$5, "&lt;&gt;Draw", MATCH_INPUT!$K$2:$K$5, "&lt;&gt;""") +
    COUNTIFS(MATCH_INPUT!$J$2:$J$5, C16, MATCH_INPUT!$K$2:$K$5, "&lt;&gt;"&amp;C16, MATCH_INPUT!$K$2:$K$5, "&lt;&gt;Draw", MATCH_INPUT!$K$2:$K$5, "&lt;&gt;"""),
0)</f>
        <v>1</v>
      </c>
      <c r="J16" s="21">
        <v>1.0</v>
      </c>
      <c r="K16" s="21"/>
      <c r="L16" s="22"/>
      <c r="M16" s="23">
        <f t="shared" si="7"/>
        <v>11</v>
      </c>
      <c r="N16" s="24" t="str">
        <f t="shared" si="8"/>
        <v>↓</v>
      </c>
      <c r="O16" s="25" t="s">
        <v>139</v>
      </c>
      <c r="P16" s="26">
        <f t="shared" si="9"/>
        <v>10</v>
      </c>
      <c r="Q16" s="26">
        <f t="shared" si="10"/>
        <v>2</v>
      </c>
      <c r="R16" s="26">
        <f t="shared" si="11"/>
        <v>4</v>
      </c>
      <c r="S16" s="26">
        <f>IF(O16&lt;&gt;"",
    COUNTIFS(MATCH_INPUT!$K$6:$K$9,O16),
0)</f>
        <v>2</v>
      </c>
      <c r="T16" s="26">
        <f>IF(O16&lt;&gt;"",
    COUNTIFS(MATCH_INPUT!$F$6:$F$9, O16, MATCH_INPUT!$K$6:$K$9, "Draw") +
    COUNTIFS(MATCH_INPUT!$J$6:$J$9, O16, MATCH_INPUT!$K$6:$K$9, "Draw"),
0)</f>
        <v>0</v>
      </c>
      <c r="U16" s="26">
        <f>IF(O16&lt;&gt;"",
    COUNTIFS(MATCH_INPUT!$F$6:$F$9, O16, MATCH_INPUT!$K$6:$K$9, "&lt;&gt;"&amp;O16, MATCH_INPUT!$K$6:$K$9, "&lt;&gt;Draw", MATCH_INPUT!$K$6:$K$9, "&lt;&gt;""") +
    COUNTIFS(MATCH_INPUT!$J$6:$J$9, O16, MATCH_INPUT!$K$6:$K$9, "&lt;&gt;"&amp;O16, MATCH_INPUT!$K$6:$K$9, "&lt;&gt;Draw", MATCH_INPUT!$K$6:$K$9, "&lt;&gt;"""),
0)</f>
        <v>0</v>
      </c>
      <c r="V16" s="27"/>
      <c r="W16" s="27"/>
      <c r="X16" s="28"/>
      <c r="Y16" s="26">
        <f t="shared" si="12"/>
        <v>8</v>
      </c>
      <c r="Z16" s="29" t="str">
        <f t="shared" si="13"/>
        <v>↑</v>
      </c>
      <c r="AA16" s="19" t="s">
        <v>138</v>
      </c>
      <c r="AB16" s="23">
        <f t="shared" si="14"/>
        <v>12</v>
      </c>
      <c r="AC16" s="20">
        <f t="shared" si="15"/>
        <v>2</v>
      </c>
      <c r="AD16" s="20">
        <f t="shared" si="16"/>
        <v>0</v>
      </c>
      <c r="AE16" s="20">
        <f>IF(AA16&lt;&gt;"",
    COUNTIFS(MATCH_INPUT!$K$10:$K$13,AA16),
0)</f>
        <v>0</v>
      </c>
      <c r="AF16" s="20">
        <f>IF(AA16&lt;&gt;"",
    COUNTIFS(MATCH_INPUT!$F$10:$F$13, AA16, MATCH_INPUT!$K$10:$K$13, "Draw") +
    COUNTIFS(MATCH_INPUT!$J$10:$J$13, AA16, MATCH_INPUT!$K$10:$K$13, "Draw"),
0)</f>
        <v>0</v>
      </c>
      <c r="AG16" s="20">
        <f>IF(AA16&lt;&gt;"",
    COUNTIFS(MATCH_INPUT!$F$10:$F$13, AA16, MATCH_INPUT!$K$10:$K$13, "&lt;&gt;"&amp;AA16, MATCH_INPUT!$K$10:$K$13, "&lt;&gt;Draw", MATCH_INPUT!$K$10:$K$13, "&lt;&gt;""") +
    COUNTIFS(MATCH_INPUT!$J$10:$J$13, AA16, MATCH_INPUT!$K$10:$K$13, "&lt;&gt;"&amp;AA16, MATCH_INPUT!$K$10:$K$13, "&lt;&gt;Draw", MATCH_INPUT!$K$10:$K$13, "&lt;&gt;"""),
0)</f>
        <v>2</v>
      </c>
      <c r="AH16" s="21"/>
      <c r="AI16" s="21"/>
      <c r="AJ16" s="30"/>
      <c r="AK16" s="23">
        <f t="shared" si="17"/>
        <v>13</v>
      </c>
      <c r="AL16" s="24" t="str">
        <f t="shared" si="18"/>
        <v>↓</v>
      </c>
      <c r="AM16" s="25" t="s">
        <v>138</v>
      </c>
      <c r="AN16" s="26">
        <f t="shared" si="19"/>
        <v>14</v>
      </c>
      <c r="AO16" s="26">
        <f t="shared" si="20"/>
        <v>2</v>
      </c>
      <c r="AP16" s="26">
        <f t="shared" si="21"/>
        <v>0</v>
      </c>
      <c r="AQ16" s="26">
        <f>IF(AM16&lt;&gt;"",
    COUNTIFS(MATCH_INPUT!$K$14:$K$17,AM16),
0)</f>
        <v>0</v>
      </c>
      <c r="AR16" s="26">
        <f>IF(AM16&lt;&gt;"",
    COUNTIFS(MATCH_INPUT!$F$14:$F$17, AM16, MATCH_INPUT!$K$14:$K$17, "Draw") +
    COUNTIFS(MATCH_INPUT!$J$14:$J$17, AM16, MATCH_INPUT!$K$14:$K$17, "Draw"),
0)</f>
        <v>0</v>
      </c>
      <c r="AS16" s="26">
        <f>IF(AM16&lt;&gt;"",
    COUNTIFS(MATCH_INPUT!$F$14:$F$17, AM16, MATCH_INPUT!$K$14:$K$17, "&lt;&gt;"&amp;AM16, MATCH_INPUT!$K$14:$K$17, "&lt;&gt;Draw", MATCH_INPUT!$K$14:$K$17, "&lt;&gt;""") +
    COUNTIFS(MATCH_INPUT!$J$14:$J$17, AM16, MATCH_INPUT!$K$14:$K$17, "&lt;&gt;"&amp;AM16, MATCH_INPUT!$K$14:$K$17, "&lt;&gt;Draw", MATCH_INPUT!$K$14:$K$17, "&lt;&gt;"""),
0)</f>
        <v>2</v>
      </c>
      <c r="AT16" s="27"/>
      <c r="AU16" s="27"/>
      <c r="AV16" s="28"/>
      <c r="AW16" s="26">
        <f t="shared" si="22"/>
        <v>19</v>
      </c>
      <c r="AX16" s="29" t="str">
        <f t="shared" si="23"/>
        <v>↓</v>
      </c>
      <c r="AY16" s="19" t="s">
        <v>138</v>
      </c>
      <c r="AZ16" s="23">
        <f t="shared" si="24"/>
        <v>21</v>
      </c>
      <c r="BA16" s="20">
        <f t="shared" si="25"/>
        <v>2</v>
      </c>
      <c r="BB16" s="20">
        <f>SUM(BC16*2) + (BD16*1) + SUMIFS(MATCH_INPUT!$G$18:$G$21, MATCH_INPUT!$F$18:$F$21, AY16) + SUMIFS(MATCH_INPUT!$I$18:$I$21, MATCH_INPUT!$J$18:$J$21, AY16)
</f>
        <v>5</v>
      </c>
      <c r="BC16" s="20">
        <f>IF(AY16&lt;&gt;"",
    COUNTIFS(MATCH_INPUT!$K$18:$K$21,AY16),
0)</f>
        <v>1</v>
      </c>
      <c r="BD16" s="20">
        <f>IF(AY16&lt;&gt;"",
    COUNTIFS(MATCH_INPUT!$F$18:$F$21, AY16, MATCH_INPUT!$K$18:$K$21, "Draw") +
    COUNTIFS(MATCH_INPUT!$J$18:$J$21, AY16, MATCH_INPUT!$K$18:$K$21, "Draw"),
0)</f>
        <v>0</v>
      </c>
      <c r="BE16" s="20">
        <f>IF(AY16&lt;&gt;"",
    COUNTIFS(MATCH_INPUT!$F$18:$F$21, AY16, MATCH_INPUT!$K$18:$K$21, "&lt;&gt;"&amp;AY16, MATCH_INPUT!$K$18:$K$21, "&lt;&gt;Draw", MATCH_INPUT!$K$18:$K$21, "&lt;&gt;""") +
    COUNTIFS(MATCH_INPUT!$J$18:$J$21, AY16, MATCH_INPUT!$K$18:$K$21, "&lt;&gt;"&amp;AY16, MATCH_INPUT!$K$18:$K$21, "&lt;&gt;Draw", MATCH_INPUT!$K$18:$K$21, "&lt;&gt;"""),
0)</f>
        <v>1</v>
      </c>
      <c r="BF16" s="21" t="str">
        <f t="array" ref="BF16">IFERROR(INDEX(Form_Response!E:E, MATCH(1, (Form_Response!C:C='MATCH DATES'!$B$6)*(Form_Response!D:D=B16), 0)), "")
</f>
        <v/>
      </c>
      <c r="BG16" s="21">
        <f t="array" ref="BG16">IFERROR(IF(INDEX(Form_Response!F:F, MATCH(1, (Form_Response!C:C='MATCH DATES'!$B$6)*(Form_Response!D:D=B16), 0))="Yes", 1, 0), 0)
</f>
        <v>0</v>
      </c>
      <c r="BH16" s="30" t="str">
        <f t="array" ref="BH16">IFERROR(INDEX(Form_Response!G:G, MATCH(1, (Form_Response!C:C='MATCH DATES'!$B$6)*(Form_Response!D:D=B16), 0)), "")
</f>
        <v/>
      </c>
      <c r="BI16" s="23">
        <f t="shared" si="26"/>
        <v>20</v>
      </c>
      <c r="BJ16" s="24" t="str">
        <f t="shared" si="27"/>
        <v>↓</v>
      </c>
      <c r="BK16" s="25" t="s">
        <v>140</v>
      </c>
      <c r="BL16" s="26">
        <f t="shared" si="28"/>
        <v>33</v>
      </c>
      <c r="BM16" s="26">
        <f t="shared" si="29"/>
        <v>4</v>
      </c>
      <c r="BN16" s="26">
        <f>SUM(BO16*2) + (BP16*1) + SUMIFS(MATCH_INPUT!$G$22:$G$25, MATCH_INPUT!$F$22:$F$25, BK16) + SUMIFS(MATCH_INPUT!$I$22:$I$25, MATCH_INPUT!$J$22:$J$25, BK16)
</f>
        <v>8</v>
      </c>
      <c r="BO16" s="26">
        <f>IF(BK16&lt;&gt;"",
    COUNTIFS(MATCH_INPUT!$K$22:$K$25,BK16),
0)</f>
        <v>1</v>
      </c>
      <c r="BP16" s="26">
        <f>IF(BK16&lt;&gt;"",
    COUNTIFS(MATCH_INPUT!$F$22:$F$25, BK16, MATCH_INPUT!$K$22:$K$25, "Draw") +
    COUNTIFS(MATCH_INPUT!$J$22:$J$25, BK16, MATCH_INPUT!$K$22:$K$25, "Draw"),
0)</f>
        <v>1</v>
      </c>
      <c r="BQ16" s="26">
        <f>IF(BK16&lt;&gt;"",
    COUNTIFS(MATCH_INPUT!$F$22:$F$25, BK16, MATCH_INPUT!$K$22:$K$25, "&lt;&gt;"&amp;BK16, MATCH_INPUT!$K$22:$K$25, "&lt;&gt;Draw", MATCH_INPUT!$K$22:$K$25, "&lt;&gt;""") +
    COUNTIFS(MATCH_INPUT!$J$22:$J$25, BK16, MATCH_INPUT!$K$22:$K$25, "&lt;&gt;"&amp;BK16, MATCH_INPUT!$K$22:$K$25, "&lt;&gt;Draw", MATCH_INPUT!$K$22:$K$25, "&lt;&gt;"""),
0)</f>
        <v>0</v>
      </c>
      <c r="BR16" s="27"/>
      <c r="BS16" s="27"/>
      <c r="BT16" s="28"/>
      <c r="BU16" s="26">
        <f t="shared" si="30"/>
        <v>13</v>
      </c>
      <c r="BV16" s="29" t="str">
        <f t="shared" si="31"/>
        <v>↑</v>
      </c>
      <c r="BW16" s="19" t="s">
        <v>138</v>
      </c>
      <c r="BX16" s="23">
        <f t="shared" si="32"/>
        <v>44</v>
      </c>
      <c r="BY16" s="20">
        <f t="shared" si="33"/>
        <v>2</v>
      </c>
      <c r="BZ16" s="20">
        <f>SUM(CA16*2)+(CB16*1) + SUMIFS(MATCH_INPUT!$G$26:$G$29, MATCH_INPUT!$F$26:$F$29, BW16) + SUMIFS(MATCH_INPUT!$I$26:$I$29, MATCH_INPUT!$J$26:$J$29, BW16)
</f>
        <v>9</v>
      </c>
      <c r="CA16" s="20">
        <f>IF(BW16&lt;&gt;"",
    COUNTIFS(MATCH_INPUT!$K$26:$K$29,BW16),
0)</f>
        <v>2</v>
      </c>
      <c r="CB16" s="20">
        <f>IF(BW16&lt;&gt;"",
    COUNTIFS(MATCH_INPUT!$F$26:$F$29, BW16, MATCH_INPUT!$K$26:$K$29, "Draw") +
    COUNTIFS(MATCH_INPUT!$J$26:$J$29, BW16, MATCH_INPUT!$K$26:$K$29, "Draw"),
0)</f>
        <v>0</v>
      </c>
      <c r="CC16" s="20">
        <f>IF(BW16&lt;&gt;"",
    COUNTIFS(MATCH_INPUT!$F$26:$F$29, BW16, MATCH_INPUT!$K$26:$K$29, "&lt;&gt;"&amp;BW16, MATCH_INPUT!$K$26:$K$29, "&lt;&gt;Draw", MATCH_INPUT!$K$26:$K$29, "&lt;&gt;""") +
    COUNTIFS(MATCH_INPUT!$J$26:$J$29, BW16, MATCH_INPUT!$K$26:$K$29, "&lt;&gt;"&amp;BW16, MATCH_INPUT!$K$26:$K$29, "&lt;&gt;Draw", MATCH_INPUT!$K$26:$K$29, "&lt;&gt;"""),
0)</f>
        <v>0</v>
      </c>
      <c r="CD16" s="21"/>
      <c r="CE16" s="21"/>
      <c r="CF16" s="30"/>
      <c r="CG16" s="23">
        <f t="shared" si="34"/>
        <v>5</v>
      </c>
      <c r="CH16" s="24" t="str">
        <f t="shared" si="35"/>
        <v>↑</v>
      </c>
      <c r="CI16" s="25" t="s">
        <v>140</v>
      </c>
      <c r="CJ16" s="26">
        <f t="shared" si="36"/>
        <v>49</v>
      </c>
      <c r="CK16" s="26">
        <f t="shared" si="37"/>
        <v>2</v>
      </c>
      <c r="CL16" s="26">
        <f>SUM(CM16*2)+(CN16*1) + SUMIFS(MATCH_INPUT!$G$30:$G$33, MATCH_INPUT!$F$30:$F$33, CI16) + SUMIFS(MATCH_INPUT!$I$30:$I$33, MATCH_INPUT!$J$30:$J$33, CI16)
</f>
        <v>3</v>
      </c>
      <c r="CM16" s="26">
        <f>IF(CI16&lt;&gt;"",
    COUNTIFS(MATCH_INPUT!$K$30:$K$33,CI16),
0)</f>
        <v>1</v>
      </c>
      <c r="CN16" s="26">
        <f>IF(CI16&lt;&gt;"",
    COUNTIFS(MATCH_INPUT!$F$30:$F$33, CI16, MATCH_INPUT!$K$30:$K$33, "Draw") +
    COUNTIFS(MATCH_INPUT!$J$30:$J$33, CI16, MATCH_INPUT!$K$30:$K$33, "Draw"),
0)</f>
        <v>0</v>
      </c>
      <c r="CO16" s="26">
        <f>IF(CI16&lt;&gt;"",
    COUNTIFS(MATCH_INPUT!$F$30:$F$33, CI16, MATCH_INPUT!$K$30:$K$33, "&lt;&gt;"&amp;CI16, MATCH_INPUT!$K$30:$K$33, "&lt;&gt;Draw", MATCH_INPUT!$K$30:$K$33, "&lt;&gt;""") +
    COUNTIFS(MATCH_INPUT!$J$30:$J$33, CI16, MATCH_INPUT!$K$30:$K$33, "&lt;&gt;"&amp;CI16, MATCH_INPUT!$K$30:$K$33, "&lt;&gt;Draw", MATCH_INPUT!$K$30:$K$33, "&lt;&gt;"""),
0)</f>
        <v>1</v>
      </c>
      <c r="CP16" s="27" t="str">
        <f t="array" ref="CP16">IFERROR(INDEX(Form_Response!E:E, MATCH(1, (Form_Response!C:C='MATCH DATES'!$B$9)*(Form_Response!D:D=B16), 0)), "")
</f>
        <v/>
      </c>
      <c r="CQ16" s="27">
        <f t="array" ref="CQ16">IFERROR(IF(INDEX(Form_Response!F:F, MATCH(1, (Form_Response!C:C='MATCH DATES'!$B$9)*(Form_Response!D:D=B16), 0))="Yes", 1, 0), 0)
</f>
        <v>0</v>
      </c>
      <c r="CR16" s="28" t="str">
        <f t="array" ref="CR16">IFERROR(INDEX(Form_Response!G:G, MATCH(1, (Form_Response!C:C='MATCH DATES'!$B$9)*(Form_Response!D:D=B16), 0)), "")
</f>
        <v/>
      </c>
      <c r="CS16" s="31">
        <f t="shared" si="38"/>
        <v>6</v>
      </c>
      <c r="CT16" s="31" t="str">
        <f t="shared" si="39"/>
        <v>↓</v>
      </c>
      <c r="CU16" s="32">
        <f t="shared" si="40"/>
        <v>31</v>
      </c>
      <c r="CV16" s="32" t="str">
        <f t="shared" ref="CV16:CW16" si="79">A16</f>
        <v>⭐️</v>
      </c>
      <c r="CW16" s="33" t="str">
        <f t="shared" si="79"/>
        <v>Pirlo</v>
      </c>
      <c r="CX16" s="33">
        <f t="shared" si="42"/>
        <v>49</v>
      </c>
      <c r="CY16" s="32">
        <f>SUM(
  IF(AND('MATCH DATES'!$A$2 &lt;= TODAY(), NOW() &gt;= 'MATCH DATES'!$A$2 + TIME(22, 0, 0)), E16, 0),
  IF(AND('MATCH DATES'!$A$3 &lt;= TODAY(), NOW() &gt;= 'MATCH DATES'!$A$3 + TIME(22, 0, 0)), Q16, 0),
  IF(AND('MATCH DATES'!$A$4 &lt;= TODAY(), NOW() &gt;= 'MATCH DATES'!$A$4 + TIME(22, 0, 0)), AC16, 0),
  IF(AND('MATCH DATES'!$A$5 &lt;= TODAY(), NOW() &gt;= 'MATCH DATES'!$A$5 + TIME(22, 0, 0)), AO16, 0),
  IF(AND('MATCH DATES'!$A$6 &lt;= TODAY(), NOW() &gt;= 'MATCH DATES'!$A$6 + TIME(22, 0, 0)), BA16, 0),
  IF(AND('MATCH DATES'!$A$7 &lt;= TODAY(), NOW() &gt;= 'MATCH DATES'!$A$7 + TIME(22, 0, 0)), BM16, 0),
  IF(AND('MATCH DATES'!$A$8 &lt;= TODAY(), NOW() &gt;= 'MATCH DATES'!$A$8 + TIME(22, 0, 0)), BY16, 0),
  IF(AND('MATCH DATES'!$A$9 &lt;= TODAY(), NOW() &gt;= 'MATCH DATES'!$A$9 + TIME(22, 0, 0)), CK16, 0)
)
</f>
        <v>18</v>
      </c>
      <c r="CZ16" s="33">
        <f t="shared" ref="CZ16:DA16" si="80">SUM(G16,S16,AE16,AQ16,BC16,BO16,CA16,CM16)</f>
        <v>8</v>
      </c>
      <c r="DA16" s="33">
        <f t="shared" si="80"/>
        <v>1</v>
      </c>
      <c r="DB16" s="33">
        <f>SUM(
  IF(AND('MATCH DATES'!$A$2 &lt;= TODAY(), NOW() &gt;= 'MATCH DATES'!$A$2 + TIME(22, 0, 0)), I16, 0),
  IF(AND('MATCH DATES'!$A$3 &lt;= TODAY(), NOW() &gt;= 'MATCH DATES'!$A$3 + TIME(22, 0, 0)), U16, 0),
  IF(AND('MATCH DATES'!$A$4 &lt;= TODAY(), NOW() &gt;= 'MATCH DATES'!$A$4 + TIME(22, 0, 0)), AG16, 0),
  IF(AND('MATCH DATES'!$A$5 &lt;= TODAY(), NOW() &gt;= 'MATCH DATES'!$A$5 + TIME(22, 0, 0)), AS16, 0),
  IF(AND('MATCH DATES'!$A$6 &lt;= TODAY(), NOW() &gt;= 'MATCH DATES'!$A$6 + TIME(22, 0, 0)), BE16, 0),
  IF(AND('MATCH DATES'!$A$7 &lt;= TODAY(), NOW() &gt;= 'MATCH DATES'!$A$7 + TIME(22, 0, 0)), BQ16, 0),
  IF(AND('MATCH DATES'!$A$8 &lt;= TODAY(), NOW() &gt;= 'MATCH DATES'!$A$8 + TIME(22, 0, 0)), CC16, 0),
  IF(AND('MATCH DATES'!$A$9 &lt;= TODAY(), NOW() &gt;= 'MATCH DATES'!$A$9 + TIME(22, 0, 0)), CO16, 0)
)</f>
        <v>7</v>
      </c>
      <c r="DC16" s="33">
        <f t="shared" si="44"/>
        <v>1</v>
      </c>
      <c r="DD16" s="33">
        <f t="shared" ref="DD16:DE16" si="81">SUM(K16,W16,AI16,AU16,BG16,BS16,CE16,CQ16)</f>
        <v>0</v>
      </c>
      <c r="DE16" s="33">
        <f t="shared" si="81"/>
        <v>0</v>
      </c>
    </row>
    <row r="17" ht="24.75" customHeight="1">
      <c r="A17" s="17" t="s">
        <v>136</v>
      </c>
      <c r="B17" s="18" t="s">
        <v>155</v>
      </c>
      <c r="C17" s="19" t="s">
        <v>139</v>
      </c>
      <c r="D17" s="20">
        <f t="shared" si="4"/>
        <v>2</v>
      </c>
      <c r="E17" s="20">
        <f t="shared" si="5"/>
        <v>2</v>
      </c>
      <c r="F17" s="20">
        <f t="shared" si="6"/>
        <v>0</v>
      </c>
      <c r="G17" s="20">
        <f>IF(C17&lt;&gt;"",
    COUNTIFS(MATCH_INPUT!$K$2:$K$5,C17),
0)</f>
        <v>0</v>
      </c>
      <c r="H17" s="20">
        <f>IF(C17&lt;&gt;"",
    COUNTIFS(MATCH_INPUT!$F$2:$F$5, C17, MATCH_INPUT!$K$2:$K$5, "Draw") +
    COUNTIFS(MATCH_INPUT!$J$2:$J$5, C17, MATCH_INPUT!$K$2:$K$5, "Draw"),
0)</f>
        <v>0</v>
      </c>
      <c r="I17" s="20">
        <f>IF(C17&lt;&gt;"",
    COUNTIFS(MATCH_INPUT!$F$2:$F$5, C17, MATCH_INPUT!$K$2:$K$5, "&lt;&gt;"&amp;C17, MATCH_INPUT!$K$2:$K$5, "&lt;&gt;Draw", MATCH_INPUT!$K$2:$K$5, "&lt;&gt;""") +
    COUNTIFS(MATCH_INPUT!$J$2:$J$5, C17, MATCH_INPUT!$K$2:$K$5, "&lt;&gt;"&amp;C17, MATCH_INPUT!$K$2:$K$5, "&lt;&gt;Draw", MATCH_INPUT!$K$2:$K$5, "&lt;&gt;"""),
0)</f>
        <v>2</v>
      </c>
      <c r="J17" s="21"/>
      <c r="K17" s="21"/>
      <c r="L17" s="22"/>
      <c r="M17" s="23">
        <f t="shared" si="7"/>
        <v>26</v>
      </c>
      <c r="N17" s="24" t="str">
        <f t="shared" si="8"/>
        <v>↓</v>
      </c>
      <c r="O17" s="25" t="s">
        <v>138</v>
      </c>
      <c r="P17" s="26">
        <f t="shared" si="9"/>
        <v>4</v>
      </c>
      <c r="Q17" s="26">
        <f t="shared" si="10"/>
        <v>2</v>
      </c>
      <c r="R17" s="26">
        <f t="shared" si="11"/>
        <v>0</v>
      </c>
      <c r="S17" s="26">
        <f>IF(O17&lt;&gt;"",
    COUNTIFS(MATCH_INPUT!$K$6:$K$9,O17),
0)</f>
        <v>0</v>
      </c>
      <c r="T17" s="26">
        <f>IF(O17&lt;&gt;"",
    COUNTIFS(MATCH_INPUT!$F$6:$F$9, O17, MATCH_INPUT!$K$6:$K$9, "Draw") +
    COUNTIFS(MATCH_INPUT!$J$6:$J$9, O17, MATCH_INPUT!$K$6:$K$9, "Draw"),
0)</f>
        <v>0</v>
      </c>
      <c r="U17" s="26">
        <f>IF(O17&lt;&gt;"",
    COUNTIFS(MATCH_INPUT!$F$6:$F$9, O17, MATCH_INPUT!$K$6:$K$9, "&lt;&gt;"&amp;O17, MATCH_INPUT!$K$6:$K$9, "&lt;&gt;Draw", MATCH_INPUT!$K$6:$K$9, "&lt;&gt;""") +
    COUNTIFS(MATCH_INPUT!$J$6:$J$9, O17, MATCH_INPUT!$K$6:$K$9, "&lt;&gt;"&amp;O17, MATCH_INPUT!$K$6:$K$9, "&lt;&gt;Draw", MATCH_INPUT!$K$6:$K$9, "&lt;&gt;"""),
0)</f>
        <v>2</v>
      </c>
      <c r="V17" s="27"/>
      <c r="W17" s="27"/>
      <c r="X17" s="28"/>
      <c r="Y17" s="26">
        <f t="shared" si="12"/>
        <v>30</v>
      </c>
      <c r="Z17" s="29" t="str">
        <f t="shared" si="13"/>
        <v>↓</v>
      </c>
      <c r="AA17" s="19" t="s">
        <v>141</v>
      </c>
      <c r="AB17" s="23">
        <f t="shared" si="14"/>
        <v>10</v>
      </c>
      <c r="AC17" s="20">
        <f t="shared" si="15"/>
        <v>2</v>
      </c>
      <c r="AD17" s="20">
        <f t="shared" si="16"/>
        <v>4</v>
      </c>
      <c r="AE17" s="20">
        <f>IF(AA17&lt;&gt;"",
    COUNTIFS(MATCH_INPUT!$K$10:$K$13,AA17),
0)</f>
        <v>2</v>
      </c>
      <c r="AF17" s="20">
        <f>IF(AA17&lt;&gt;"",
    COUNTIFS(MATCH_INPUT!$F$10:$F$13, AA17, MATCH_INPUT!$K$10:$K$13, "Draw") +
    COUNTIFS(MATCH_INPUT!$J$10:$J$13, AA17, MATCH_INPUT!$K$10:$K$13, "Draw"),
0)</f>
        <v>0</v>
      </c>
      <c r="AG17" s="20">
        <f>IF(AA17&lt;&gt;"",
    COUNTIFS(MATCH_INPUT!$F$10:$F$13, AA17, MATCH_INPUT!$K$10:$K$13, "&lt;&gt;"&amp;AA17, MATCH_INPUT!$K$10:$K$13, "&lt;&gt;Draw", MATCH_INPUT!$K$10:$K$13, "&lt;&gt;""") +
    COUNTIFS(MATCH_INPUT!$J$10:$J$13, AA17, MATCH_INPUT!$K$10:$K$13, "&lt;&gt;"&amp;AA17, MATCH_INPUT!$K$10:$K$13, "&lt;&gt;Draw", MATCH_INPUT!$K$10:$K$13, "&lt;&gt;"""),
0)</f>
        <v>0</v>
      </c>
      <c r="AH17" s="21"/>
      <c r="AI17" s="21"/>
      <c r="AJ17" s="30"/>
      <c r="AK17" s="23">
        <f t="shared" si="17"/>
        <v>20</v>
      </c>
      <c r="AL17" s="24" t="str">
        <f t="shared" si="18"/>
        <v>↑</v>
      </c>
      <c r="AM17" s="25" t="s">
        <v>139</v>
      </c>
      <c r="AN17" s="26">
        <f t="shared" si="19"/>
        <v>16</v>
      </c>
      <c r="AO17" s="26">
        <f t="shared" si="20"/>
        <v>2</v>
      </c>
      <c r="AP17" s="26">
        <f t="shared" si="21"/>
        <v>4</v>
      </c>
      <c r="AQ17" s="26">
        <f>IF(AM17&lt;&gt;"",
    COUNTIFS(MATCH_INPUT!$K$14:$K$17,AM17),
0)</f>
        <v>2</v>
      </c>
      <c r="AR17" s="26">
        <f>IF(AM17&lt;&gt;"",
    COUNTIFS(MATCH_INPUT!$F$14:$F$17, AM17, MATCH_INPUT!$K$14:$K$17, "Draw") +
    COUNTIFS(MATCH_INPUT!$J$14:$J$17, AM17, MATCH_INPUT!$K$14:$K$17, "Draw"),
0)</f>
        <v>0</v>
      </c>
      <c r="AS17" s="26">
        <f>IF(AM17&lt;&gt;"",
    COUNTIFS(MATCH_INPUT!$F$14:$F$17, AM17, MATCH_INPUT!$K$14:$K$17, "&lt;&gt;"&amp;AM17, MATCH_INPUT!$K$14:$K$17, "&lt;&gt;Draw", MATCH_INPUT!$K$14:$K$17, "&lt;&gt;""") +
    COUNTIFS(MATCH_INPUT!$J$14:$J$17, AM17, MATCH_INPUT!$K$14:$K$17, "&lt;&gt;"&amp;AM17, MATCH_INPUT!$K$14:$K$17, "&lt;&gt;Draw", MATCH_INPUT!$K$14:$K$17, "&lt;&gt;"""),
0)</f>
        <v>0</v>
      </c>
      <c r="AT17" s="27">
        <v>2.0</v>
      </c>
      <c r="AU17" s="27"/>
      <c r="AV17" s="28"/>
      <c r="AW17" s="26">
        <f t="shared" si="22"/>
        <v>12</v>
      </c>
      <c r="AX17" s="29" t="str">
        <f t="shared" si="23"/>
        <v>↑</v>
      </c>
      <c r="AY17" s="19" t="s">
        <v>138</v>
      </c>
      <c r="AZ17" s="23">
        <f t="shared" si="24"/>
        <v>23</v>
      </c>
      <c r="BA17" s="20">
        <f t="shared" si="25"/>
        <v>2</v>
      </c>
      <c r="BB17" s="20">
        <f>SUM(BC17*2) + (BD17*1) + SUMIFS(MATCH_INPUT!$G$18:$G$21, MATCH_INPUT!$F$18:$F$21, AY17) + SUMIFS(MATCH_INPUT!$I$18:$I$21, MATCH_INPUT!$J$18:$J$21, AY17)
</f>
        <v>5</v>
      </c>
      <c r="BC17" s="20">
        <f>IF(AY17&lt;&gt;"",
    COUNTIFS(MATCH_INPUT!$K$18:$K$21,AY17),
0)</f>
        <v>1</v>
      </c>
      <c r="BD17" s="20">
        <f>IF(AY17&lt;&gt;"",
    COUNTIFS(MATCH_INPUT!$F$18:$F$21, AY17, MATCH_INPUT!$K$18:$K$21, "Draw") +
    COUNTIFS(MATCH_INPUT!$J$18:$J$21, AY17, MATCH_INPUT!$K$18:$K$21, "Draw"),
0)</f>
        <v>0</v>
      </c>
      <c r="BE17" s="20">
        <f>IF(AY17&lt;&gt;"",
    COUNTIFS(MATCH_INPUT!$F$18:$F$21, AY17, MATCH_INPUT!$K$18:$K$21, "&lt;&gt;"&amp;AY17, MATCH_INPUT!$K$18:$K$21, "&lt;&gt;Draw", MATCH_INPUT!$K$18:$K$21, "&lt;&gt;""") +
    COUNTIFS(MATCH_INPUT!$J$18:$J$21, AY17, MATCH_INPUT!$K$18:$K$21, "&lt;&gt;"&amp;AY17, MATCH_INPUT!$K$18:$K$21, "&lt;&gt;Draw", MATCH_INPUT!$K$18:$K$21, "&lt;&gt;"""),
0)</f>
        <v>1</v>
      </c>
      <c r="BF17" s="21" t="str">
        <f t="array" ref="BF17">IFERROR(INDEX(Form_Response!E:E, MATCH(1, (Form_Response!C:C='MATCH DATES'!$B$6)*(Form_Response!D:D=B17), 0)), "")
</f>
        <v/>
      </c>
      <c r="BG17" s="21">
        <f t="array" ref="BG17">IFERROR(IF(INDEX(Form_Response!F:F, MATCH(1, (Form_Response!C:C='MATCH DATES'!$B$6)*(Form_Response!D:D=B17), 0))="Yes", 1, 0), 0)
</f>
        <v>0</v>
      </c>
      <c r="BH17" s="30" t="str">
        <f t="array" ref="BH17">IFERROR(INDEX(Form_Response!G:G, MATCH(1, (Form_Response!C:C='MATCH DATES'!$B$6)*(Form_Response!D:D=B17), 0)), "")
</f>
        <v/>
      </c>
      <c r="BI17" s="23">
        <f t="shared" si="26"/>
        <v>16</v>
      </c>
      <c r="BJ17" s="24" t="str">
        <f t="shared" si="27"/>
        <v>↓</v>
      </c>
      <c r="BK17" s="25" t="s">
        <v>139</v>
      </c>
      <c r="BL17" s="26">
        <f t="shared" si="28"/>
        <v>33</v>
      </c>
      <c r="BM17" s="26">
        <f t="shared" si="29"/>
        <v>4</v>
      </c>
      <c r="BN17" s="26">
        <f>SUM(BO17*2) + (BP17*1) + SUMIFS(MATCH_INPUT!$G$22:$G$25, MATCH_INPUT!$F$22:$F$25, BK17) + SUMIFS(MATCH_INPUT!$I$22:$I$25, MATCH_INPUT!$J$22:$J$25, BK17)
</f>
        <v>6</v>
      </c>
      <c r="BO17" s="26">
        <f>IF(BK17&lt;&gt;"",
    COUNTIFS(MATCH_INPUT!$K$22:$K$25,BK17),
0)</f>
        <v>1</v>
      </c>
      <c r="BP17" s="26">
        <f>IF(BK17&lt;&gt;"",
    COUNTIFS(MATCH_INPUT!$F$22:$F$25, BK17, MATCH_INPUT!$K$22:$K$25, "Draw") +
    COUNTIFS(MATCH_INPUT!$J$22:$J$25, BK17, MATCH_INPUT!$K$22:$K$25, "Draw"),
0)</f>
        <v>1</v>
      </c>
      <c r="BQ17" s="26">
        <f>IF(BK17&lt;&gt;"",
    COUNTIFS(MATCH_INPUT!$F$22:$F$25, BK17, MATCH_INPUT!$K$22:$K$25, "&lt;&gt;"&amp;BK17, MATCH_INPUT!$K$22:$K$25, "&lt;&gt;Draw", MATCH_INPUT!$K$22:$K$25, "&lt;&gt;""") +
    COUNTIFS(MATCH_INPUT!$J$22:$J$25, BK17, MATCH_INPUT!$K$22:$K$25, "&lt;&gt;"&amp;BK17, MATCH_INPUT!$K$22:$K$25, "&lt;&gt;Draw", MATCH_INPUT!$K$22:$K$25, "&lt;&gt;"""),
0)</f>
        <v>0</v>
      </c>
      <c r="BR17" s="27"/>
      <c r="BS17" s="27"/>
      <c r="BT17" s="28"/>
      <c r="BU17" s="26">
        <f t="shared" si="30"/>
        <v>13</v>
      </c>
      <c r="BV17" s="29" t="str">
        <f t="shared" si="31"/>
        <v>↑</v>
      </c>
      <c r="BW17" s="19" t="s">
        <v>139</v>
      </c>
      <c r="BX17" s="23">
        <f t="shared" si="32"/>
        <v>37</v>
      </c>
      <c r="BY17" s="20">
        <f t="shared" si="33"/>
        <v>2</v>
      </c>
      <c r="BZ17" s="20">
        <f>SUM(CA17*2)+(CB17*1) + SUMIFS(MATCH_INPUT!$G$26:$G$29, MATCH_INPUT!$F$26:$F$29, BW17) + SUMIFS(MATCH_INPUT!$I$26:$I$29, MATCH_INPUT!$J$26:$J$29, BW17)
</f>
        <v>2</v>
      </c>
      <c r="CA17" s="20">
        <f>IF(BW17&lt;&gt;"",
    COUNTIFS(MATCH_INPUT!$K$26:$K$29,BW17),
0)</f>
        <v>0</v>
      </c>
      <c r="CB17" s="20">
        <f>IF(BW17&lt;&gt;"",
    COUNTIFS(MATCH_INPUT!$F$26:$F$29, BW17, MATCH_INPUT!$K$26:$K$29, "Draw") +
    COUNTIFS(MATCH_INPUT!$J$26:$J$29, BW17, MATCH_INPUT!$K$26:$K$29, "Draw"),
0)</f>
        <v>0</v>
      </c>
      <c r="CC17" s="20">
        <f>IF(BW17&lt;&gt;"",
    COUNTIFS(MATCH_INPUT!$F$26:$F$29, BW17, MATCH_INPUT!$K$26:$K$29, "&lt;&gt;"&amp;BW17, MATCH_INPUT!$K$26:$K$29, "&lt;&gt;Draw", MATCH_INPUT!$K$26:$K$29, "&lt;&gt;""") +
    COUNTIFS(MATCH_INPUT!$J$26:$J$29, BW17, MATCH_INPUT!$K$26:$K$29, "&lt;&gt;"&amp;BW17, MATCH_INPUT!$K$26:$K$29, "&lt;&gt;Draw", MATCH_INPUT!$K$26:$K$29, "&lt;&gt;"""),
0)</f>
        <v>2</v>
      </c>
      <c r="CD17" s="21"/>
      <c r="CE17" s="21"/>
      <c r="CF17" s="30"/>
      <c r="CG17" s="23">
        <f t="shared" si="34"/>
        <v>17</v>
      </c>
      <c r="CH17" s="24" t="str">
        <f t="shared" si="35"/>
        <v>↓</v>
      </c>
      <c r="CI17" s="25" t="s">
        <v>139</v>
      </c>
      <c r="CJ17" s="26">
        <f t="shared" si="36"/>
        <v>40</v>
      </c>
      <c r="CK17" s="26">
        <f t="shared" si="37"/>
        <v>2</v>
      </c>
      <c r="CL17" s="26">
        <f>SUM(CM17*2)+(CN17*1) + SUMIFS(MATCH_INPUT!$G$30:$G$33, MATCH_INPUT!$F$30:$F$33, CI17) + SUMIFS(MATCH_INPUT!$I$30:$I$33, MATCH_INPUT!$J$30:$J$33, CI17)
</f>
        <v>1</v>
      </c>
      <c r="CM17" s="26">
        <f>IF(CI17&lt;&gt;"",
    COUNTIFS(MATCH_INPUT!$K$30:$K$33,CI17),
0)</f>
        <v>0</v>
      </c>
      <c r="CN17" s="26">
        <f>IF(CI17&lt;&gt;"",
    COUNTIFS(MATCH_INPUT!$F$30:$F$33, CI17, MATCH_INPUT!$K$30:$K$33, "Draw") +
    COUNTIFS(MATCH_INPUT!$J$30:$J$33, CI17, MATCH_INPUT!$K$30:$K$33, "Draw"),
0)</f>
        <v>0</v>
      </c>
      <c r="CO17" s="26">
        <f>IF(CI17&lt;&gt;"",
    COUNTIFS(MATCH_INPUT!$F$30:$F$33, CI17, MATCH_INPUT!$K$30:$K$33, "&lt;&gt;"&amp;CI17, MATCH_INPUT!$K$30:$K$33, "&lt;&gt;Draw", MATCH_INPUT!$K$30:$K$33, "&lt;&gt;""") +
    COUNTIFS(MATCH_INPUT!$J$30:$J$33, CI17, MATCH_INPUT!$K$30:$K$33, "&lt;&gt;"&amp;CI17, MATCH_INPUT!$K$30:$K$33, "&lt;&gt;Draw", MATCH_INPUT!$K$30:$K$33, "&lt;&gt;"""),
0)</f>
        <v>2</v>
      </c>
      <c r="CP17" s="27" t="str">
        <f t="array" ref="CP17">IFERROR(INDEX(Form_Response!E:E, MATCH(1, (Form_Response!C:C='MATCH DATES'!$B$9)*(Form_Response!D:D=B17), 0)), "")
</f>
        <v/>
      </c>
      <c r="CQ17" s="27">
        <f t="array" ref="CQ17">IFERROR(IF(INDEX(Form_Response!F:F, MATCH(1, (Form_Response!C:C='MATCH DATES'!$B$9)*(Form_Response!D:D=B17), 0))="Yes", 1, 0), 0)
</f>
        <v>0</v>
      </c>
      <c r="CR17" s="28" t="str">
        <f t="array" ref="CR17">IFERROR(INDEX(Form_Response!G:G, MATCH(1, (Form_Response!C:C='MATCH DATES'!$B$9)*(Form_Response!D:D=B17), 0)), "")
</f>
        <v/>
      </c>
      <c r="CS17" s="31">
        <f t="shared" si="38"/>
        <v>17</v>
      </c>
      <c r="CT17" s="31" t="str">
        <f t="shared" si="39"/>
        <v>=</v>
      </c>
      <c r="CU17" s="32">
        <f t="shared" si="40"/>
        <v>22</v>
      </c>
      <c r="CV17" s="32" t="str">
        <f t="shared" ref="CV17:CW17" si="82">A17</f>
        <v>⭐️</v>
      </c>
      <c r="CW17" s="33" t="str">
        <f t="shared" si="82"/>
        <v>Ruben</v>
      </c>
      <c r="CX17" s="33">
        <f t="shared" si="42"/>
        <v>40</v>
      </c>
      <c r="CY17" s="32">
        <f>SUM(
  IF(AND('MATCH DATES'!$A$2 &lt;= TODAY(), NOW() &gt;= 'MATCH DATES'!$A$2 + TIME(22, 0, 0)), E17, 0),
  IF(AND('MATCH DATES'!$A$3 &lt;= TODAY(), NOW() &gt;= 'MATCH DATES'!$A$3 + TIME(22, 0, 0)), Q17, 0),
  IF(AND('MATCH DATES'!$A$4 &lt;= TODAY(), NOW() &gt;= 'MATCH DATES'!$A$4 + TIME(22, 0, 0)), AC17, 0),
  IF(AND('MATCH DATES'!$A$5 &lt;= TODAY(), NOW() &gt;= 'MATCH DATES'!$A$5 + TIME(22, 0, 0)), AO17, 0),
  IF(AND('MATCH DATES'!$A$6 &lt;= TODAY(), NOW() &gt;= 'MATCH DATES'!$A$6 + TIME(22, 0, 0)), BA17, 0),
  IF(AND('MATCH DATES'!$A$7 &lt;= TODAY(), NOW() &gt;= 'MATCH DATES'!$A$7 + TIME(22, 0, 0)), BM17, 0),
  IF(AND('MATCH DATES'!$A$8 &lt;= TODAY(), NOW() &gt;= 'MATCH DATES'!$A$8 + TIME(22, 0, 0)), BY17, 0),
  IF(AND('MATCH DATES'!$A$9 &lt;= TODAY(), NOW() &gt;= 'MATCH DATES'!$A$9 + TIME(22, 0, 0)), CK17, 0)
)
</f>
        <v>18</v>
      </c>
      <c r="CZ17" s="33">
        <f t="shared" ref="CZ17:DA17" si="83">SUM(G17,S17,AE17,AQ17,BC17,BO17,CA17,CM17)</f>
        <v>6</v>
      </c>
      <c r="DA17" s="33">
        <f t="shared" si="83"/>
        <v>1</v>
      </c>
      <c r="DB17" s="33">
        <f>SUM(
  IF(AND('MATCH DATES'!$A$2 &lt;= TODAY(), NOW() &gt;= 'MATCH DATES'!$A$2 + TIME(22, 0, 0)), I17, 0),
  IF(AND('MATCH DATES'!$A$3 &lt;= TODAY(), NOW() &gt;= 'MATCH DATES'!$A$3 + TIME(22, 0, 0)), U17, 0),
  IF(AND('MATCH DATES'!$A$4 &lt;= TODAY(), NOW() &gt;= 'MATCH DATES'!$A$4 + TIME(22, 0, 0)), AG17, 0),
  IF(AND('MATCH DATES'!$A$5 &lt;= TODAY(), NOW() &gt;= 'MATCH DATES'!$A$5 + TIME(22, 0, 0)), AS17, 0),
  IF(AND('MATCH DATES'!$A$6 &lt;= TODAY(), NOW() &gt;= 'MATCH DATES'!$A$6 + TIME(22, 0, 0)), BE17, 0),
  IF(AND('MATCH DATES'!$A$7 &lt;= TODAY(), NOW() &gt;= 'MATCH DATES'!$A$7 + TIME(22, 0, 0)), BQ17, 0),
  IF(AND('MATCH DATES'!$A$8 &lt;= TODAY(), NOW() &gt;= 'MATCH DATES'!$A$8 + TIME(22, 0, 0)), CC17, 0),
  IF(AND('MATCH DATES'!$A$9 &lt;= TODAY(), NOW() &gt;= 'MATCH DATES'!$A$9 + TIME(22, 0, 0)), CO17, 0)
)</f>
        <v>9</v>
      </c>
      <c r="DC17" s="33">
        <f t="shared" si="44"/>
        <v>2</v>
      </c>
      <c r="DD17" s="33">
        <f t="shared" ref="DD17:DE17" si="84">SUM(K17,W17,AI17,AU17,BG17,BS17,CE17,CQ17)</f>
        <v>0</v>
      </c>
      <c r="DE17" s="33">
        <f t="shared" si="84"/>
        <v>0</v>
      </c>
    </row>
    <row r="18" ht="24.75" customHeight="1">
      <c r="A18" s="17" t="s">
        <v>136</v>
      </c>
      <c r="B18" s="18" t="s">
        <v>156</v>
      </c>
      <c r="C18" s="19" t="s">
        <v>141</v>
      </c>
      <c r="D18" s="20">
        <f t="shared" si="4"/>
        <v>4</v>
      </c>
      <c r="E18" s="20">
        <f t="shared" si="5"/>
        <v>2</v>
      </c>
      <c r="F18" s="20">
        <f t="shared" si="6"/>
        <v>2</v>
      </c>
      <c r="G18" s="20">
        <f>IF(C18&lt;&gt;"",
    COUNTIFS(MATCH_INPUT!$K$2:$K$5,C18),
0)</f>
        <v>1</v>
      </c>
      <c r="H18" s="20">
        <f>IF(C18&lt;&gt;"",
    COUNTIFS(MATCH_INPUT!$F$2:$F$5, C18, MATCH_INPUT!$K$2:$K$5, "Draw") +
    COUNTIFS(MATCH_INPUT!$J$2:$J$5, C18, MATCH_INPUT!$K$2:$K$5, "Draw"),
0)</f>
        <v>0</v>
      </c>
      <c r="I18" s="20">
        <f>IF(C18&lt;&gt;"",
    COUNTIFS(MATCH_INPUT!$F$2:$F$5, C18, MATCH_INPUT!$K$2:$K$5, "&lt;&gt;"&amp;C18, MATCH_INPUT!$K$2:$K$5, "&lt;&gt;Draw", MATCH_INPUT!$K$2:$K$5, "&lt;&gt;""") +
    COUNTIFS(MATCH_INPUT!$J$2:$J$5, C18, MATCH_INPUT!$K$2:$K$5, "&lt;&gt;"&amp;C18, MATCH_INPUT!$K$2:$K$5, "&lt;&gt;Draw", MATCH_INPUT!$K$2:$K$5, "&lt;&gt;"""),
0)</f>
        <v>1</v>
      </c>
      <c r="J18" s="21"/>
      <c r="K18" s="21"/>
      <c r="L18" s="22"/>
      <c r="M18" s="23">
        <f t="shared" si="7"/>
        <v>11</v>
      </c>
      <c r="N18" s="24" t="str">
        <f t="shared" si="8"/>
        <v>↓</v>
      </c>
      <c r="O18" s="25" t="s">
        <v>141</v>
      </c>
      <c r="P18" s="26">
        <f t="shared" si="9"/>
        <v>10</v>
      </c>
      <c r="Q18" s="26">
        <f t="shared" si="10"/>
        <v>2</v>
      </c>
      <c r="R18" s="26">
        <f t="shared" si="11"/>
        <v>3</v>
      </c>
      <c r="S18" s="26">
        <f>IF(O18&lt;&gt;"",
    COUNTIFS(MATCH_INPUT!$K$6:$K$9,O18),
0)</f>
        <v>1</v>
      </c>
      <c r="T18" s="26">
        <f>IF(O18&lt;&gt;"",
    COUNTIFS(MATCH_INPUT!$F$6:$F$9, O18, MATCH_INPUT!$K$6:$K$9, "Draw") +
    COUNTIFS(MATCH_INPUT!$J$6:$J$9, O18, MATCH_INPUT!$K$6:$K$9, "Draw"),
0)</f>
        <v>1</v>
      </c>
      <c r="U18" s="26">
        <f>IF(O18&lt;&gt;"",
    COUNTIFS(MATCH_INPUT!$F$6:$F$9, O18, MATCH_INPUT!$K$6:$K$9, "&lt;&gt;"&amp;O18, MATCH_INPUT!$K$6:$K$9, "&lt;&gt;Draw", MATCH_INPUT!$K$6:$K$9, "&lt;&gt;""") +
    COUNTIFS(MATCH_INPUT!$J$6:$J$9, O18, MATCH_INPUT!$K$6:$K$9, "&lt;&gt;"&amp;O18, MATCH_INPUT!$K$6:$K$9, "&lt;&gt;Draw", MATCH_INPUT!$K$6:$K$9, "&lt;&gt;"""),
0)</f>
        <v>0</v>
      </c>
      <c r="V18" s="27"/>
      <c r="W18" s="27">
        <v>1.0</v>
      </c>
      <c r="X18" s="28"/>
      <c r="Y18" s="26">
        <f t="shared" si="12"/>
        <v>8</v>
      </c>
      <c r="Z18" s="29" t="str">
        <f t="shared" si="13"/>
        <v>↑</v>
      </c>
      <c r="AA18" s="19" t="s">
        <v>140</v>
      </c>
      <c r="AB18" s="23">
        <f t="shared" si="14"/>
        <v>14</v>
      </c>
      <c r="AC18" s="20">
        <f t="shared" si="15"/>
        <v>2</v>
      </c>
      <c r="AD18" s="20">
        <f t="shared" si="16"/>
        <v>2</v>
      </c>
      <c r="AE18" s="20">
        <f>IF(AA18&lt;&gt;"",
    COUNTIFS(MATCH_INPUT!$K$10:$K$13,AA18),
0)</f>
        <v>1</v>
      </c>
      <c r="AF18" s="20">
        <f>IF(AA18&lt;&gt;"",
    COUNTIFS(MATCH_INPUT!$F$10:$F$13, AA18, MATCH_INPUT!$K$10:$K$13, "Draw") +
    COUNTIFS(MATCH_INPUT!$J$10:$J$13, AA18, MATCH_INPUT!$K$10:$K$13, "Draw"),
0)</f>
        <v>0</v>
      </c>
      <c r="AG18" s="20">
        <f>IF(AA18&lt;&gt;"",
    COUNTIFS(MATCH_INPUT!$F$10:$F$13, AA18, MATCH_INPUT!$K$10:$K$13, "&lt;&gt;"&amp;AA18, MATCH_INPUT!$K$10:$K$13, "&lt;&gt;Draw", MATCH_INPUT!$K$10:$K$13, "&lt;&gt;""") +
    COUNTIFS(MATCH_INPUT!$J$10:$J$13, AA18, MATCH_INPUT!$K$10:$K$13, "&lt;&gt;"&amp;AA18, MATCH_INPUT!$K$10:$K$13, "&lt;&gt;Draw", MATCH_INPUT!$K$10:$K$13, "&lt;&gt;"""),
0)</f>
        <v>1</v>
      </c>
      <c r="AH18" s="21"/>
      <c r="AI18" s="21"/>
      <c r="AJ18" s="30"/>
      <c r="AK18" s="23">
        <f t="shared" si="17"/>
        <v>5</v>
      </c>
      <c r="AL18" s="24" t="str">
        <f t="shared" si="18"/>
        <v>↑</v>
      </c>
      <c r="AM18" s="25" t="s">
        <v>138</v>
      </c>
      <c r="AN18" s="26">
        <f t="shared" si="19"/>
        <v>16</v>
      </c>
      <c r="AO18" s="26">
        <f t="shared" si="20"/>
        <v>2</v>
      </c>
      <c r="AP18" s="26">
        <f t="shared" si="21"/>
        <v>0</v>
      </c>
      <c r="AQ18" s="26">
        <f>IF(AM18&lt;&gt;"",
    COUNTIFS(MATCH_INPUT!$K$14:$K$17,AM18),
0)</f>
        <v>0</v>
      </c>
      <c r="AR18" s="26">
        <f>IF(AM18&lt;&gt;"",
    COUNTIFS(MATCH_INPUT!$F$14:$F$17, AM18, MATCH_INPUT!$K$14:$K$17, "Draw") +
    COUNTIFS(MATCH_INPUT!$J$14:$J$17, AM18, MATCH_INPUT!$K$14:$K$17, "Draw"),
0)</f>
        <v>0</v>
      </c>
      <c r="AS18" s="26">
        <f>IF(AM18&lt;&gt;"",
    COUNTIFS(MATCH_INPUT!$F$14:$F$17, AM18, MATCH_INPUT!$K$14:$K$17, "&lt;&gt;"&amp;AM18, MATCH_INPUT!$K$14:$K$17, "&lt;&gt;Draw", MATCH_INPUT!$K$14:$K$17, "&lt;&gt;""") +
    COUNTIFS(MATCH_INPUT!$J$14:$J$17, AM18, MATCH_INPUT!$K$14:$K$17, "&lt;&gt;"&amp;AM18, MATCH_INPUT!$K$14:$K$17, "&lt;&gt;Draw", MATCH_INPUT!$K$14:$K$17, "&lt;&gt;"""),
0)</f>
        <v>2</v>
      </c>
      <c r="AT18" s="27"/>
      <c r="AU18" s="27"/>
      <c r="AV18" s="28"/>
      <c r="AW18" s="26">
        <f t="shared" si="22"/>
        <v>12</v>
      </c>
      <c r="AX18" s="29" t="str">
        <f t="shared" si="23"/>
        <v>↓</v>
      </c>
      <c r="AY18" s="19" t="s">
        <v>141</v>
      </c>
      <c r="AZ18" s="23">
        <f t="shared" si="24"/>
        <v>22</v>
      </c>
      <c r="BA18" s="20">
        <f t="shared" si="25"/>
        <v>2</v>
      </c>
      <c r="BB18" s="20">
        <f>SUM(BC18*2) + (BD18*1) + SUMIFS(MATCH_INPUT!$G$18:$G$21, MATCH_INPUT!$F$18:$F$21, AY18) + SUMIFS(MATCH_INPUT!$I$18:$I$21, MATCH_INPUT!$J$18:$J$21, AY18)
</f>
        <v>4</v>
      </c>
      <c r="BC18" s="20">
        <f>IF(AY18&lt;&gt;"",
    COUNTIFS(MATCH_INPUT!$K$18:$K$21,AY18),
0)</f>
        <v>0</v>
      </c>
      <c r="BD18" s="20">
        <f>IF(AY18&lt;&gt;"",
    COUNTIFS(MATCH_INPUT!$F$18:$F$21, AY18, MATCH_INPUT!$K$18:$K$21, "Draw") +
    COUNTIFS(MATCH_INPUT!$J$18:$J$21, AY18, MATCH_INPUT!$K$18:$K$21, "Draw"),
0)</f>
        <v>1</v>
      </c>
      <c r="BE18" s="20">
        <f>IF(AY18&lt;&gt;"",
    COUNTIFS(MATCH_INPUT!$F$18:$F$21, AY18, MATCH_INPUT!$K$18:$K$21, "&lt;&gt;"&amp;AY18, MATCH_INPUT!$K$18:$K$21, "&lt;&gt;Draw", MATCH_INPUT!$K$18:$K$21, "&lt;&gt;""") +
    COUNTIFS(MATCH_INPUT!$J$18:$J$21, AY18, MATCH_INPUT!$K$18:$K$21, "&lt;&gt;"&amp;AY18, MATCH_INPUT!$K$18:$K$21, "&lt;&gt;Draw", MATCH_INPUT!$K$18:$K$21, "&lt;&gt;"""),
0)</f>
        <v>1</v>
      </c>
      <c r="BF18" s="21" t="str">
        <f t="array" ref="BF18">IFERROR(INDEX(Form_Response!E:E, MATCH(1, (Form_Response!C:C='MATCH DATES'!$B$6)*(Form_Response!D:D=B18), 0)), "")
</f>
        <v/>
      </c>
      <c r="BG18" s="21">
        <f t="array" ref="BG18">IFERROR(IF(INDEX(Form_Response!F:F, MATCH(1, (Form_Response!C:C='MATCH DATES'!$B$6)*(Form_Response!D:D=B18), 0))="Yes", 1, 0), 0)
</f>
        <v>0</v>
      </c>
      <c r="BH18" s="30" t="str">
        <f t="array" ref="BH18">IFERROR(INDEX(Form_Response!G:G, MATCH(1, (Form_Response!C:C='MATCH DATES'!$B$6)*(Form_Response!D:D=B18), 0)), "")
</f>
        <v/>
      </c>
      <c r="BI18" s="23">
        <f t="shared" si="26"/>
        <v>18</v>
      </c>
      <c r="BJ18" s="24" t="str">
        <f t="shared" si="27"/>
        <v>↓</v>
      </c>
      <c r="BK18" s="25" t="s">
        <v>138</v>
      </c>
      <c r="BL18" s="26">
        <f t="shared" si="28"/>
        <v>32</v>
      </c>
      <c r="BM18" s="26">
        <f t="shared" si="29"/>
        <v>4</v>
      </c>
      <c r="BN18" s="26">
        <f>SUM(BO18*2) + (BP18*1) + SUMIFS(MATCH_INPUT!$G$22:$G$25, MATCH_INPUT!$F$22:$F$25, BK18) + SUMIFS(MATCH_INPUT!$I$22:$I$25, MATCH_INPUT!$J$22:$J$25, BK18)
</f>
        <v>5</v>
      </c>
      <c r="BO18" s="26">
        <f>IF(BK18&lt;&gt;"",
    COUNTIFS(MATCH_INPUT!$K$22:$K$25,BK18),
0)</f>
        <v>1</v>
      </c>
      <c r="BP18" s="26">
        <f>IF(BK18&lt;&gt;"",
    COUNTIFS(MATCH_INPUT!$F$22:$F$25, BK18, MATCH_INPUT!$K$22:$K$25, "Draw") +
    COUNTIFS(MATCH_INPUT!$J$22:$J$25, BK18, MATCH_INPUT!$K$22:$K$25, "Draw"),
0)</f>
        <v>0</v>
      </c>
      <c r="BQ18" s="26">
        <f>IF(BK18&lt;&gt;"",
    COUNTIFS(MATCH_INPUT!$F$22:$F$25, BK18, MATCH_INPUT!$K$22:$K$25, "&lt;&gt;"&amp;BK18, MATCH_INPUT!$K$22:$K$25, "&lt;&gt;Draw", MATCH_INPUT!$K$22:$K$25, "&lt;&gt;""") +
    COUNTIFS(MATCH_INPUT!$J$22:$J$25, BK18, MATCH_INPUT!$K$22:$K$25, "&lt;&gt;"&amp;BK18, MATCH_INPUT!$K$22:$K$25, "&lt;&gt;Draw", MATCH_INPUT!$K$22:$K$25, "&lt;&gt;"""),
0)</f>
        <v>1</v>
      </c>
      <c r="BR18" s="27"/>
      <c r="BS18" s="27">
        <v>1.0</v>
      </c>
      <c r="BT18" s="28"/>
      <c r="BU18" s="26">
        <f t="shared" si="30"/>
        <v>16</v>
      </c>
      <c r="BV18" s="29" t="str">
        <f t="shared" si="31"/>
        <v>↑</v>
      </c>
      <c r="BW18" s="19" t="s">
        <v>141</v>
      </c>
      <c r="BX18" s="23">
        <f t="shared" si="32"/>
        <v>38</v>
      </c>
      <c r="BY18" s="20">
        <f t="shared" si="33"/>
        <v>2</v>
      </c>
      <c r="BZ18" s="20">
        <f>SUM(CA18*2)+(CB18*1) + SUMIFS(MATCH_INPUT!$G$26:$G$29, MATCH_INPUT!$F$26:$F$29, BW18) + SUMIFS(MATCH_INPUT!$I$26:$I$29, MATCH_INPUT!$J$26:$J$29, BW18)
</f>
        <v>4</v>
      </c>
      <c r="CA18" s="20">
        <f>IF(BW18&lt;&gt;"",
    COUNTIFS(MATCH_INPUT!$K$26:$K$29,BW18),
0)</f>
        <v>1</v>
      </c>
      <c r="CB18" s="20">
        <f>IF(BW18&lt;&gt;"",
    COUNTIFS(MATCH_INPUT!$F$26:$F$29, BW18, MATCH_INPUT!$K$26:$K$29, "Draw") +
    COUNTIFS(MATCH_INPUT!$J$26:$J$29, BW18, MATCH_INPUT!$K$26:$K$29, "Draw"),
0)</f>
        <v>0</v>
      </c>
      <c r="CC18" s="20">
        <f>IF(BW18&lt;&gt;"",
    COUNTIFS(MATCH_INPUT!$F$26:$F$29, BW18, MATCH_INPUT!$K$26:$K$29, "&lt;&gt;"&amp;BW18, MATCH_INPUT!$K$26:$K$29, "&lt;&gt;Draw", MATCH_INPUT!$K$26:$K$29, "&lt;&gt;""") +
    COUNTIFS(MATCH_INPUT!$J$26:$J$29, BW18, MATCH_INPUT!$K$26:$K$29, "&lt;&gt;"&amp;BW18, MATCH_INPUT!$K$26:$K$29, "&lt;&gt;Draw", MATCH_INPUT!$K$26:$K$29, "&lt;&gt;"""),
0)</f>
        <v>1</v>
      </c>
      <c r="CD18" s="21"/>
      <c r="CE18" s="21"/>
      <c r="CF18" s="30"/>
      <c r="CG18" s="23">
        <f t="shared" si="34"/>
        <v>16</v>
      </c>
      <c r="CH18" s="24" t="str">
        <f t="shared" si="35"/>
        <v>=</v>
      </c>
      <c r="CI18" s="25" t="s">
        <v>140</v>
      </c>
      <c r="CJ18" s="26">
        <f t="shared" si="36"/>
        <v>43</v>
      </c>
      <c r="CK18" s="26">
        <f t="shared" si="37"/>
        <v>2</v>
      </c>
      <c r="CL18" s="26">
        <f>SUM(CM18*2)+(CN18*1) + SUMIFS(MATCH_INPUT!$G$30:$G$33, MATCH_INPUT!$F$30:$F$33, CI18) + SUMIFS(MATCH_INPUT!$I$30:$I$33, MATCH_INPUT!$J$30:$J$33, CI18)
</f>
        <v>3</v>
      </c>
      <c r="CM18" s="26">
        <f>IF(CI18&lt;&gt;"",
    COUNTIFS(MATCH_INPUT!$K$30:$K$33,CI18),
0)</f>
        <v>1</v>
      </c>
      <c r="CN18" s="26">
        <f>IF(CI18&lt;&gt;"",
    COUNTIFS(MATCH_INPUT!$F$30:$F$33, CI18, MATCH_INPUT!$K$30:$K$33, "Draw") +
    COUNTIFS(MATCH_INPUT!$J$30:$J$33, CI18, MATCH_INPUT!$K$30:$K$33, "Draw"),
0)</f>
        <v>0</v>
      </c>
      <c r="CO18" s="26">
        <f>IF(CI18&lt;&gt;"",
    COUNTIFS(MATCH_INPUT!$F$30:$F$33, CI18, MATCH_INPUT!$K$30:$K$33, "&lt;&gt;"&amp;CI18, MATCH_INPUT!$K$30:$K$33, "&lt;&gt;Draw", MATCH_INPUT!$K$30:$K$33, "&lt;&gt;""") +
    COUNTIFS(MATCH_INPUT!$J$30:$J$33, CI18, MATCH_INPUT!$K$30:$K$33, "&lt;&gt;"&amp;CI18, MATCH_INPUT!$K$30:$K$33, "&lt;&gt;Draw", MATCH_INPUT!$K$30:$K$33, "&lt;&gt;"""),
0)</f>
        <v>1</v>
      </c>
      <c r="CP18" s="27" t="str">
        <f t="array" ref="CP18">IFERROR(INDEX(Form_Response!E:E, MATCH(1, (Form_Response!C:C='MATCH DATES'!$B$9)*(Form_Response!D:D=B18), 0)), "")
</f>
        <v/>
      </c>
      <c r="CQ18" s="27">
        <f t="array" ref="CQ18">IFERROR(IF(INDEX(Form_Response!F:F, MATCH(1, (Form_Response!C:C='MATCH DATES'!$B$9)*(Form_Response!D:D=B18), 0))="Yes", 1, 0), 0)
</f>
        <v>0</v>
      </c>
      <c r="CR18" s="28" t="str">
        <f t="array" ref="CR18">IFERROR(INDEX(Form_Response!G:G, MATCH(1, (Form_Response!C:C='MATCH DATES'!$B$9)*(Form_Response!D:D=B18), 0)), "")
</f>
        <v/>
      </c>
      <c r="CS18" s="31">
        <f t="shared" si="38"/>
        <v>12</v>
      </c>
      <c r="CT18" s="31" t="str">
        <f t="shared" si="39"/>
        <v>↑</v>
      </c>
      <c r="CU18" s="32">
        <f t="shared" si="40"/>
        <v>23</v>
      </c>
      <c r="CV18" s="32" t="str">
        <f t="shared" ref="CV18:CW18" si="85">A18</f>
        <v>⭐️</v>
      </c>
      <c r="CW18" s="33" t="str">
        <f t="shared" si="85"/>
        <v>Rob 👬🏽 Toño</v>
      </c>
      <c r="CX18" s="33">
        <f t="shared" si="42"/>
        <v>43</v>
      </c>
      <c r="CY18" s="32">
        <f>SUM(
  IF(AND('MATCH DATES'!$A$2 &lt;= TODAY(), NOW() &gt;= 'MATCH DATES'!$A$2 + TIME(22, 0, 0)), E18, 0),
  IF(AND('MATCH DATES'!$A$3 &lt;= TODAY(), NOW() &gt;= 'MATCH DATES'!$A$3 + TIME(22, 0, 0)), Q18, 0),
  IF(AND('MATCH DATES'!$A$4 &lt;= TODAY(), NOW() &gt;= 'MATCH DATES'!$A$4 + TIME(22, 0, 0)), AC18, 0),
  IF(AND('MATCH DATES'!$A$5 &lt;= TODAY(), NOW() &gt;= 'MATCH DATES'!$A$5 + TIME(22, 0, 0)), AO18, 0),
  IF(AND('MATCH DATES'!$A$6 &lt;= TODAY(), NOW() &gt;= 'MATCH DATES'!$A$6 + TIME(22, 0, 0)), BA18, 0),
  IF(AND('MATCH DATES'!$A$7 &lt;= TODAY(), NOW() &gt;= 'MATCH DATES'!$A$7 + TIME(22, 0, 0)), BM18, 0),
  IF(AND('MATCH DATES'!$A$8 &lt;= TODAY(), NOW() &gt;= 'MATCH DATES'!$A$8 + TIME(22, 0, 0)), BY18, 0),
  IF(AND('MATCH DATES'!$A$9 &lt;= TODAY(), NOW() &gt;= 'MATCH DATES'!$A$9 + TIME(22, 0, 0)), CK18, 0)
)
</f>
        <v>18</v>
      </c>
      <c r="CZ18" s="33">
        <f t="shared" ref="CZ18:DA18" si="86">SUM(G18,S18,AE18,AQ18,BC18,BO18,CA18,CM18)</f>
        <v>6</v>
      </c>
      <c r="DA18" s="33">
        <f t="shared" si="86"/>
        <v>2</v>
      </c>
      <c r="DB18" s="33">
        <f>SUM(
  IF(AND('MATCH DATES'!$A$2 &lt;= TODAY(), NOW() &gt;= 'MATCH DATES'!$A$2 + TIME(22, 0, 0)), I18, 0),
  IF(AND('MATCH DATES'!$A$3 &lt;= TODAY(), NOW() &gt;= 'MATCH DATES'!$A$3 + TIME(22, 0, 0)), U18, 0),
  IF(AND('MATCH DATES'!$A$4 &lt;= TODAY(), NOW() &gt;= 'MATCH DATES'!$A$4 + TIME(22, 0, 0)), AG18, 0),
  IF(AND('MATCH DATES'!$A$5 &lt;= TODAY(), NOW() &gt;= 'MATCH DATES'!$A$5 + TIME(22, 0, 0)), AS18, 0),
  IF(AND('MATCH DATES'!$A$6 &lt;= TODAY(), NOW() &gt;= 'MATCH DATES'!$A$6 + TIME(22, 0, 0)), BE18, 0),
  IF(AND('MATCH DATES'!$A$7 &lt;= TODAY(), NOW() &gt;= 'MATCH DATES'!$A$7 + TIME(22, 0, 0)), BQ18, 0),
  IF(AND('MATCH DATES'!$A$8 &lt;= TODAY(), NOW() &gt;= 'MATCH DATES'!$A$8 + TIME(22, 0, 0)), CC18, 0),
  IF(AND('MATCH DATES'!$A$9 &lt;= TODAY(), NOW() &gt;= 'MATCH DATES'!$A$9 + TIME(22, 0, 0)), CO18, 0)
)</f>
        <v>8</v>
      </c>
      <c r="DC18" s="33">
        <f t="shared" si="44"/>
        <v>0</v>
      </c>
      <c r="DD18" s="33">
        <f t="shared" ref="DD18:DE18" si="87">SUM(K18,W18,AI18,AU18,BG18,BS18,CE18,CQ18)</f>
        <v>2</v>
      </c>
      <c r="DE18" s="33">
        <f t="shared" si="87"/>
        <v>0</v>
      </c>
    </row>
    <row r="19" ht="24.75" customHeight="1">
      <c r="A19" s="17" t="s">
        <v>136</v>
      </c>
      <c r="B19" s="18" t="s">
        <v>157</v>
      </c>
      <c r="C19" s="19" t="s">
        <v>141</v>
      </c>
      <c r="D19" s="20">
        <f t="shared" si="4"/>
        <v>4</v>
      </c>
      <c r="E19" s="20">
        <f t="shared" si="5"/>
        <v>2</v>
      </c>
      <c r="F19" s="20">
        <f t="shared" si="6"/>
        <v>2</v>
      </c>
      <c r="G19" s="20">
        <f>IF(C19&lt;&gt;"",
    COUNTIFS(MATCH_INPUT!$K$2:$K$5,C19),
0)</f>
        <v>1</v>
      </c>
      <c r="H19" s="20">
        <f>IF(C19&lt;&gt;"",
    COUNTIFS(MATCH_INPUT!$F$2:$F$5, C19, MATCH_INPUT!$K$2:$K$5, "Draw") +
    COUNTIFS(MATCH_INPUT!$J$2:$J$5, C19, MATCH_INPUT!$K$2:$K$5, "Draw"),
0)</f>
        <v>0</v>
      </c>
      <c r="I19" s="20">
        <f>IF(C19&lt;&gt;"",
    COUNTIFS(MATCH_INPUT!$F$2:$F$5, C19, MATCH_INPUT!$K$2:$K$5, "&lt;&gt;"&amp;C19, MATCH_INPUT!$K$2:$K$5, "&lt;&gt;Draw", MATCH_INPUT!$K$2:$K$5, "&lt;&gt;""") +
    COUNTIFS(MATCH_INPUT!$J$2:$J$5, C19, MATCH_INPUT!$K$2:$K$5, "&lt;&gt;"&amp;C19, MATCH_INPUT!$K$2:$K$5, "&lt;&gt;Draw", MATCH_INPUT!$K$2:$K$5, "&lt;&gt;"""),
0)</f>
        <v>1</v>
      </c>
      <c r="J19" s="21">
        <v>2.0</v>
      </c>
      <c r="K19" s="21"/>
      <c r="L19" s="22"/>
      <c r="M19" s="23">
        <f t="shared" si="7"/>
        <v>11</v>
      </c>
      <c r="N19" s="24" t="str">
        <f t="shared" si="8"/>
        <v>↓</v>
      </c>
      <c r="O19" s="25" t="s">
        <v>140</v>
      </c>
      <c r="P19" s="26">
        <f t="shared" si="9"/>
        <v>7</v>
      </c>
      <c r="Q19" s="26">
        <f t="shared" si="10"/>
        <v>2</v>
      </c>
      <c r="R19" s="26">
        <f t="shared" si="11"/>
        <v>1</v>
      </c>
      <c r="S19" s="26">
        <f>IF(O19&lt;&gt;"",
    COUNTIFS(MATCH_INPUT!$K$6:$K$9,O19),
0)</f>
        <v>0</v>
      </c>
      <c r="T19" s="26">
        <f>IF(O19&lt;&gt;"",
    COUNTIFS(MATCH_INPUT!$F$6:$F$9, O19, MATCH_INPUT!$K$6:$K$9, "Draw") +
    COUNTIFS(MATCH_INPUT!$J$6:$J$9, O19, MATCH_INPUT!$K$6:$K$9, "Draw"),
0)</f>
        <v>1</v>
      </c>
      <c r="U19" s="26">
        <f>IF(O19&lt;&gt;"",
    COUNTIFS(MATCH_INPUT!$F$6:$F$9, O19, MATCH_INPUT!$K$6:$K$9, "&lt;&gt;"&amp;O19, MATCH_INPUT!$K$6:$K$9, "&lt;&gt;Draw", MATCH_INPUT!$K$6:$K$9, "&lt;&gt;""") +
    COUNTIFS(MATCH_INPUT!$J$6:$J$9, O19, MATCH_INPUT!$K$6:$K$9, "&lt;&gt;"&amp;O19, MATCH_INPUT!$K$6:$K$9, "&lt;&gt;Draw", MATCH_INPUT!$K$6:$K$9, "&lt;&gt;"""),
0)</f>
        <v>1</v>
      </c>
      <c r="V19" s="27"/>
      <c r="W19" s="27"/>
      <c r="X19" s="28"/>
      <c r="Y19" s="26">
        <f t="shared" si="12"/>
        <v>15</v>
      </c>
      <c r="Z19" s="29" t="str">
        <f t="shared" si="13"/>
        <v>↓</v>
      </c>
      <c r="AA19" s="19" t="s">
        <v>141</v>
      </c>
      <c r="AB19" s="23">
        <f t="shared" si="14"/>
        <v>13</v>
      </c>
      <c r="AC19" s="20">
        <f t="shared" si="15"/>
        <v>2</v>
      </c>
      <c r="AD19" s="20">
        <f t="shared" si="16"/>
        <v>4</v>
      </c>
      <c r="AE19" s="20">
        <f>IF(AA19&lt;&gt;"",
    COUNTIFS(MATCH_INPUT!$K$10:$K$13,AA19),
0)</f>
        <v>2</v>
      </c>
      <c r="AF19" s="20">
        <f>IF(AA19&lt;&gt;"",
    COUNTIFS(MATCH_INPUT!$F$10:$F$13, AA19, MATCH_INPUT!$K$10:$K$13, "Draw") +
    COUNTIFS(MATCH_INPUT!$J$10:$J$13, AA19, MATCH_INPUT!$K$10:$K$13, "Draw"),
0)</f>
        <v>0</v>
      </c>
      <c r="AG19" s="20">
        <f>IF(AA19&lt;&gt;"",
    COUNTIFS(MATCH_INPUT!$F$10:$F$13, AA19, MATCH_INPUT!$K$10:$K$13, "&lt;&gt;"&amp;AA19, MATCH_INPUT!$K$10:$K$13, "&lt;&gt;Draw", MATCH_INPUT!$K$10:$K$13, "&lt;&gt;""") +
    COUNTIFS(MATCH_INPUT!$J$10:$J$13, AA19, MATCH_INPUT!$K$10:$K$13, "&lt;&gt;"&amp;AA19, MATCH_INPUT!$K$10:$K$13, "&lt;&gt;Draw", MATCH_INPUT!$K$10:$K$13, "&lt;&gt;"""),
0)</f>
        <v>0</v>
      </c>
      <c r="AH19" s="21">
        <v>2.0</v>
      </c>
      <c r="AI19" s="21"/>
      <c r="AJ19" s="30"/>
      <c r="AK19" s="23">
        <f t="shared" si="17"/>
        <v>8</v>
      </c>
      <c r="AL19" s="24" t="str">
        <f t="shared" si="18"/>
        <v>↑</v>
      </c>
      <c r="AM19" s="25"/>
      <c r="AN19" s="26">
        <f t="shared" si="19"/>
        <v>13</v>
      </c>
      <c r="AO19" s="26">
        <f t="shared" si="20"/>
        <v>0</v>
      </c>
      <c r="AP19" s="26">
        <f t="shared" si="21"/>
        <v>0</v>
      </c>
      <c r="AQ19" s="26">
        <f>IF(AM19&lt;&gt;"",
    COUNTIFS(MATCH_INPUT!$K$14:$K$17,AM19),
0)</f>
        <v>0</v>
      </c>
      <c r="AR19" s="26">
        <f>IF(AM19&lt;&gt;"",
    COUNTIFS(MATCH_INPUT!$F$14:$F$17, AM19, MATCH_INPUT!$K$14:$K$17, "Draw") +
    COUNTIFS(MATCH_INPUT!$J$14:$J$17, AM19, MATCH_INPUT!$K$14:$K$17, "Draw"),
0)</f>
        <v>0</v>
      </c>
      <c r="AS19" s="26">
        <f>IF(AM19&lt;&gt;"",
    COUNTIFS(MATCH_INPUT!$F$14:$F$17, AM19, MATCH_INPUT!$K$14:$K$17, "&lt;&gt;"&amp;AM19, MATCH_INPUT!$K$14:$K$17, "&lt;&gt;Draw", MATCH_INPUT!$K$14:$K$17, "&lt;&gt;""") +
    COUNTIFS(MATCH_INPUT!$J$14:$J$17, AM19, MATCH_INPUT!$K$14:$K$17, "&lt;&gt;"&amp;AM19, MATCH_INPUT!$K$14:$K$17, "&lt;&gt;Draw", MATCH_INPUT!$K$14:$K$17, "&lt;&gt;"""),
0)</f>
        <v>0</v>
      </c>
      <c r="AT19" s="27"/>
      <c r="AU19" s="27"/>
      <c r="AV19" s="28"/>
      <c r="AW19" s="26">
        <f t="shared" si="22"/>
        <v>24</v>
      </c>
      <c r="AX19" s="29" t="str">
        <f t="shared" si="23"/>
        <v>↓</v>
      </c>
      <c r="AY19" s="19" t="s">
        <v>139</v>
      </c>
      <c r="AZ19" s="23">
        <f t="shared" si="24"/>
        <v>21</v>
      </c>
      <c r="BA19" s="20">
        <f t="shared" si="25"/>
        <v>2</v>
      </c>
      <c r="BB19" s="20">
        <f>SUM(BC19*2) + (BD19*1) + SUMIFS(MATCH_INPUT!$G$18:$G$21, MATCH_INPUT!$F$18:$F$21, AY19) + SUMIFS(MATCH_INPUT!$I$18:$I$21, MATCH_INPUT!$J$18:$J$21, AY19)
</f>
        <v>6</v>
      </c>
      <c r="BC19" s="20">
        <f>IF(AY19&lt;&gt;"",
    COUNTIFS(MATCH_INPUT!$K$18:$K$21,AY19),
0)</f>
        <v>1</v>
      </c>
      <c r="BD19" s="20">
        <f>IF(AY19&lt;&gt;"",
    COUNTIFS(MATCH_INPUT!$F$18:$F$21, AY19, MATCH_INPUT!$K$18:$K$21, "Draw") +
    COUNTIFS(MATCH_INPUT!$J$18:$J$21, AY19, MATCH_INPUT!$K$18:$K$21, "Draw"),
0)</f>
        <v>0</v>
      </c>
      <c r="BE19" s="20">
        <f>IF(AY19&lt;&gt;"",
    COUNTIFS(MATCH_INPUT!$F$18:$F$21, AY19, MATCH_INPUT!$K$18:$K$21, "&lt;&gt;"&amp;AY19, MATCH_INPUT!$K$18:$K$21, "&lt;&gt;Draw", MATCH_INPUT!$K$18:$K$21, "&lt;&gt;""") +
    COUNTIFS(MATCH_INPUT!$J$18:$J$21, AY19, MATCH_INPUT!$K$18:$K$21, "&lt;&gt;"&amp;AY19, MATCH_INPUT!$K$18:$K$21, "&lt;&gt;Draw", MATCH_INPUT!$K$18:$K$21, "&lt;&gt;"""),
0)</f>
        <v>1</v>
      </c>
      <c r="BF19" s="21" t="str">
        <f t="array" ref="BF19">IFERROR(INDEX(Form_Response!E:E, MATCH(1, (Form_Response!C:C='MATCH DATES'!$B$6)*(Form_Response!D:D=B19), 0)), "")
</f>
        <v/>
      </c>
      <c r="BG19" s="21">
        <f t="array" ref="BG19">IFERROR(IF(INDEX(Form_Response!F:F, MATCH(1, (Form_Response!C:C='MATCH DATES'!$B$6)*(Form_Response!D:D=B19), 0))="Yes", 1, 0), 0)
</f>
        <v>0</v>
      </c>
      <c r="BH19" s="30" t="str">
        <f t="array" ref="BH19">IFERROR(INDEX(Form_Response!G:G, MATCH(1, (Form_Response!C:C='MATCH DATES'!$B$6)*(Form_Response!D:D=B19), 0)), "")
</f>
        <v/>
      </c>
      <c r="BI19" s="23">
        <f t="shared" si="26"/>
        <v>20</v>
      </c>
      <c r="BJ19" s="24" t="str">
        <f t="shared" si="27"/>
        <v>↑</v>
      </c>
      <c r="BK19" s="25" t="s">
        <v>139</v>
      </c>
      <c r="BL19" s="26">
        <f t="shared" si="28"/>
        <v>31</v>
      </c>
      <c r="BM19" s="26">
        <f t="shared" si="29"/>
        <v>4</v>
      </c>
      <c r="BN19" s="26">
        <f>SUM(BO19*2) + (BP19*1) + SUMIFS(MATCH_INPUT!$G$22:$G$25, MATCH_INPUT!$F$22:$F$25, BK19) + SUMIFS(MATCH_INPUT!$I$22:$I$25, MATCH_INPUT!$J$22:$J$25, BK19)
</f>
        <v>6</v>
      </c>
      <c r="BO19" s="26">
        <f>IF(BK19&lt;&gt;"",
    COUNTIFS(MATCH_INPUT!$K$22:$K$25,BK19),
0)</f>
        <v>1</v>
      </c>
      <c r="BP19" s="26">
        <f>IF(BK19&lt;&gt;"",
    COUNTIFS(MATCH_INPUT!$F$22:$F$25, BK19, MATCH_INPUT!$K$22:$K$25, "Draw") +
    COUNTIFS(MATCH_INPUT!$J$22:$J$25, BK19, MATCH_INPUT!$K$22:$K$25, "Draw"),
0)</f>
        <v>1</v>
      </c>
      <c r="BQ19" s="26">
        <f>IF(BK19&lt;&gt;"",
    COUNTIFS(MATCH_INPUT!$F$22:$F$25, BK19, MATCH_INPUT!$K$22:$K$25, "&lt;&gt;"&amp;BK19, MATCH_INPUT!$K$22:$K$25, "&lt;&gt;Draw", MATCH_INPUT!$K$22:$K$25, "&lt;&gt;""") +
    COUNTIFS(MATCH_INPUT!$J$22:$J$25, BK19, MATCH_INPUT!$K$22:$K$25, "&lt;&gt;"&amp;BK19, MATCH_INPUT!$K$22:$K$25, "&lt;&gt;Draw", MATCH_INPUT!$K$22:$K$25, "&lt;&gt;"""),
0)</f>
        <v>0</v>
      </c>
      <c r="BR19" s="27"/>
      <c r="BS19" s="27"/>
      <c r="BT19" s="28"/>
      <c r="BU19" s="26">
        <f t="shared" si="30"/>
        <v>17</v>
      </c>
      <c r="BV19" s="29" t="str">
        <f t="shared" si="31"/>
        <v>↑</v>
      </c>
      <c r="BW19" s="19" t="s">
        <v>139</v>
      </c>
      <c r="BX19" s="23">
        <f t="shared" si="32"/>
        <v>35</v>
      </c>
      <c r="BY19" s="20">
        <f t="shared" si="33"/>
        <v>2</v>
      </c>
      <c r="BZ19" s="20">
        <f>SUM(CA19*2)+(CB19*1) + SUMIFS(MATCH_INPUT!$G$26:$G$29, MATCH_INPUT!$F$26:$F$29, BW19) + SUMIFS(MATCH_INPUT!$I$26:$I$29, MATCH_INPUT!$J$26:$J$29, BW19)
</f>
        <v>2</v>
      </c>
      <c r="CA19" s="20">
        <f>IF(BW19&lt;&gt;"",
    COUNTIFS(MATCH_INPUT!$K$26:$K$29,BW19),
0)</f>
        <v>0</v>
      </c>
      <c r="CB19" s="20">
        <f>IF(BW19&lt;&gt;"",
    COUNTIFS(MATCH_INPUT!$F$26:$F$29, BW19, MATCH_INPUT!$K$26:$K$29, "Draw") +
    COUNTIFS(MATCH_INPUT!$J$26:$J$29, BW19, MATCH_INPUT!$K$26:$K$29, "Draw"),
0)</f>
        <v>0</v>
      </c>
      <c r="CC19" s="20">
        <f>IF(BW19&lt;&gt;"",
    COUNTIFS(MATCH_INPUT!$F$26:$F$29, BW19, MATCH_INPUT!$K$26:$K$29, "&lt;&gt;"&amp;BW19, MATCH_INPUT!$K$26:$K$29, "&lt;&gt;Draw", MATCH_INPUT!$K$26:$K$29, "&lt;&gt;""") +
    COUNTIFS(MATCH_INPUT!$J$26:$J$29, BW19, MATCH_INPUT!$K$26:$K$29, "&lt;&gt;"&amp;BW19, MATCH_INPUT!$K$26:$K$29, "&lt;&gt;Draw", MATCH_INPUT!$K$26:$K$29, "&lt;&gt;"""),
0)</f>
        <v>2</v>
      </c>
      <c r="CD19" s="21"/>
      <c r="CE19" s="21"/>
      <c r="CF19" s="30"/>
      <c r="CG19" s="23">
        <f t="shared" si="34"/>
        <v>21</v>
      </c>
      <c r="CH19" s="24" t="str">
        <f t="shared" si="35"/>
        <v>↓</v>
      </c>
      <c r="CI19" s="25" t="s">
        <v>138</v>
      </c>
      <c r="CJ19" s="26">
        <f t="shared" si="36"/>
        <v>40</v>
      </c>
      <c r="CK19" s="26">
        <f t="shared" si="37"/>
        <v>2</v>
      </c>
      <c r="CL19" s="26">
        <f>SUM(CM19*2)+(CN19*1) + SUMIFS(MATCH_INPUT!$G$30:$G$33, MATCH_INPUT!$F$30:$F$33, CI19) + SUMIFS(MATCH_INPUT!$I$30:$I$33, MATCH_INPUT!$J$30:$J$33, CI19)
</f>
        <v>3</v>
      </c>
      <c r="CM19" s="26">
        <f>IF(CI19&lt;&gt;"",
    COUNTIFS(MATCH_INPUT!$K$30:$K$33,CI19),
0)</f>
        <v>1</v>
      </c>
      <c r="CN19" s="26">
        <f>IF(CI19&lt;&gt;"",
    COUNTIFS(MATCH_INPUT!$F$30:$F$33, CI19, MATCH_INPUT!$K$30:$K$33, "Draw") +
    COUNTIFS(MATCH_INPUT!$J$30:$J$33, CI19, MATCH_INPUT!$K$30:$K$33, "Draw"),
0)</f>
        <v>0</v>
      </c>
      <c r="CO19" s="26">
        <f>IF(CI19&lt;&gt;"",
    COUNTIFS(MATCH_INPUT!$F$30:$F$33, CI19, MATCH_INPUT!$K$30:$K$33, "&lt;&gt;"&amp;CI19, MATCH_INPUT!$K$30:$K$33, "&lt;&gt;Draw", MATCH_INPUT!$K$30:$K$33, "&lt;&gt;""") +
    COUNTIFS(MATCH_INPUT!$J$30:$J$33, CI19, MATCH_INPUT!$K$30:$K$33, "&lt;&gt;"&amp;CI19, MATCH_INPUT!$K$30:$K$33, "&lt;&gt;Draw", MATCH_INPUT!$K$30:$K$33, "&lt;&gt;"""),
0)</f>
        <v>1</v>
      </c>
      <c r="CP19" s="27" t="str">
        <f t="array" ref="CP19">IFERROR(INDEX(Form_Response!E:E, MATCH(1, (Form_Response!C:C='MATCH DATES'!$B$9)*(Form_Response!D:D=B19), 0)), "")
</f>
        <v/>
      </c>
      <c r="CQ19" s="27">
        <f t="array" ref="CQ19">IFERROR(IF(INDEX(Form_Response!F:F, MATCH(1, (Form_Response!C:C='MATCH DATES'!$B$9)*(Form_Response!D:D=B19), 0))="Yes", 1, 0), 0)
</f>
        <v>0</v>
      </c>
      <c r="CR19" s="28" t="str">
        <f t="array" ref="CR19">IFERROR(INDEX(Form_Response!G:G, MATCH(1, (Form_Response!C:C='MATCH DATES'!$B$9)*(Form_Response!D:D=B19), 0)), "")
</f>
        <v/>
      </c>
      <c r="CS19" s="31">
        <f t="shared" si="38"/>
        <v>17</v>
      </c>
      <c r="CT19" s="31" t="str">
        <f t="shared" si="39"/>
        <v>↑</v>
      </c>
      <c r="CU19" s="32">
        <f t="shared" si="40"/>
        <v>24</v>
      </c>
      <c r="CV19" s="32" t="str">
        <f t="shared" ref="CV19:CW19" si="88">A19</f>
        <v>⭐️</v>
      </c>
      <c r="CW19" s="33" t="str">
        <f t="shared" si="88"/>
        <v>Gus</v>
      </c>
      <c r="CX19" s="33">
        <f t="shared" si="42"/>
        <v>40</v>
      </c>
      <c r="CY19" s="32">
        <f>SUM(
  IF(AND('MATCH DATES'!$A$2 &lt;= TODAY(), NOW() &gt;= 'MATCH DATES'!$A$2 + TIME(22, 0, 0)), E19, 0),
  IF(AND('MATCH DATES'!$A$3 &lt;= TODAY(), NOW() &gt;= 'MATCH DATES'!$A$3 + TIME(22, 0, 0)), Q19, 0),
  IF(AND('MATCH DATES'!$A$4 &lt;= TODAY(), NOW() &gt;= 'MATCH DATES'!$A$4 + TIME(22, 0, 0)), AC19, 0),
  IF(AND('MATCH DATES'!$A$5 &lt;= TODAY(), NOW() &gt;= 'MATCH DATES'!$A$5 + TIME(22, 0, 0)), AO19, 0),
  IF(AND('MATCH DATES'!$A$6 &lt;= TODAY(), NOW() &gt;= 'MATCH DATES'!$A$6 + TIME(22, 0, 0)), BA19, 0),
  IF(AND('MATCH DATES'!$A$7 &lt;= TODAY(), NOW() &gt;= 'MATCH DATES'!$A$7 + TIME(22, 0, 0)), BM19, 0),
  IF(AND('MATCH DATES'!$A$8 &lt;= TODAY(), NOW() &gt;= 'MATCH DATES'!$A$8 + TIME(22, 0, 0)), BY19, 0),
  IF(AND('MATCH DATES'!$A$9 &lt;= TODAY(), NOW() &gt;= 'MATCH DATES'!$A$9 + TIME(22, 0, 0)), CK19, 0)
)
</f>
        <v>16</v>
      </c>
      <c r="CZ19" s="33">
        <f t="shared" ref="CZ19:DA19" si="89">SUM(G19,S19,AE19,AQ19,BC19,BO19,CA19,CM19)</f>
        <v>6</v>
      </c>
      <c r="DA19" s="33">
        <f t="shared" si="89"/>
        <v>2</v>
      </c>
      <c r="DB19" s="33">
        <f>SUM(
  IF(AND('MATCH DATES'!$A$2 &lt;= TODAY(), NOW() &gt;= 'MATCH DATES'!$A$2 + TIME(22, 0, 0)), I19, 0),
  IF(AND('MATCH DATES'!$A$3 &lt;= TODAY(), NOW() &gt;= 'MATCH DATES'!$A$3 + TIME(22, 0, 0)), U19, 0),
  IF(AND('MATCH DATES'!$A$4 &lt;= TODAY(), NOW() &gt;= 'MATCH DATES'!$A$4 + TIME(22, 0, 0)), AG19, 0),
  IF(AND('MATCH DATES'!$A$5 &lt;= TODAY(), NOW() &gt;= 'MATCH DATES'!$A$5 + TIME(22, 0, 0)), AS19, 0),
  IF(AND('MATCH DATES'!$A$6 &lt;= TODAY(), NOW() &gt;= 'MATCH DATES'!$A$6 + TIME(22, 0, 0)), BE19, 0),
  IF(AND('MATCH DATES'!$A$7 &lt;= TODAY(), NOW() &gt;= 'MATCH DATES'!$A$7 + TIME(22, 0, 0)), BQ19, 0),
  IF(AND('MATCH DATES'!$A$8 &lt;= TODAY(), NOW() &gt;= 'MATCH DATES'!$A$8 + TIME(22, 0, 0)), CC19, 0),
  IF(AND('MATCH DATES'!$A$9 &lt;= TODAY(), NOW() &gt;= 'MATCH DATES'!$A$9 + TIME(22, 0, 0)), CO19, 0)
)</f>
        <v>6</v>
      </c>
      <c r="DC19" s="33">
        <f t="shared" si="44"/>
        <v>4</v>
      </c>
      <c r="DD19" s="33">
        <f t="shared" ref="DD19:DE19" si="90">SUM(K19,W19,AI19,AU19,BG19,BS19,CE19,CQ19)</f>
        <v>0</v>
      </c>
      <c r="DE19" s="33">
        <f t="shared" si="90"/>
        <v>0</v>
      </c>
    </row>
    <row r="20" ht="24.75" customHeight="1">
      <c r="A20" s="17" t="s">
        <v>136</v>
      </c>
      <c r="B20" s="18" t="s">
        <v>158</v>
      </c>
      <c r="C20" s="19" t="s">
        <v>139</v>
      </c>
      <c r="D20" s="20">
        <f t="shared" si="4"/>
        <v>2</v>
      </c>
      <c r="E20" s="20">
        <f t="shared" si="5"/>
        <v>2</v>
      </c>
      <c r="F20" s="20">
        <f t="shared" si="6"/>
        <v>0</v>
      </c>
      <c r="G20" s="20">
        <f>IF(C20&lt;&gt;"",
    COUNTIFS(MATCH_INPUT!$K$2:$K$5,C20),
0)</f>
        <v>0</v>
      </c>
      <c r="H20" s="20">
        <f>IF(C20&lt;&gt;"",
    COUNTIFS(MATCH_INPUT!$F$2:$F$5, C20, MATCH_INPUT!$K$2:$K$5, "Draw") +
    COUNTIFS(MATCH_INPUT!$J$2:$J$5, C20, MATCH_INPUT!$K$2:$K$5, "Draw"),
0)</f>
        <v>0</v>
      </c>
      <c r="I20" s="20">
        <f>IF(C20&lt;&gt;"",
    COUNTIFS(MATCH_INPUT!$F$2:$F$5, C20, MATCH_INPUT!$K$2:$K$5, "&lt;&gt;"&amp;C20, MATCH_INPUT!$K$2:$K$5, "&lt;&gt;Draw", MATCH_INPUT!$K$2:$K$5, "&lt;&gt;""") +
    COUNTIFS(MATCH_INPUT!$J$2:$J$5, C20, MATCH_INPUT!$K$2:$K$5, "&lt;&gt;"&amp;C20, MATCH_INPUT!$K$2:$K$5, "&lt;&gt;Draw", MATCH_INPUT!$K$2:$K$5, "&lt;&gt;"""),
0)</f>
        <v>2</v>
      </c>
      <c r="J20" s="21"/>
      <c r="K20" s="21"/>
      <c r="L20" s="22"/>
      <c r="M20" s="23">
        <f t="shared" si="7"/>
        <v>26</v>
      </c>
      <c r="N20" s="24" t="str">
        <f t="shared" si="8"/>
        <v>↓</v>
      </c>
      <c r="O20" s="25" t="s">
        <v>138</v>
      </c>
      <c r="P20" s="26">
        <f t="shared" si="9"/>
        <v>4</v>
      </c>
      <c r="Q20" s="26">
        <f t="shared" si="10"/>
        <v>2</v>
      </c>
      <c r="R20" s="26">
        <f t="shared" si="11"/>
        <v>0</v>
      </c>
      <c r="S20" s="26">
        <f>IF(O20&lt;&gt;"",
    COUNTIFS(MATCH_INPUT!$K$6:$K$9,O20),
0)</f>
        <v>0</v>
      </c>
      <c r="T20" s="26">
        <f>IF(O20&lt;&gt;"",
    COUNTIFS(MATCH_INPUT!$F$6:$F$9, O20, MATCH_INPUT!$K$6:$K$9, "Draw") +
    COUNTIFS(MATCH_INPUT!$J$6:$J$9, O20, MATCH_INPUT!$K$6:$K$9, "Draw"),
0)</f>
        <v>0</v>
      </c>
      <c r="U20" s="26">
        <f>IF(O20&lt;&gt;"",
    COUNTIFS(MATCH_INPUT!$F$6:$F$9, O20, MATCH_INPUT!$K$6:$K$9, "&lt;&gt;"&amp;O20, MATCH_INPUT!$K$6:$K$9, "&lt;&gt;Draw", MATCH_INPUT!$K$6:$K$9, "&lt;&gt;""") +
    COUNTIFS(MATCH_INPUT!$J$6:$J$9, O20, MATCH_INPUT!$K$6:$K$9, "&lt;&gt;"&amp;O20, MATCH_INPUT!$K$6:$K$9, "&lt;&gt;Draw", MATCH_INPUT!$K$6:$K$9, "&lt;&gt;"""),
0)</f>
        <v>2</v>
      </c>
      <c r="V20" s="27"/>
      <c r="W20" s="27"/>
      <c r="X20" s="28"/>
      <c r="Y20" s="26">
        <f t="shared" si="12"/>
        <v>30</v>
      </c>
      <c r="Z20" s="29" t="str">
        <f t="shared" si="13"/>
        <v>↓</v>
      </c>
      <c r="AA20" s="19" t="s">
        <v>141</v>
      </c>
      <c r="AB20" s="23">
        <f t="shared" si="14"/>
        <v>10</v>
      </c>
      <c r="AC20" s="20">
        <f t="shared" si="15"/>
        <v>2</v>
      </c>
      <c r="AD20" s="20">
        <f t="shared" si="16"/>
        <v>4</v>
      </c>
      <c r="AE20" s="20">
        <f>IF(AA20&lt;&gt;"",
    COUNTIFS(MATCH_INPUT!$K$10:$K$13,AA20),
0)</f>
        <v>2</v>
      </c>
      <c r="AF20" s="20">
        <f>IF(AA20&lt;&gt;"",
    COUNTIFS(MATCH_INPUT!$F$10:$F$13, AA20, MATCH_INPUT!$K$10:$K$13, "Draw") +
    COUNTIFS(MATCH_INPUT!$J$10:$J$13, AA20, MATCH_INPUT!$K$10:$K$13, "Draw"),
0)</f>
        <v>0</v>
      </c>
      <c r="AG20" s="20">
        <f>IF(AA20&lt;&gt;"",
    COUNTIFS(MATCH_INPUT!$F$10:$F$13, AA20, MATCH_INPUT!$K$10:$K$13, "&lt;&gt;"&amp;AA20, MATCH_INPUT!$K$10:$K$13, "&lt;&gt;Draw", MATCH_INPUT!$K$10:$K$13, "&lt;&gt;""") +
    COUNTIFS(MATCH_INPUT!$J$10:$J$13, AA20, MATCH_INPUT!$K$10:$K$13, "&lt;&gt;"&amp;AA20, MATCH_INPUT!$K$10:$K$13, "&lt;&gt;Draw", MATCH_INPUT!$K$10:$K$13, "&lt;&gt;"""),
0)</f>
        <v>0</v>
      </c>
      <c r="AH20" s="21"/>
      <c r="AI20" s="21"/>
      <c r="AJ20" s="30"/>
      <c r="AK20" s="23">
        <f t="shared" si="17"/>
        <v>20</v>
      </c>
      <c r="AL20" s="24" t="str">
        <f t="shared" si="18"/>
        <v>↑</v>
      </c>
      <c r="AM20" s="25" t="s">
        <v>139</v>
      </c>
      <c r="AN20" s="26">
        <f t="shared" si="19"/>
        <v>16</v>
      </c>
      <c r="AO20" s="26">
        <f t="shared" si="20"/>
        <v>2</v>
      </c>
      <c r="AP20" s="26">
        <f t="shared" si="21"/>
        <v>4</v>
      </c>
      <c r="AQ20" s="26">
        <f>IF(AM20&lt;&gt;"",
    COUNTIFS(MATCH_INPUT!$K$14:$K$17,AM20),
0)</f>
        <v>2</v>
      </c>
      <c r="AR20" s="26">
        <f>IF(AM20&lt;&gt;"",
    COUNTIFS(MATCH_INPUT!$F$14:$F$17, AM20, MATCH_INPUT!$K$14:$K$17, "Draw") +
    COUNTIFS(MATCH_INPUT!$J$14:$J$17, AM20, MATCH_INPUT!$K$14:$K$17, "Draw"),
0)</f>
        <v>0</v>
      </c>
      <c r="AS20" s="26">
        <f>IF(AM20&lt;&gt;"",
    COUNTIFS(MATCH_INPUT!$F$14:$F$17, AM20, MATCH_INPUT!$K$14:$K$17, "&lt;&gt;"&amp;AM20, MATCH_INPUT!$K$14:$K$17, "&lt;&gt;Draw", MATCH_INPUT!$K$14:$K$17, "&lt;&gt;""") +
    COUNTIFS(MATCH_INPUT!$J$14:$J$17, AM20, MATCH_INPUT!$K$14:$K$17, "&lt;&gt;"&amp;AM20, MATCH_INPUT!$K$14:$K$17, "&lt;&gt;Draw", MATCH_INPUT!$K$14:$K$17, "&lt;&gt;"""),
0)</f>
        <v>0</v>
      </c>
      <c r="AT20" s="27"/>
      <c r="AU20" s="27"/>
      <c r="AV20" s="28"/>
      <c r="AW20" s="26">
        <f t="shared" si="22"/>
        <v>12</v>
      </c>
      <c r="AX20" s="29" t="str">
        <f t="shared" si="23"/>
        <v>↑</v>
      </c>
      <c r="AY20" s="19" t="s">
        <v>140</v>
      </c>
      <c r="AZ20" s="23">
        <f t="shared" si="24"/>
        <v>25</v>
      </c>
      <c r="BA20" s="20">
        <f t="shared" si="25"/>
        <v>2</v>
      </c>
      <c r="BB20" s="20">
        <f>SUM(BC20*2) + (BD20*1) + SUMIFS(MATCH_INPUT!$G$18:$G$21, MATCH_INPUT!$F$18:$F$21, AY20) + SUMIFS(MATCH_INPUT!$I$18:$I$21, MATCH_INPUT!$J$18:$J$21, AY20)
</f>
        <v>7</v>
      </c>
      <c r="BC20" s="20">
        <f>IF(AY20&lt;&gt;"",
    COUNTIFS(MATCH_INPUT!$K$18:$K$21,AY20),
0)</f>
        <v>1</v>
      </c>
      <c r="BD20" s="20">
        <f>IF(AY20&lt;&gt;"",
    COUNTIFS(MATCH_INPUT!$F$18:$F$21, AY20, MATCH_INPUT!$K$18:$K$21, "Draw") +
    COUNTIFS(MATCH_INPUT!$J$18:$J$21, AY20, MATCH_INPUT!$K$18:$K$21, "Draw"),
0)</f>
        <v>1</v>
      </c>
      <c r="BE20" s="20">
        <f>IF(AY20&lt;&gt;"",
    COUNTIFS(MATCH_INPUT!$F$18:$F$21, AY20, MATCH_INPUT!$K$18:$K$21, "&lt;&gt;"&amp;AY20, MATCH_INPUT!$K$18:$K$21, "&lt;&gt;Draw", MATCH_INPUT!$K$18:$K$21, "&lt;&gt;""") +
    COUNTIFS(MATCH_INPUT!$J$18:$J$21, AY20, MATCH_INPUT!$K$18:$K$21, "&lt;&gt;"&amp;AY20, MATCH_INPUT!$K$18:$K$21, "&lt;&gt;Draw", MATCH_INPUT!$K$18:$K$21, "&lt;&gt;"""),
0)</f>
        <v>0</v>
      </c>
      <c r="BF20" s="21" t="str">
        <f t="array" ref="BF20">IFERROR(INDEX(Form_Response!E:E, MATCH(1, (Form_Response!C:C='MATCH DATES'!$B$6)*(Form_Response!D:D=B20), 0)), "")
</f>
        <v/>
      </c>
      <c r="BG20" s="21">
        <f t="array" ref="BG20">IFERROR(IF(INDEX(Form_Response!F:F, MATCH(1, (Form_Response!C:C='MATCH DATES'!$B$6)*(Form_Response!D:D=B20), 0))="Yes", 1, 0), 0)
</f>
        <v>0</v>
      </c>
      <c r="BH20" s="30" t="str">
        <f t="array" ref="BH20">IFERROR(INDEX(Form_Response!G:G, MATCH(1, (Form_Response!C:C='MATCH DATES'!$B$6)*(Form_Response!D:D=B20), 0)), "")
</f>
        <v/>
      </c>
      <c r="BI20" s="23">
        <f t="shared" si="26"/>
        <v>8</v>
      </c>
      <c r="BJ20" s="24" t="str">
        <f t="shared" si="27"/>
        <v>↑</v>
      </c>
      <c r="BK20" s="25" t="s">
        <v>141</v>
      </c>
      <c r="BL20" s="26">
        <f t="shared" si="28"/>
        <v>31</v>
      </c>
      <c r="BM20" s="26">
        <f t="shared" si="29"/>
        <v>4</v>
      </c>
      <c r="BN20" s="26">
        <f>SUM(BO20*2) + (BP20*1) + SUMIFS(MATCH_INPUT!$G$22:$G$25, MATCH_INPUT!$F$22:$F$25, BK20) + SUMIFS(MATCH_INPUT!$I$22:$I$25, MATCH_INPUT!$J$22:$J$25, BK20)
</f>
        <v>1</v>
      </c>
      <c r="BO20" s="26">
        <f>IF(BK20&lt;&gt;"",
    COUNTIFS(MATCH_INPUT!$K$22:$K$25,BK20),
0)</f>
        <v>0</v>
      </c>
      <c r="BP20" s="26">
        <f>IF(BK20&lt;&gt;"",
    COUNTIFS(MATCH_INPUT!$F$22:$F$25, BK20, MATCH_INPUT!$K$22:$K$25, "Draw") +
    COUNTIFS(MATCH_INPUT!$J$22:$J$25, BK20, MATCH_INPUT!$K$22:$K$25, "Draw"),
0)</f>
        <v>0</v>
      </c>
      <c r="BQ20" s="26">
        <f>IF(BK20&lt;&gt;"",
    COUNTIFS(MATCH_INPUT!$F$22:$F$25, BK20, MATCH_INPUT!$K$22:$K$25, "&lt;&gt;"&amp;BK20, MATCH_INPUT!$K$22:$K$25, "&lt;&gt;Draw", MATCH_INPUT!$K$22:$K$25, "&lt;&gt;""") +
    COUNTIFS(MATCH_INPUT!$J$22:$J$25, BK20, MATCH_INPUT!$K$22:$K$25, "&lt;&gt;"&amp;BK20, MATCH_INPUT!$K$22:$K$25, "&lt;&gt;Draw", MATCH_INPUT!$K$22:$K$25, "&lt;&gt;"""),
0)</f>
        <v>2</v>
      </c>
      <c r="BR20" s="27"/>
      <c r="BS20" s="27">
        <v>1.0</v>
      </c>
      <c r="BT20" s="28"/>
      <c r="BU20" s="26">
        <f t="shared" si="30"/>
        <v>17</v>
      </c>
      <c r="BV20" s="29" t="str">
        <f t="shared" si="31"/>
        <v>↓</v>
      </c>
      <c r="BW20" s="19" t="s">
        <v>140</v>
      </c>
      <c r="BX20" s="23">
        <f t="shared" si="32"/>
        <v>37</v>
      </c>
      <c r="BY20" s="20">
        <f t="shared" si="33"/>
        <v>2</v>
      </c>
      <c r="BZ20" s="20">
        <f>SUM(CA20*2)+(CB20*1) + SUMIFS(MATCH_INPUT!$G$26:$G$29, MATCH_INPUT!$F$26:$F$29, BW20) + SUMIFS(MATCH_INPUT!$I$26:$I$29, MATCH_INPUT!$J$26:$J$29, BW20)
</f>
        <v>4</v>
      </c>
      <c r="CA20" s="20">
        <f>IF(BW20&lt;&gt;"",
    COUNTIFS(MATCH_INPUT!$K$26:$K$29,BW20),
0)</f>
        <v>1</v>
      </c>
      <c r="CB20" s="20">
        <f>IF(BW20&lt;&gt;"",
    COUNTIFS(MATCH_INPUT!$F$26:$F$29, BW20, MATCH_INPUT!$K$26:$K$29, "Draw") +
    COUNTIFS(MATCH_INPUT!$J$26:$J$29, BW20, MATCH_INPUT!$K$26:$K$29, "Draw"),
0)</f>
        <v>0</v>
      </c>
      <c r="CC20" s="20">
        <f>IF(BW20&lt;&gt;"",
    COUNTIFS(MATCH_INPUT!$F$26:$F$29, BW20, MATCH_INPUT!$K$26:$K$29, "&lt;&gt;"&amp;BW20, MATCH_INPUT!$K$26:$K$29, "&lt;&gt;Draw", MATCH_INPUT!$K$26:$K$29, "&lt;&gt;""") +
    COUNTIFS(MATCH_INPUT!$J$26:$J$29, BW20, MATCH_INPUT!$K$26:$K$29, "&lt;&gt;"&amp;BW20, MATCH_INPUT!$K$26:$K$29, "&lt;&gt;Draw", MATCH_INPUT!$K$26:$K$29, "&lt;&gt;"""),
0)</f>
        <v>1</v>
      </c>
      <c r="CD20" s="21">
        <v>1.0</v>
      </c>
      <c r="CE20" s="21"/>
      <c r="CF20" s="30"/>
      <c r="CG20" s="23">
        <f t="shared" si="34"/>
        <v>17</v>
      </c>
      <c r="CH20" s="24" t="str">
        <f t="shared" si="35"/>
        <v>=</v>
      </c>
      <c r="CI20" s="25" t="s">
        <v>138</v>
      </c>
      <c r="CJ20" s="26">
        <f t="shared" si="36"/>
        <v>42</v>
      </c>
      <c r="CK20" s="26">
        <f t="shared" si="37"/>
        <v>2</v>
      </c>
      <c r="CL20" s="26">
        <f>SUM(CM20*2)+(CN20*1) + SUMIFS(MATCH_INPUT!$G$30:$G$33, MATCH_INPUT!$F$30:$F$33, CI20) + SUMIFS(MATCH_INPUT!$I$30:$I$33, MATCH_INPUT!$J$30:$J$33, CI20)
</f>
        <v>3</v>
      </c>
      <c r="CM20" s="26">
        <f>IF(CI20&lt;&gt;"",
    COUNTIFS(MATCH_INPUT!$K$30:$K$33,CI20),
0)</f>
        <v>1</v>
      </c>
      <c r="CN20" s="26">
        <f>IF(CI20&lt;&gt;"",
    COUNTIFS(MATCH_INPUT!$F$30:$F$33, CI20, MATCH_INPUT!$K$30:$K$33, "Draw") +
    COUNTIFS(MATCH_INPUT!$J$30:$J$33, CI20, MATCH_INPUT!$K$30:$K$33, "Draw"),
0)</f>
        <v>0</v>
      </c>
      <c r="CO20" s="26">
        <f>IF(CI20&lt;&gt;"",
    COUNTIFS(MATCH_INPUT!$F$30:$F$33, CI20, MATCH_INPUT!$K$30:$K$33, "&lt;&gt;"&amp;CI20, MATCH_INPUT!$K$30:$K$33, "&lt;&gt;Draw", MATCH_INPUT!$K$30:$K$33, "&lt;&gt;""") +
    COUNTIFS(MATCH_INPUT!$J$30:$J$33, CI20, MATCH_INPUT!$K$30:$K$33, "&lt;&gt;"&amp;CI20, MATCH_INPUT!$K$30:$K$33, "&lt;&gt;Draw", MATCH_INPUT!$K$30:$K$33, "&lt;&gt;"""),
0)</f>
        <v>1</v>
      </c>
      <c r="CP20" s="27">
        <v>1.0</v>
      </c>
      <c r="CQ20" s="27">
        <f t="array" ref="CQ20">IFERROR(IF(INDEX(Form_Response!F:F, MATCH(1, (Form_Response!C:C='MATCH DATES'!$B$9)*(Form_Response!D:D=B20), 0))="Yes", 1, 0), 0)
</f>
        <v>0</v>
      </c>
      <c r="CR20" s="28" t="str">
        <f t="array" ref="CR20">IFERROR(INDEX(Form_Response!G:G, MATCH(1, (Form_Response!C:C='MATCH DATES'!$B$9)*(Form_Response!D:D=B20), 0)), "")
</f>
        <v/>
      </c>
      <c r="CS20" s="31">
        <f t="shared" si="38"/>
        <v>13</v>
      </c>
      <c r="CT20" s="31" t="str">
        <f t="shared" si="39"/>
        <v>↑</v>
      </c>
      <c r="CU20" s="32">
        <f t="shared" si="40"/>
        <v>23</v>
      </c>
      <c r="CV20" s="32" t="str">
        <f t="shared" ref="CV20:CW20" si="91">A20</f>
        <v>⭐️</v>
      </c>
      <c r="CW20" s="33" t="str">
        <f t="shared" si="91"/>
        <v>Chato 👨🏻‍🤝‍👨🏽 Miguel</v>
      </c>
      <c r="CX20" s="33">
        <f t="shared" si="42"/>
        <v>42</v>
      </c>
      <c r="CY20" s="32">
        <f>SUM(
  IF(AND('MATCH DATES'!$A$2 &lt;= TODAY(), NOW() &gt;= 'MATCH DATES'!$A$2 + TIME(22, 0, 0)), E20, 0),
  IF(AND('MATCH DATES'!$A$3 &lt;= TODAY(), NOW() &gt;= 'MATCH DATES'!$A$3 + TIME(22, 0, 0)), Q20, 0),
  IF(AND('MATCH DATES'!$A$4 &lt;= TODAY(), NOW() &gt;= 'MATCH DATES'!$A$4 + TIME(22, 0, 0)), AC20, 0),
  IF(AND('MATCH DATES'!$A$5 &lt;= TODAY(), NOW() &gt;= 'MATCH DATES'!$A$5 + TIME(22, 0, 0)), AO20, 0),
  IF(AND('MATCH DATES'!$A$6 &lt;= TODAY(), NOW() &gt;= 'MATCH DATES'!$A$6 + TIME(22, 0, 0)), BA20, 0),
  IF(AND('MATCH DATES'!$A$7 &lt;= TODAY(), NOW() &gt;= 'MATCH DATES'!$A$7 + TIME(22, 0, 0)), BM20, 0),
  IF(AND('MATCH DATES'!$A$8 &lt;= TODAY(), NOW() &gt;= 'MATCH DATES'!$A$8 + TIME(22, 0, 0)), BY20, 0),
  IF(AND('MATCH DATES'!$A$9 &lt;= TODAY(), NOW() &gt;= 'MATCH DATES'!$A$9 + TIME(22, 0, 0)), CK20, 0)
)
</f>
        <v>18</v>
      </c>
      <c r="CZ20" s="33">
        <f t="shared" ref="CZ20:DA20" si="92">SUM(G20,S20,AE20,AQ20,BC20,BO20,CA20,CM20)</f>
        <v>7</v>
      </c>
      <c r="DA20" s="33">
        <f t="shared" si="92"/>
        <v>1</v>
      </c>
      <c r="DB20" s="33">
        <f>SUM(
  IF(AND('MATCH DATES'!$A$2 &lt;= TODAY(), NOW() &gt;= 'MATCH DATES'!$A$2 + TIME(22, 0, 0)), I20, 0),
  IF(AND('MATCH DATES'!$A$3 &lt;= TODAY(), NOW() &gt;= 'MATCH DATES'!$A$3 + TIME(22, 0, 0)), U20, 0),
  IF(AND('MATCH DATES'!$A$4 &lt;= TODAY(), NOW() &gt;= 'MATCH DATES'!$A$4 + TIME(22, 0, 0)), AG20, 0),
  IF(AND('MATCH DATES'!$A$5 &lt;= TODAY(), NOW() &gt;= 'MATCH DATES'!$A$5 + TIME(22, 0, 0)), AS20, 0),
  IF(AND('MATCH DATES'!$A$6 &lt;= TODAY(), NOW() &gt;= 'MATCH DATES'!$A$6 + TIME(22, 0, 0)), BE20, 0),
  IF(AND('MATCH DATES'!$A$7 &lt;= TODAY(), NOW() &gt;= 'MATCH DATES'!$A$7 + TIME(22, 0, 0)), BQ20, 0),
  IF(AND('MATCH DATES'!$A$8 &lt;= TODAY(), NOW() &gt;= 'MATCH DATES'!$A$8 + TIME(22, 0, 0)), CC20, 0),
  IF(AND('MATCH DATES'!$A$9 &lt;= TODAY(), NOW() &gt;= 'MATCH DATES'!$A$9 + TIME(22, 0, 0)), CO20, 0)
)</f>
        <v>8</v>
      </c>
      <c r="DC20" s="33">
        <f t="shared" si="44"/>
        <v>2</v>
      </c>
      <c r="DD20" s="33">
        <f t="shared" ref="DD20:DE20" si="93">SUM(K20,W20,AI20,AU20,BG20,BS20,CE20,CQ20)</f>
        <v>1</v>
      </c>
      <c r="DE20" s="33">
        <f t="shared" si="93"/>
        <v>0</v>
      </c>
    </row>
    <row r="21" ht="24.75" customHeight="1">
      <c r="A21" s="17" t="s">
        <v>136</v>
      </c>
      <c r="B21" s="18" t="s">
        <v>159</v>
      </c>
      <c r="C21" s="19" t="s">
        <v>141</v>
      </c>
      <c r="D21" s="20">
        <f t="shared" si="4"/>
        <v>4</v>
      </c>
      <c r="E21" s="20">
        <f t="shared" si="5"/>
        <v>2</v>
      </c>
      <c r="F21" s="20">
        <f t="shared" si="6"/>
        <v>2</v>
      </c>
      <c r="G21" s="20">
        <f>IF(C21&lt;&gt;"",
    COUNTIFS(MATCH_INPUT!$K$2:$K$5,C21),
0)</f>
        <v>1</v>
      </c>
      <c r="H21" s="20">
        <f>IF(C21&lt;&gt;"",
    COUNTIFS(MATCH_INPUT!$F$2:$F$5, C21, MATCH_INPUT!$K$2:$K$5, "Draw") +
    COUNTIFS(MATCH_INPUT!$J$2:$J$5, C21, MATCH_INPUT!$K$2:$K$5, "Draw"),
0)</f>
        <v>0</v>
      </c>
      <c r="I21" s="20">
        <f>IF(C21&lt;&gt;"",
    COUNTIFS(MATCH_INPUT!$F$2:$F$5, C21, MATCH_INPUT!$K$2:$K$5, "&lt;&gt;"&amp;C21, MATCH_INPUT!$K$2:$K$5, "&lt;&gt;Draw", MATCH_INPUT!$K$2:$K$5, "&lt;&gt;""") +
    COUNTIFS(MATCH_INPUT!$J$2:$J$5, C21, MATCH_INPUT!$K$2:$K$5, "&lt;&gt;"&amp;C21, MATCH_INPUT!$K$2:$K$5, "&lt;&gt;Draw", MATCH_INPUT!$K$2:$K$5, "&lt;&gt;"""),
0)</f>
        <v>1</v>
      </c>
      <c r="J21" s="21"/>
      <c r="K21" s="21"/>
      <c r="L21" s="22"/>
      <c r="M21" s="23">
        <f t="shared" si="7"/>
        <v>11</v>
      </c>
      <c r="N21" s="24" t="str">
        <f t="shared" si="8"/>
        <v>↓</v>
      </c>
      <c r="O21" s="25" t="s">
        <v>138</v>
      </c>
      <c r="P21" s="26">
        <f t="shared" si="9"/>
        <v>6</v>
      </c>
      <c r="Q21" s="26">
        <f t="shared" si="10"/>
        <v>2</v>
      </c>
      <c r="R21" s="26">
        <f t="shared" si="11"/>
        <v>0</v>
      </c>
      <c r="S21" s="26">
        <f>IF(O21&lt;&gt;"",
    COUNTIFS(MATCH_INPUT!$K$6:$K$9,O21),
0)</f>
        <v>0</v>
      </c>
      <c r="T21" s="26">
        <f>IF(O21&lt;&gt;"",
    COUNTIFS(MATCH_INPUT!$F$6:$F$9, O21, MATCH_INPUT!$K$6:$K$9, "Draw") +
    COUNTIFS(MATCH_INPUT!$J$6:$J$9, O21, MATCH_INPUT!$K$6:$K$9, "Draw"),
0)</f>
        <v>0</v>
      </c>
      <c r="U21" s="26">
        <f>IF(O21&lt;&gt;"",
    COUNTIFS(MATCH_INPUT!$F$6:$F$9, O21, MATCH_INPUT!$K$6:$K$9, "&lt;&gt;"&amp;O21, MATCH_INPUT!$K$6:$K$9, "&lt;&gt;Draw", MATCH_INPUT!$K$6:$K$9, "&lt;&gt;""") +
    COUNTIFS(MATCH_INPUT!$J$6:$J$9, O21, MATCH_INPUT!$K$6:$K$9, "&lt;&gt;"&amp;O21, MATCH_INPUT!$K$6:$K$9, "&lt;&gt;Draw", MATCH_INPUT!$K$6:$K$9, "&lt;&gt;"""),
0)</f>
        <v>2</v>
      </c>
      <c r="V21" s="27"/>
      <c r="W21" s="27"/>
      <c r="X21" s="28"/>
      <c r="Y21" s="26">
        <f t="shared" si="12"/>
        <v>20</v>
      </c>
      <c r="Z21" s="29" t="str">
        <f t="shared" si="13"/>
        <v>↓</v>
      </c>
      <c r="AA21" s="19" t="s">
        <v>139</v>
      </c>
      <c r="AB21" s="23">
        <f t="shared" si="14"/>
        <v>10</v>
      </c>
      <c r="AC21" s="20">
        <f t="shared" si="15"/>
        <v>2</v>
      </c>
      <c r="AD21" s="20">
        <f t="shared" si="16"/>
        <v>2</v>
      </c>
      <c r="AE21" s="20">
        <f>IF(AA21&lt;&gt;"",
    COUNTIFS(MATCH_INPUT!$K$10:$K$13,AA21),
0)</f>
        <v>1</v>
      </c>
      <c r="AF21" s="20">
        <f>IF(AA21&lt;&gt;"",
    COUNTIFS(MATCH_INPUT!$F$10:$F$13, AA21, MATCH_INPUT!$K$10:$K$13, "Draw") +
    COUNTIFS(MATCH_INPUT!$J$10:$J$13, AA21, MATCH_INPUT!$K$10:$K$13, "Draw"),
0)</f>
        <v>0</v>
      </c>
      <c r="AG21" s="20">
        <f>IF(AA21&lt;&gt;"",
    COUNTIFS(MATCH_INPUT!$F$10:$F$13, AA21, MATCH_INPUT!$K$10:$K$13, "&lt;&gt;"&amp;AA21, MATCH_INPUT!$K$10:$K$13, "&lt;&gt;Draw", MATCH_INPUT!$K$10:$K$13, "&lt;&gt;""") +
    COUNTIFS(MATCH_INPUT!$J$10:$J$13, AA21, MATCH_INPUT!$K$10:$K$13, "&lt;&gt;"&amp;AA21, MATCH_INPUT!$K$10:$K$13, "&lt;&gt;Draw", MATCH_INPUT!$K$10:$K$13, "&lt;&gt;"""),
0)</f>
        <v>1</v>
      </c>
      <c r="AH21" s="21"/>
      <c r="AI21" s="21"/>
      <c r="AJ21" s="30"/>
      <c r="AK21" s="23">
        <f t="shared" si="17"/>
        <v>20</v>
      </c>
      <c r="AL21" s="24" t="str">
        <f t="shared" si="18"/>
        <v>=</v>
      </c>
      <c r="AM21" s="25" t="s">
        <v>140</v>
      </c>
      <c r="AN21" s="26">
        <f t="shared" si="19"/>
        <v>14</v>
      </c>
      <c r="AO21" s="26">
        <f t="shared" si="20"/>
        <v>2</v>
      </c>
      <c r="AP21" s="26">
        <f t="shared" si="21"/>
        <v>2</v>
      </c>
      <c r="AQ21" s="26">
        <f>IF(AM21&lt;&gt;"",
    COUNTIFS(MATCH_INPUT!$K$14:$K$17,AM21),
0)</f>
        <v>1</v>
      </c>
      <c r="AR21" s="26">
        <f>IF(AM21&lt;&gt;"",
    COUNTIFS(MATCH_INPUT!$F$14:$F$17, AM21, MATCH_INPUT!$K$14:$K$17, "Draw") +
    COUNTIFS(MATCH_INPUT!$J$14:$J$17, AM21, MATCH_INPUT!$K$14:$K$17, "Draw"),
0)</f>
        <v>0</v>
      </c>
      <c r="AS21" s="26">
        <f>IF(AM21&lt;&gt;"",
    COUNTIFS(MATCH_INPUT!$F$14:$F$17, AM21, MATCH_INPUT!$K$14:$K$17, "&lt;&gt;"&amp;AM21, MATCH_INPUT!$K$14:$K$17, "&lt;&gt;Draw", MATCH_INPUT!$K$14:$K$17, "&lt;&gt;""") +
    COUNTIFS(MATCH_INPUT!$J$14:$J$17, AM21, MATCH_INPUT!$K$14:$K$17, "&lt;&gt;"&amp;AM21, MATCH_INPUT!$K$14:$K$17, "&lt;&gt;Draw", MATCH_INPUT!$K$14:$K$17, "&lt;&gt;"""),
0)</f>
        <v>1</v>
      </c>
      <c r="AT21" s="27"/>
      <c r="AU21" s="27"/>
      <c r="AV21" s="28"/>
      <c r="AW21" s="26">
        <f t="shared" si="22"/>
        <v>19</v>
      </c>
      <c r="AX21" s="29" t="str">
        <f t="shared" si="23"/>
        <v>↑</v>
      </c>
      <c r="AY21" s="19" t="s">
        <v>141</v>
      </c>
      <c r="AZ21" s="23">
        <f t="shared" si="24"/>
        <v>20</v>
      </c>
      <c r="BA21" s="20">
        <f t="shared" si="25"/>
        <v>2</v>
      </c>
      <c r="BB21" s="20">
        <f>SUM(BC21*2) + (BD21*1) + SUMIFS(MATCH_INPUT!$G$18:$G$21, MATCH_INPUT!$F$18:$F$21, AY21) + SUMIFS(MATCH_INPUT!$I$18:$I$21, MATCH_INPUT!$J$18:$J$21, AY21)
</f>
        <v>4</v>
      </c>
      <c r="BC21" s="20">
        <f>IF(AY21&lt;&gt;"",
    COUNTIFS(MATCH_INPUT!$K$18:$K$21,AY21),
0)</f>
        <v>0</v>
      </c>
      <c r="BD21" s="20">
        <f>IF(AY21&lt;&gt;"",
    COUNTIFS(MATCH_INPUT!$F$18:$F$21, AY21, MATCH_INPUT!$K$18:$K$21, "Draw") +
    COUNTIFS(MATCH_INPUT!$J$18:$J$21, AY21, MATCH_INPUT!$K$18:$K$21, "Draw"),
0)</f>
        <v>1</v>
      </c>
      <c r="BE21" s="20">
        <f>IF(AY21&lt;&gt;"",
    COUNTIFS(MATCH_INPUT!$F$18:$F$21, AY21, MATCH_INPUT!$K$18:$K$21, "&lt;&gt;"&amp;AY21, MATCH_INPUT!$K$18:$K$21, "&lt;&gt;Draw", MATCH_INPUT!$K$18:$K$21, "&lt;&gt;""") +
    COUNTIFS(MATCH_INPUT!$J$18:$J$21, AY21, MATCH_INPUT!$K$18:$K$21, "&lt;&gt;"&amp;AY21, MATCH_INPUT!$K$18:$K$21, "&lt;&gt;Draw", MATCH_INPUT!$K$18:$K$21, "&lt;&gt;"""),
0)</f>
        <v>1</v>
      </c>
      <c r="BF21" s="21" t="str">
        <f t="array" ref="BF21">IFERROR(INDEX(Form_Response!E:E, MATCH(1, (Form_Response!C:C='MATCH DATES'!$B$6)*(Form_Response!D:D=B21), 0)), "")
</f>
        <v/>
      </c>
      <c r="BG21" s="21">
        <f t="array" ref="BG21">IFERROR(IF(INDEX(Form_Response!F:F, MATCH(1, (Form_Response!C:C='MATCH DATES'!$B$6)*(Form_Response!D:D=B21), 0))="Yes", 1, 0), 0)
</f>
        <v>0</v>
      </c>
      <c r="BH21" s="30" t="str">
        <f t="array" ref="BH21">IFERROR(INDEX(Form_Response!G:G, MATCH(1, (Form_Response!C:C='MATCH DATES'!$B$6)*(Form_Response!D:D=B21), 0)), "")
</f>
        <v/>
      </c>
      <c r="BI21" s="23">
        <f t="shared" si="26"/>
        <v>25</v>
      </c>
      <c r="BJ21" s="24" t="str">
        <f t="shared" si="27"/>
        <v>↓</v>
      </c>
      <c r="BK21" s="25" t="s">
        <v>139</v>
      </c>
      <c r="BL21" s="26">
        <f t="shared" si="28"/>
        <v>30</v>
      </c>
      <c r="BM21" s="26">
        <f t="shared" si="29"/>
        <v>4</v>
      </c>
      <c r="BN21" s="26">
        <f>SUM(BO21*2) + (BP21*1) + SUMIFS(MATCH_INPUT!$G$22:$G$25, MATCH_INPUT!$F$22:$F$25, BK21) + SUMIFS(MATCH_INPUT!$I$22:$I$25, MATCH_INPUT!$J$22:$J$25, BK21)
</f>
        <v>6</v>
      </c>
      <c r="BO21" s="26">
        <f>IF(BK21&lt;&gt;"",
    COUNTIFS(MATCH_INPUT!$K$22:$K$25,BK21),
0)</f>
        <v>1</v>
      </c>
      <c r="BP21" s="26">
        <f>IF(BK21&lt;&gt;"",
    COUNTIFS(MATCH_INPUT!$F$22:$F$25, BK21, MATCH_INPUT!$K$22:$K$25, "Draw") +
    COUNTIFS(MATCH_INPUT!$J$22:$J$25, BK21, MATCH_INPUT!$K$22:$K$25, "Draw"),
0)</f>
        <v>1</v>
      </c>
      <c r="BQ21" s="26">
        <f>IF(BK21&lt;&gt;"",
    COUNTIFS(MATCH_INPUT!$F$22:$F$25, BK21, MATCH_INPUT!$K$22:$K$25, "&lt;&gt;"&amp;BK21, MATCH_INPUT!$K$22:$K$25, "&lt;&gt;Draw", MATCH_INPUT!$K$22:$K$25, "&lt;&gt;""") +
    COUNTIFS(MATCH_INPUT!$J$22:$J$25, BK21, MATCH_INPUT!$K$22:$K$25, "&lt;&gt;"&amp;BK21, MATCH_INPUT!$K$22:$K$25, "&lt;&gt;Draw", MATCH_INPUT!$K$22:$K$25, "&lt;&gt;"""),
0)</f>
        <v>0</v>
      </c>
      <c r="BR21" s="27"/>
      <c r="BS21" s="27"/>
      <c r="BT21" s="28"/>
      <c r="BU21" s="26">
        <f t="shared" si="30"/>
        <v>19</v>
      </c>
      <c r="BV21" s="29" t="str">
        <f t="shared" si="31"/>
        <v>↑</v>
      </c>
      <c r="BW21" s="19" t="s">
        <v>138</v>
      </c>
      <c r="BX21" s="23">
        <f t="shared" si="32"/>
        <v>41</v>
      </c>
      <c r="BY21" s="20">
        <f t="shared" si="33"/>
        <v>2</v>
      </c>
      <c r="BZ21" s="20">
        <f>SUM(CA21*2)+(CB21*1) + SUMIFS(MATCH_INPUT!$G$26:$G$29, MATCH_INPUT!$F$26:$F$29, BW21) + SUMIFS(MATCH_INPUT!$I$26:$I$29, MATCH_INPUT!$J$26:$J$29, BW21)
</f>
        <v>9</v>
      </c>
      <c r="CA21" s="20">
        <f>IF(BW21&lt;&gt;"",
    COUNTIFS(MATCH_INPUT!$K$26:$K$29,BW21),
0)</f>
        <v>2</v>
      </c>
      <c r="CB21" s="20">
        <f>IF(BW21&lt;&gt;"",
    COUNTIFS(MATCH_INPUT!$F$26:$F$29, BW21, MATCH_INPUT!$K$26:$K$29, "Draw") +
    COUNTIFS(MATCH_INPUT!$J$26:$J$29, BW21, MATCH_INPUT!$K$26:$K$29, "Draw"),
0)</f>
        <v>0</v>
      </c>
      <c r="CC21" s="20">
        <f>IF(BW21&lt;&gt;"",
    COUNTIFS(MATCH_INPUT!$F$26:$F$29, BW21, MATCH_INPUT!$K$26:$K$29, "&lt;&gt;"&amp;BW21, MATCH_INPUT!$K$26:$K$29, "&lt;&gt;Draw", MATCH_INPUT!$K$26:$K$29, "&lt;&gt;""") +
    COUNTIFS(MATCH_INPUT!$J$26:$J$29, BW21, MATCH_INPUT!$K$26:$K$29, "&lt;&gt;"&amp;BW21, MATCH_INPUT!$K$26:$K$29, "&lt;&gt;Draw", MATCH_INPUT!$K$26:$K$29, "&lt;&gt;"""),
0)</f>
        <v>0</v>
      </c>
      <c r="CD21" s="21"/>
      <c r="CE21" s="21"/>
      <c r="CF21" s="30"/>
      <c r="CG21" s="23">
        <f t="shared" si="34"/>
        <v>7</v>
      </c>
      <c r="CH21" s="24" t="str">
        <f t="shared" si="35"/>
        <v>↑</v>
      </c>
      <c r="CI21" s="25" t="s">
        <v>141</v>
      </c>
      <c r="CJ21" s="26">
        <f t="shared" si="36"/>
        <v>53</v>
      </c>
      <c r="CK21" s="26">
        <f t="shared" si="37"/>
        <v>2</v>
      </c>
      <c r="CL21" s="26">
        <f>SUM(CM21*2)+(CN21*1) + SUMIFS(MATCH_INPUT!$G$30:$G$33, MATCH_INPUT!$F$30:$F$33, CI21) + SUMIFS(MATCH_INPUT!$I$30:$I$33, MATCH_INPUT!$J$30:$J$33, CI21)
</f>
        <v>10</v>
      </c>
      <c r="CM21" s="26">
        <f>IF(CI21&lt;&gt;"",
    COUNTIFS(MATCH_INPUT!$K$30:$K$33,CI21),
0)</f>
        <v>2</v>
      </c>
      <c r="CN21" s="26">
        <f>IF(CI21&lt;&gt;"",
    COUNTIFS(MATCH_INPUT!$F$30:$F$33, CI21, MATCH_INPUT!$K$30:$K$33, "Draw") +
    COUNTIFS(MATCH_INPUT!$J$30:$J$33, CI21, MATCH_INPUT!$K$30:$K$33, "Draw"),
0)</f>
        <v>0</v>
      </c>
      <c r="CO21" s="26">
        <f>IF(CI21&lt;&gt;"",
    COUNTIFS(MATCH_INPUT!$F$30:$F$33, CI21, MATCH_INPUT!$K$30:$K$33, "&lt;&gt;"&amp;CI21, MATCH_INPUT!$K$30:$K$33, "&lt;&gt;Draw", MATCH_INPUT!$K$30:$K$33, "&lt;&gt;""") +
    COUNTIFS(MATCH_INPUT!$J$30:$J$33, CI21, MATCH_INPUT!$K$30:$K$33, "&lt;&gt;"&amp;CI21, MATCH_INPUT!$K$30:$K$33, "&lt;&gt;Draw", MATCH_INPUT!$K$30:$K$33, "&lt;&gt;"""),
0)</f>
        <v>0</v>
      </c>
      <c r="CP21" s="27">
        <v>1.0</v>
      </c>
      <c r="CQ21" s="27">
        <f t="array" ref="CQ21">IFERROR(IF(INDEX(Form_Response!F:F, MATCH(1, (Form_Response!C:C='MATCH DATES'!$B$9)*(Form_Response!D:D=B21), 0))="Yes", 1, 0), 0)
</f>
        <v>0</v>
      </c>
      <c r="CR21" s="28" t="str">
        <f t="array" ref="CR21">IFERROR(INDEX(Form_Response!G:G, MATCH(1, (Form_Response!C:C='MATCH DATES'!$B$9)*(Form_Response!D:D=B21), 0)), "")
</f>
        <v/>
      </c>
      <c r="CS21" s="31">
        <f t="shared" si="38"/>
        <v>2</v>
      </c>
      <c r="CT21" s="31" t="str">
        <f t="shared" si="39"/>
        <v>↑</v>
      </c>
      <c r="CU21" s="32">
        <f t="shared" si="40"/>
        <v>35</v>
      </c>
      <c r="CV21" s="32" t="str">
        <f t="shared" ref="CV21:CW21" si="94">A21</f>
        <v>⭐️</v>
      </c>
      <c r="CW21" s="33" t="str">
        <f t="shared" si="94"/>
        <v>Rodrigo Mena</v>
      </c>
      <c r="CX21" s="33">
        <f t="shared" si="42"/>
        <v>53</v>
      </c>
      <c r="CY21" s="32">
        <f>SUM(
  IF(AND('MATCH DATES'!$A$2 &lt;= TODAY(), NOW() &gt;= 'MATCH DATES'!$A$2 + TIME(22, 0, 0)), E21, 0),
  IF(AND('MATCH DATES'!$A$3 &lt;= TODAY(), NOW() &gt;= 'MATCH DATES'!$A$3 + TIME(22, 0, 0)), Q21, 0),
  IF(AND('MATCH DATES'!$A$4 &lt;= TODAY(), NOW() &gt;= 'MATCH DATES'!$A$4 + TIME(22, 0, 0)), AC21, 0),
  IF(AND('MATCH DATES'!$A$5 &lt;= TODAY(), NOW() &gt;= 'MATCH DATES'!$A$5 + TIME(22, 0, 0)), AO21, 0),
  IF(AND('MATCH DATES'!$A$6 &lt;= TODAY(), NOW() &gt;= 'MATCH DATES'!$A$6 + TIME(22, 0, 0)), BA21, 0),
  IF(AND('MATCH DATES'!$A$7 &lt;= TODAY(), NOW() &gt;= 'MATCH DATES'!$A$7 + TIME(22, 0, 0)), BM21, 0),
  IF(AND('MATCH DATES'!$A$8 &lt;= TODAY(), NOW() &gt;= 'MATCH DATES'!$A$8 + TIME(22, 0, 0)), BY21, 0),
  IF(AND('MATCH DATES'!$A$9 &lt;= TODAY(), NOW() &gt;= 'MATCH DATES'!$A$9 + TIME(22, 0, 0)), CK21, 0)
)
</f>
        <v>18</v>
      </c>
      <c r="CZ21" s="33">
        <f t="shared" ref="CZ21:DA21" si="95">SUM(G21,S21,AE21,AQ21,BC21,BO21,CA21,CM21)</f>
        <v>8</v>
      </c>
      <c r="DA21" s="33">
        <f t="shared" si="95"/>
        <v>2</v>
      </c>
      <c r="DB21" s="33">
        <f>SUM(
  IF(AND('MATCH DATES'!$A$2 &lt;= TODAY(), NOW() &gt;= 'MATCH DATES'!$A$2 + TIME(22, 0, 0)), I21, 0),
  IF(AND('MATCH DATES'!$A$3 &lt;= TODAY(), NOW() &gt;= 'MATCH DATES'!$A$3 + TIME(22, 0, 0)), U21, 0),
  IF(AND('MATCH DATES'!$A$4 &lt;= TODAY(), NOW() &gt;= 'MATCH DATES'!$A$4 + TIME(22, 0, 0)), AG21, 0),
  IF(AND('MATCH DATES'!$A$5 &lt;= TODAY(), NOW() &gt;= 'MATCH DATES'!$A$5 + TIME(22, 0, 0)), AS21, 0),
  IF(AND('MATCH DATES'!$A$6 &lt;= TODAY(), NOW() &gt;= 'MATCH DATES'!$A$6 + TIME(22, 0, 0)), BE21, 0),
  IF(AND('MATCH DATES'!$A$7 &lt;= TODAY(), NOW() &gt;= 'MATCH DATES'!$A$7 + TIME(22, 0, 0)), BQ21, 0),
  IF(AND('MATCH DATES'!$A$8 &lt;= TODAY(), NOW() &gt;= 'MATCH DATES'!$A$8 + TIME(22, 0, 0)), CC21, 0),
  IF(AND('MATCH DATES'!$A$9 &lt;= TODAY(), NOW() &gt;= 'MATCH DATES'!$A$9 + TIME(22, 0, 0)), CO21, 0)
)</f>
        <v>6</v>
      </c>
      <c r="DC21" s="33">
        <f t="shared" si="44"/>
        <v>1</v>
      </c>
      <c r="DD21" s="33">
        <f t="shared" ref="DD21:DE21" si="96">SUM(K21,W21,AI21,AU21,BG21,BS21,CE21,CQ21)</f>
        <v>0</v>
      </c>
      <c r="DE21" s="33">
        <f t="shared" si="96"/>
        <v>0</v>
      </c>
    </row>
    <row r="22" ht="24.75" customHeight="1">
      <c r="A22" s="17" t="s">
        <v>136</v>
      </c>
      <c r="B22" s="18" t="s">
        <v>160</v>
      </c>
      <c r="C22" s="19" t="s">
        <v>141</v>
      </c>
      <c r="D22" s="20">
        <f t="shared" si="4"/>
        <v>4</v>
      </c>
      <c r="E22" s="20">
        <f t="shared" si="5"/>
        <v>2</v>
      </c>
      <c r="F22" s="20">
        <f t="shared" si="6"/>
        <v>2</v>
      </c>
      <c r="G22" s="20">
        <f>IF(C22&lt;&gt;"",
    COUNTIFS(MATCH_INPUT!$K$2:$K$5,C22),
0)</f>
        <v>1</v>
      </c>
      <c r="H22" s="20">
        <f>IF(C22&lt;&gt;"",
    COUNTIFS(MATCH_INPUT!$F$2:$F$5, C22, MATCH_INPUT!$K$2:$K$5, "Draw") +
    COUNTIFS(MATCH_INPUT!$J$2:$J$5, C22, MATCH_INPUT!$K$2:$K$5, "Draw"),
0)</f>
        <v>0</v>
      </c>
      <c r="I22" s="20">
        <f>IF(C22&lt;&gt;"",
    COUNTIFS(MATCH_INPUT!$F$2:$F$5, C22, MATCH_INPUT!$K$2:$K$5, "&lt;&gt;"&amp;C22, MATCH_INPUT!$K$2:$K$5, "&lt;&gt;Draw", MATCH_INPUT!$K$2:$K$5, "&lt;&gt;""") +
    COUNTIFS(MATCH_INPUT!$J$2:$J$5, C22, MATCH_INPUT!$K$2:$K$5, "&lt;&gt;"&amp;C22, MATCH_INPUT!$K$2:$K$5, "&lt;&gt;Draw", MATCH_INPUT!$K$2:$K$5, "&lt;&gt;"""),
0)</f>
        <v>1</v>
      </c>
      <c r="J22" s="21"/>
      <c r="K22" s="21"/>
      <c r="L22" s="22"/>
      <c r="M22" s="23">
        <f t="shared" si="7"/>
        <v>11</v>
      </c>
      <c r="N22" s="24" t="str">
        <f t="shared" si="8"/>
        <v>↓</v>
      </c>
      <c r="O22" s="25" t="s">
        <v>139</v>
      </c>
      <c r="P22" s="26">
        <f t="shared" si="9"/>
        <v>10</v>
      </c>
      <c r="Q22" s="26">
        <f t="shared" si="10"/>
        <v>2</v>
      </c>
      <c r="R22" s="26">
        <f t="shared" si="11"/>
        <v>4</v>
      </c>
      <c r="S22" s="26">
        <f>IF(O22&lt;&gt;"",
    COUNTIFS(MATCH_INPUT!$K$6:$K$9,O22),
0)</f>
        <v>2</v>
      </c>
      <c r="T22" s="26">
        <f>IF(O22&lt;&gt;"",
    COUNTIFS(MATCH_INPUT!$F$6:$F$9, O22, MATCH_INPUT!$K$6:$K$9, "Draw") +
    COUNTIFS(MATCH_INPUT!$J$6:$J$9, O22, MATCH_INPUT!$K$6:$K$9, "Draw"),
0)</f>
        <v>0</v>
      </c>
      <c r="U22" s="26">
        <f>IF(O22&lt;&gt;"",
    COUNTIFS(MATCH_INPUT!$F$6:$F$9, O22, MATCH_INPUT!$K$6:$K$9, "&lt;&gt;"&amp;O22, MATCH_INPUT!$K$6:$K$9, "&lt;&gt;Draw", MATCH_INPUT!$K$6:$K$9, "&lt;&gt;""") +
    COUNTIFS(MATCH_INPUT!$J$6:$J$9, O22, MATCH_INPUT!$K$6:$K$9, "&lt;&gt;"&amp;O22, MATCH_INPUT!$K$6:$K$9, "&lt;&gt;Draw", MATCH_INPUT!$K$6:$K$9, "&lt;&gt;"""),
0)</f>
        <v>0</v>
      </c>
      <c r="V22" s="27">
        <v>2.0</v>
      </c>
      <c r="W22" s="27"/>
      <c r="X22" s="28"/>
      <c r="Y22" s="26">
        <f t="shared" si="12"/>
        <v>8</v>
      </c>
      <c r="Z22" s="29" t="str">
        <f t="shared" si="13"/>
        <v>↑</v>
      </c>
      <c r="AA22" s="19" t="s">
        <v>138</v>
      </c>
      <c r="AB22" s="23">
        <f t="shared" si="14"/>
        <v>12</v>
      </c>
      <c r="AC22" s="20">
        <f t="shared" si="15"/>
        <v>2</v>
      </c>
      <c r="AD22" s="20">
        <f t="shared" si="16"/>
        <v>0</v>
      </c>
      <c r="AE22" s="20">
        <f>IF(AA22&lt;&gt;"",
    COUNTIFS(MATCH_INPUT!$K$10:$K$13,AA22),
0)</f>
        <v>0</v>
      </c>
      <c r="AF22" s="20">
        <f>IF(AA22&lt;&gt;"",
    COUNTIFS(MATCH_INPUT!$F$10:$F$13, AA22, MATCH_INPUT!$K$10:$K$13, "Draw") +
    COUNTIFS(MATCH_INPUT!$J$10:$J$13, AA22, MATCH_INPUT!$K$10:$K$13, "Draw"),
0)</f>
        <v>0</v>
      </c>
      <c r="AG22" s="20">
        <f>IF(AA22&lt;&gt;"",
    COUNTIFS(MATCH_INPUT!$F$10:$F$13, AA22, MATCH_INPUT!$K$10:$K$13, "&lt;&gt;"&amp;AA22, MATCH_INPUT!$K$10:$K$13, "&lt;&gt;Draw", MATCH_INPUT!$K$10:$K$13, "&lt;&gt;""") +
    COUNTIFS(MATCH_INPUT!$J$10:$J$13, AA22, MATCH_INPUT!$K$10:$K$13, "&lt;&gt;"&amp;AA22, MATCH_INPUT!$K$10:$K$13, "&lt;&gt;Draw", MATCH_INPUT!$K$10:$K$13, "&lt;&gt;"""),
0)</f>
        <v>2</v>
      </c>
      <c r="AH22" s="21"/>
      <c r="AI22" s="21"/>
      <c r="AJ22" s="30"/>
      <c r="AK22" s="23">
        <f t="shared" si="17"/>
        <v>13</v>
      </c>
      <c r="AL22" s="24" t="str">
        <f t="shared" si="18"/>
        <v>↓</v>
      </c>
      <c r="AM22" s="25" t="s">
        <v>141</v>
      </c>
      <c r="AN22" s="26">
        <f t="shared" si="19"/>
        <v>16</v>
      </c>
      <c r="AO22" s="26">
        <f t="shared" si="20"/>
        <v>2</v>
      </c>
      <c r="AP22" s="26">
        <f t="shared" si="21"/>
        <v>2</v>
      </c>
      <c r="AQ22" s="26">
        <f>IF(AM22&lt;&gt;"",
    COUNTIFS(MATCH_INPUT!$K$14:$K$17,AM22),
0)</f>
        <v>1</v>
      </c>
      <c r="AR22" s="26">
        <f>IF(AM22&lt;&gt;"",
    COUNTIFS(MATCH_INPUT!$F$14:$F$17, AM22, MATCH_INPUT!$K$14:$K$17, "Draw") +
    COUNTIFS(MATCH_INPUT!$J$14:$J$17, AM22, MATCH_INPUT!$K$14:$K$17, "Draw"),
0)</f>
        <v>0</v>
      </c>
      <c r="AS22" s="26">
        <f>IF(AM22&lt;&gt;"",
    COUNTIFS(MATCH_INPUT!$F$14:$F$17, AM22, MATCH_INPUT!$K$14:$K$17, "&lt;&gt;"&amp;AM22, MATCH_INPUT!$K$14:$K$17, "&lt;&gt;Draw", MATCH_INPUT!$K$14:$K$17, "&lt;&gt;""") +
    COUNTIFS(MATCH_INPUT!$J$14:$J$17, AM22, MATCH_INPUT!$K$14:$K$17, "&lt;&gt;"&amp;AM22, MATCH_INPUT!$K$14:$K$17, "&lt;&gt;Draw", MATCH_INPUT!$K$14:$K$17, "&lt;&gt;"""),
0)</f>
        <v>1</v>
      </c>
      <c r="AT22" s="27">
        <v>2.0</v>
      </c>
      <c r="AU22" s="27"/>
      <c r="AV22" s="28"/>
      <c r="AW22" s="26">
        <f t="shared" si="22"/>
        <v>12</v>
      </c>
      <c r="AX22" s="29" t="str">
        <f t="shared" si="23"/>
        <v>↑</v>
      </c>
      <c r="AY22" s="19" t="s">
        <v>140</v>
      </c>
      <c r="AZ22" s="23">
        <f t="shared" si="24"/>
        <v>25</v>
      </c>
      <c r="BA22" s="20">
        <f t="shared" si="25"/>
        <v>2</v>
      </c>
      <c r="BB22" s="20">
        <f>SUM(BC22*2) + (BD22*1) + SUMIFS(MATCH_INPUT!$G$18:$G$21, MATCH_INPUT!$F$18:$F$21, AY22) + SUMIFS(MATCH_INPUT!$I$18:$I$21, MATCH_INPUT!$J$18:$J$21, AY22)
</f>
        <v>7</v>
      </c>
      <c r="BC22" s="20">
        <f>IF(AY22&lt;&gt;"",
    COUNTIFS(MATCH_INPUT!$K$18:$K$21,AY22),
0)</f>
        <v>1</v>
      </c>
      <c r="BD22" s="20">
        <f>IF(AY22&lt;&gt;"",
    COUNTIFS(MATCH_INPUT!$F$18:$F$21, AY22, MATCH_INPUT!$K$18:$K$21, "Draw") +
    COUNTIFS(MATCH_INPUT!$J$18:$J$21, AY22, MATCH_INPUT!$K$18:$K$21, "Draw"),
0)</f>
        <v>1</v>
      </c>
      <c r="BE22" s="20">
        <f>IF(AY22&lt;&gt;"",
    COUNTIFS(MATCH_INPUT!$F$18:$F$21, AY22, MATCH_INPUT!$K$18:$K$21, "&lt;&gt;"&amp;AY22, MATCH_INPUT!$K$18:$K$21, "&lt;&gt;Draw", MATCH_INPUT!$K$18:$K$21, "&lt;&gt;""") +
    COUNTIFS(MATCH_INPUT!$J$18:$J$21, AY22, MATCH_INPUT!$K$18:$K$21, "&lt;&gt;"&amp;AY22, MATCH_INPUT!$K$18:$K$21, "&lt;&gt;Draw", MATCH_INPUT!$K$18:$K$21, "&lt;&gt;"""),
0)</f>
        <v>0</v>
      </c>
      <c r="BF22" s="21">
        <v>1.0</v>
      </c>
      <c r="BG22" s="21">
        <f t="array" ref="BG22">IFERROR(IF(INDEX(Form_Response!F:F, MATCH(1, (Form_Response!C:C='MATCH DATES'!$B$6)*(Form_Response!D:D=B22), 0))="Yes", 1, 0), 0)
</f>
        <v>0</v>
      </c>
      <c r="BH22" s="30" t="str">
        <f t="array" ref="BH22">IFERROR(INDEX(Form_Response!G:G, MATCH(1, (Form_Response!C:C='MATCH DATES'!$B$6)*(Form_Response!D:D=B22), 0)), "")
</f>
        <v/>
      </c>
      <c r="BI22" s="23">
        <f t="shared" si="26"/>
        <v>8</v>
      </c>
      <c r="BJ22" s="24" t="str">
        <f t="shared" si="27"/>
        <v>↑</v>
      </c>
      <c r="BK22" s="25" t="s">
        <v>141</v>
      </c>
      <c r="BL22" s="26">
        <f t="shared" si="28"/>
        <v>30</v>
      </c>
      <c r="BM22" s="26">
        <f t="shared" si="29"/>
        <v>4</v>
      </c>
      <c r="BN22" s="26">
        <f>SUM(BO22*2) + (BP22*1) + SUMIFS(MATCH_INPUT!$G$22:$G$25, MATCH_INPUT!$F$22:$F$25, BK22) + SUMIFS(MATCH_INPUT!$I$22:$I$25, MATCH_INPUT!$J$22:$J$25, BK22)
</f>
        <v>1</v>
      </c>
      <c r="BO22" s="26">
        <f>IF(BK22&lt;&gt;"",
    COUNTIFS(MATCH_INPUT!$K$22:$K$25,BK22),
0)</f>
        <v>0</v>
      </c>
      <c r="BP22" s="26">
        <f>IF(BK22&lt;&gt;"",
    COUNTIFS(MATCH_INPUT!$F$22:$F$25, BK22, MATCH_INPUT!$K$22:$K$25, "Draw") +
    COUNTIFS(MATCH_INPUT!$J$22:$J$25, BK22, MATCH_INPUT!$K$22:$K$25, "Draw"),
0)</f>
        <v>0</v>
      </c>
      <c r="BQ22" s="26">
        <f>IF(BK22&lt;&gt;"",
    COUNTIFS(MATCH_INPUT!$F$22:$F$25, BK22, MATCH_INPUT!$K$22:$K$25, "&lt;&gt;"&amp;BK22, MATCH_INPUT!$K$22:$K$25, "&lt;&gt;Draw", MATCH_INPUT!$K$22:$K$25, "&lt;&gt;""") +
    COUNTIFS(MATCH_INPUT!$J$22:$J$25, BK22, MATCH_INPUT!$K$22:$K$25, "&lt;&gt;"&amp;BK22, MATCH_INPUT!$K$22:$K$25, "&lt;&gt;Draw", MATCH_INPUT!$K$22:$K$25, "&lt;&gt;"""),
0)</f>
        <v>2</v>
      </c>
      <c r="BR22" s="27">
        <v>1.0</v>
      </c>
      <c r="BS22" s="27"/>
      <c r="BT22" s="28"/>
      <c r="BU22" s="26">
        <f t="shared" si="30"/>
        <v>19</v>
      </c>
      <c r="BV22" s="29" t="str">
        <f t="shared" si="31"/>
        <v>↓</v>
      </c>
      <c r="BW22" s="19" t="s">
        <v>138</v>
      </c>
      <c r="BX22" s="23">
        <f t="shared" si="32"/>
        <v>41</v>
      </c>
      <c r="BY22" s="20">
        <f t="shared" si="33"/>
        <v>2</v>
      </c>
      <c r="BZ22" s="20">
        <f>SUM(CA22*2)+(CB22*1) + SUMIFS(MATCH_INPUT!$G$26:$G$29, MATCH_INPUT!$F$26:$F$29, BW22) + SUMIFS(MATCH_INPUT!$I$26:$I$29, MATCH_INPUT!$J$26:$J$29, BW22)
</f>
        <v>9</v>
      </c>
      <c r="CA22" s="20">
        <f>IF(BW22&lt;&gt;"",
    COUNTIFS(MATCH_INPUT!$K$26:$K$29,BW22),
0)</f>
        <v>2</v>
      </c>
      <c r="CB22" s="20">
        <f>IF(BW22&lt;&gt;"",
    COUNTIFS(MATCH_INPUT!$F$26:$F$29, BW22, MATCH_INPUT!$K$26:$K$29, "Draw") +
    COUNTIFS(MATCH_INPUT!$J$26:$J$29, BW22, MATCH_INPUT!$K$26:$K$29, "Draw"),
0)</f>
        <v>0</v>
      </c>
      <c r="CC22" s="20">
        <f>IF(BW22&lt;&gt;"",
    COUNTIFS(MATCH_INPUT!$F$26:$F$29, BW22, MATCH_INPUT!$K$26:$K$29, "&lt;&gt;"&amp;BW22, MATCH_INPUT!$K$26:$K$29, "&lt;&gt;Draw", MATCH_INPUT!$K$26:$K$29, "&lt;&gt;""") +
    COUNTIFS(MATCH_INPUT!$J$26:$J$29, BW22, MATCH_INPUT!$K$26:$K$29, "&lt;&gt;"&amp;BW22, MATCH_INPUT!$K$26:$K$29, "&lt;&gt;Draw", MATCH_INPUT!$K$26:$K$29, "&lt;&gt;"""),
0)</f>
        <v>0</v>
      </c>
      <c r="CD22" s="21">
        <v>1.0</v>
      </c>
      <c r="CE22" s="21"/>
      <c r="CF22" s="30"/>
      <c r="CG22" s="23">
        <f t="shared" si="34"/>
        <v>7</v>
      </c>
      <c r="CH22" s="24" t="str">
        <f t="shared" si="35"/>
        <v>↑</v>
      </c>
      <c r="CI22" s="25" t="s">
        <v>138</v>
      </c>
      <c r="CJ22" s="26">
        <f t="shared" si="36"/>
        <v>46</v>
      </c>
      <c r="CK22" s="26">
        <f t="shared" si="37"/>
        <v>2</v>
      </c>
      <c r="CL22" s="26">
        <f>SUM(CM22*2)+(CN22*1) + SUMIFS(MATCH_INPUT!$G$30:$G$33, MATCH_INPUT!$F$30:$F$33, CI22) + SUMIFS(MATCH_INPUT!$I$30:$I$33, MATCH_INPUT!$J$30:$J$33, CI22)
</f>
        <v>3</v>
      </c>
      <c r="CM22" s="26">
        <f>IF(CI22&lt;&gt;"",
    COUNTIFS(MATCH_INPUT!$K$30:$K$33,CI22),
0)</f>
        <v>1</v>
      </c>
      <c r="CN22" s="26">
        <f>IF(CI22&lt;&gt;"",
    COUNTIFS(MATCH_INPUT!$F$30:$F$33, CI22, MATCH_INPUT!$K$30:$K$33, "Draw") +
    COUNTIFS(MATCH_INPUT!$J$30:$J$33, CI22, MATCH_INPUT!$K$30:$K$33, "Draw"),
0)</f>
        <v>0</v>
      </c>
      <c r="CO22" s="26">
        <f>IF(CI22&lt;&gt;"",
    COUNTIFS(MATCH_INPUT!$F$30:$F$33, CI22, MATCH_INPUT!$K$30:$K$33, "&lt;&gt;"&amp;CI22, MATCH_INPUT!$K$30:$K$33, "&lt;&gt;Draw", MATCH_INPUT!$K$30:$K$33, "&lt;&gt;""") +
    COUNTIFS(MATCH_INPUT!$J$30:$J$33, CI22, MATCH_INPUT!$K$30:$K$33, "&lt;&gt;"&amp;CI22, MATCH_INPUT!$K$30:$K$33, "&lt;&gt;Draw", MATCH_INPUT!$K$30:$K$33, "&lt;&gt;"""),
0)</f>
        <v>1</v>
      </c>
      <c r="CP22" s="27" t="str">
        <f t="array" ref="CP22">IFERROR(INDEX(Form_Response!E:E, MATCH(1, (Form_Response!C:C='MATCH DATES'!$B$9)*(Form_Response!D:D=B22), 0)), "")
</f>
        <v/>
      </c>
      <c r="CQ22" s="27">
        <f t="array" ref="CQ22">IFERROR(IF(INDEX(Form_Response!F:F, MATCH(1, (Form_Response!C:C='MATCH DATES'!$B$9)*(Form_Response!D:D=B22), 0))="Yes", 1, 0), 0)
</f>
        <v>0</v>
      </c>
      <c r="CR22" s="28" t="str">
        <f t="array" ref="CR22">IFERROR(INDEX(Form_Response!G:G, MATCH(1, (Form_Response!C:C='MATCH DATES'!$B$9)*(Form_Response!D:D=B22), 0)), "")
</f>
        <v/>
      </c>
      <c r="CS22" s="31">
        <f t="shared" si="38"/>
        <v>9</v>
      </c>
      <c r="CT22" s="31" t="str">
        <f t="shared" si="39"/>
        <v>↓</v>
      </c>
      <c r="CU22" s="32">
        <f t="shared" si="40"/>
        <v>28</v>
      </c>
      <c r="CV22" s="32" t="str">
        <f t="shared" ref="CV22:CW22" si="97">A22</f>
        <v>⭐️</v>
      </c>
      <c r="CW22" s="33" t="str">
        <f t="shared" si="97"/>
        <v>Christian</v>
      </c>
      <c r="CX22" s="33">
        <f t="shared" si="42"/>
        <v>46</v>
      </c>
      <c r="CY22" s="32">
        <f>SUM(
  IF(AND('MATCH DATES'!$A$2 &lt;= TODAY(), NOW() &gt;= 'MATCH DATES'!$A$2 + TIME(22, 0, 0)), E22, 0),
  IF(AND('MATCH DATES'!$A$3 &lt;= TODAY(), NOW() &gt;= 'MATCH DATES'!$A$3 + TIME(22, 0, 0)), Q22, 0),
  IF(AND('MATCH DATES'!$A$4 &lt;= TODAY(), NOW() &gt;= 'MATCH DATES'!$A$4 + TIME(22, 0, 0)), AC22, 0),
  IF(AND('MATCH DATES'!$A$5 &lt;= TODAY(), NOW() &gt;= 'MATCH DATES'!$A$5 + TIME(22, 0, 0)), AO22, 0),
  IF(AND('MATCH DATES'!$A$6 &lt;= TODAY(), NOW() &gt;= 'MATCH DATES'!$A$6 + TIME(22, 0, 0)), BA22, 0),
  IF(AND('MATCH DATES'!$A$7 &lt;= TODAY(), NOW() &gt;= 'MATCH DATES'!$A$7 + TIME(22, 0, 0)), BM22, 0),
  IF(AND('MATCH DATES'!$A$8 &lt;= TODAY(), NOW() &gt;= 'MATCH DATES'!$A$8 + TIME(22, 0, 0)), BY22, 0),
  IF(AND('MATCH DATES'!$A$9 &lt;= TODAY(), NOW() &gt;= 'MATCH DATES'!$A$9 + TIME(22, 0, 0)), CK22, 0)
)
</f>
        <v>18</v>
      </c>
      <c r="CZ22" s="33">
        <f t="shared" ref="CZ22:DA22" si="98">SUM(G22,S22,AE22,AQ22,BC22,BO22,CA22,CM22)</f>
        <v>8</v>
      </c>
      <c r="DA22" s="33">
        <f t="shared" si="98"/>
        <v>1</v>
      </c>
      <c r="DB22" s="33">
        <f>SUM(
  IF(AND('MATCH DATES'!$A$2 &lt;= TODAY(), NOW() &gt;= 'MATCH DATES'!$A$2 + TIME(22, 0, 0)), I22, 0),
  IF(AND('MATCH DATES'!$A$3 &lt;= TODAY(), NOW() &gt;= 'MATCH DATES'!$A$3 + TIME(22, 0, 0)), U22, 0),
  IF(AND('MATCH DATES'!$A$4 &lt;= TODAY(), NOW() &gt;= 'MATCH DATES'!$A$4 + TIME(22, 0, 0)), AG22, 0),
  IF(AND('MATCH DATES'!$A$5 &lt;= TODAY(), NOW() &gt;= 'MATCH DATES'!$A$5 + TIME(22, 0, 0)), AS22, 0),
  IF(AND('MATCH DATES'!$A$6 &lt;= TODAY(), NOW() &gt;= 'MATCH DATES'!$A$6 + TIME(22, 0, 0)), BE22, 0),
  IF(AND('MATCH DATES'!$A$7 &lt;= TODAY(), NOW() &gt;= 'MATCH DATES'!$A$7 + TIME(22, 0, 0)), BQ22, 0),
  IF(AND('MATCH DATES'!$A$8 &lt;= TODAY(), NOW() &gt;= 'MATCH DATES'!$A$8 + TIME(22, 0, 0)), CC22, 0),
  IF(AND('MATCH DATES'!$A$9 &lt;= TODAY(), NOW() &gt;= 'MATCH DATES'!$A$9 + TIME(22, 0, 0)), CO22, 0)
)</f>
        <v>7</v>
      </c>
      <c r="DC22" s="33">
        <f t="shared" si="44"/>
        <v>7</v>
      </c>
      <c r="DD22" s="33">
        <f t="shared" ref="DD22:DE22" si="99">SUM(K22,W22,AI22,AU22,BG22,BS22,CE22,CQ22)</f>
        <v>0</v>
      </c>
      <c r="DE22" s="33">
        <f t="shared" si="99"/>
        <v>0</v>
      </c>
    </row>
    <row r="23" ht="24.75" customHeight="1">
      <c r="A23" s="17" t="s">
        <v>136</v>
      </c>
      <c r="B23" s="18" t="s">
        <v>161</v>
      </c>
      <c r="C23" s="19" t="s">
        <v>139</v>
      </c>
      <c r="D23" s="20">
        <f t="shared" si="4"/>
        <v>3</v>
      </c>
      <c r="E23" s="20">
        <f t="shared" si="5"/>
        <v>2</v>
      </c>
      <c r="F23" s="20">
        <f t="shared" si="6"/>
        <v>0</v>
      </c>
      <c r="G23" s="20">
        <f>IF(C23&lt;&gt;"",
    COUNTIFS(MATCH_INPUT!$K$2:$K$5,C23),
0)</f>
        <v>0</v>
      </c>
      <c r="H23" s="20">
        <f>IF(C23&lt;&gt;"",
    COUNTIFS(MATCH_INPUT!$F$2:$F$5, C23, MATCH_INPUT!$K$2:$K$5, "Draw") +
    COUNTIFS(MATCH_INPUT!$J$2:$J$5, C23, MATCH_INPUT!$K$2:$K$5, "Draw"),
0)</f>
        <v>0</v>
      </c>
      <c r="I23" s="20">
        <f>IF(C23&lt;&gt;"",
    COUNTIFS(MATCH_INPUT!$F$2:$F$5, C23, MATCH_INPUT!$K$2:$K$5, "&lt;&gt;"&amp;C23, MATCH_INPUT!$K$2:$K$5, "&lt;&gt;Draw", MATCH_INPUT!$K$2:$K$5, "&lt;&gt;""") +
    COUNTIFS(MATCH_INPUT!$J$2:$J$5, C23, MATCH_INPUT!$K$2:$K$5, "&lt;&gt;"&amp;C23, MATCH_INPUT!$K$2:$K$5, "&lt;&gt;Draw", MATCH_INPUT!$K$2:$K$5, "&lt;&gt;"""),
0)</f>
        <v>2</v>
      </c>
      <c r="J23" s="21"/>
      <c r="K23" s="21">
        <v>1.0</v>
      </c>
      <c r="L23" s="22"/>
      <c r="M23" s="23">
        <f t="shared" si="7"/>
        <v>25</v>
      </c>
      <c r="N23" s="24" t="str">
        <f t="shared" si="8"/>
        <v>↓</v>
      </c>
      <c r="O23" s="25" t="s">
        <v>140</v>
      </c>
      <c r="P23" s="26">
        <f t="shared" si="9"/>
        <v>6</v>
      </c>
      <c r="Q23" s="26">
        <f t="shared" si="10"/>
        <v>2</v>
      </c>
      <c r="R23" s="26">
        <f t="shared" si="11"/>
        <v>1</v>
      </c>
      <c r="S23" s="26">
        <f>IF(O23&lt;&gt;"",
    COUNTIFS(MATCH_INPUT!$K$6:$K$9,O23),
0)</f>
        <v>0</v>
      </c>
      <c r="T23" s="26">
        <f>IF(O23&lt;&gt;"",
    COUNTIFS(MATCH_INPUT!$F$6:$F$9, O23, MATCH_INPUT!$K$6:$K$9, "Draw") +
    COUNTIFS(MATCH_INPUT!$J$6:$J$9, O23, MATCH_INPUT!$K$6:$K$9, "Draw"),
0)</f>
        <v>1</v>
      </c>
      <c r="U23" s="26">
        <f>IF(O23&lt;&gt;"",
    COUNTIFS(MATCH_INPUT!$F$6:$F$9, O23, MATCH_INPUT!$K$6:$K$9, "&lt;&gt;"&amp;O23, MATCH_INPUT!$K$6:$K$9, "&lt;&gt;Draw", MATCH_INPUT!$K$6:$K$9, "&lt;&gt;""") +
    COUNTIFS(MATCH_INPUT!$J$6:$J$9, O23, MATCH_INPUT!$K$6:$K$9, "&lt;&gt;"&amp;O23, MATCH_INPUT!$K$6:$K$9, "&lt;&gt;Draw", MATCH_INPUT!$K$6:$K$9, "&lt;&gt;"""),
0)</f>
        <v>1</v>
      </c>
      <c r="V23" s="27"/>
      <c r="W23" s="27"/>
      <c r="X23" s="28"/>
      <c r="Y23" s="26">
        <f t="shared" si="12"/>
        <v>20</v>
      </c>
      <c r="Z23" s="29" t="str">
        <f t="shared" si="13"/>
        <v>↑</v>
      </c>
      <c r="AA23" s="19" t="s">
        <v>138</v>
      </c>
      <c r="AB23" s="23">
        <f t="shared" si="14"/>
        <v>8</v>
      </c>
      <c r="AC23" s="20">
        <f t="shared" si="15"/>
        <v>2</v>
      </c>
      <c r="AD23" s="20">
        <f t="shared" si="16"/>
        <v>0</v>
      </c>
      <c r="AE23" s="20">
        <f>IF(AA23&lt;&gt;"",
    COUNTIFS(MATCH_INPUT!$K$10:$K$13,AA23),
0)</f>
        <v>0</v>
      </c>
      <c r="AF23" s="20">
        <f>IF(AA23&lt;&gt;"",
    COUNTIFS(MATCH_INPUT!$F$10:$F$13, AA23, MATCH_INPUT!$K$10:$K$13, "Draw") +
    COUNTIFS(MATCH_INPUT!$J$10:$J$13, AA23, MATCH_INPUT!$K$10:$K$13, "Draw"),
0)</f>
        <v>0</v>
      </c>
      <c r="AG23" s="20">
        <f>IF(AA23&lt;&gt;"",
    COUNTIFS(MATCH_INPUT!$F$10:$F$13, AA23, MATCH_INPUT!$K$10:$K$13, "&lt;&gt;"&amp;AA23, MATCH_INPUT!$K$10:$K$13, "&lt;&gt;Draw", MATCH_INPUT!$K$10:$K$13, "&lt;&gt;""") +
    COUNTIFS(MATCH_INPUT!$J$10:$J$13, AA23, MATCH_INPUT!$K$10:$K$13, "&lt;&gt;"&amp;AA23, MATCH_INPUT!$K$10:$K$13, "&lt;&gt;Draw", MATCH_INPUT!$K$10:$K$13, "&lt;&gt;"""),
0)</f>
        <v>2</v>
      </c>
      <c r="AH23" s="21"/>
      <c r="AI23" s="21"/>
      <c r="AJ23" s="30"/>
      <c r="AK23" s="23">
        <f t="shared" si="17"/>
        <v>29</v>
      </c>
      <c r="AL23" s="24" t="str">
        <f t="shared" si="18"/>
        <v>↓</v>
      </c>
      <c r="AM23" s="25" t="s">
        <v>138</v>
      </c>
      <c r="AN23" s="26">
        <f t="shared" si="19"/>
        <v>10</v>
      </c>
      <c r="AO23" s="26">
        <f t="shared" si="20"/>
        <v>2</v>
      </c>
      <c r="AP23" s="26">
        <f t="shared" si="21"/>
        <v>0</v>
      </c>
      <c r="AQ23" s="26">
        <f>IF(AM23&lt;&gt;"",
    COUNTIFS(MATCH_INPUT!$K$14:$K$17,AM23),
0)</f>
        <v>0</v>
      </c>
      <c r="AR23" s="26">
        <f>IF(AM23&lt;&gt;"",
    COUNTIFS(MATCH_INPUT!$F$14:$F$17, AM23, MATCH_INPUT!$K$14:$K$17, "Draw") +
    COUNTIFS(MATCH_INPUT!$J$14:$J$17, AM23, MATCH_INPUT!$K$14:$K$17, "Draw"),
0)</f>
        <v>0</v>
      </c>
      <c r="AS23" s="26">
        <f>IF(AM23&lt;&gt;"",
    COUNTIFS(MATCH_INPUT!$F$14:$F$17, AM23, MATCH_INPUT!$K$14:$K$17, "&lt;&gt;"&amp;AM23, MATCH_INPUT!$K$14:$K$17, "&lt;&gt;Draw", MATCH_INPUT!$K$14:$K$17, "&lt;&gt;""") +
    COUNTIFS(MATCH_INPUT!$J$14:$J$17, AM23, MATCH_INPUT!$K$14:$K$17, "&lt;&gt;"&amp;AM23, MATCH_INPUT!$K$14:$K$17, "&lt;&gt;Draw", MATCH_INPUT!$K$14:$K$17, "&lt;&gt;"""),
0)</f>
        <v>2</v>
      </c>
      <c r="AT23" s="27"/>
      <c r="AU23" s="27"/>
      <c r="AV23" s="28"/>
      <c r="AW23" s="26">
        <f t="shared" si="22"/>
        <v>30</v>
      </c>
      <c r="AX23" s="29" t="str">
        <f t="shared" si="23"/>
        <v>↓</v>
      </c>
      <c r="AY23" s="19" t="s">
        <v>140</v>
      </c>
      <c r="AZ23" s="23">
        <f t="shared" si="24"/>
        <v>19</v>
      </c>
      <c r="BA23" s="20">
        <f t="shared" si="25"/>
        <v>2</v>
      </c>
      <c r="BB23" s="20">
        <f>SUM(BC23*2) + (BD23*1) + SUMIFS(MATCH_INPUT!$G$18:$G$21, MATCH_INPUT!$F$18:$F$21, AY23) + SUMIFS(MATCH_INPUT!$I$18:$I$21, MATCH_INPUT!$J$18:$J$21, AY23)
</f>
        <v>7</v>
      </c>
      <c r="BC23" s="20">
        <f>IF(AY23&lt;&gt;"",
    COUNTIFS(MATCH_INPUT!$K$18:$K$21,AY23),
0)</f>
        <v>1</v>
      </c>
      <c r="BD23" s="20">
        <f>IF(AY23&lt;&gt;"",
    COUNTIFS(MATCH_INPUT!$F$18:$F$21, AY23, MATCH_INPUT!$K$18:$K$21, "Draw") +
    COUNTIFS(MATCH_INPUT!$J$18:$J$21, AY23, MATCH_INPUT!$K$18:$K$21, "Draw"),
0)</f>
        <v>1</v>
      </c>
      <c r="BE23" s="20">
        <f>IF(AY23&lt;&gt;"",
    COUNTIFS(MATCH_INPUT!$F$18:$F$21, AY23, MATCH_INPUT!$K$18:$K$21, "&lt;&gt;"&amp;AY23, MATCH_INPUT!$K$18:$K$21, "&lt;&gt;Draw", MATCH_INPUT!$K$18:$K$21, "&lt;&gt;""") +
    COUNTIFS(MATCH_INPUT!$J$18:$J$21, AY23, MATCH_INPUT!$K$18:$K$21, "&lt;&gt;"&amp;AY23, MATCH_INPUT!$K$18:$K$21, "&lt;&gt;Draw", MATCH_INPUT!$K$18:$K$21, "&lt;&gt;"""),
0)</f>
        <v>0</v>
      </c>
      <c r="BF23" s="21" t="str">
        <f t="array" ref="BF23">IFERROR(INDEX(Form_Response!E:E, MATCH(1, (Form_Response!C:C='MATCH DATES'!$B$6)*(Form_Response!D:D=B23), 0)), "")
</f>
        <v/>
      </c>
      <c r="BG23" s="21">
        <f t="array" ref="BG23">IFERROR(IF(INDEX(Form_Response!F:F, MATCH(1, (Form_Response!C:C='MATCH DATES'!$B$6)*(Form_Response!D:D=B23), 0))="Yes", 1, 0), 0)
</f>
        <v>0</v>
      </c>
      <c r="BH23" s="30" t="str">
        <f t="array" ref="BH23">IFERROR(INDEX(Form_Response!G:G, MATCH(1, (Form_Response!C:C='MATCH DATES'!$B$6)*(Form_Response!D:D=B23), 0)), "")
</f>
        <v/>
      </c>
      <c r="BI23" s="23">
        <f t="shared" si="26"/>
        <v>26</v>
      </c>
      <c r="BJ23" s="24" t="str">
        <f t="shared" si="27"/>
        <v>↑</v>
      </c>
      <c r="BK23" s="25" t="s">
        <v>138</v>
      </c>
      <c r="BL23" s="26">
        <f t="shared" si="28"/>
        <v>28</v>
      </c>
      <c r="BM23" s="26">
        <f t="shared" si="29"/>
        <v>4</v>
      </c>
      <c r="BN23" s="26">
        <f>SUM(BO23*2) + (BP23*1) + SUMIFS(MATCH_INPUT!$G$22:$G$25, MATCH_INPUT!$F$22:$F$25, BK23) + SUMIFS(MATCH_INPUT!$I$22:$I$25, MATCH_INPUT!$J$22:$J$25, BK23)
</f>
        <v>5</v>
      </c>
      <c r="BO23" s="26">
        <f>IF(BK23&lt;&gt;"",
    COUNTIFS(MATCH_INPUT!$K$22:$K$25,BK23),
0)</f>
        <v>1</v>
      </c>
      <c r="BP23" s="26">
        <f>IF(BK23&lt;&gt;"",
    COUNTIFS(MATCH_INPUT!$F$22:$F$25, BK23, MATCH_INPUT!$K$22:$K$25, "Draw") +
    COUNTIFS(MATCH_INPUT!$J$22:$J$25, BK23, MATCH_INPUT!$K$22:$K$25, "Draw"),
0)</f>
        <v>0</v>
      </c>
      <c r="BQ23" s="26">
        <f>IF(BK23&lt;&gt;"",
    COUNTIFS(MATCH_INPUT!$F$22:$F$25, BK23, MATCH_INPUT!$K$22:$K$25, "&lt;&gt;"&amp;BK23, MATCH_INPUT!$K$22:$K$25, "&lt;&gt;Draw", MATCH_INPUT!$K$22:$K$25, "&lt;&gt;""") +
    COUNTIFS(MATCH_INPUT!$J$22:$J$25, BK23, MATCH_INPUT!$K$22:$K$25, "&lt;&gt;"&amp;BK23, MATCH_INPUT!$K$22:$K$25, "&lt;&gt;Draw", MATCH_INPUT!$K$22:$K$25, "&lt;&gt;"""),
0)</f>
        <v>1</v>
      </c>
      <c r="BR23" s="27"/>
      <c r="BS23" s="27"/>
      <c r="BT23" s="28"/>
      <c r="BU23" s="26">
        <f t="shared" si="30"/>
        <v>21</v>
      </c>
      <c r="BV23" s="29" t="str">
        <f t="shared" si="31"/>
        <v>↑</v>
      </c>
      <c r="BW23" s="19"/>
      <c r="BX23" s="23">
        <f t="shared" si="32"/>
        <v>28</v>
      </c>
      <c r="BY23" s="20">
        <f t="shared" si="33"/>
        <v>0</v>
      </c>
      <c r="BZ23" s="20">
        <f>SUM(CA23*2)+(CB23*1) + SUMIFS(MATCH_INPUT!$G$26:$G$29, MATCH_INPUT!$F$26:$F$29, BW23) + SUMIFS(MATCH_INPUT!$I$26:$I$29, MATCH_INPUT!$J$26:$J$29, BW23)
</f>
        <v>0</v>
      </c>
      <c r="CA23" s="20">
        <f>IF(BW23&lt;&gt;"",
    COUNTIFS(MATCH_INPUT!$K$26:$K$29,BW23),
0)</f>
        <v>0</v>
      </c>
      <c r="CB23" s="20">
        <f>IF(BW23&lt;&gt;"",
    COUNTIFS(MATCH_INPUT!$F$26:$F$29, BW23, MATCH_INPUT!$K$26:$K$29, "Draw") +
    COUNTIFS(MATCH_INPUT!$J$26:$J$29, BW23, MATCH_INPUT!$K$26:$K$29, "Draw"),
0)</f>
        <v>0</v>
      </c>
      <c r="CC23" s="20">
        <f>IF(BW23&lt;&gt;"",
    COUNTIFS(MATCH_INPUT!$F$26:$F$29, BW23, MATCH_INPUT!$K$26:$K$29, "&lt;&gt;"&amp;BW23, MATCH_INPUT!$K$26:$K$29, "&lt;&gt;Draw", MATCH_INPUT!$K$26:$K$29, "&lt;&gt;""") +
    COUNTIFS(MATCH_INPUT!$J$26:$J$29, BW23, MATCH_INPUT!$K$26:$K$29, "&lt;&gt;"&amp;BW23, MATCH_INPUT!$K$26:$K$29, "&lt;&gt;Draw", MATCH_INPUT!$K$26:$K$29, "&lt;&gt;"""),
0)</f>
        <v>0</v>
      </c>
      <c r="CD23" s="21"/>
      <c r="CE23" s="21"/>
      <c r="CF23" s="30"/>
      <c r="CG23" s="23">
        <f t="shared" si="34"/>
        <v>26</v>
      </c>
      <c r="CH23" s="24" t="str">
        <f t="shared" si="35"/>
        <v>↓</v>
      </c>
      <c r="CI23" s="25" t="s">
        <v>140</v>
      </c>
      <c r="CJ23" s="26">
        <f t="shared" si="36"/>
        <v>33</v>
      </c>
      <c r="CK23" s="26">
        <f t="shared" si="37"/>
        <v>2</v>
      </c>
      <c r="CL23" s="26">
        <f>SUM(CM23*2)+(CN23*1) + SUMIFS(MATCH_INPUT!$G$30:$G$33, MATCH_INPUT!$F$30:$F$33, CI23) + SUMIFS(MATCH_INPUT!$I$30:$I$33, MATCH_INPUT!$J$30:$J$33, CI23)
</f>
        <v>3</v>
      </c>
      <c r="CM23" s="26">
        <f>IF(CI23&lt;&gt;"",
    COUNTIFS(MATCH_INPUT!$K$30:$K$33,CI23),
0)</f>
        <v>1</v>
      </c>
      <c r="CN23" s="26">
        <f>IF(CI23&lt;&gt;"",
    COUNTIFS(MATCH_INPUT!$F$30:$F$33, CI23, MATCH_INPUT!$K$30:$K$33, "Draw") +
    COUNTIFS(MATCH_INPUT!$J$30:$J$33, CI23, MATCH_INPUT!$K$30:$K$33, "Draw"),
0)</f>
        <v>0</v>
      </c>
      <c r="CO23" s="26">
        <f>IF(CI23&lt;&gt;"",
    COUNTIFS(MATCH_INPUT!$F$30:$F$33, CI23, MATCH_INPUT!$K$30:$K$33, "&lt;&gt;"&amp;CI23, MATCH_INPUT!$K$30:$K$33, "&lt;&gt;Draw", MATCH_INPUT!$K$30:$K$33, "&lt;&gt;""") +
    COUNTIFS(MATCH_INPUT!$J$30:$J$33, CI23, MATCH_INPUT!$K$30:$K$33, "&lt;&gt;"&amp;CI23, MATCH_INPUT!$K$30:$K$33, "&lt;&gt;Draw", MATCH_INPUT!$K$30:$K$33, "&lt;&gt;"""),
0)</f>
        <v>1</v>
      </c>
      <c r="CP23" s="27" t="str">
        <f t="array" ref="CP23">IFERROR(INDEX(Form_Response!E:E, MATCH(1, (Form_Response!C:C='MATCH DATES'!$B$9)*(Form_Response!D:D=B23), 0)), "")
</f>
        <v/>
      </c>
      <c r="CQ23" s="27">
        <f t="array" ref="CQ23">IFERROR(IF(INDEX(Form_Response!F:F, MATCH(1, (Form_Response!C:C='MATCH DATES'!$B$9)*(Form_Response!D:D=B23), 0))="Yes", 1, 0), 0)
</f>
        <v>0</v>
      </c>
      <c r="CR23" s="28" t="str">
        <f t="array" ref="CR23">IFERROR(INDEX(Form_Response!G:G, MATCH(1, (Form_Response!C:C='MATCH DATES'!$B$9)*(Form_Response!D:D=B23), 0)), "")
</f>
        <v/>
      </c>
      <c r="CS23" s="31">
        <f t="shared" si="38"/>
        <v>26</v>
      </c>
      <c r="CT23" s="31" t="str">
        <f t="shared" si="39"/>
        <v>=</v>
      </c>
      <c r="CU23" s="32">
        <f t="shared" si="40"/>
        <v>16</v>
      </c>
      <c r="CV23" s="32" t="str">
        <f t="shared" ref="CV23:CW23" si="100">A23</f>
        <v>⭐️</v>
      </c>
      <c r="CW23" s="33" t="str">
        <f t="shared" si="100"/>
        <v>Chilas 👨🏻‍🤝‍👨🏾 Netto</v>
      </c>
      <c r="CX23" s="33">
        <f t="shared" si="42"/>
        <v>33</v>
      </c>
      <c r="CY23" s="32">
        <f>SUM(
  IF(AND('MATCH DATES'!$A$2 &lt;= TODAY(), NOW() &gt;= 'MATCH DATES'!$A$2 + TIME(22, 0, 0)), E23, 0),
  IF(AND('MATCH DATES'!$A$3 &lt;= TODAY(), NOW() &gt;= 'MATCH DATES'!$A$3 + TIME(22, 0, 0)), Q23, 0),
  IF(AND('MATCH DATES'!$A$4 &lt;= TODAY(), NOW() &gt;= 'MATCH DATES'!$A$4 + TIME(22, 0, 0)), AC23, 0),
  IF(AND('MATCH DATES'!$A$5 &lt;= TODAY(), NOW() &gt;= 'MATCH DATES'!$A$5 + TIME(22, 0, 0)), AO23, 0),
  IF(AND('MATCH DATES'!$A$6 &lt;= TODAY(), NOW() &gt;= 'MATCH DATES'!$A$6 + TIME(22, 0, 0)), BA23, 0),
  IF(AND('MATCH DATES'!$A$7 &lt;= TODAY(), NOW() &gt;= 'MATCH DATES'!$A$7 + TIME(22, 0, 0)), BM23, 0),
  IF(AND('MATCH DATES'!$A$8 &lt;= TODAY(), NOW() &gt;= 'MATCH DATES'!$A$8 + TIME(22, 0, 0)), BY23, 0),
  IF(AND('MATCH DATES'!$A$9 &lt;= TODAY(), NOW() &gt;= 'MATCH DATES'!$A$9 + TIME(22, 0, 0)), CK23, 0)
)
</f>
        <v>16</v>
      </c>
      <c r="CZ23" s="33">
        <f t="shared" ref="CZ23:DA23" si="101">SUM(G23,S23,AE23,AQ23,BC23,BO23,CA23,CM23)</f>
        <v>3</v>
      </c>
      <c r="DA23" s="33">
        <f t="shared" si="101"/>
        <v>2</v>
      </c>
      <c r="DB23" s="33">
        <f>SUM(
  IF(AND('MATCH DATES'!$A$2 &lt;= TODAY(), NOW() &gt;= 'MATCH DATES'!$A$2 + TIME(22, 0, 0)), I23, 0),
  IF(AND('MATCH DATES'!$A$3 &lt;= TODAY(), NOW() &gt;= 'MATCH DATES'!$A$3 + TIME(22, 0, 0)), U23, 0),
  IF(AND('MATCH DATES'!$A$4 &lt;= TODAY(), NOW() &gt;= 'MATCH DATES'!$A$4 + TIME(22, 0, 0)), AG23, 0),
  IF(AND('MATCH DATES'!$A$5 &lt;= TODAY(), NOW() &gt;= 'MATCH DATES'!$A$5 + TIME(22, 0, 0)), AS23, 0),
  IF(AND('MATCH DATES'!$A$6 &lt;= TODAY(), NOW() &gt;= 'MATCH DATES'!$A$6 + TIME(22, 0, 0)), BE23, 0),
  IF(AND('MATCH DATES'!$A$7 &lt;= TODAY(), NOW() &gt;= 'MATCH DATES'!$A$7 + TIME(22, 0, 0)), BQ23, 0),
  IF(AND('MATCH DATES'!$A$8 &lt;= TODAY(), NOW() &gt;= 'MATCH DATES'!$A$8 + TIME(22, 0, 0)), CC23, 0),
  IF(AND('MATCH DATES'!$A$9 &lt;= TODAY(), NOW() &gt;= 'MATCH DATES'!$A$9 + TIME(22, 0, 0)), CO23, 0)
)</f>
        <v>9</v>
      </c>
      <c r="DC23" s="33">
        <f t="shared" si="44"/>
        <v>0</v>
      </c>
      <c r="DD23" s="33">
        <f t="shared" ref="DD23:DE23" si="102">SUM(K23,W23,AI23,AU23,BG23,BS23,CE23,CQ23)</f>
        <v>1</v>
      </c>
      <c r="DE23" s="33">
        <f t="shared" si="102"/>
        <v>0</v>
      </c>
    </row>
    <row r="24" ht="24.75" customHeight="1">
      <c r="A24" s="17" t="s">
        <v>136</v>
      </c>
      <c r="B24" s="18" t="s">
        <v>162</v>
      </c>
      <c r="C24" s="19" t="s">
        <v>140</v>
      </c>
      <c r="D24" s="20">
        <f t="shared" si="4"/>
        <v>5</v>
      </c>
      <c r="E24" s="20">
        <f t="shared" si="5"/>
        <v>2</v>
      </c>
      <c r="F24" s="20">
        <f t="shared" si="6"/>
        <v>2</v>
      </c>
      <c r="G24" s="20">
        <f>IF(C24&lt;&gt;"",
    COUNTIFS(MATCH_INPUT!$K$2:$K$5,C24),
0)</f>
        <v>1</v>
      </c>
      <c r="H24" s="20">
        <f>IF(C24&lt;&gt;"",
    COUNTIFS(MATCH_INPUT!$F$2:$F$5, C24, MATCH_INPUT!$K$2:$K$5, "Draw") +
    COUNTIFS(MATCH_INPUT!$J$2:$J$5, C24, MATCH_INPUT!$K$2:$K$5, "Draw"),
0)</f>
        <v>0</v>
      </c>
      <c r="I24" s="20">
        <f>IF(C24&lt;&gt;"",
    COUNTIFS(MATCH_INPUT!$F$2:$F$5, C24, MATCH_INPUT!$K$2:$K$5, "&lt;&gt;"&amp;C24, MATCH_INPUT!$K$2:$K$5, "&lt;&gt;Draw", MATCH_INPUT!$K$2:$K$5, "&lt;&gt;""") +
    COUNTIFS(MATCH_INPUT!$J$2:$J$5, C24, MATCH_INPUT!$K$2:$K$5, "&lt;&gt;"&amp;C24, MATCH_INPUT!$K$2:$K$5, "&lt;&gt;Draw", MATCH_INPUT!$K$2:$K$5, "&lt;&gt;"""),
0)</f>
        <v>1</v>
      </c>
      <c r="J24" s="21"/>
      <c r="K24" s="21">
        <v>1.0</v>
      </c>
      <c r="L24" s="22">
        <v>1.0</v>
      </c>
      <c r="M24" s="23">
        <f t="shared" si="7"/>
        <v>9</v>
      </c>
      <c r="N24" s="24" t="str">
        <f t="shared" si="8"/>
        <v>↓</v>
      </c>
      <c r="O24" s="25" t="s">
        <v>141</v>
      </c>
      <c r="P24" s="26">
        <f t="shared" si="9"/>
        <v>11</v>
      </c>
      <c r="Q24" s="26">
        <f t="shared" si="10"/>
        <v>2</v>
      </c>
      <c r="R24" s="26">
        <f t="shared" si="11"/>
        <v>3</v>
      </c>
      <c r="S24" s="26">
        <f>IF(O24&lt;&gt;"",
    COUNTIFS(MATCH_INPUT!$K$6:$K$9,O24),
0)</f>
        <v>1</v>
      </c>
      <c r="T24" s="26">
        <f>IF(O24&lt;&gt;"",
    COUNTIFS(MATCH_INPUT!$F$6:$F$9, O24, MATCH_INPUT!$K$6:$K$9, "Draw") +
    COUNTIFS(MATCH_INPUT!$J$6:$J$9, O24, MATCH_INPUT!$K$6:$K$9, "Draw"),
0)</f>
        <v>1</v>
      </c>
      <c r="U24" s="26">
        <f>IF(O24&lt;&gt;"",
    COUNTIFS(MATCH_INPUT!$F$6:$F$9, O24, MATCH_INPUT!$K$6:$K$9, "&lt;&gt;"&amp;O24, MATCH_INPUT!$K$6:$K$9, "&lt;&gt;Draw", MATCH_INPUT!$K$6:$K$9, "&lt;&gt;""") +
    COUNTIFS(MATCH_INPUT!$J$6:$J$9, O24, MATCH_INPUT!$K$6:$K$9, "&lt;&gt;"&amp;O24, MATCH_INPUT!$K$6:$K$9, "&lt;&gt;Draw", MATCH_INPUT!$K$6:$K$9, "&lt;&gt;"""),
0)</f>
        <v>0</v>
      </c>
      <c r="V24" s="27"/>
      <c r="W24" s="27">
        <v>1.0</v>
      </c>
      <c r="X24" s="28">
        <v>1.0</v>
      </c>
      <c r="Y24" s="26">
        <f t="shared" si="12"/>
        <v>5</v>
      </c>
      <c r="Z24" s="29" t="str">
        <f t="shared" si="13"/>
        <v>↑</v>
      </c>
      <c r="AA24" s="19" t="s">
        <v>140</v>
      </c>
      <c r="AB24" s="23">
        <f t="shared" si="14"/>
        <v>15</v>
      </c>
      <c r="AC24" s="20">
        <f t="shared" si="15"/>
        <v>2</v>
      </c>
      <c r="AD24" s="20">
        <f t="shared" si="16"/>
        <v>2</v>
      </c>
      <c r="AE24" s="20">
        <f>IF(AA24&lt;&gt;"",
    COUNTIFS(MATCH_INPUT!$K$10:$K$13,AA24),
0)</f>
        <v>1</v>
      </c>
      <c r="AF24" s="20">
        <f>IF(AA24&lt;&gt;"",
    COUNTIFS(MATCH_INPUT!$F$10:$F$13, AA24, MATCH_INPUT!$K$10:$K$13, "Draw") +
    COUNTIFS(MATCH_INPUT!$J$10:$J$13, AA24, MATCH_INPUT!$K$10:$K$13, "Draw"),
0)</f>
        <v>0</v>
      </c>
      <c r="AG24" s="20">
        <f>IF(AA24&lt;&gt;"",
    COUNTIFS(MATCH_INPUT!$F$10:$F$13, AA24, MATCH_INPUT!$K$10:$K$13, "&lt;&gt;"&amp;AA24, MATCH_INPUT!$K$10:$K$13, "&lt;&gt;Draw", MATCH_INPUT!$K$10:$K$13, "&lt;&gt;""") +
    COUNTIFS(MATCH_INPUT!$J$10:$J$13, AA24, MATCH_INPUT!$K$10:$K$13, "&lt;&gt;"&amp;AA24, MATCH_INPUT!$K$10:$K$13, "&lt;&gt;Draw", MATCH_INPUT!$K$10:$K$13, "&lt;&gt;"""),
0)</f>
        <v>1</v>
      </c>
      <c r="AH24" s="21"/>
      <c r="AI24" s="21"/>
      <c r="AJ24" s="30"/>
      <c r="AK24" s="23">
        <f t="shared" si="17"/>
        <v>4</v>
      </c>
      <c r="AL24" s="24" t="str">
        <f t="shared" si="18"/>
        <v>↑</v>
      </c>
      <c r="AM24" s="25" t="s">
        <v>139</v>
      </c>
      <c r="AN24" s="26">
        <f t="shared" si="19"/>
        <v>21</v>
      </c>
      <c r="AO24" s="26">
        <f t="shared" si="20"/>
        <v>2</v>
      </c>
      <c r="AP24" s="26">
        <f t="shared" si="21"/>
        <v>4</v>
      </c>
      <c r="AQ24" s="26">
        <f>IF(AM24&lt;&gt;"",
    COUNTIFS(MATCH_INPUT!$K$14:$K$17,AM24),
0)</f>
        <v>2</v>
      </c>
      <c r="AR24" s="26">
        <f>IF(AM24&lt;&gt;"",
    COUNTIFS(MATCH_INPUT!$F$14:$F$17, AM24, MATCH_INPUT!$K$14:$K$17, "Draw") +
    COUNTIFS(MATCH_INPUT!$J$14:$J$17, AM24, MATCH_INPUT!$K$14:$K$17, "Draw"),
0)</f>
        <v>0</v>
      </c>
      <c r="AS24" s="26">
        <f>IF(AM24&lt;&gt;"",
    COUNTIFS(MATCH_INPUT!$F$14:$F$17, AM24, MATCH_INPUT!$K$14:$K$17, "&lt;&gt;"&amp;AM24, MATCH_INPUT!$K$14:$K$17, "&lt;&gt;Draw", MATCH_INPUT!$K$14:$K$17, "&lt;&gt;""") +
    COUNTIFS(MATCH_INPUT!$J$14:$J$17, AM24, MATCH_INPUT!$K$14:$K$17, "&lt;&gt;"&amp;AM24, MATCH_INPUT!$K$14:$K$17, "&lt;&gt;Draw", MATCH_INPUT!$K$14:$K$17, "&lt;&gt;"""),
0)</f>
        <v>0</v>
      </c>
      <c r="AT24" s="27">
        <v>1.0</v>
      </c>
      <c r="AU24" s="27"/>
      <c r="AV24" s="28"/>
      <c r="AW24" s="26">
        <f t="shared" si="22"/>
        <v>2</v>
      </c>
      <c r="AX24" s="29" t="str">
        <f t="shared" si="23"/>
        <v>↑</v>
      </c>
      <c r="AY24" s="19" t="s">
        <v>141</v>
      </c>
      <c r="AZ24" s="23">
        <f t="shared" si="24"/>
        <v>28</v>
      </c>
      <c r="BA24" s="20">
        <f t="shared" si="25"/>
        <v>2</v>
      </c>
      <c r="BB24" s="20">
        <f>SUM(BC24*2) + (BD24*1) + SUMIFS(MATCH_INPUT!$G$18:$G$21, MATCH_INPUT!$F$18:$F$21, AY24) + SUMIFS(MATCH_INPUT!$I$18:$I$21, MATCH_INPUT!$J$18:$J$21, AY24)
</f>
        <v>4</v>
      </c>
      <c r="BC24" s="20">
        <f>IF(AY24&lt;&gt;"",
    COUNTIFS(MATCH_INPUT!$K$18:$K$21,AY24),
0)</f>
        <v>0</v>
      </c>
      <c r="BD24" s="20">
        <f>IF(AY24&lt;&gt;"",
    COUNTIFS(MATCH_INPUT!$F$18:$F$21, AY24, MATCH_INPUT!$K$18:$K$21, "Draw") +
    COUNTIFS(MATCH_INPUT!$J$18:$J$21, AY24, MATCH_INPUT!$K$18:$K$21, "Draw"),
0)</f>
        <v>1</v>
      </c>
      <c r="BE24" s="20">
        <f>IF(AY24&lt;&gt;"",
    COUNTIFS(MATCH_INPUT!$F$18:$F$21, AY24, MATCH_INPUT!$K$18:$K$21, "&lt;&gt;"&amp;AY24, MATCH_INPUT!$K$18:$K$21, "&lt;&gt;Draw", MATCH_INPUT!$K$18:$K$21, "&lt;&gt;""") +
    COUNTIFS(MATCH_INPUT!$J$18:$J$21, AY24, MATCH_INPUT!$K$18:$K$21, "&lt;&gt;"&amp;AY24, MATCH_INPUT!$K$18:$K$21, "&lt;&gt;Draw", MATCH_INPUT!$K$18:$K$21, "&lt;&gt;"""),
0)</f>
        <v>1</v>
      </c>
      <c r="BF24" s="21" t="str">
        <f t="array" ref="BF24">IFERROR(INDEX(Form_Response!E:E, MATCH(1, (Form_Response!C:C='MATCH DATES'!$B$6)*(Form_Response!D:D=B24), 0)), "")
</f>
        <v/>
      </c>
      <c r="BG24" s="21">
        <v>1.0</v>
      </c>
      <c r="BH24" s="30" t="str">
        <f t="array" ref="BH24">IFERROR(INDEX(Form_Response!G:G, MATCH(1, (Form_Response!C:C='MATCH DATES'!$B$6)*(Form_Response!D:D=B24), 0)), "")
</f>
        <v/>
      </c>
      <c r="BI24" s="23">
        <f t="shared" si="26"/>
        <v>2</v>
      </c>
      <c r="BJ24" s="24" t="str">
        <f t="shared" si="27"/>
        <v>=</v>
      </c>
      <c r="BK24" s="34"/>
      <c r="BL24" s="26">
        <f t="shared" si="28"/>
        <v>28</v>
      </c>
      <c r="BM24" s="26">
        <f t="shared" si="29"/>
        <v>0</v>
      </c>
      <c r="BN24" s="26">
        <f>SUM(BO24*2) + (BP24*1) + SUMIFS(MATCH_INPUT!$G$22:$G$25, MATCH_INPUT!$F$22:$F$25, BK24) + SUMIFS(MATCH_INPUT!$I$22:$I$25, MATCH_INPUT!$J$22:$J$25, BK24)
</f>
        <v>0</v>
      </c>
      <c r="BO24" s="26">
        <f>IF(BK24&lt;&gt;"",
    COUNTIFS(MATCH_INPUT!$K$22:$K$25,BK24),
0)</f>
        <v>0</v>
      </c>
      <c r="BP24" s="26">
        <f>IF(BK24&lt;&gt;"",
    COUNTIFS(MATCH_INPUT!$F$22:$F$25, BK24, MATCH_INPUT!$K$22:$K$25, "Draw") +
    COUNTIFS(MATCH_INPUT!$J$22:$J$25, BK24, MATCH_INPUT!$K$22:$K$25, "Draw"),
0)</f>
        <v>0</v>
      </c>
      <c r="BQ24" s="26">
        <f>IF(BK24&lt;&gt;"",
    COUNTIFS(MATCH_INPUT!$F$22:$F$25, BK24, MATCH_INPUT!$K$22:$K$25, "&lt;&gt;"&amp;BK24, MATCH_INPUT!$K$22:$K$25, "&lt;&gt;Draw", MATCH_INPUT!$K$22:$K$25, "&lt;&gt;""") +
    COUNTIFS(MATCH_INPUT!$J$22:$J$25, BK24, MATCH_INPUT!$K$22:$K$25, "&lt;&gt;"&amp;BK24, MATCH_INPUT!$K$22:$K$25, "&lt;&gt;Draw", MATCH_INPUT!$K$22:$K$25, "&lt;&gt;"""),
0)</f>
        <v>0</v>
      </c>
      <c r="BR24" s="27"/>
      <c r="BS24" s="27"/>
      <c r="BT24" s="28"/>
      <c r="BU24" s="26">
        <f t="shared" si="30"/>
        <v>21</v>
      </c>
      <c r="BV24" s="29" t="str">
        <f t="shared" si="31"/>
        <v>↓</v>
      </c>
      <c r="BW24" s="35"/>
      <c r="BX24" s="23">
        <f t="shared" si="32"/>
        <v>28</v>
      </c>
      <c r="BY24" s="20">
        <f t="shared" si="33"/>
        <v>0</v>
      </c>
      <c r="BZ24" s="20">
        <f>SUM(CA24*2)+(CB24*1) + SUMIFS(MATCH_INPUT!$G$26:$G$29, MATCH_INPUT!$F$26:$F$29, BW24) + SUMIFS(MATCH_INPUT!$I$26:$I$29, MATCH_INPUT!$J$26:$J$29, BW24)
</f>
        <v>0</v>
      </c>
      <c r="CA24" s="20">
        <f>IF(BW24&lt;&gt;"",
    COUNTIFS(MATCH_INPUT!$K$26:$K$29,BW24),
0)</f>
        <v>0</v>
      </c>
      <c r="CB24" s="20">
        <f>IF(BW24&lt;&gt;"",
    COUNTIFS(MATCH_INPUT!$F$26:$F$29, BW24, MATCH_INPUT!$K$26:$K$29, "Draw") +
    COUNTIFS(MATCH_INPUT!$J$26:$J$29, BW24, MATCH_INPUT!$K$26:$K$29, "Draw"),
0)</f>
        <v>0</v>
      </c>
      <c r="CC24" s="20">
        <f>IF(BW24&lt;&gt;"",
    COUNTIFS(MATCH_INPUT!$F$26:$F$29, BW24, MATCH_INPUT!$K$26:$K$29, "&lt;&gt;"&amp;BW24, MATCH_INPUT!$K$26:$K$29, "&lt;&gt;Draw", MATCH_INPUT!$K$26:$K$29, "&lt;&gt;""") +
    COUNTIFS(MATCH_INPUT!$J$26:$J$29, BW24, MATCH_INPUT!$K$26:$K$29, "&lt;&gt;"&amp;BW24, MATCH_INPUT!$K$26:$K$29, "&lt;&gt;Draw", MATCH_INPUT!$K$26:$K$29, "&lt;&gt;"""),
0)</f>
        <v>0</v>
      </c>
      <c r="CD24" s="21"/>
      <c r="CE24" s="21"/>
      <c r="CF24" s="30"/>
      <c r="CG24" s="23">
        <f t="shared" si="34"/>
        <v>26</v>
      </c>
      <c r="CH24" s="24" t="str">
        <f t="shared" si="35"/>
        <v>↓</v>
      </c>
      <c r="CI24" s="25" t="s">
        <v>139</v>
      </c>
      <c r="CJ24" s="26">
        <f t="shared" si="36"/>
        <v>31</v>
      </c>
      <c r="CK24" s="26">
        <f t="shared" si="37"/>
        <v>2</v>
      </c>
      <c r="CL24" s="26">
        <f>SUM(CM24*2)+(CN24*1) + SUMIFS(MATCH_INPUT!$G$30:$G$33, MATCH_INPUT!$F$30:$F$33, CI24) + SUMIFS(MATCH_INPUT!$I$30:$I$33, MATCH_INPUT!$J$30:$J$33, CI24)
</f>
        <v>1</v>
      </c>
      <c r="CM24" s="26">
        <f>IF(CI24&lt;&gt;"",
    COUNTIFS(MATCH_INPUT!$K$30:$K$33,CI24),
0)</f>
        <v>0</v>
      </c>
      <c r="CN24" s="26">
        <f>IF(CI24&lt;&gt;"",
    COUNTIFS(MATCH_INPUT!$F$30:$F$33, CI24, MATCH_INPUT!$K$30:$K$33, "Draw") +
    COUNTIFS(MATCH_INPUT!$J$30:$J$33, CI24, MATCH_INPUT!$K$30:$K$33, "Draw"),
0)</f>
        <v>0</v>
      </c>
      <c r="CO24" s="26">
        <f>IF(CI24&lt;&gt;"",
    COUNTIFS(MATCH_INPUT!$F$30:$F$33, CI24, MATCH_INPUT!$K$30:$K$33, "&lt;&gt;"&amp;CI24, MATCH_INPUT!$K$30:$K$33, "&lt;&gt;Draw", MATCH_INPUT!$K$30:$K$33, "&lt;&gt;""") +
    COUNTIFS(MATCH_INPUT!$J$30:$J$33, CI24, MATCH_INPUT!$K$30:$K$33, "&lt;&gt;"&amp;CI24, MATCH_INPUT!$K$30:$K$33, "&lt;&gt;Draw", MATCH_INPUT!$K$30:$K$33, "&lt;&gt;"""),
0)</f>
        <v>2</v>
      </c>
      <c r="CP24" s="27" t="str">
        <f t="array" ref="CP24">IFERROR(INDEX(Form_Response!E:E, MATCH(1, (Form_Response!C:C='MATCH DATES'!$B$9)*(Form_Response!D:D=B24), 0)), "")
</f>
        <v/>
      </c>
      <c r="CQ24" s="27">
        <f t="array" ref="CQ24">IFERROR(IF(INDEX(Form_Response!F:F, MATCH(1, (Form_Response!C:C='MATCH DATES'!$B$9)*(Form_Response!D:D=B24), 0))="Yes", 1, 0), 0)
</f>
        <v>0</v>
      </c>
      <c r="CR24" s="28" t="str">
        <f t="array" ref="CR24">IFERROR(INDEX(Form_Response!G:G, MATCH(1, (Form_Response!C:C='MATCH DATES'!$B$9)*(Form_Response!D:D=B24), 0)), "")
</f>
        <v/>
      </c>
      <c r="CS24" s="31">
        <f t="shared" si="38"/>
        <v>28</v>
      </c>
      <c r="CT24" s="31" t="str">
        <f t="shared" si="39"/>
        <v>↓</v>
      </c>
      <c r="CU24" s="32">
        <f t="shared" si="40"/>
        <v>16</v>
      </c>
      <c r="CV24" s="32" t="str">
        <f t="shared" ref="CV24:CW24" si="103">A24</f>
        <v>⭐️</v>
      </c>
      <c r="CW24" s="33" t="str">
        <f t="shared" si="103"/>
        <v>V. Nizama</v>
      </c>
      <c r="CX24" s="33">
        <f t="shared" si="42"/>
        <v>31</v>
      </c>
      <c r="CY24" s="32">
        <f>SUM(
  IF(AND('MATCH DATES'!$A$2 &lt;= TODAY(), NOW() &gt;= 'MATCH DATES'!$A$2 + TIME(22, 0, 0)), E24, 0),
  IF(AND('MATCH DATES'!$A$3 &lt;= TODAY(), NOW() &gt;= 'MATCH DATES'!$A$3 + TIME(22, 0, 0)), Q24, 0),
  IF(AND('MATCH DATES'!$A$4 &lt;= TODAY(), NOW() &gt;= 'MATCH DATES'!$A$4 + TIME(22, 0, 0)), AC24, 0),
  IF(AND('MATCH DATES'!$A$5 &lt;= TODAY(), NOW() &gt;= 'MATCH DATES'!$A$5 + TIME(22, 0, 0)), AO24, 0),
  IF(AND('MATCH DATES'!$A$6 &lt;= TODAY(), NOW() &gt;= 'MATCH DATES'!$A$6 + TIME(22, 0, 0)), BA24, 0),
  IF(AND('MATCH DATES'!$A$7 &lt;= TODAY(), NOW() &gt;= 'MATCH DATES'!$A$7 + TIME(22, 0, 0)), BM24, 0),
  IF(AND('MATCH DATES'!$A$8 &lt;= TODAY(), NOW() &gt;= 'MATCH DATES'!$A$8 + TIME(22, 0, 0)), BY24, 0),
  IF(AND('MATCH DATES'!$A$9 &lt;= TODAY(), NOW() &gt;= 'MATCH DATES'!$A$9 + TIME(22, 0, 0)), CK24, 0)
)
</f>
        <v>12</v>
      </c>
      <c r="CZ24" s="33">
        <f t="shared" ref="CZ24:DA24" si="104">SUM(G24,S24,AE24,AQ24,BC24,BO24,CA24,CM24)</f>
        <v>5</v>
      </c>
      <c r="DA24" s="33">
        <f t="shared" si="104"/>
        <v>2</v>
      </c>
      <c r="DB24" s="33">
        <f>SUM(
  IF(AND('MATCH DATES'!$A$2 &lt;= TODAY(), NOW() &gt;= 'MATCH DATES'!$A$2 + TIME(22, 0, 0)), I24, 0),
  IF(AND('MATCH DATES'!$A$3 &lt;= TODAY(), NOW() &gt;= 'MATCH DATES'!$A$3 + TIME(22, 0, 0)), U24, 0),
  IF(AND('MATCH DATES'!$A$4 &lt;= TODAY(), NOW() &gt;= 'MATCH DATES'!$A$4 + TIME(22, 0, 0)), AG24, 0),
  IF(AND('MATCH DATES'!$A$5 &lt;= TODAY(), NOW() &gt;= 'MATCH DATES'!$A$5 + TIME(22, 0, 0)), AS24, 0),
  IF(AND('MATCH DATES'!$A$6 &lt;= TODAY(), NOW() &gt;= 'MATCH DATES'!$A$6 + TIME(22, 0, 0)), BE24, 0),
  IF(AND('MATCH DATES'!$A$7 &lt;= TODAY(), NOW() &gt;= 'MATCH DATES'!$A$7 + TIME(22, 0, 0)), BQ24, 0),
  IF(AND('MATCH DATES'!$A$8 &lt;= TODAY(), NOW() &gt;= 'MATCH DATES'!$A$8 + TIME(22, 0, 0)), CC24, 0),
  IF(AND('MATCH DATES'!$A$9 &lt;= TODAY(), NOW() &gt;= 'MATCH DATES'!$A$9 + TIME(22, 0, 0)), CO24, 0)
)</f>
        <v>5</v>
      </c>
      <c r="DC24" s="33">
        <f t="shared" si="44"/>
        <v>1</v>
      </c>
      <c r="DD24" s="33">
        <f t="shared" ref="DD24:DE24" si="105">SUM(K24,W24,AI24,AU24,BG24,BS24,CE24,CQ24)</f>
        <v>3</v>
      </c>
      <c r="DE24" s="33">
        <f t="shared" si="105"/>
        <v>2</v>
      </c>
    </row>
    <row r="25" ht="24.75" customHeight="1">
      <c r="A25" s="17" t="s">
        <v>136</v>
      </c>
      <c r="B25" s="18" t="s">
        <v>163</v>
      </c>
      <c r="C25" s="19" t="s">
        <v>140</v>
      </c>
      <c r="D25" s="20">
        <f t="shared" si="4"/>
        <v>4</v>
      </c>
      <c r="E25" s="20">
        <f t="shared" si="5"/>
        <v>2</v>
      </c>
      <c r="F25" s="20">
        <f t="shared" si="6"/>
        <v>2</v>
      </c>
      <c r="G25" s="20">
        <f>IF(C25&lt;&gt;"",
    COUNTIFS(MATCH_INPUT!$K$2:$K$5,C25),
0)</f>
        <v>1</v>
      </c>
      <c r="H25" s="20">
        <f>IF(C25&lt;&gt;"",
    COUNTIFS(MATCH_INPUT!$F$2:$F$5, C25, MATCH_INPUT!$K$2:$K$5, "Draw") +
    COUNTIFS(MATCH_INPUT!$J$2:$J$5, C25, MATCH_INPUT!$K$2:$K$5, "Draw"),
0)</f>
        <v>0</v>
      </c>
      <c r="I25" s="20">
        <f>IF(C25&lt;&gt;"",
    COUNTIFS(MATCH_INPUT!$F$2:$F$5, C25, MATCH_INPUT!$K$2:$K$5, "&lt;&gt;"&amp;C25, MATCH_INPUT!$K$2:$K$5, "&lt;&gt;Draw", MATCH_INPUT!$K$2:$K$5, "&lt;&gt;""") +
    COUNTIFS(MATCH_INPUT!$J$2:$J$5, C25, MATCH_INPUT!$K$2:$K$5, "&lt;&gt;"&amp;C25, MATCH_INPUT!$K$2:$K$5, "&lt;&gt;Draw", MATCH_INPUT!$K$2:$K$5, "&lt;&gt;"""),
0)</f>
        <v>1</v>
      </c>
      <c r="J25" s="21">
        <v>1.0</v>
      </c>
      <c r="K25" s="21"/>
      <c r="L25" s="22"/>
      <c r="M25" s="23">
        <f t="shared" si="7"/>
        <v>11</v>
      </c>
      <c r="N25" s="24" t="str">
        <f t="shared" si="8"/>
        <v>↓</v>
      </c>
      <c r="O25" s="25" t="s">
        <v>138</v>
      </c>
      <c r="P25" s="26">
        <f t="shared" si="9"/>
        <v>6</v>
      </c>
      <c r="Q25" s="26">
        <f t="shared" si="10"/>
        <v>2</v>
      </c>
      <c r="R25" s="26">
        <f t="shared" si="11"/>
        <v>0</v>
      </c>
      <c r="S25" s="26">
        <f>IF(O25&lt;&gt;"",
    COUNTIFS(MATCH_INPUT!$K$6:$K$9,O25),
0)</f>
        <v>0</v>
      </c>
      <c r="T25" s="26">
        <f>IF(O25&lt;&gt;"",
    COUNTIFS(MATCH_INPUT!$F$6:$F$9, O25, MATCH_INPUT!$K$6:$K$9, "Draw") +
    COUNTIFS(MATCH_INPUT!$J$6:$J$9, O25, MATCH_INPUT!$K$6:$K$9, "Draw"),
0)</f>
        <v>0</v>
      </c>
      <c r="U25" s="26">
        <f>IF(O25&lt;&gt;"",
    COUNTIFS(MATCH_INPUT!$F$6:$F$9, O25, MATCH_INPUT!$K$6:$K$9, "&lt;&gt;"&amp;O25, MATCH_INPUT!$K$6:$K$9, "&lt;&gt;Draw", MATCH_INPUT!$K$6:$K$9, "&lt;&gt;""") +
    COUNTIFS(MATCH_INPUT!$J$6:$J$9, O25, MATCH_INPUT!$K$6:$K$9, "&lt;&gt;"&amp;O25, MATCH_INPUT!$K$6:$K$9, "&lt;&gt;Draw", MATCH_INPUT!$K$6:$K$9, "&lt;&gt;"""),
0)</f>
        <v>2</v>
      </c>
      <c r="V25" s="27"/>
      <c r="W25" s="27"/>
      <c r="X25" s="28"/>
      <c r="Y25" s="26">
        <f t="shared" si="12"/>
        <v>20</v>
      </c>
      <c r="Z25" s="29" t="str">
        <f t="shared" si="13"/>
        <v>↓</v>
      </c>
      <c r="AA25" s="19" t="s">
        <v>140</v>
      </c>
      <c r="AB25" s="23">
        <f t="shared" si="14"/>
        <v>10</v>
      </c>
      <c r="AC25" s="20">
        <f t="shared" si="15"/>
        <v>2</v>
      </c>
      <c r="AD25" s="20">
        <f t="shared" si="16"/>
        <v>2</v>
      </c>
      <c r="AE25" s="20">
        <f>IF(AA25&lt;&gt;"",
    COUNTIFS(MATCH_INPUT!$K$10:$K$13,AA25),
0)</f>
        <v>1</v>
      </c>
      <c r="AF25" s="20">
        <f>IF(AA25&lt;&gt;"",
    COUNTIFS(MATCH_INPUT!$F$10:$F$13, AA25, MATCH_INPUT!$K$10:$K$13, "Draw") +
    COUNTIFS(MATCH_INPUT!$J$10:$J$13, AA25, MATCH_INPUT!$K$10:$K$13, "Draw"),
0)</f>
        <v>0</v>
      </c>
      <c r="AG25" s="20">
        <f>IF(AA25&lt;&gt;"",
    COUNTIFS(MATCH_INPUT!$F$10:$F$13, AA25, MATCH_INPUT!$K$10:$K$13, "&lt;&gt;"&amp;AA25, MATCH_INPUT!$K$10:$K$13, "&lt;&gt;Draw", MATCH_INPUT!$K$10:$K$13, "&lt;&gt;""") +
    COUNTIFS(MATCH_INPUT!$J$10:$J$13, AA25, MATCH_INPUT!$K$10:$K$13, "&lt;&gt;"&amp;AA25, MATCH_INPUT!$K$10:$K$13, "&lt;&gt;Draw", MATCH_INPUT!$K$10:$K$13, "&lt;&gt;"""),
0)</f>
        <v>1</v>
      </c>
      <c r="AH25" s="21"/>
      <c r="AI25" s="21"/>
      <c r="AJ25" s="30"/>
      <c r="AK25" s="23">
        <f t="shared" si="17"/>
        <v>20</v>
      </c>
      <c r="AL25" s="24" t="str">
        <f t="shared" si="18"/>
        <v>=</v>
      </c>
      <c r="AM25" s="25" t="s">
        <v>141</v>
      </c>
      <c r="AN25" s="26">
        <f t="shared" si="19"/>
        <v>14</v>
      </c>
      <c r="AO25" s="26">
        <f t="shared" si="20"/>
        <v>2</v>
      </c>
      <c r="AP25" s="26">
        <f t="shared" si="21"/>
        <v>2</v>
      </c>
      <c r="AQ25" s="26">
        <f>IF(AM25&lt;&gt;"",
    COUNTIFS(MATCH_INPUT!$K$14:$K$17,AM25),
0)</f>
        <v>1</v>
      </c>
      <c r="AR25" s="26">
        <f>IF(AM25&lt;&gt;"",
    COUNTIFS(MATCH_INPUT!$F$14:$F$17, AM25, MATCH_INPUT!$K$14:$K$17, "Draw") +
    COUNTIFS(MATCH_INPUT!$J$14:$J$17, AM25, MATCH_INPUT!$K$14:$K$17, "Draw"),
0)</f>
        <v>0</v>
      </c>
      <c r="AS25" s="26">
        <f>IF(AM25&lt;&gt;"",
    COUNTIFS(MATCH_INPUT!$F$14:$F$17, AM25, MATCH_INPUT!$K$14:$K$17, "&lt;&gt;"&amp;AM25, MATCH_INPUT!$K$14:$K$17, "&lt;&gt;Draw", MATCH_INPUT!$K$14:$K$17, "&lt;&gt;""") +
    COUNTIFS(MATCH_INPUT!$J$14:$J$17, AM25, MATCH_INPUT!$K$14:$K$17, "&lt;&gt;"&amp;AM25, MATCH_INPUT!$K$14:$K$17, "&lt;&gt;Draw", MATCH_INPUT!$K$14:$K$17, "&lt;&gt;"""),
0)</f>
        <v>1</v>
      </c>
      <c r="AT25" s="27"/>
      <c r="AU25" s="27"/>
      <c r="AV25" s="28"/>
      <c r="AW25" s="26">
        <f t="shared" si="22"/>
        <v>19</v>
      </c>
      <c r="AX25" s="29" t="str">
        <f t="shared" si="23"/>
        <v>↑</v>
      </c>
      <c r="AY25" s="19" t="s">
        <v>139</v>
      </c>
      <c r="AZ25" s="23">
        <f t="shared" si="24"/>
        <v>22</v>
      </c>
      <c r="BA25" s="20">
        <f t="shared" si="25"/>
        <v>2</v>
      </c>
      <c r="BB25" s="20">
        <f>SUM(BC25*2) + (BD25*1) + SUMIFS(MATCH_INPUT!$G$18:$G$21, MATCH_INPUT!$F$18:$F$21, AY25) + SUMIFS(MATCH_INPUT!$I$18:$I$21, MATCH_INPUT!$J$18:$J$21, AY25)
</f>
        <v>6</v>
      </c>
      <c r="BC25" s="20">
        <f>IF(AY25&lt;&gt;"",
    COUNTIFS(MATCH_INPUT!$K$18:$K$21,AY25),
0)</f>
        <v>1</v>
      </c>
      <c r="BD25" s="20">
        <f>IF(AY25&lt;&gt;"",
    COUNTIFS(MATCH_INPUT!$F$18:$F$21, AY25, MATCH_INPUT!$K$18:$K$21, "Draw") +
    COUNTIFS(MATCH_INPUT!$J$18:$J$21, AY25, MATCH_INPUT!$K$18:$K$21, "Draw"),
0)</f>
        <v>0</v>
      </c>
      <c r="BE25" s="20">
        <f>IF(AY25&lt;&gt;"",
    COUNTIFS(MATCH_INPUT!$F$18:$F$21, AY25, MATCH_INPUT!$K$18:$K$21, "&lt;&gt;"&amp;AY25, MATCH_INPUT!$K$18:$K$21, "&lt;&gt;Draw", MATCH_INPUT!$K$18:$K$21, "&lt;&gt;""") +
    COUNTIFS(MATCH_INPUT!$J$18:$J$21, AY25, MATCH_INPUT!$K$18:$K$21, "&lt;&gt;"&amp;AY25, MATCH_INPUT!$K$18:$K$21, "&lt;&gt;Draw", MATCH_INPUT!$K$18:$K$21, "&lt;&gt;"""),
0)</f>
        <v>1</v>
      </c>
      <c r="BF25" s="21" t="str">
        <f t="array" ref="BF25">IFERROR(INDEX(Form_Response!E:E, MATCH(1, (Form_Response!C:C='MATCH DATES'!$B$6)*(Form_Response!D:D=B25), 0)), "")
</f>
        <v/>
      </c>
      <c r="BG25" s="21">
        <f t="array" ref="BG25">IFERROR(IF(INDEX(Form_Response!F:F, MATCH(1, (Form_Response!C:C='MATCH DATES'!$B$6)*(Form_Response!D:D=B25), 0))="Yes", 1, 0), 0)
</f>
        <v>0</v>
      </c>
      <c r="BH25" s="30" t="str">
        <f t="array" ref="BH25">IFERROR(INDEX(Form_Response!G:G, MATCH(1, (Form_Response!C:C='MATCH DATES'!$B$6)*(Form_Response!D:D=B25), 0)), "")
</f>
        <v/>
      </c>
      <c r="BI25" s="23">
        <f t="shared" si="26"/>
        <v>18</v>
      </c>
      <c r="BJ25" s="24" t="str">
        <f t="shared" si="27"/>
        <v>↑</v>
      </c>
      <c r="BK25" s="25" t="s">
        <v>141</v>
      </c>
      <c r="BL25" s="26">
        <f t="shared" si="28"/>
        <v>27</v>
      </c>
      <c r="BM25" s="26">
        <f t="shared" si="29"/>
        <v>4</v>
      </c>
      <c r="BN25" s="26">
        <f>SUM(BO25*2) + (BP25*1) + SUMIFS(MATCH_INPUT!$G$22:$G$25, MATCH_INPUT!$F$22:$F$25, BK25) + SUMIFS(MATCH_INPUT!$I$22:$I$25, MATCH_INPUT!$J$22:$J$25, BK25)
</f>
        <v>1</v>
      </c>
      <c r="BO25" s="26">
        <f>IF(BK25&lt;&gt;"",
    COUNTIFS(MATCH_INPUT!$K$22:$K$25,BK25),
0)</f>
        <v>0</v>
      </c>
      <c r="BP25" s="26">
        <f>IF(BK25&lt;&gt;"",
    COUNTIFS(MATCH_INPUT!$F$22:$F$25, BK25, MATCH_INPUT!$K$22:$K$25, "Draw") +
    COUNTIFS(MATCH_INPUT!$J$22:$J$25, BK25, MATCH_INPUT!$K$22:$K$25, "Draw"),
0)</f>
        <v>0</v>
      </c>
      <c r="BQ25" s="26">
        <f>IF(BK25&lt;&gt;"",
    COUNTIFS(MATCH_INPUT!$F$22:$F$25, BK25, MATCH_INPUT!$K$22:$K$25, "&lt;&gt;"&amp;BK25, MATCH_INPUT!$K$22:$K$25, "&lt;&gt;Draw", MATCH_INPUT!$K$22:$K$25, "&lt;&gt;""") +
    COUNTIFS(MATCH_INPUT!$J$22:$J$25, BK25, MATCH_INPUT!$K$22:$K$25, "&lt;&gt;"&amp;BK25, MATCH_INPUT!$K$22:$K$25, "&lt;&gt;Draw", MATCH_INPUT!$K$22:$K$25, "&lt;&gt;"""),
0)</f>
        <v>2</v>
      </c>
      <c r="BR25" s="27"/>
      <c r="BS25" s="27"/>
      <c r="BT25" s="28"/>
      <c r="BU25" s="26">
        <f t="shared" si="30"/>
        <v>23</v>
      </c>
      <c r="BV25" s="29" t="str">
        <f t="shared" si="31"/>
        <v>↓</v>
      </c>
      <c r="BW25" s="19"/>
      <c r="BX25" s="23">
        <f t="shared" si="32"/>
        <v>27</v>
      </c>
      <c r="BY25" s="20">
        <f t="shared" si="33"/>
        <v>0</v>
      </c>
      <c r="BZ25" s="20">
        <f>SUM(CA25*2)+(CB25*1) + SUMIFS(MATCH_INPUT!$G$26:$G$29, MATCH_INPUT!$F$26:$F$29, BW25) + SUMIFS(MATCH_INPUT!$I$26:$I$29, MATCH_INPUT!$J$26:$J$29, BW25)
</f>
        <v>0</v>
      </c>
      <c r="CA25" s="20">
        <f>IF(BW25&lt;&gt;"",
    COUNTIFS(MATCH_INPUT!$K$26:$K$29,BW25),
0)</f>
        <v>0</v>
      </c>
      <c r="CB25" s="20">
        <f>IF(BW25&lt;&gt;"",
    COUNTIFS(MATCH_INPUT!$F$26:$F$29, BW25, MATCH_INPUT!$K$26:$K$29, "Draw") +
    COUNTIFS(MATCH_INPUT!$J$26:$J$29, BW25, MATCH_INPUT!$K$26:$K$29, "Draw"),
0)</f>
        <v>0</v>
      </c>
      <c r="CC25" s="20">
        <f>IF(BW25&lt;&gt;"",
    COUNTIFS(MATCH_INPUT!$F$26:$F$29, BW25, MATCH_INPUT!$K$26:$K$29, "&lt;&gt;"&amp;BW25, MATCH_INPUT!$K$26:$K$29, "&lt;&gt;Draw", MATCH_INPUT!$K$26:$K$29, "&lt;&gt;""") +
    COUNTIFS(MATCH_INPUT!$J$26:$J$29, BW25, MATCH_INPUT!$K$26:$K$29, "&lt;&gt;"&amp;BW25, MATCH_INPUT!$K$26:$K$29, "&lt;&gt;Draw", MATCH_INPUT!$K$26:$K$29, "&lt;&gt;"""),
0)</f>
        <v>0</v>
      </c>
      <c r="CD25" s="21"/>
      <c r="CE25" s="21"/>
      <c r="CF25" s="30"/>
      <c r="CG25" s="23">
        <f t="shared" si="34"/>
        <v>28</v>
      </c>
      <c r="CH25" s="24" t="str">
        <f t="shared" si="35"/>
        <v>↓</v>
      </c>
      <c r="CI25" s="25" t="s">
        <v>140</v>
      </c>
      <c r="CJ25" s="26">
        <f t="shared" si="36"/>
        <v>32</v>
      </c>
      <c r="CK25" s="26">
        <f t="shared" si="37"/>
        <v>2</v>
      </c>
      <c r="CL25" s="26">
        <f>SUM(CM25*2)+(CN25*1) + SUMIFS(MATCH_INPUT!$G$30:$G$33, MATCH_INPUT!$F$30:$F$33, CI25) + SUMIFS(MATCH_INPUT!$I$30:$I$33, MATCH_INPUT!$J$30:$J$33, CI25)
</f>
        <v>3</v>
      </c>
      <c r="CM25" s="26">
        <f>IF(CI25&lt;&gt;"",
    COUNTIFS(MATCH_INPUT!$K$30:$K$33,CI25),
0)</f>
        <v>1</v>
      </c>
      <c r="CN25" s="26">
        <f>IF(CI25&lt;&gt;"",
    COUNTIFS(MATCH_INPUT!$F$30:$F$33, CI25, MATCH_INPUT!$K$30:$K$33, "Draw") +
    COUNTIFS(MATCH_INPUT!$J$30:$J$33, CI25, MATCH_INPUT!$K$30:$K$33, "Draw"),
0)</f>
        <v>0</v>
      </c>
      <c r="CO25" s="26">
        <f>IF(CI25&lt;&gt;"",
    COUNTIFS(MATCH_INPUT!$F$30:$F$33, CI25, MATCH_INPUT!$K$30:$K$33, "&lt;&gt;"&amp;CI25, MATCH_INPUT!$K$30:$K$33, "&lt;&gt;Draw", MATCH_INPUT!$K$30:$K$33, "&lt;&gt;""") +
    COUNTIFS(MATCH_INPUT!$J$30:$J$33, CI25, MATCH_INPUT!$K$30:$K$33, "&lt;&gt;"&amp;CI25, MATCH_INPUT!$K$30:$K$33, "&lt;&gt;Draw", MATCH_INPUT!$K$30:$K$33, "&lt;&gt;"""),
0)</f>
        <v>1</v>
      </c>
      <c r="CP25" s="27" t="str">
        <f t="array" ref="CP25">IFERROR(INDEX(Form_Response!E:E, MATCH(1, (Form_Response!C:C='MATCH DATES'!$B$9)*(Form_Response!D:D=B25), 0)), "")
</f>
        <v/>
      </c>
      <c r="CQ25" s="27">
        <f t="array" ref="CQ25">IFERROR(IF(INDEX(Form_Response!F:F, MATCH(1, (Form_Response!C:C='MATCH DATES'!$B$9)*(Form_Response!D:D=B25), 0))="Yes", 1, 0), 0)
</f>
        <v>0</v>
      </c>
      <c r="CR25" s="28" t="str">
        <f t="array" ref="CR25">IFERROR(INDEX(Form_Response!G:G, MATCH(1, (Form_Response!C:C='MATCH DATES'!$B$9)*(Form_Response!D:D=B25), 0)), "")
</f>
        <v/>
      </c>
      <c r="CS25" s="31">
        <f t="shared" si="38"/>
        <v>27</v>
      </c>
      <c r="CT25" s="31" t="str">
        <f t="shared" si="39"/>
        <v>↑</v>
      </c>
      <c r="CU25" s="32">
        <f t="shared" si="40"/>
        <v>16</v>
      </c>
      <c r="CV25" s="32" t="str">
        <f t="shared" ref="CV25:CW25" si="106">A25</f>
        <v>⭐️</v>
      </c>
      <c r="CW25" s="33" t="str">
        <f t="shared" si="106"/>
        <v>Kevin</v>
      </c>
      <c r="CX25" s="33">
        <f t="shared" si="42"/>
        <v>32</v>
      </c>
      <c r="CY25" s="32">
        <f>SUM(
  IF(AND('MATCH DATES'!$A$2 &lt;= TODAY(), NOW() &gt;= 'MATCH DATES'!$A$2 + TIME(22, 0, 0)), E25, 0),
  IF(AND('MATCH DATES'!$A$3 &lt;= TODAY(), NOW() &gt;= 'MATCH DATES'!$A$3 + TIME(22, 0, 0)), Q25, 0),
  IF(AND('MATCH DATES'!$A$4 &lt;= TODAY(), NOW() &gt;= 'MATCH DATES'!$A$4 + TIME(22, 0, 0)), AC25, 0),
  IF(AND('MATCH DATES'!$A$5 &lt;= TODAY(), NOW() &gt;= 'MATCH DATES'!$A$5 + TIME(22, 0, 0)), AO25, 0),
  IF(AND('MATCH DATES'!$A$6 &lt;= TODAY(), NOW() &gt;= 'MATCH DATES'!$A$6 + TIME(22, 0, 0)), BA25, 0),
  IF(AND('MATCH DATES'!$A$7 &lt;= TODAY(), NOW() &gt;= 'MATCH DATES'!$A$7 + TIME(22, 0, 0)), BM25, 0),
  IF(AND('MATCH DATES'!$A$8 &lt;= TODAY(), NOW() &gt;= 'MATCH DATES'!$A$8 + TIME(22, 0, 0)), BY25, 0),
  IF(AND('MATCH DATES'!$A$9 &lt;= TODAY(), NOW() &gt;= 'MATCH DATES'!$A$9 + TIME(22, 0, 0)), CK25, 0)
)
</f>
        <v>16</v>
      </c>
      <c r="CZ25" s="33">
        <f t="shared" ref="CZ25:DA25" si="107">SUM(G25,S25,AE25,AQ25,BC25,BO25,CA25,CM25)</f>
        <v>5</v>
      </c>
      <c r="DA25" s="33">
        <f t="shared" si="107"/>
        <v>0</v>
      </c>
      <c r="DB25" s="33">
        <f>SUM(
  IF(AND('MATCH DATES'!$A$2 &lt;= TODAY(), NOW() &gt;= 'MATCH DATES'!$A$2 + TIME(22, 0, 0)), I25, 0),
  IF(AND('MATCH DATES'!$A$3 &lt;= TODAY(), NOW() &gt;= 'MATCH DATES'!$A$3 + TIME(22, 0, 0)), U25, 0),
  IF(AND('MATCH DATES'!$A$4 &lt;= TODAY(), NOW() &gt;= 'MATCH DATES'!$A$4 + TIME(22, 0, 0)), AG25, 0),
  IF(AND('MATCH DATES'!$A$5 &lt;= TODAY(), NOW() &gt;= 'MATCH DATES'!$A$5 + TIME(22, 0, 0)), AS25, 0),
  IF(AND('MATCH DATES'!$A$6 &lt;= TODAY(), NOW() &gt;= 'MATCH DATES'!$A$6 + TIME(22, 0, 0)), BE25, 0),
  IF(AND('MATCH DATES'!$A$7 &lt;= TODAY(), NOW() &gt;= 'MATCH DATES'!$A$7 + TIME(22, 0, 0)), BQ25, 0),
  IF(AND('MATCH DATES'!$A$8 &lt;= TODAY(), NOW() &gt;= 'MATCH DATES'!$A$8 + TIME(22, 0, 0)), CC25, 0),
  IF(AND('MATCH DATES'!$A$9 &lt;= TODAY(), NOW() &gt;= 'MATCH DATES'!$A$9 + TIME(22, 0, 0)), CO25, 0)
)</f>
        <v>9</v>
      </c>
      <c r="DC25" s="33">
        <f t="shared" si="44"/>
        <v>1</v>
      </c>
      <c r="DD25" s="33">
        <f t="shared" ref="DD25:DE25" si="108">SUM(K25,W25,AI25,AU25,BG25,BS25,CE25,CQ25)</f>
        <v>0</v>
      </c>
      <c r="DE25" s="33">
        <f t="shared" si="108"/>
        <v>0</v>
      </c>
    </row>
    <row r="26" ht="24.75" customHeight="1">
      <c r="A26" s="17" t="s">
        <v>136</v>
      </c>
      <c r="B26" s="18" t="s">
        <v>164</v>
      </c>
      <c r="C26" s="19" t="s">
        <v>138</v>
      </c>
      <c r="D26" s="20">
        <f t="shared" si="4"/>
        <v>6</v>
      </c>
      <c r="E26" s="20">
        <f t="shared" si="5"/>
        <v>2</v>
      </c>
      <c r="F26" s="20">
        <f t="shared" si="6"/>
        <v>4</v>
      </c>
      <c r="G26" s="20">
        <f>IF(C26&lt;&gt;"",
    COUNTIFS(MATCH_INPUT!$K$2:$K$5,C26),
0)</f>
        <v>2</v>
      </c>
      <c r="H26" s="20">
        <f>IF(C26&lt;&gt;"",
    COUNTIFS(MATCH_INPUT!$F$2:$F$5, C26, MATCH_INPUT!$K$2:$K$5, "Draw") +
    COUNTIFS(MATCH_INPUT!$J$2:$J$5, C26, MATCH_INPUT!$K$2:$K$5, "Draw"),
0)</f>
        <v>0</v>
      </c>
      <c r="I26" s="20">
        <f>IF(C26&lt;&gt;"",
    COUNTIFS(MATCH_INPUT!$F$2:$F$5, C26, MATCH_INPUT!$K$2:$K$5, "&lt;&gt;"&amp;C26, MATCH_INPUT!$K$2:$K$5, "&lt;&gt;Draw", MATCH_INPUT!$K$2:$K$5, "&lt;&gt;""") +
    COUNTIFS(MATCH_INPUT!$J$2:$J$5, C26, MATCH_INPUT!$K$2:$K$5, "&lt;&gt;"&amp;C26, MATCH_INPUT!$K$2:$K$5, "&lt;&gt;Draw", MATCH_INPUT!$K$2:$K$5, "&lt;&gt;"""),
0)</f>
        <v>0</v>
      </c>
      <c r="J26" s="21"/>
      <c r="K26" s="21"/>
      <c r="L26" s="22"/>
      <c r="M26" s="23">
        <f t="shared" si="7"/>
        <v>2</v>
      </c>
      <c r="N26" s="24" t="str">
        <f t="shared" si="8"/>
        <v>↓</v>
      </c>
      <c r="O26" s="25" t="s">
        <v>139</v>
      </c>
      <c r="P26" s="26">
        <f t="shared" si="9"/>
        <v>13</v>
      </c>
      <c r="Q26" s="26">
        <f t="shared" si="10"/>
        <v>2</v>
      </c>
      <c r="R26" s="26">
        <f t="shared" si="11"/>
        <v>4</v>
      </c>
      <c r="S26" s="26">
        <f>IF(O26&lt;&gt;"",
    COUNTIFS(MATCH_INPUT!$K$6:$K$9,O26),
0)</f>
        <v>2</v>
      </c>
      <c r="T26" s="26">
        <f>IF(O26&lt;&gt;"",
    COUNTIFS(MATCH_INPUT!$F$6:$F$9, O26, MATCH_INPUT!$K$6:$K$9, "Draw") +
    COUNTIFS(MATCH_INPUT!$J$6:$J$9, O26, MATCH_INPUT!$K$6:$K$9, "Draw"),
0)</f>
        <v>0</v>
      </c>
      <c r="U26" s="26">
        <f>IF(O26&lt;&gt;"",
    COUNTIFS(MATCH_INPUT!$F$6:$F$9, O26, MATCH_INPUT!$K$6:$K$9, "&lt;&gt;"&amp;O26, MATCH_INPUT!$K$6:$K$9, "&lt;&gt;Draw", MATCH_INPUT!$K$6:$K$9, "&lt;&gt;""") +
    COUNTIFS(MATCH_INPUT!$J$6:$J$9, O26, MATCH_INPUT!$K$6:$K$9, "&lt;&gt;"&amp;O26, MATCH_INPUT!$K$6:$K$9, "&lt;&gt;Draw", MATCH_INPUT!$K$6:$K$9, "&lt;&gt;"""),
0)</f>
        <v>0</v>
      </c>
      <c r="V26" s="27"/>
      <c r="W26" s="27">
        <v>1.0</v>
      </c>
      <c r="X26" s="28">
        <v>1.0</v>
      </c>
      <c r="Y26" s="26">
        <f t="shared" si="12"/>
        <v>2</v>
      </c>
      <c r="Z26" s="29" t="str">
        <f t="shared" si="13"/>
        <v>=</v>
      </c>
      <c r="AA26" s="19" t="s">
        <v>140</v>
      </c>
      <c r="AB26" s="23">
        <f t="shared" si="14"/>
        <v>17</v>
      </c>
      <c r="AC26" s="20">
        <f t="shared" si="15"/>
        <v>2</v>
      </c>
      <c r="AD26" s="20">
        <f t="shared" si="16"/>
        <v>2</v>
      </c>
      <c r="AE26" s="20">
        <f>IF(AA26&lt;&gt;"",
    COUNTIFS(MATCH_INPUT!$K$10:$K$13,AA26),
0)</f>
        <v>1</v>
      </c>
      <c r="AF26" s="20">
        <f>IF(AA26&lt;&gt;"",
    COUNTIFS(MATCH_INPUT!$F$10:$F$13, AA26, MATCH_INPUT!$K$10:$K$13, "Draw") +
    COUNTIFS(MATCH_INPUT!$J$10:$J$13, AA26, MATCH_INPUT!$K$10:$K$13, "Draw"),
0)</f>
        <v>0</v>
      </c>
      <c r="AG26" s="20">
        <f>IF(AA26&lt;&gt;"",
    COUNTIFS(MATCH_INPUT!$F$10:$F$13, AA26, MATCH_INPUT!$K$10:$K$13, "&lt;&gt;"&amp;AA26, MATCH_INPUT!$K$10:$K$13, "&lt;&gt;Draw", MATCH_INPUT!$K$10:$K$13, "&lt;&gt;""") +
    COUNTIFS(MATCH_INPUT!$J$10:$J$13, AA26, MATCH_INPUT!$K$10:$K$13, "&lt;&gt;"&amp;AA26, MATCH_INPUT!$K$10:$K$13, "&lt;&gt;Draw", MATCH_INPUT!$K$10:$K$13, "&lt;&gt;"""),
0)</f>
        <v>1</v>
      </c>
      <c r="AH26" s="21"/>
      <c r="AI26" s="21"/>
      <c r="AJ26" s="30"/>
      <c r="AK26" s="23">
        <f t="shared" si="17"/>
        <v>1</v>
      </c>
      <c r="AL26" s="24" t="str">
        <f t="shared" si="18"/>
        <v>↑</v>
      </c>
      <c r="AM26" s="25" t="s">
        <v>140</v>
      </c>
      <c r="AN26" s="26">
        <f t="shared" si="19"/>
        <v>21</v>
      </c>
      <c r="AO26" s="26">
        <f t="shared" si="20"/>
        <v>2</v>
      </c>
      <c r="AP26" s="26">
        <f t="shared" si="21"/>
        <v>2</v>
      </c>
      <c r="AQ26" s="26">
        <f>IF(AM26&lt;&gt;"",
    COUNTIFS(MATCH_INPUT!$K$14:$K$17,AM26),
0)</f>
        <v>1</v>
      </c>
      <c r="AR26" s="26">
        <f>IF(AM26&lt;&gt;"",
    COUNTIFS(MATCH_INPUT!$F$14:$F$17, AM26, MATCH_INPUT!$K$14:$K$17, "Draw") +
    COUNTIFS(MATCH_INPUT!$J$14:$J$17, AM26, MATCH_INPUT!$K$14:$K$17, "Draw"),
0)</f>
        <v>0</v>
      </c>
      <c r="AS26" s="26">
        <f>IF(AM26&lt;&gt;"",
    COUNTIFS(MATCH_INPUT!$F$14:$F$17, AM26, MATCH_INPUT!$K$14:$K$17, "&lt;&gt;"&amp;AM26, MATCH_INPUT!$K$14:$K$17, "&lt;&gt;Draw", MATCH_INPUT!$K$14:$K$17, "&lt;&gt;""") +
    COUNTIFS(MATCH_INPUT!$J$14:$J$17, AM26, MATCH_INPUT!$K$14:$K$17, "&lt;&gt;"&amp;AM26, MATCH_INPUT!$K$14:$K$17, "&lt;&gt;Draw", MATCH_INPUT!$K$14:$K$17, "&lt;&gt;"""),
0)</f>
        <v>1</v>
      </c>
      <c r="AT26" s="27"/>
      <c r="AU26" s="27"/>
      <c r="AV26" s="28"/>
      <c r="AW26" s="26">
        <f t="shared" si="22"/>
        <v>2</v>
      </c>
      <c r="AX26" s="29" t="str">
        <f t="shared" si="23"/>
        <v>↓</v>
      </c>
      <c r="AY26" s="19" t="s">
        <v>141</v>
      </c>
      <c r="AZ26" s="23">
        <f t="shared" si="24"/>
        <v>27</v>
      </c>
      <c r="BA26" s="20">
        <f t="shared" si="25"/>
        <v>2</v>
      </c>
      <c r="BB26" s="20">
        <f>SUM(BC26*2) + (BD26*1) + SUMIFS(MATCH_INPUT!$G$18:$G$21, MATCH_INPUT!$F$18:$F$21, AY26) + SUMIFS(MATCH_INPUT!$I$18:$I$21, MATCH_INPUT!$J$18:$J$21, AY26)
</f>
        <v>4</v>
      </c>
      <c r="BC26" s="20">
        <f>IF(AY26&lt;&gt;"",
    COUNTIFS(MATCH_INPUT!$K$18:$K$21,AY26),
0)</f>
        <v>0</v>
      </c>
      <c r="BD26" s="20">
        <f>IF(AY26&lt;&gt;"",
    COUNTIFS(MATCH_INPUT!$F$18:$F$21, AY26, MATCH_INPUT!$K$18:$K$21, "Draw") +
    COUNTIFS(MATCH_INPUT!$J$18:$J$21, AY26, MATCH_INPUT!$K$18:$K$21, "Draw"),
0)</f>
        <v>1</v>
      </c>
      <c r="BE26" s="20">
        <f>IF(AY26&lt;&gt;"",
    COUNTIFS(MATCH_INPUT!$F$18:$F$21, AY26, MATCH_INPUT!$K$18:$K$21, "&lt;&gt;"&amp;AY26, MATCH_INPUT!$K$18:$K$21, "&lt;&gt;Draw", MATCH_INPUT!$K$18:$K$21, "&lt;&gt;""") +
    COUNTIFS(MATCH_INPUT!$J$18:$J$21, AY26, MATCH_INPUT!$K$18:$K$21, "&lt;&gt;"&amp;AY26, MATCH_INPUT!$K$18:$K$21, "&lt;&gt;Draw", MATCH_INPUT!$K$18:$K$21, "&lt;&gt;"""),
0)</f>
        <v>1</v>
      </c>
      <c r="BF26" s="21" t="str">
        <f t="array" ref="BF26">IFERROR(INDEX(Form_Response!E:E, MATCH(1, (Form_Response!C:C='MATCH DATES'!$B$6)*(Form_Response!D:D=B26), 0)), "")
</f>
        <v/>
      </c>
      <c r="BG26" s="21">
        <f t="array" ref="BG26">IFERROR(IF(INDEX(Form_Response!F:F, MATCH(1, (Form_Response!C:C='MATCH DATES'!$B$6)*(Form_Response!D:D=B26), 0))="Yes", 1, 0), 0)
</f>
        <v>0</v>
      </c>
      <c r="BH26" s="30" t="str">
        <f t="array" ref="BH26">IFERROR(INDEX(Form_Response!G:G, MATCH(1, (Form_Response!C:C='MATCH DATES'!$B$6)*(Form_Response!D:D=B26), 0)), "")
</f>
        <v/>
      </c>
      <c r="BI26" s="23">
        <f t="shared" si="26"/>
        <v>3</v>
      </c>
      <c r="BJ26" s="24" t="str">
        <f t="shared" si="27"/>
        <v>↓</v>
      </c>
      <c r="BK26" s="25"/>
      <c r="BL26" s="26">
        <f t="shared" si="28"/>
        <v>27</v>
      </c>
      <c r="BM26" s="26">
        <f t="shared" si="29"/>
        <v>0</v>
      </c>
      <c r="BN26" s="26">
        <f>SUM(BO26*2) + (BP26*1) + SUMIFS(MATCH_INPUT!$G$22:$G$25, MATCH_INPUT!$F$22:$F$25, BK26) + SUMIFS(MATCH_INPUT!$I$22:$I$25, MATCH_INPUT!$J$22:$J$25, BK26)
</f>
        <v>0</v>
      </c>
      <c r="BO26" s="26">
        <f>IF(BK26&lt;&gt;"",
    COUNTIFS(MATCH_INPUT!$K$22:$K$25,BK26),
0)</f>
        <v>0</v>
      </c>
      <c r="BP26" s="26">
        <f>IF(BK26&lt;&gt;"",
    COUNTIFS(MATCH_INPUT!$F$22:$F$25, BK26, MATCH_INPUT!$K$22:$K$25, "Draw") +
    COUNTIFS(MATCH_INPUT!$J$22:$J$25, BK26, MATCH_INPUT!$K$22:$K$25, "Draw"),
0)</f>
        <v>0</v>
      </c>
      <c r="BQ26" s="26">
        <f>IF(BK26&lt;&gt;"",
    COUNTIFS(MATCH_INPUT!$F$22:$F$25, BK26, MATCH_INPUT!$K$22:$K$25, "&lt;&gt;"&amp;BK26, MATCH_INPUT!$K$22:$K$25, "&lt;&gt;Draw", MATCH_INPUT!$K$22:$K$25, "&lt;&gt;""") +
    COUNTIFS(MATCH_INPUT!$J$22:$J$25, BK26, MATCH_INPUT!$K$22:$K$25, "&lt;&gt;"&amp;BK26, MATCH_INPUT!$K$22:$K$25, "&lt;&gt;Draw", MATCH_INPUT!$K$22:$K$25, "&lt;&gt;"""),
0)</f>
        <v>0</v>
      </c>
      <c r="BR26" s="27"/>
      <c r="BS26" s="27"/>
      <c r="BT26" s="28"/>
      <c r="BU26" s="26">
        <f t="shared" si="30"/>
        <v>23</v>
      </c>
      <c r="BV26" s="29" t="str">
        <f t="shared" si="31"/>
        <v>↓</v>
      </c>
      <c r="BW26" s="19" t="s">
        <v>141</v>
      </c>
      <c r="BX26" s="23">
        <f t="shared" si="32"/>
        <v>33</v>
      </c>
      <c r="BY26" s="20">
        <f t="shared" si="33"/>
        <v>2</v>
      </c>
      <c r="BZ26" s="20">
        <f>SUM(CA26*2)+(CB26*1) + SUMIFS(MATCH_INPUT!$G$26:$G$29, MATCH_INPUT!$F$26:$F$29, BW26) + SUMIFS(MATCH_INPUT!$I$26:$I$29, MATCH_INPUT!$J$26:$J$29, BW26)
</f>
        <v>4</v>
      </c>
      <c r="CA26" s="20">
        <f>IF(BW26&lt;&gt;"",
    COUNTIFS(MATCH_INPUT!$K$26:$K$29,BW26),
0)</f>
        <v>1</v>
      </c>
      <c r="CB26" s="20">
        <f>IF(BW26&lt;&gt;"",
    COUNTIFS(MATCH_INPUT!$F$26:$F$29, BW26, MATCH_INPUT!$K$26:$K$29, "Draw") +
    COUNTIFS(MATCH_INPUT!$J$26:$J$29, BW26, MATCH_INPUT!$K$26:$K$29, "Draw"),
0)</f>
        <v>0</v>
      </c>
      <c r="CC26" s="20">
        <f>IF(BW26&lt;&gt;"",
    COUNTIFS(MATCH_INPUT!$F$26:$F$29, BW26, MATCH_INPUT!$K$26:$K$29, "&lt;&gt;"&amp;BW26, MATCH_INPUT!$K$26:$K$29, "&lt;&gt;Draw", MATCH_INPUT!$K$26:$K$29, "&lt;&gt;""") +
    COUNTIFS(MATCH_INPUT!$J$26:$J$29, BW26, MATCH_INPUT!$K$26:$K$29, "&lt;&gt;"&amp;BW26, MATCH_INPUT!$K$26:$K$29, "&lt;&gt;Draw", MATCH_INPUT!$K$26:$K$29, "&lt;&gt;"""),
0)</f>
        <v>1</v>
      </c>
      <c r="CD26" s="21"/>
      <c r="CE26" s="21"/>
      <c r="CF26" s="30"/>
      <c r="CG26" s="23">
        <f t="shared" si="34"/>
        <v>22</v>
      </c>
      <c r="CH26" s="24" t="str">
        <f t="shared" si="35"/>
        <v>↑</v>
      </c>
      <c r="CI26" s="25" t="s">
        <v>139</v>
      </c>
      <c r="CJ26" s="26">
        <f t="shared" si="36"/>
        <v>36</v>
      </c>
      <c r="CK26" s="26">
        <f t="shared" si="37"/>
        <v>2</v>
      </c>
      <c r="CL26" s="26">
        <f>SUM(CM26*2)+(CN26*1) + SUMIFS(MATCH_INPUT!$G$30:$G$33, MATCH_INPUT!$F$30:$F$33, CI26) + SUMIFS(MATCH_INPUT!$I$30:$I$33, MATCH_INPUT!$J$30:$J$33, CI26)
</f>
        <v>1</v>
      </c>
      <c r="CM26" s="26">
        <f>IF(CI26&lt;&gt;"",
    COUNTIFS(MATCH_INPUT!$K$30:$K$33,CI26),
0)</f>
        <v>0</v>
      </c>
      <c r="CN26" s="26">
        <f>IF(CI26&lt;&gt;"",
    COUNTIFS(MATCH_INPUT!$F$30:$F$33, CI26, MATCH_INPUT!$K$30:$K$33, "Draw") +
    COUNTIFS(MATCH_INPUT!$J$30:$J$33, CI26, MATCH_INPUT!$K$30:$K$33, "Draw"),
0)</f>
        <v>0</v>
      </c>
      <c r="CO26" s="26">
        <f>IF(CI26&lt;&gt;"",
    COUNTIFS(MATCH_INPUT!$F$30:$F$33, CI26, MATCH_INPUT!$K$30:$K$33, "&lt;&gt;"&amp;CI26, MATCH_INPUT!$K$30:$K$33, "&lt;&gt;Draw", MATCH_INPUT!$K$30:$K$33, "&lt;&gt;""") +
    COUNTIFS(MATCH_INPUT!$J$30:$J$33, CI26, MATCH_INPUT!$K$30:$K$33, "&lt;&gt;"&amp;CI26, MATCH_INPUT!$K$30:$K$33, "&lt;&gt;Draw", MATCH_INPUT!$K$30:$K$33, "&lt;&gt;"""),
0)</f>
        <v>2</v>
      </c>
      <c r="CP26" s="27" t="str">
        <f t="array" ref="CP26">IFERROR(INDEX(Form_Response!E:E, MATCH(1, (Form_Response!C:C='MATCH DATES'!$B$9)*(Form_Response!D:D=B26), 0)), "")
</f>
        <v/>
      </c>
      <c r="CQ26" s="27"/>
      <c r="CR26" s="28" t="str">
        <f t="array" ref="CR26">IFERROR(INDEX(Form_Response!G:G, MATCH(1, (Form_Response!C:C='MATCH DATES'!$B$9)*(Form_Response!D:D=B26), 0)), "")
</f>
        <v/>
      </c>
      <c r="CS26" s="31">
        <f t="shared" si="38"/>
        <v>24</v>
      </c>
      <c r="CT26" s="31" t="str">
        <f t="shared" si="39"/>
        <v>↓</v>
      </c>
      <c r="CU26" s="32">
        <f t="shared" si="40"/>
        <v>21</v>
      </c>
      <c r="CV26" s="32" t="str">
        <f t="shared" ref="CV26:CW26" si="109">A26</f>
        <v>⭐️</v>
      </c>
      <c r="CW26" s="33" t="str">
        <f t="shared" si="109"/>
        <v>Guille 👨🏻‍🤝‍👨🏾 Mike</v>
      </c>
      <c r="CX26" s="33">
        <f t="shared" si="42"/>
        <v>36</v>
      </c>
      <c r="CY26" s="32">
        <f>SUM(
  IF(AND('MATCH DATES'!$A$2 &lt;= TODAY(), NOW() &gt;= 'MATCH DATES'!$A$2 + TIME(22, 0, 0)), E26, 0),
  IF(AND('MATCH DATES'!$A$3 &lt;= TODAY(), NOW() &gt;= 'MATCH DATES'!$A$3 + TIME(22, 0, 0)), Q26, 0),
  IF(AND('MATCH DATES'!$A$4 &lt;= TODAY(), NOW() &gt;= 'MATCH DATES'!$A$4 + TIME(22, 0, 0)), AC26, 0),
  IF(AND('MATCH DATES'!$A$5 &lt;= TODAY(), NOW() &gt;= 'MATCH DATES'!$A$5 + TIME(22, 0, 0)), AO26, 0),
  IF(AND('MATCH DATES'!$A$6 &lt;= TODAY(), NOW() &gt;= 'MATCH DATES'!$A$6 + TIME(22, 0, 0)), BA26, 0),
  IF(AND('MATCH DATES'!$A$7 &lt;= TODAY(), NOW() &gt;= 'MATCH DATES'!$A$7 + TIME(22, 0, 0)), BM26, 0),
  IF(AND('MATCH DATES'!$A$8 &lt;= TODAY(), NOW() &gt;= 'MATCH DATES'!$A$8 + TIME(22, 0, 0)), BY26, 0),
  IF(AND('MATCH DATES'!$A$9 &lt;= TODAY(), NOW() &gt;= 'MATCH DATES'!$A$9 + TIME(22, 0, 0)), CK26, 0)
)
</f>
        <v>14</v>
      </c>
      <c r="CZ26" s="33">
        <f t="shared" ref="CZ26:DA26" si="110">SUM(G26,S26,AE26,AQ26,BC26,BO26,CA26,CM26)</f>
        <v>7</v>
      </c>
      <c r="DA26" s="33">
        <f t="shared" si="110"/>
        <v>1</v>
      </c>
      <c r="DB26" s="33">
        <f>SUM(
  IF(AND('MATCH DATES'!$A$2 &lt;= TODAY(), NOW() &gt;= 'MATCH DATES'!$A$2 + TIME(22, 0, 0)), I26, 0),
  IF(AND('MATCH DATES'!$A$3 &lt;= TODAY(), NOW() &gt;= 'MATCH DATES'!$A$3 + TIME(22, 0, 0)), U26, 0),
  IF(AND('MATCH DATES'!$A$4 &lt;= TODAY(), NOW() &gt;= 'MATCH DATES'!$A$4 + TIME(22, 0, 0)), AG26, 0),
  IF(AND('MATCH DATES'!$A$5 &lt;= TODAY(), NOW() &gt;= 'MATCH DATES'!$A$5 + TIME(22, 0, 0)), AS26, 0),
  IF(AND('MATCH DATES'!$A$6 &lt;= TODAY(), NOW() &gt;= 'MATCH DATES'!$A$6 + TIME(22, 0, 0)), BE26, 0),
  IF(AND('MATCH DATES'!$A$7 &lt;= TODAY(), NOW() &gt;= 'MATCH DATES'!$A$7 + TIME(22, 0, 0)), BQ26, 0),
  IF(AND('MATCH DATES'!$A$8 &lt;= TODAY(), NOW() &gt;= 'MATCH DATES'!$A$8 + TIME(22, 0, 0)), CC26, 0),
  IF(AND('MATCH DATES'!$A$9 &lt;= TODAY(), NOW() &gt;= 'MATCH DATES'!$A$9 + TIME(22, 0, 0)), CO26, 0)
)</f>
        <v>6</v>
      </c>
      <c r="DC26" s="33">
        <f t="shared" si="44"/>
        <v>0</v>
      </c>
      <c r="DD26" s="33">
        <f t="shared" ref="DD26:DE26" si="111">SUM(K26,W26,AI26,AU26,BG26,BS26,CE26,CQ26)</f>
        <v>1</v>
      </c>
      <c r="DE26" s="33">
        <f t="shared" si="111"/>
        <v>1</v>
      </c>
    </row>
    <row r="27" ht="24.75" customHeight="1">
      <c r="A27" s="17" t="s">
        <v>136</v>
      </c>
      <c r="B27" s="18" t="s">
        <v>165</v>
      </c>
      <c r="C27" s="19"/>
      <c r="D27" s="20">
        <f t="shared" si="4"/>
        <v>0</v>
      </c>
      <c r="E27" s="20">
        <f t="shared" si="5"/>
        <v>0</v>
      </c>
      <c r="F27" s="20">
        <f t="shared" si="6"/>
        <v>0</v>
      </c>
      <c r="G27" s="20">
        <f>IF(C27&lt;&gt;"",
    COUNTIFS(MATCH_INPUT!$K$2:$K$5,C27),
0)</f>
        <v>0</v>
      </c>
      <c r="H27" s="20">
        <f>IF(C27&lt;&gt;"",
    COUNTIFS(MATCH_INPUT!$F$2:$F$5, C27, MATCH_INPUT!$K$2:$K$5, "Draw") +
    COUNTIFS(MATCH_INPUT!$J$2:$J$5, C27, MATCH_INPUT!$K$2:$K$5, "Draw"),
0)</f>
        <v>0</v>
      </c>
      <c r="I27" s="20">
        <f>IF(C27&lt;&gt;"",
    COUNTIFS(MATCH_INPUT!$F$2:$F$5, C27, MATCH_INPUT!$K$2:$K$5, "&lt;&gt;"&amp;C27, MATCH_INPUT!$K$2:$K$5, "&lt;&gt;Draw", MATCH_INPUT!$K$2:$K$5, "&lt;&gt;""") +
    COUNTIFS(MATCH_INPUT!$J$2:$J$5, C27, MATCH_INPUT!$K$2:$K$5, "&lt;&gt;"&amp;C27, MATCH_INPUT!$K$2:$K$5, "&lt;&gt;Draw", MATCH_INPUT!$K$2:$K$5, "&lt;&gt;"""),
0)</f>
        <v>0</v>
      </c>
      <c r="J27" s="21"/>
      <c r="K27" s="21"/>
      <c r="L27" s="22"/>
      <c r="M27" s="23">
        <f t="shared" si="7"/>
        <v>34</v>
      </c>
      <c r="N27" s="24" t="str">
        <f t="shared" si="8"/>
        <v>↓</v>
      </c>
      <c r="O27" s="25" t="s">
        <v>140</v>
      </c>
      <c r="P27" s="26">
        <f t="shared" si="9"/>
        <v>3</v>
      </c>
      <c r="Q27" s="26">
        <f t="shared" si="10"/>
        <v>2</v>
      </c>
      <c r="R27" s="26">
        <f t="shared" si="11"/>
        <v>1</v>
      </c>
      <c r="S27" s="26">
        <f>IF(O27&lt;&gt;"",
    COUNTIFS(MATCH_INPUT!$K$6:$K$9,O27),
0)</f>
        <v>0</v>
      </c>
      <c r="T27" s="26">
        <f>IF(O27&lt;&gt;"",
    COUNTIFS(MATCH_INPUT!$F$6:$F$9, O27, MATCH_INPUT!$K$6:$K$9, "Draw") +
    COUNTIFS(MATCH_INPUT!$J$6:$J$9, O27, MATCH_INPUT!$K$6:$K$9, "Draw"),
0)</f>
        <v>1</v>
      </c>
      <c r="U27" s="26">
        <f>IF(O27&lt;&gt;"",
    COUNTIFS(MATCH_INPUT!$F$6:$F$9, O27, MATCH_INPUT!$K$6:$K$9, "&lt;&gt;"&amp;O27, MATCH_INPUT!$K$6:$K$9, "&lt;&gt;Draw", MATCH_INPUT!$K$6:$K$9, "&lt;&gt;""") +
    COUNTIFS(MATCH_INPUT!$J$6:$J$9, O27, MATCH_INPUT!$K$6:$K$9, "&lt;&gt;"&amp;O27, MATCH_INPUT!$K$6:$K$9, "&lt;&gt;Draw", MATCH_INPUT!$K$6:$K$9, "&lt;&gt;"""),
0)</f>
        <v>1</v>
      </c>
      <c r="V27" s="27"/>
      <c r="W27" s="27"/>
      <c r="X27" s="28"/>
      <c r="Y27" s="26">
        <f t="shared" si="12"/>
        <v>34</v>
      </c>
      <c r="Z27" s="29" t="str">
        <f t="shared" si="13"/>
        <v>=</v>
      </c>
      <c r="AA27" s="19" t="s">
        <v>140</v>
      </c>
      <c r="AB27" s="23">
        <f t="shared" si="14"/>
        <v>7</v>
      </c>
      <c r="AC27" s="20">
        <f t="shared" si="15"/>
        <v>2</v>
      </c>
      <c r="AD27" s="20">
        <f t="shared" si="16"/>
        <v>2</v>
      </c>
      <c r="AE27" s="20">
        <f>IF(AA27&lt;&gt;"",
    COUNTIFS(MATCH_INPUT!$K$10:$K$13,AA27),
0)</f>
        <v>1</v>
      </c>
      <c r="AF27" s="20">
        <f>IF(AA27&lt;&gt;"",
    COUNTIFS(MATCH_INPUT!$F$10:$F$13, AA27, MATCH_INPUT!$K$10:$K$13, "Draw") +
    COUNTIFS(MATCH_INPUT!$J$10:$J$13, AA27, MATCH_INPUT!$K$10:$K$13, "Draw"),
0)</f>
        <v>0</v>
      </c>
      <c r="AG27" s="20">
        <f>IF(AA27&lt;&gt;"",
    COUNTIFS(MATCH_INPUT!$F$10:$F$13, AA27, MATCH_INPUT!$K$10:$K$13, "&lt;&gt;"&amp;AA27, MATCH_INPUT!$K$10:$K$13, "&lt;&gt;Draw", MATCH_INPUT!$K$10:$K$13, "&lt;&gt;""") +
    COUNTIFS(MATCH_INPUT!$J$10:$J$13, AA27, MATCH_INPUT!$K$10:$K$13, "&lt;&gt;"&amp;AA27, MATCH_INPUT!$K$10:$K$13, "&lt;&gt;Draw", MATCH_INPUT!$K$10:$K$13, "&lt;&gt;"""),
0)</f>
        <v>1</v>
      </c>
      <c r="AH27" s="21"/>
      <c r="AI27" s="21"/>
      <c r="AJ27" s="30"/>
      <c r="AK27" s="23">
        <f t="shared" si="17"/>
        <v>32</v>
      </c>
      <c r="AL27" s="24" t="str">
        <f t="shared" si="18"/>
        <v>↑</v>
      </c>
      <c r="AM27" s="25" t="s">
        <v>138</v>
      </c>
      <c r="AN27" s="26">
        <f t="shared" si="19"/>
        <v>9</v>
      </c>
      <c r="AO27" s="26">
        <f t="shared" si="20"/>
        <v>2</v>
      </c>
      <c r="AP27" s="26">
        <f t="shared" si="21"/>
        <v>0</v>
      </c>
      <c r="AQ27" s="26">
        <f>IF(AM27&lt;&gt;"",
    COUNTIFS(MATCH_INPUT!$K$14:$K$17,AM27),
0)</f>
        <v>0</v>
      </c>
      <c r="AR27" s="26">
        <f>IF(AM27&lt;&gt;"",
    COUNTIFS(MATCH_INPUT!$F$14:$F$17, AM27, MATCH_INPUT!$K$14:$K$17, "Draw") +
    COUNTIFS(MATCH_INPUT!$J$14:$J$17, AM27, MATCH_INPUT!$K$14:$K$17, "Draw"),
0)</f>
        <v>0</v>
      </c>
      <c r="AS27" s="26">
        <f>IF(AM27&lt;&gt;"",
    COUNTIFS(MATCH_INPUT!$F$14:$F$17, AM27, MATCH_INPUT!$K$14:$K$17, "&lt;&gt;"&amp;AM27, MATCH_INPUT!$K$14:$K$17, "&lt;&gt;Draw", MATCH_INPUT!$K$14:$K$17, "&lt;&gt;""") +
    COUNTIFS(MATCH_INPUT!$J$14:$J$17, AM27, MATCH_INPUT!$K$14:$K$17, "&lt;&gt;"&amp;AM27, MATCH_INPUT!$K$14:$K$17, "&lt;&gt;Draw", MATCH_INPUT!$K$14:$K$17, "&lt;&gt;"""),
0)</f>
        <v>2</v>
      </c>
      <c r="AT27" s="27"/>
      <c r="AU27" s="27"/>
      <c r="AV27" s="28"/>
      <c r="AW27" s="26">
        <f t="shared" si="22"/>
        <v>33</v>
      </c>
      <c r="AX27" s="29" t="str">
        <f t="shared" si="23"/>
        <v>↓</v>
      </c>
      <c r="AY27" s="19" t="s">
        <v>139</v>
      </c>
      <c r="AZ27" s="23">
        <f t="shared" si="24"/>
        <v>17</v>
      </c>
      <c r="BA27" s="20">
        <f t="shared" si="25"/>
        <v>2</v>
      </c>
      <c r="BB27" s="20">
        <f>SUM(BC27*2) + (BD27*1) + SUMIFS(MATCH_INPUT!$G$18:$G$21, MATCH_INPUT!$F$18:$F$21, AY27) + SUMIFS(MATCH_INPUT!$I$18:$I$21, MATCH_INPUT!$J$18:$J$21, AY27)
</f>
        <v>6</v>
      </c>
      <c r="BC27" s="20">
        <f>IF(AY27&lt;&gt;"",
    COUNTIFS(MATCH_INPUT!$K$18:$K$21,AY27),
0)</f>
        <v>1</v>
      </c>
      <c r="BD27" s="20">
        <f>IF(AY27&lt;&gt;"",
    COUNTIFS(MATCH_INPUT!$F$18:$F$21, AY27, MATCH_INPUT!$K$18:$K$21, "Draw") +
    COUNTIFS(MATCH_INPUT!$J$18:$J$21, AY27, MATCH_INPUT!$K$18:$K$21, "Draw"),
0)</f>
        <v>0</v>
      </c>
      <c r="BE27" s="20">
        <f>IF(AY27&lt;&gt;"",
    COUNTIFS(MATCH_INPUT!$F$18:$F$21, AY27, MATCH_INPUT!$K$18:$K$21, "&lt;&gt;"&amp;AY27, MATCH_INPUT!$K$18:$K$21, "&lt;&gt;Draw", MATCH_INPUT!$K$18:$K$21, "&lt;&gt;""") +
    COUNTIFS(MATCH_INPUT!$J$18:$J$21, AY27, MATCH_INPUT!$K$18:$K$21, "&lt;&gt;"&amp;AY27, MATCH_INPUT!$K$18:$K$21, "&lt;&gt;Draw", MATCH_INPUT!$K$18:$K$21, "&lt;&gt;"""),
0)</f>
        <v>1</v>
      </c>
      <c r="BF27" s="21" t="str">
        <f t="array" ref="BF27">IFERROR(INDEX(Form_Response!E:E, MATCH(1, (Form_Response!C:C='MATCH DATES'!$B$6)*(Form_Response!D:D=B27), 0)), "")
</f>
        <v/>
      </c>
      <c r="BG27" s="21">
        <f t="array" ref="BG27">IFERROR(IF(INDEX(Form_Response!F:F, MATCH(1, (Form_Response!C:C='MATCH DATES'!$B$6)*(Form_Response!D:D=B27), 0))="Yes", 1, 0), 0)
</f>
        <v>0</v>
      </c>
      <c r="BH27" s="30" t="str">
        <f t="array" ref="BH27">IFERROR(INDEX(Form_Response!G:G, MATCH(1, (Form_Response!C:C='MATCH DATES'!$B$6)*(Form_Response!D:D=B27), 0)), "")
</f>
        <v/>
      </c>
      <c r="BI27" s="23">
        <f t="shared" si="26"/>
        <v>30</v>
      </c>
      <c r="BJ27" s="24" t="str">
        <f t="shared" si="27"/>
        <v>↑</v>
      </c>
      <c r="BK27" s="25" t="s">
        <v>138</v>
      </c>
      <c r="BL27" s="26">
        <f t="shared" si="28"/>
        <v>26</v>
      </c>
      <c r="BM27" s="26">
        <f t="shared" si="29"/>
        <v>4</v>
      </c>
      <c r="BN27" s="26">
        <f>SUM(BO27*2) + (BP27*1) + SUMIFS(MATCH_INPUT!$G$22:$G$25, MATCH_INPUT!$F$22:$F$25, BK27) + SUMIFS(MATCH_INPUT!$I$22:$I$25, MATCH_INPUT!$J$22:$J$25, BK27)
</f>
        <v>5</v>
      </c>
      <c r="BO27" s="26">
        <f>IF(BK27&lt;&gt;"",
    COUNTIFS(MATCH_INPUT!$K$22:$K$25,BK27),
0)</f>
        <v>1</v>
      </c>
      <c r="BP27" s="26">
        <f>IF(BK27&lt;&gt;"",
    COUNTIFS(MATCH_INPUT!$F$22:$F$25, BK27, MATCH_INPUT!$K$22:$K$25, "Draw") +
    COUNTIFS(MATCH_INPUT!$J$22:$J$25, BK27, MATCH_INPUT!$K$22:$K$25, "Draw"),
0)</f>
        <v>0</v>
      </c>
      <c r="BQ27" s="26">
        <f>IF(BK27&lt;&gt;"",
    COUNTIFS(MATCH_INPUT!$F$22:$F$25, BK27, MATCH_INPUT!$K$22:$K$25, "&lt;&gt;"&amp;BK27, MATCH_INPUT!$K$22:$K$25, "&lt;&gt;Draw", MATCH_INPUT!$K$22:$K$25, "&lt;&gt;""") +
    COUNTIFS(MATCH_INPUT!$J$22:$J$25, BK27, MATCH_INPUT!$K$22:$K$25, "&lt;&gt;"&amp;BK27, MATCH_INPUT!$K$22:$K$25, "&lt;&gt;Draw", MATCH_INPUT!$K$22:$K$25, "&lt;&gt;"""),
0)</f>
        <v>1</v>
      </c>
      <c r="BR27" s="27"/>
      <c r="BS27" s="27"/>
      <c r="BT27" s="28"/>
      <c r="BU27" s="26">
        <f t="shared" si="30"/>
        <v>25</v>
      </c>
      <c r="BV27" s="29" t="str">
        <f t="shared" si="31"/>
        <v>↑</v>
      </c>
      <c r="BW27" s="19" t="s">
        <v>139</v>
      </c>
      <c r="BX27" s="23">
        <f t="shared" si="32"/>
        <v>30</v>
      </c>
      <c r="BY27" s="20">
        <f t="shared" si="33"/>
        <v>2</v>
      </c>
      <c r="BZ27" s="20">
        <f>SUM(CA27*2)+(CB27*1) + SUMIFS(MATCH_INPUT!$G$26:$G$29, MATCH_INPUT!$F$26:$F$29, BW27) + SUMIFS(MATCH_INPUT!$I$26:$I$29, MATCH_INPUT!$J$26:$J$29, BW27)
</f>
        <v>2</v>
      </c>
      <c r="CA27" s="20">
        <f>IF(BW27&lt;&gt;"",
    COUNTIFS(MATCH_INPUT!$K$26:$K$29,BW27),
0)</f>
        <v>0</v>
      </c>
      <c r="CB27" s="20">
        <f>IF(BW27&lt;&gt;"",
    COUNTIFS(MATCH_INPUT!$F$26:$F$29, BW27, MATCH_INPUT!$K$26:$K$29, "Draw") +
    COUNTIFS(MATCH_INPUT!$J$26:$J$29, BW27, MATCH_INPUT!$K$26:$K$29, "Draw"),
0)</f>
        <v>0</v>
      </c>
      <c r="CC27" s="20">
        <f>IF(BW27&lt;&gt;"",
    COUNTIFS(MATCH_INPUT!$F$26:$F$29, BW27, MATCH_INPUT!$K$26:$K$29, "&lt;&gt;"&amp;BW27, MATCH_INPUT!$K$26:$K$29, "&lt;&gt;Draw", MATCH_INPUT!$K$26:$K$29, "&lt;&gt;""") +
    COUNTIFS(MATCH_INPUT!$J$26:$J$29, BW27, MATCH_INPUT!$K$26:$K$29, "&lt;&gt;"&amp;BW27, MATCH_INPUT!$K$26:$K$29, "&lt;&gt;Draw", MATCH_INPUT!$K$26:$K$29, "&lt;&gt;"""),
0)</f>
        <v>2</v>
      </c>
      <c r="CD27" s="21"/>
      <c r="CE27" s="21"/>
      <c r="CF27" s="30"/>
      <c r="CG27" s="23">
        <f t="shared" si="34"/>
        <v>23</v>
      </c>
      <c r="CH27" s="24" t="str">
        <f t="shared" si="35"/>
        <v>↑</v>
      </c>
      <c r="CI27" s="25"/>
      <c r="CJ27" s="26">
        <f t="shared" si="36"/>
        <v>30</v>
      </c>
      <c r="CK27" s="26">
        <f t="shared" si="37"/>
        <v>0</v>
      </c>
      <c r="CL27" s="26">
        <f>SUM(CM27*2)+(CN27*1) + SUMIFS(MATCH_INPUT!$G$30:$G$33, MATCH_INPUT!$F$30:$F$33, CI27) + SUMIFS(MATCH_INPUT!$I$30:$I$33, MATCH_INPUT!$J$30:$J$33, CI27)
</f>
        <v>0</v>
      </c>
      <c r="CM27" s="26">
        <f>IF(CI27&lt;&gt;"",
    COUNTIFS(MATCH_INPUT!$K$30:$K$33,CI27),
0)</f>
        <v>0</v>
      </c>
      <c r="CN27" s="26">
        <f>IF(CI27&lt;&gt;"",
    COUNTIFS(MATCH_INPUT!$F$30:$F$33, CI27, MATCH_INPUT!$K$30:$K$33, "Draw") +
    COUNTIFS(MATCH_INPUT!$J$30:$J$33, CI27, MATCH_INPUT!$K$30:$K$33, "Draw"),
0)</f>
        <v>0</v>
      </c>
      <c r="CO27" s="26">
        <f>IF(CI27&lt;&gt;"",
    COUNTIFS(MATCH_INPUT!$F$30:$F$33, CI27, MATCH_INPUT!$K$30:$K$33, "&lt;&gt;"&amp;CI27, MATCH_INPUT!$K$30:$K$33, "&lt;&gt;Draw", MATCH_INPUT!$K$30:$K$33, "&lt;&gt;""") +
    COUNTIFS(MATCH_INPUT!$J$30:$J$33, CI27, MATCH_INPUT!$K$30:$K$33, "&lt;&gt;"&amp;CI27, MATCH_INPUT!$K$30:$K$33, "&lt;&gt;Draw", MATCH_INPUT!$K$30:$K$33, "&lt;&gt;"""),
0)</f>
        <v>0</v>
      </c>
      <c r="CP27" s="27" t="str">
        <f t="array" ref="CP27">IFERROR(INDEX(Form_Response!E:E, MATCH(1, (Form_Response!C:C='MATCH DATES'!$B$9)*(Form_Response!D:D=B27), 0)), "")
</f>
        <v/>
      </c>
      <c r="CQ27" s="27">
        <f t="array" ref="CQ27">IFERROR(IF(INDEX(Form_Response!F:F, MATCH(1, (Form_Response!C:C='MATCH DATES'!$B$9)*(Form_Response!D:D=B27), 0))="Yes", 1, 0), 0)
</f>
        <v>0</v>
      </c>
      <c r="CR27" s="28" t="str">
        <f t="array" ref="CR27">IFERROR(INDEX(Form_Response!G:G, MATCH(1, (Form_Response!C:C='MATCH DATES'!$B$9)*(Form_Response!D:D=B27), 0)), "")
</f>
        <v/>
      </c>
      <c r="CS27" s="31">
        <f t="shared" si="38"/>
        <v>29</v>
      </c>
      <c r="CT27" s="31" t="str">
        <f t="shared" si="39"/>
        <v>↓</v>
      </c>
      <c r="CU27" s="32">
        <f t="shared" si="40"/>
        <v>16</v>
      </c>
      <c r="CV27" s="32" t="str">
        <f t="shared" ref="CV27:CW27" si="112">A27</f>
        <v>⭐️</v>
      </c>
      <c r="CW27" s="33" t="str">
        <f t="shared" si="112"/>
        <v>Andres</v>
      </c>
      <c r="CX27" s="33">
        <f t="shared" si="42"/>
        <v>30</v>
      </c>
      <c r="CY27" s="32">
        <f>SUM(
  IF(AND('MATCH DATES'!$A$2 &lt;= TODAY(), NOW() &gt;= 'MATCH DATES'!$A$2 + TIME(22, 0, 0)), E27, 0),
  IF(AND('MATCH DATES'!$A$3 &lt;= TODAY(), NOW() &gt;= 'MATCH DATES'!$A$3 + TIME(22, 0, 0)), Q27, 0),
  IF(AND('MATCH DATES'!$A$4 &lt;= TODAY(), NOW() &gt;= 'MATCH DATES'!$A$4 + TIME(22, 0, 0)), AC27, 0),
  IF(AND('MATCH DATES'!$A$5 &lt;= TODAY(), NOW() &gt;= 'MATCH DATES'!$A$5 + TIME(22, 0, 0)), AO27, 0),
  IF(AND('MATCH DATES'!$A$6 &lt;= TODAY(), NOW() &gt;= 'MATCH DATES'!$A$6 + TIME(22, 0, 0)), BA27, 0),
  IF(AND('MATCH DATES'!$A$7 &lt;= TODAY(), NOW() &gt;= 'MATCH DATES'!$A$7 + TIME(22, 0, 0)), BM27, 0),
  IF(AND('MATCH DATES'!$A$8 &lt;= TODAY(), NOW() &gt;= 'MATCH DATES'!$A$8 + TIME(22, 0, 0)), BY27, 0),
  IF(AND('MATCH DATES'!$A$9 &lt;= TODAY(), NOW() &gt;= 'MATCH DATES'!$A$9 + TIME(22, 0, 0)), CK27, 0)
)
</f>
        <v>14</v>
      </c>
      <c r="CZ27" s="33">
        <f t="shared" ref="CZ27:DA27" si="113">SUM(G27,S27,AE27,AQ27,BC27,BO27,CA27,CM27)</f>
        <v>3</v>
      </c>
      <c r="DA27" s="33">
        <f t="shared" si="113"/>
        <v>1</v>
      </c>
      <c r="DB27" s="33">
        <f>SUM(
  IF(AND('MATCH DATES'!$A$2 &lt;= TODAY(), NOW() &gt;= 'MATCH DATES'!$A$2 + TIME(22, 0, 0)), I27, 0),
  IF(AND('MATCH DATES'!$A$3 &lt;= TODAY(), NOW() &gt;= 'MATCH DATES'!$A$3 + TIME(22, 0, 0)), U27, 0),
  IF(AND('MATCH DATES'!$A$4 &lt;= TODAY(), NOW() &gt;= 'MATCH DATES'!$A$4 + TIME(22, 0, 0)), AG27, 0),
  IF(AND('MATCH DATES'!$A$5 &lt;= TODAY(), NOW() &gt;= 'MATCH DATES'!$A$5 + TIME(22, 0, 0)), AS27, 0),
  IF(AND('MATCH DATES'!$A$6 &lt;= TODAY(), NOW() &gt;= 'MATCH DATES'!$A$6 + TIME(22, 0, 0)), BE27, 0),
  IF(AND('MATCH DATES'!$A$7 &lt;= TODAY(), NOW() &gt;= 'MATCH DATES'!$A$7 + TIME(22, 0, 0)), BQ27, 0),
  IF(AND('MATCH DATES'!$A$8 &lt;= TODAY(), NOW() &gt;= 'MATCH DATES'!$A$8 + TIME(22, 0, 0)), CC27, 0),
  IF(AND('MATCH DATES'!$A$9 &lt;= TODAY(), NOW() &gt;= 'MATCH DATES'!$A$9 + TIME(22, 0, 0)), CO27, 0)
)</f>
        <v>8</v>
      </c>
      <c r="DC27" s="33">
        <f t="shared" si="44"/>
        <v>0</v>
      </c>
      <c r="DD27" s="33">
        <f t="shared" ref="DD27:DE27" si="114">SUM(K27,W27,AI27,AU27,BG27,BS27,CE27,CQ27)</f>
        <v>0</v>
      </c>
      <c r="DE27" s="33">
        <f t="shared" si="114"/>
        <v>0</v>
      </c>
    </row>
    <row r="28" ht="24.75" customHeight="1">
      <c r="A28" s="17" t="s">
        <v>136</v>
      </c>
      <c r="B28" s="18" t="s">
        <v>166</v>
      </c>
      <c r="C28" s="19" t="s">
        <v>139</v>
      </c>
      <c r="D28" s="20">
        <f t="shared" si="4"/>
        <v>2</v>
      </c>
      <c r="E28" s="20">
        <f t="shared" si="5"/>
        <v>2</v>
      </c>
      <c r="F28" s="20">
        <f t="shared" si="6"/>
        <v>0</v>
      </c>
      <c r="G28" s="20">
        <f>IF(C28&lt;&gt;"",
    COUNTIFS(MATCH_INPUT!$K$2:$K$5,C28),
0)</f>
        <v>0</v>
      </c>
      <c r="H28" s="20">
        <f>IF(C28&lt;&gt;"",
    COUNTIFS(MATCH_INPUT!$F$2:$F$5, C28, MATCH_INPUT!$K$2:$K$5, "Draw") +
    COUNTIFS(MATCH_INPUT!$J$2:$J$5, C28, MATCH_INPUT!$K$2:$K$5, "Draw"),
0)</f>
        <v>0</v>
      </c>
      <c r="I28" s="20">
        <f>IF(C28&lt;&gt;"",
    COUNTIFS(MATCH_INPUT!$F$2:$F$5, C28, MATCH_INPUT!$K$2:$K$5, "&lt;&gt;"&amp;C28, MATCH_INPUT!$K$2:$K$5, "&lt;&gt;Draw", MATCH_INPUT!$K$2:$K$5, "&lt;&gt;""") +
    COUNTIFS(MATCH_INPUT!$J$2:$J$5, C28, MATCH_INPUT!$K$2:$K$5, "&lt;&gt;"&amp;C28, MATCH_INPUT!$K$2:$K$5, "&lt;&gt;Draw", MATCH_INPUT!$K$2:$K$5, "&lt;&gt;"""),
0)</f>
        <v>2</v>
      </c>
      <c r="J28" s="21">
        <v>1.0</v>
      </c>
      <c r="K28" s="21"/>
      <c r="L28" s="22"/>
      <c r="M28" s="23">
        <f t="shared" si="7"/>
        <v>26</v>
      </c>
      <c r="N28" s="24" t="str">
        <f t="shared" si="8"/>
        <v>↓</v>
      </c>
      <c r="O28" s="25" t="s">
        <v>139</v>
      </c>
      <c r="P28" s="26">
        <f t="shared" si="9"/>
        <v>8</v>
      </c>
      <c r="Q28" s="26">
        <f t="shared" si="10"/>
        <v>2</v>
      </c>
      <c r="R28" s="26">
        <f t="shared" si="11"/>
        <v>4</v>
      </c>
      <c r="S28" s="26">
        <f>IF(O28&lt;&gt;"",
    COUNTIFS(MATCH_INPUT!$K$6:$K$9,O28),
0)</f>
        <v>2</v>
      </c>
      <c r="T28" s="26">
        <f>IF(O28&lt;&gt;"",
    COUNTIFS(MATCH_INPUT!$F$6:$F$9, O28, MATCH_INPUT!$K$6:$K$9, "Draw") +
    COUNTIFS(MATCH_INPUT!$J$6:$J$9, O28, MATCH_INPUT!$K$6:$K$9, "Draw"),
0)</f>
        <v>0</v>
      </c>
      <c r="U28" s="26">
        <f>IF(O28&lt;&gt;"",
    COUNTIFS(MATCH_INPUT!$F$6:$F$9, O28, MATCH_INPUT!$K$6:$K$9, "&lt;&gt;"&amp;O28, MATCH_INPUT!$K$6:$K$9, "&lt;&gt;Draw", MATCH_INPUT!$K$6:$K$9, "&lt;&gt;""") +
    COUNTIFS(MATCH_INPUT!$J$6:$J$9, O28, MATCH_INPUT!$K$6:$K$9, "&lt;&gt;"&amp;O28, MATCH_INPUT!$K$6:$K$9, "&lt;&gt;Draw", MATCH_INPUT!$K$6:$K$9, "&lt;&gt;"""),
0)</f>
        <v>0</v>
      </c>
      <c r="V28" s="27">
        <v>2.0</v>
      </c>
      <c r="W28" s="27"/>
      <c r="X28" s="28"/>
      <c r="Y28" s="26">
        <f t="shared" si="12"/>
        <v>13</v>
      </c>
      <c r="Z28" s="29" t="str">
        <f t="shared" si="13"/>
        <v>↑</v>
      </c>
      <c r="AA28" s="19" t="s">
        <v>138</v>
      </c>
      <c r="AB28" s="23">
        <f t="shared" si="14"/>
        <v>10</v>
      </c>
      <c r="AC28" s="20">
        <f t="shared" si="15"/>
        <v>2</v>
      </c>
      <c r="AD28" s="20">
        <f t="shared" si="16"/>
        <v>0</v>
      </c>
      <c r="AE28" s="20">
        <f>IF(AA28&lt;&gt;"",
    COUNTIFS(MATCH_INPUT!$K$10:$K$13,AA28),
0)</f>
        <v>0</v>
      </c>
      <c r="AF28" s="20">
        <f>IF(AA28&lt;&gt;"",
    COUNTIFS(MATCH_INPUT!$F$10:$F$13, AA28, MATCH_INPUT!$K$10:$K$13, "Draw") +
    COUNTIFS(MATCH_INPUT!$J$10:$J$13, AA28, MATCH_INPUT!$K$10:$K$13, "Draw"),
0)</f>
        <v>0</v>
      </c>
      <c r="AG28" s="20">
        <f>IF(AA28&lt;&gt;"",
    COUNTIFS(MATCH_INPUT!$F$10:$F$13, AA28, MATCH_INPUT!$K$10:$K$13, "&lt;&gt;"&amp;AA28, MATCH_INPUT!$K$10:$K$13, "&lt;&gt;Draw", MATCH_INPUT!$K$10:$K$13, "&lt;&gt;""") +
    COUNTIFS(MATCH_INPUT!$J$10:$J$13, AA28, MATCH_INPUT!$K$10:$K$13, "&lt;&gt;"&amp;AA28, MATCH_INPUT!$K$10:$K$13, "&lt;&gt;Draw", MATCH_INPUT!$K$10:$K$13, "&lt;&gt;"""),
0)</f>
        <v>2</v>
      </c>
      <c r="AH28" s="21">
        <v>1.0</v>
      </c>
      <c r="AI28" s="21"/>
      <c r="AJ28" s="30"/>
      <c r="AK28" s="23">
        <f t="shared" si="17"/>
        <v>20</v>
      </c>
      <c r="AL28" s="24" t="str">
        <f t="shared" si="18"/>
        <v>↓</v>
      </c>
      <c r="AM28" s="25" t="s">
        <v>141</v>
      </c>
      <c r="AN28" s="26">
        <f t="shared" si="19"/>
        <v>14</v>
      </c>
      <c r="AO28" s="26">
        <f t="shared" si="20"/>
        <v>2</v>
      </c>
      <c r="AP28" s="26">
        <f t="shared" si="21"/>
        <v>2</v>
      </c>
      <c r="AQ28" s="26">
        <f>IF(AM28&lt;&gt;"",
    COUNTIFS(MATCH_INPUT!$K$14:$K$17,AM28),
0)</f>
        <v>1</v>
      </c>
      <c r="AR28" s="26">
        <f>IF(AM28&lt;&gt;"",
    COUNTIFS(MATCH_INPUT!$F$14:$F$17, AM28, MATCH_INPUT!$K$14:$K$17, "Draw") +
    COUNTIFS(MATCH_INPUT!$J$14:$J$17, AM28, MATCH_INPUT!$K$14:$K$17, "Draw"),
0)</f>
        <v>0</v>
      </c>
      <c r="AS28" s="26">
        <f>IF(AM28&lt;&gt;"",
    COUNTIFS(MATCH_INPUT!$F$14:$F$17, AM28, MATCH_INPUT!$K$14:$K$17, "&lt;&gt;"&amp;AM28, MATCH_INPUT!$K$14:$K$17, "&lt;&gt;Draw", MATCH_INPUT!$K$14:$K$17, "&lt;&gt;""") +
    COUNTIFS(MATCH_INPUT!$J$14:$J$17, AM28, MATCH_INPUT!$K$14:$K$17, "&lt;&gt;"&amp;AM28, MATCH_INPUT!$K$14:$K$17, "&lt;&gt;Draw", MATCH_INPUT!$K$14:$K$17, "&lt;&gt;"""),
0)</f>
        <v>1</v>
      </c>
      <c r="AT28" s="27"/>
      <c r="AU28" s="27"/>
      <c r="AV28" s="28"/>
      <c r="AW28" s="26">
        <f t="shared" si="22"/>
        <v>19</v>
      </c>
      <c r="AX28" s="29" t="str">
        <f t="shared" si="23"/>
        <v>↑</v>
      </c>
      <c r="AY28" s="19" t="s">
        <v>138</v>
      </c>
      <c r="AZ28" s="23">
        <f t="shared" si="24"/>
        <v>21</v>
      </c>
      <c r="BA28" s="20">
        <f t="shared" si="25"/>
        <v>2</v>
      </c>
      <c r="BB28" s="20">
        <f>SUM(BC28*2) + (BD28*1) + SUMIFS(MATCH_INPUT!$G$18:$G$21, MATCH_INPUT!$F$18:$F$21, AY28) + SUMIFS(MATCH_INPUT!$I$18:$I$21, MATCH_INPUT!$J$18:$J$21, AY28)
</f>
        <v>5</v>
      </c>
      <c r="BC28" s="20">
        <f>IF(AY28&lt;&gt;"",
    COUNTIFS(MATCH_INPUT!$K$18:$K$21,AY28),
0)</f>
        <v>1</v>
      </c>
      <c r="BD28" s="20">
        <f>IF(AY28&lt;&gt;"",
    COUNTIFS(MATCH_INPUT!$F$18:$F$21, AY28, MATCH_INPUT!$K$18:$K$21, "Draw") +
    COUNTIFS(MATCH_INPUT!$J$18:$J$21, AY28, MATCH_INPUT!$K$18:$K$21, "Draw"),
0)</f>
        <v>0</v>
      </c>
      <c r="BE28" s="20">
        <f>IF(AY28&lt;&gt;"",
    COUNTIFS(MATCH_INPUT!$F$18:$F$21, AY28, MATCH_INPUT!$K$18:$K$21, "&lt;&gt;"&amp;AY28, MATCH_INPUT!$K$18:$K$21, "&lt;&gt;Draw", MATCH_INPUT!$K$18:$K$21, "&lt;&gt;""") +
    COUNTIFS(MATCH_INPUT!$J$18:$J$21, AY28, MATCH_INPUT!$K$18:$K$21, "&lt;&gt;"&amp;AY28, MATCH_INPUT!$K$18:$K$21, "&lt;&gt;Draw", MATCH_INPUT!$K$18:$K$21, "&lt;&gt;"""),
0)</f>
        <v>1</v>
      </c>
      <c r="BF28" s="21" t="str">
        <f t="array" ref="BF28">IFERROR(INDEX(Form_Response!E:E, MATCH(1, (Form_Response!C:C='MATCH DATES'!$B$6)*(Form_Response!D:D=B28), 0)), "")
</f>
        <v/>
      </c>
      <c r="BG28" s="21">
        <f t="array" ref="BG28">IFERROR(IF(INDEX(Form_Response!F:F, MATCH(1, (Form_Response!C:C='MATCH DATES'!$B$6)*(Form_Response!D:D=B28), 0))="Yes", 1, 0), 0)
</f>
        <v>0</v>
      </c>
      <c r="BH28" s="30" t="str">
        <f t="array" ref="BH28">IFERROR(INDEX(Form_Response!G:G, MATCH(1, (Form_Response!C:C='MATCH DATES'!$B$6)*(Form_Response!D:D=B28), 0)), "")
</f>
        <v/>
      </c>
      <c r="BI28" s="23">
        <f t="shared" si="26"/>
        <v>20</v>
      </c>
      <c r="BJ28" s="24" t="str">
        <f t="shared" si="27"/>
        <v>↓</v>
      </c>
      <c r="BK28" s="25" t="s">
        <v>141</v>
      </c>
      <c r="BL28" s="26">
        <f t="shared" si="28"/>
        <v>26</v>
      </c>
      <c r="BM28" s="26">
        <f t="shared" si="29"/>
        <v>4</v>
      </c>
      <c r="BN28" s="26">
        <f>SUM(BO28*2) + (BP28*1) + SUMIFS(MATCH_INPUT!$G$22:$G$25, MATCH_INPUT!$F$22:$F$25, BK28) + SUMIFS(MATCH_INPUT!$I$22:$I$25, MATCH_INPUT!$J$22:$J$25, BK28)
</f>
        <v>1</v>
      </c>
      <c r="BO28" s="26">
        <f>IF(BK28&lt;&gt;"",
    COUNTIFS(MATCH_INPUT!$K$22:$K$25,BK28),
0)</f>
        <v>0</v>
      </c>
      <c r="BP28" s="26">
        <f>IF(BK28&lt;&gt;"",
    COUNTIFS(MATCH_INPUT!$F$22:$F$25, BK28, MATCH_INPUT!$K$22:$K$25, "Draw") +
    COUNTIFS(MATCH_INPUT!$J$22:$J$25, BK28, MATCH_INPUT!$K$22:$K$25, "Draw"),
0)</f>
        <v>0</v>
      </c>
      <c r="BQ28" s="26">
        <f>IF(BK28&lt;&gt;"",
    COUNTIFS(MATCH_INPUT!$F$22:$F$25, BK28, MATCH_INPUT!$K$22:$K$25, "&lt;&gt;"&amp;BK28, MATCH_INPUT!$K$22:$K$25, "&lt;&gt;Draw", MATCH_INPUT!$K$22:$K$25, "&lt;&gt;""") +
    COUNTIFS(MATCH_INPUT!$J$22:$J$25, BK28, MATCH_INPUT!$K$22:$K$25, "&lt;&gt;"&amp;BK28, MATCH_INPUT!$K$22:$K$25, "&lt;&gt;Draw", MATCH_INPUT!$K$22:$K$25, "&lt;&gt;"""),
0)</f>
        <v>2</v>
      </c>
      <c r="BR28" s="27"/>
      <c r="BS28" s="27"/>
      <c r="BT28" s="28"/>
      <c r="BU28" s="26">
        <f t="shared" si="30"/>
        <v>25</v>
      </c>
      <c r="BV28" s="29" t="str">
        <f t="shared" si="31"/>
        <v>↓</v>
      </c>
      <c r="BW28" s="19" t="s">
        <v>138</v>
      </c>
      <c r="BX28" s="23">
        <f t="shared" si="32"/>
        <v>37</v>
      </c>
      <c r="BY28" s="20">
        <f t="shared" si="33"/>
        <v>2</v>
      </c>
      <c r="BZ28" s="20">
        <f>SUM(CA28*2)+(CB28*1) + SUMIFS(MATCH_INPUT!$G$26:$G$29, MATCH_INPUT!$F$26:$F$29, BW28) + SUMIFS(MATCH_INPUT!$I$26:$I$29, MATCH_INPUT!$J$26:$J$29, BW28)
</f>
        <v>9</v>
      </c>
      <c r="CA28" s="20">
        <f>IF(BW28&lt;&gt;"",
    COUNTIFS(MATCH_INPUT!$K$26:$K$29,BW28),
0)</f>
        <v>2</v>
      </c>
      <c r="CB28" s="20">
        <f>IF(BW28&lt;&gt;"",
    COUNTIFS(MATCH_INPUT!$F$26:$F$29, BW28, MATCH_INPUT!$K$26:$K$29, "Draw") +
    COUNTIFS(MATCH_INPUT!$J$26:$J$29, BW28, MATCH_INPUT!$K$26:$K$29, "Draw"),
0)</f>
        <v>0</v>
      </c>
      <c r="CC28" s="20">
        <f>IF(BW28&lt;&gt;"",
    COUNTIFS(MATCH_INPUT!$F$26:$F$29, BW28, MATCH_INPUT!$K$26:$K$29, "&lt;&gt;"&amp;BW28, MATCH_INPUT!$K$26:$K$29, "&lt;&gt;Draw", MATCH_INPUT!$K$26:$K$29, "&lt;&gt;""") +
    COUNTIFS(MATCH_INPUT!$J$26:$J$29, BW28, MATCH_INPUT!$K$26:$K$29, "&lt;&gt;"&amp;BW28, MATCH_INPUT!$K$26:$K$29, "&lt;&gt;Draw", MATCH_INPUT!$K$26:$K$29, "&lt;&gt;"""),
0)</f>
        <v>0</v>
      </c>
      <c r="CD28" s="21">
        <v>1.0</v>
      </c>
      <c r="CE28" s="21"/>
      <c r="CF28" s="30"/>
      <c r="CG28" s="23">
        <f t="shared" si="34"/>
        <v>17</v>
      </c>
      <c r="CH28" s="24" t="str">
        <f t="shared" si="35"/>
        <v>↑</v>
      </c>
      <c r="CI28" s="25" t="s">
        <v>138</v>
      </c>
      <c r="CJ28" s="26">
        <f t="shared" si="36"/>
        <v>42</v>
      </c>
      <c r="CK28" s="26">
        <f t="shared" si="37"/>
        <v>2</v>
      </c>
      <c r="CL28" s="26">
        <f>SUM(CM28*2)+(CN28*1) + SUMIFS(MATCH_INPUT!$G$30:$G$33, MATCH_INPUT!$F$30:$F$33, CI28) + SUMIFS(MATCH_INPUT!$I$30:$I$33, MATCH_INPUT!$J$30:$J$33, CI28)
</f>
        <v>3</v>
      </c>
      <c r="CM28" s="26">
        <f>IF(CI28&lt;&gt;"",
    COUNTIFS(MATCH_INPUT!$K$30:$K$33,CI28),
0)</f>
        <v>1</v>
      </c>
      <c r="CN28" s="26">
        <f>IF(CI28&lt;&gt;"",
    COUNTIFS(MATCH_INPUT!$F$30:$F$33, CI28, MATCH_INPUT!$K$30:$K$33, "Draw") +
    COUNTIFS(MATCH_INPUT!$J$30:$J$33, CI28, MATCH_INPUT!$K$30:$K$33, "Draw"),
0)</f>
        <v>0</v>
      </c>
      <c r="CO28" s="26">
        <f>IF(CI28&lt;&gt;"",
    COUNTIFS(MATCH_INPUT!$F$30:$F$33, CI28, MATCH_INPUT!$K$30:$K$33, "&lt;&gt;"&amp;CI28, MATCH_INPUT!$K$30:$K$33, "&lt;&gt;Draw", MATCH_INPUT!$K$30:$K$33, "&lt;&gt;""") +
    COUNTIFS(MATCH_INPUT!$J$30:$J$33, CI28, MATCH_INPUT!$K$30:$K$33, "&lt;&gt;"&amp;CI28, MATCH_INPUT!$K$30:$K$33, "&lt;&gt;Draw", MATCH_INPUT!$K$30:$K$33, "&lt;&gt;"""),
0)</f>
        <v>1</v>
      </c>
      <c r="CP28" s="27" t="str">
        <f t="array" ref="CP28">IFERROR(INDEX(Form_Response!E:E, MATCH(1, (Form_Response!C:C='MATCH DATES'!$B$9)*(Form_Response!D:D=B28), 0)), "")
</f>
        <v/>
      </c>
      <c r="CQ28" s="27">
        <f t="array" ref="CQ28">IFERROR(IF(INDEX(Form_Response!F:F, MATCH(1, (Form_Response!C:C='MATCH DATES'!$B$9)*(Form_Response!D:D=B28), 0))="Yes", 1, 0), 0)
</f>
        <v>0</v>
      </c>
      <c r="CR28" s="28" t="str">
        <f t="array" ref="CR28">IFERROR(INDEX(Form_Response!G:G, MATCH(1, (Form_Response!C:C='MATCH DATES'!$B$9)*(Form_Response!D:D=B28), 0)), "")
</f>
        <v/>
      </c>
      <c r="CS28" s="31">
        <f t="shared" si="38"/>
        <v>13</v>
      </c>
      <c r="CT28" s="31" t="str">
        <f t="shared" si="39"/>
        <v>↑</v>
      </c>
      <c r="CU28" s="32">
        <f t="shared" si="40"/>
        <v>24</v>
      </c>
      <c r="CV28" s="32" t="str">
        <f t="shared" ref="CV28:CW28" si="115">A28</f>
        <v>⭐️</v>
      </c>
      <c r="CW28" s="33" t="str">
        <f t="shared" si="115"/>
        <v>Mikey</v>
      </c>
      <c r="CX28" s="33">
        <f t="shared" si="42"/>
        <v>42</v>
      </c>
      <c r="CY28" s="32">
        <f>SUM(
  IF(AND('MATCH DATES'!$A$2 &lt;= TODAY(), NOW() &gt;= 'MATCH DATES'!$A$2 + TIME(22, 0, 0)), E28, 0),
  IF(AND('MATCH DATES'!$A$3 &lt;= TODAY(), NOW() &gt;= 'MATCH DATES'!$A$3 + TIME(22, 0, 0)), Q28, 0),
  IF(AND('MATCH DATES'!$A$4 &lt;= TODAY(), NOW() &gt;= 'MATCH DATES'!$A$4 + TIME(22, 0, 0)), AC28, 0),
  IF(AND('MATCH DATES'!$A$5 &lt;= TODAY(), NOW() &gt;= 'MATCH DATES'!$A$5 + TIME(22, 0, 0)), AO28, 0),
  IF(AND('MATCH DATES'!$A$6 &lt;= TODAY(), NOW() &gt;= 'MATCH DATES'!$A$6 + TIME(22, 0, 0)), BA28, 0),
  IF(AND('MATCH DATES'!$A$7 &lt;= TODAY(), NOW() &gt;= 'MATCH DATES'!$A$7 + TIME(22, 0, 0)), BM28, 0),
  IF(AND('MATCH DATES'!$A$8 &lt;= TODAY(), NOW() &gt;= 'MATCH DATES'!$A$8 + TIME(22, 0, 0)), BY28, 0),
  IF(AND('MATCH DATES'!$A$9 &lt;= TODAY(), NOW() &gt;= 'MATCH DATES'!$A$9 + TIME(22, 0, 0)), CK28, 0)
)
</f>
        <v>18</v>
      </c>
      <c r="CZ28" s="33">
        <f t="shared" ref="CZ28:DA28" si="116">SUM(G28,S28,AE28,AQ28,BC28,BO28,CA28,CM28)</f>
        <v>7</v>
      </c>
      <c r="DA28" s="33">
        <f t="shared" si="116"/>
        <v>0</v>
      </c>
      <c r="DB28" s="33">
        <f>SUM(
  IF(AND('MATCH DATES'!$A$2 &lt;= TODAY(), NOW() &gt;= 'MATCH DATES'!$A$2 + TIME(22, 0, 0)), I28, 0),
  IF(AND('MATCH DATES'!$A$3 &lt;= TODAY(), NOW() &gt;= 'MATCH DATES'!$A$3 + TIME(22, 0, 0)), U28, 0),
  IF(AND('MATCH DATES'!$A$4 &lt;= TODAY(), NOW() &gt;= 'MATCH DATES'!$A$4 + TIME(22, 0, 0)), AG28, 0),
  IF(AND('MATCH DATES'!$A$5 &lt;= TODAY(), NOW() &gt;= 'MATCH DATES'!$A$5 + TIME(22, 0, 0)), AS28, 0),
  IF(AND('MATCH DATES'!$A$6 &lt;= TODAY(), NOW() &gt;= 'MATCH DATES'!$A$6 + TIME(22, 0, 0)), BE28, 0),
  IF(AND('MATCH DATES'!$A$7 &lt;= TODAY(), NOW() &gt;= 'MATCH DATES'!$A$7 + TIME(22, 0, 0)), BQ28, 0),
  IF(AND('MATCH DATES'!$A$8 &lt;= TODAY(), NOW() &gt;= 'MATCH DATES'!$A$8 + TIME(22, 0, 0)), CC28, 0),
  IF(AND('MATCH DATES'!$A$9 &lt;= TODAY(), NOW() &gt;= 'MATCH DATES'!$A$9 + TIME(22, 0, 0)), CO28, 0)
)</f>
        <v>9</v>
      </c>
      <c r="DC28" s="33">
        <f t="shared" si="44"/>
        <v>5</v>
      </c>
      <c r="DD28" s="33">
        <f t="shared" ref="DD28:DE28" si="117">SUM(K28,W28,AI28,AU28,BG28,BS28,CE28,CQ28)</f>
        <v>0</v>
      </c>
      <c r="DE28" s="33">
        <f t="shared" si="117"/>
        <v>0</v>
      </c>
    </row>
    <row r="29" ht="24.75" customHeight="1">
      <c r="A29" s="17" t="s">
        <v>136</v>
      </c>
      <c r="B29" s="18" t="s">
        <v>167</v>
      </c>
      <c r="C29" s="19" t="s">
        <v>139</v>
      </c>
      <c r="D29" s="20">
        <f t="shared" si="4"/>
        <v>2</v>
      </c>
      <c r="E29" s="20">
        <f t="shared" si="5"/>
        <v>2</v>
      </c>
      <c r="F29" s="20">
        <f t="shared" si="6"/>
        <v>0</v>
      </c>
      <c r="G29" s="20">
        <f>IF(C29&lt;&gt;"",
    COUNTIFS(MATCH_INPUT!$K$2:$K$5,C29),
0)</f>
        <v>0</v>
      </c>
      <c r="H29" s="20">
        <f>IF(C29&lt;&gt;"",
    COUNTIFS(MATCH_INPUT!$F$2:$F$5, C29, MATCH_INPUT!$K$2:$K$5, "Draw") +
    COUNTIFS(MATCH_INPUT!$J$2:$J$5, C29, MATCH_INPUT!$K$2:$K$5, "Draw"),
0)</f>
        <v>0</v>
      </c>
      <c r="I29" s="20">
        <f>IF(C29&lt;&gt;"",
    COUNTIFS(MATCH_INPUT!$F$2:$F$5, C29, MATCH_INPUT!$K$2:$K$5, "&lt;&gt;"&amp;C29, MATCH_INPUT!$K$2:$K$5, "&lt;&gt;Draw", MATCH_INPUT!$K$2:$K$5, "&lt;&gt;""") +
    COUNTIFS(MATCH_INPUT!$J$2:$J$5, C29, MATCH_INPUT!$K$2:$K$5, "&lt;&gt;"&amp;C29, MATCH_INPUT!$K$2:$K$5, "&lt;&gt;Draw", MATCH_INPUT!$K$2:$K$5, "&lt;&gt;"""),
0)</f>
        <v>2</v>
      </c>
      <c r="J29" s="21"/>
      <c r="K29" s="21"/>
      <c r="L29" s="22"/>
      <c r="M29" s="23">
        <f t="shared" si="7"/>
        <v>26</v>
      </c>
      <c r="N29" s="24" t="str">
        <f t="shared" si="8"/>
        <v>↓</v>
      </c>
      <c r="O29" s="25" t="s">
        <v>141</v>
      </c>
      <c r="P29" s="26">
        <f t="shared" si="9"/>
        <v>7</v>
      </c>
      <c r="Q29" s="26">
        <f t="shared" si="10"/>
        <v>2</v>
      </c>
      <c r="R29" s="26">
        <f t="shared" si="11"/>
        <v>3</v>
      </c>
      <c r="S29" s="26">
        <f>IF(O29&lt;&gt;"",
    COUNTIFS(MATCH_INPUT!$K$6:$K$9,O29),
0)</f>
        <v>1</v>
      </c>
      <c r="T29" s="26">
        <f>IF(O29&lt;&gt;"",
    COUNTIFS(MATCH_INPUT!$F$6:$F$9, O29, MATCH_INPUT!$K$6:$K$9, "Draw") +
    COUNTIFS(MATCH_INPUT!$J$6:$J$9, O29, MATCH_INPUT!$K$6:$K$9, "Draw"),
0)</f>
        <v>1</v>
      </c>
      <c r="U29" s="26">
        <f>IF(O29&lt;&gt;"",
    COUNTIFS(MATCH_INPUT!$F$6:$F$9, O29, MATCH_INPUT!$K$6:$K$9, "&lt;&gt;"&amp;O29, MATCH_INPUT!$K$6:$K$9, "&lt;&gt;Draw", MATCH_INPUT!$K$6:$K$9, "&lt;&gt;""") +
    COUNTIFS(MATCH_INPUT!$J$6:$J$9, O29, MATCH_INPUT!$K$6:$K$9, "&lt;&gt;"&amp;O29, MATCH_INPUT!$K$6:$K$9, "&lt;&gt;Draw", MATCH_INPUT!$K$6:$K$9, "&lt;&gt;"""),
0)</f>
        <v>0</v>
      </c>
      <c r="V29" s="27">
        <v>1.0</v>
      </c>
      <c r="W29" s="27"/>
      <c r="X29" s="28"/>
      <c r="Y29" s="26">
        <f t="shared" si="12"/>
        <v>15</v>
      </c>
      <c r="Z29" s="29" t="str">
        <f t="shared" si="13"/>
        <v>↑</v>
      </c>
      <c r="AA29" s="19" t="s">
        <v>141</v>
      </c>
      <c r="AB29" s="23">
        <f t="shared" si="14"/>
        <v>13</v>
      </c>
      <c r="AC29" s="20">
        <f t="shared" si="15"/>
        <v>2</v>
      </c>
      <c r="AD29" s="20">
        <f t="shared" si="16"/>
        <v>4</v>
      </c>
      <c r="AE29" s="20">
        <f>IF(AA29&lt;&gt;"",
    COUNTIFS(MATCH_INPUT!$K$10:$K$13,AA29),
0)</f>
        <v>2</v>
      </c>
      <c r="AF29" s="20">
        <f>IF(AA29&lt;&gt;"",
    COUNTIFS(MATCH_INPUT!$F$10:$F$13, AA29, MATCH_INPUT!$K$10:$K$13, "Draw") +
    COUNTIFS(MATCH_INPUT!$J$10:$J$13, AA29, MATCH_INPUT!$K$10:$K$13, "Draw"),
0)</f>
        <v>0</v>
      </c>
      <c r="AG29" s="20">
        <f>IF(AA29&lt;&gt;"",
    COUNTIFS(MATCH_INPUT!$F$10:$F$13, AA29, MATCH_INPUT!$K$10:$K$13, "&lt;&gt;"&amp;AA29, MATCH_INPUT!$K$10:$K$13, "&lt;&gt;Draw", MATCH_INPUT!$K$10:$K$13, "&lt;&gt;""") +
    COUNTIFS(MATCH_INPUT!$J$10:$J$13, AA29, MATCH_INPUT!$K$10:$K$13, "&lt;&gt;"&amp;AA29, MATCH_INPUT!$K$10:$K$13, "&lt;&gt;Draw", MATCH_INPUT!$K$10:$K$13, "&lt;&gt;"""),
0)</f>
        <v>0</v>
      </c>
      <c r="AH29" s="21"/>
      <c r="AI29" s="21"/>
      <c r="AJ29" s="30"/>
      <c r="AK29" s="23">
        <f t="shared" si="17"/>
        <v>8</v>
      </c>
      <c r="AL29" s="24" t="str">
        <f t="shared" si="18"/>
        <v>↑</v>
      </c>
      <c r="AM29" s="25" t="s">
        <v>141</v>
      </c>
      <c r="AN29" s="26">
        <f t="shared" si="19"/>
        <v>17</v>
      </c>
      <c r="AO29" s="26">
        <f t="shared" si="20"/>
        <v>2</v>
      </c>
      <c r="AP29" s="26">
        <f t="shared" si="21"/>
        <v>2</v>
      </c>
      <c r="AQ29" s="26">
        <f>IF(AM29&lt;&gt;"",
    COUNTIFS(MATCH_INPUT!$K$14:$K$17,AM29),
0)</f>
        <v>1</v>
      </c>
      <c r="AR29" s="26">
        <f>IF(AM29&lt;&gt;"",
    COUNTIFS(MATCH_INPUT!$F$14:$F$17, AM29, MATCH_INPUT!$K$14:$K$17, "Draw") +
    COUNTIFS(MATCH_INPUT!$J$14:$J$17, AM29, MATCH_INPUT!$K$14:$K$17, "Draw"),
0)</f>
        <v>0</v>
      </c>
      <c r="AS29" s="26">
        <f>IF(AM29&lt;&gt;"",
    COUNTIFS(MATCH_INPUT!$F$14:$F$17, AM29, MATCH_INPUT!$K$14:$K$17, "&lt;&gt;"&amp;AM29, MATCH_INPUT!$K$14:$K$17, "&lt;&gt;Draw", MATCH_INPUT!$K$14:$K$17, "&lt;&gt;""") +
    COUNTIFS(MATCH_INPUT!$J$14:$J$17, AM29, MATCH_INPUT!$K$14:$K$17, "&lt;&gt;"&amp;AM29, MATCH_INPUT!$K$14:$K$17, "&lt;&gt;Draw", MATCH_INPUT!$K$14:$K$17, "&lt;&gt;"""),
0)</f>
        <v>1</v>
      </c>
      <c r="AT29" s="27"/>
      <c r="AU29" s="27"/>
      <c r="AV29" s="28"/>
      <c r="AW29" s="26">
        <f t="shared" si="22"/>
        <v>9</v>
      </c>
      <c r="AX29" s="29" t="str">
        <f t="shared" si="23"/>
        <v>↓</v>
      </c>
      <c r="AY29" s="19" t="s">
        <v>138</v>
      </c>
      <c r="AZ29" s="23">
        <f t="shared" si="24"/>
        <v>24</v>
      </c>
      <c r="BA29" s="20">
        <f t="shared" si="25"/>
        <v>2</v>
      </c>
      <c r="BB29" s="20">
        <f>SUM(BC29*2) + (BD29*1) + SUMIFS(MATCH_INPUT!$G$18:$G$21, MATCH_INPUT!$F$18:$F$21, AY29) + SUMIFS(MATCH_INPUT!$I$18:$I$21, MATCH_INPUT!$J$18:$J$21, AY29)
</f>
        <v>5</v>
      </c>
      <c r="BC29" s="20">
        <f>IF(AY29&lt;&gt;"",
    COUNTIFS(MATCH_INPUT!$K$18:$K$21,AY29),
0)</f>
        <v>1</v>
      </c>
      <c r="BD29" s="20">
        <f>IF(AY29&lt;&gt;"",
    COUNTIFS(MATCH_INPUT!$F$18:$F$21, AY29, MATCH_INPUT!$K$18:$K$21, "Draw") +
    COUNTIFS(MATCH_INPUT!$J$18:$J$21, AY29, MATCH_INPUT!$K$18:$K$21, "Draw"),
0)</f>
        <v>0</v>
      </c>
      <c r="BE29" s="20">
        <f>IF(AY29&lt;&gt;"",
    COUNTIFS(MATCH_INPUT!$F$18:$F$21, AY29, MATCH_INPUT!$K$18:$K$21, "&lt;&gt;"&amp;AY29, MATCH_INPUT!$K$18:$K$21, "&lt;&gt;Draw", MATCH_INPUT!$K$18:$K$21, "&lt;&gt;""") +
    COUNTIFS(MATCH_INPUT!$J$18:$J$21, AY29, MATCH_INPUT!$K$18:$K$21, "&lt;&gt;"&amp;AY29, MATCH_INPUT!$K$18:$K$21, "&lt;&gt;Draw", MATCH_INPUT!$K$18:$K$21, "&lt;&gt;"""),
0)</f>
        <v>1</v>
      </c>
      <c r="BF29" s="21" t="str">
        <f t="array" ref="BF29">IFERROR(INDEX(Form_Response!E:E, MATCH(1, (Form_Response!C:C='MATCH DATES'!$B$6)*(Form_Response!D:D=B29), 0)), "")
</f>
        <v/>
      </c>
      <c r="BG29" s="21">
        <f t="array" ref="BG29">IFERROR(IF(INDEX(Form_Response!F:F, MATCH(1, (Form_Response!C:C='MATCH DATES'!$B$6)*(Form_Response!D:D=B29), 0))="Yes", 1, 0), 0)
</f>
        <v>0</v>
      </c>
      <c r="BH29" s="30" t="str">
        <f t="array" ref="BH29">IFERROR(INDEX(Form_Response!G:G, MATCH(1, (Form_Response!C:C='MATCH DATES'!$B$6)*(Form_Response!D:D=B29), 0)), "")
</f>
        <v/>
      </c>
      <c r="BI29" s="23">
        <f t="shared" si="26"/>
        <v>13</v>
      </c>
      <c r="BJ29" s="24" t="str">
        <f t="shared" si="27"/>
        <v>↓</v>
      </c>
      <c r="BK29" s="25"/>
      <c r="BL29" s="26">
        <f t="shared" si="28"/>
        <v>24</v>
      </c>
      <c r="BM29" s="26">
        <f t="shared" si="29"/>
        <v>0</v>
      </c>
      <c r="BN29" s="26">
        <f>SUM(BO29*2) + (BP29*1) + SUMIFS(MATCH_INPUT!$G$22:$G$25, MATCH_INPUT!$F$22:$F$25, BK29) + SUMIFS(MATCH_INPUT!$I$22:$I$25, MATCH_INPUT!$J$22:$J$25, BK29)
</f>
        <v>0</v>
      </c>
      <c r="BO29" s="26">
        <f>IF(BK29&lt;&gt;"",
    COUNTIFS(MATCH_INPUT!$K$22:$K$25,BK29),
0)</f>
        <v>0</v>
      </c>
      <c r="BP29" s="26">
        <f>IF(BK29&lt;&gt;"",
    COUNTIFS(MATCH_INPUT!$F$22:$F$25, BK29, MATCH_INPUT!$K$22:$K$25, "Draw") +
    COUNTIFS(MATCH_INPUT!$J$22:$J$25, BK29, MATCH_INPUT!$K$22:$K$25, "Draw"),
0)</f>
        <v>0</v>
      </c>
      <c r="BQ29" s="26">
        <f>IF(BK29&lt;&gt;"",
    COUNTIFS(MATCH_INPUT!$F$22:$F$25, BK29, MATCH_INPUT!$K$22:$K$25, "&lt;&gt;"&amp;BK29, MATCH_INPUT!$K$22:$K$25, "&lt;&gt;Draw", MATCH_INPUT!$K$22:$K$25, "&lt;&gt;""") +
    COUNTIFS(MATCH_INPUT!$J$22:$J$25, BK29, MATCH_INPUT!$K$22:$K$25, "&lt;&gt;"&amp;BK29, MATCH_INPUT!$K$22:$K$25, "&lt;&gt;Draw", MATCH_INPUT!$K$22:$K$25, "&lt;&gt;"""),
0)</f>
        <v>0</v>
      </c>
      <c r="BR29" s="27"/>
      <c r="BS29" s="27"/>
      <c r="BT29" s="28"/>
      <c r="BU29" s="26">
        <f t="shared" si="30"/>
        <v>27</v>
      </c>
      <c r="BV29" s="29" t="str">
        <f t="shared" si="31"/>
        <v>↓</v>
      </c>
      <c r="BW29" s="19" t="s">
        <v>141</v>
      </c>
      <c r="BX29" s="23">
        <f t="shared" si="32"/>
        <v>30</v>
      </c>
      <c r="BY29" s="20">
        <f t="shared" si="33"/>
        <v>2</v>
      </c>
      <c r="BZ29" s="20">
        <f>SUM(CA29*2)+(CB29*1) + SUMIFS(MATCH_INPUT!$G$26:$G$29, MATCH_INPUT!$F$26:$F$29, BW29) + SUMIFS(MATCH_INPUT!$I$26:$I$29, MATCH_INPUT!$J$26:$J$29, BW29)
</f>
        <v>4</v>
      </c>
      <c r="CA29" s="20">
        <f>IF(BW29&lt;&gt;"",
    COUNTIFS(MATCH_INPUT!$K$26:$K$29,BW29),
0)</f>
        <v>1</v>
      </c>
      <c r="CB29" s="20">
        <f>IF(BW29&lt;&gt;"",
    COUNTIFS(MATCH_INPUT!$F$26:$F$29, BW29, MATCH_INPUT!$K$26:$K$29, "Draw") +
    COUNTIFS(MATCH_INPUT!$J$26:$J$29, BW29, MATCH_INPUT!$K$26:$K$29, "Draw"),
0)</f>
        <v>0</v>
      </c>
      <c r="CC29" s="20">
        <f>IF(BW29&lt;&gt;"",
    COUNTIFS(MATCH_INPUT!$F$26:$F$29, BW29, MATCH_INPUT!$K$26:$K$29, "&lt;&gt;"&amp;BW29, MATCH_INPUT!$K$26:$K$29, "&lt;&gt;Draw", MATCH_INPUT!$K$26:$K$29, "&lt;&gt;""") +
    COUNTIFS(MATCH_INPUT!$J$26:$J$29, BW29, MATCH_INPUT!$K$26:$K$29, "&lt;&gt;"&amp;BW29, MATCH_INPUT!$K$26:$K$29, "&lt;&gt;Draw", MATCH_INPUT!$K$26:$K$29, "&lt;&gt;"""),
0)</f>
        <v>1</v>
      </c>
      <c r="CD29" s="21"/>
      <c r="CE29" s="21"/>
      <c r="CF29" s="30"/>
      <c r="CG29" s="23">
        <f t="shared" si="34"/>
        <v>23</v>
      </c>
      <c r="CH29" s="24" t="str">
        <f t="shared" si="35"/>
        <v>↑</v>
      </c>
      <c r="CI29" s="25" t="s">
        <v>141</v>
      </c>
      <c r="CJ29" s="26">
        <f t="shared" si="36"/>
        <v>42</v>
      </c>
      <c r="CK29" s="26">
        <f t="shared" si="37"/>
        <v>2</v>
      </c>
      <c r="CL29" s="26">
        <f>SUM(CM29*2)+(CN29*1) + SUMIFS(MATCH_INPUT!$G$30:$G$33, MATCH_INPUT!$F$30:$F$33, CI29) + SUMIFS(MATCH_INPUT!$I$30:$I$33, MATCH_INPUT!$J$30:$J$33, CI29)
</f>
        <v>10</v>
      </c>
      <c r="CM29" s="26">
        <f>IF(CI29&lt;&gt;"",
    COUNTIFS(MATCH_INPUT!$K$30:$K$33,CI29),
0)</f>
        <v>2</v>
      </c>
      <c r="CN29" s="26">
        <f>IF(CI29&lt;&gt;"",
    COUNTIFS(MATCH_INPUT!$F$30:$F$33, CI29, MATCH_INPUT!$K$30:$K$33, "Draw") +
    COUNTIFS(MATCH_INPUT!$J$30:$J$33, CI29, MATCH_INPUT!$K$30:$K$33, "Draw"),
0)</f>
        <v>0</v>
      </c>
      <c r="CO29" s="26">
        <f>IF(CI29&lt;&gt;"",
    COUNTIFS(MATCH_INPUT!$F$30:$F$33, CI29, MATCH_INPUT!$K$30:$K$33, "&lt;&gt;"&amp;CI29, MATCH_INPUT!$K$30:$K$33, "&lt;&gt;Draw", MATCH_INPUT!$K$30:$K$33, "&lt;&gt;""") +
    COUNTIFS(MATCH_INPUT!$J$30:$J$33, CI29, MATCH_INPUT!$K$30:$K$33, "&lt;&gt;"&amp;CI29, MATCH_INPUT!$K$30:$K$33, "&lt;&gt;Draw", MATCH_INPUT!$K$30:$K$33, "&lt;&gt;"""),
0)</f>
        <v>0</v>
      </c>
      <c r="CP29" s="27" t="str">
        <f t="array" ref="CP29">IFERROR(INDEX(Form_Response!E:E, MATCH(1, (Form_Response!C:C='MATCH DATES'!$B$9)*(Form_Response!D:D=B29), 0)), "")
</f>
        <v/>
      </c>
      <c r="CQ29" s="27">
        <f t="array" ref="CQ29">IFERROR(IF(INDEX(Form_Response!F:F, MATCH(1, (Form_Response!C:C='MATCH DATES'!$B$9)*(Form_Response!D:D=B29), 0))="Yes", 1, 0), 0)
</f>
        <v>0</v>
      </c>
      <c r="CR29" s="28" t="str">
        <f t="array" ref="CR29">IFERROR(INDEX(Form_Response!G:G, MATCH(1, (Form_Response!C:C='MATCH DATES'!$B$9)*(Form_Response!D:D=B29), 0)), "")
</f>
        <v/>
      </c>
      <c r="CS29" s="31">
        <f t="shared" si="38"/>
        <v>13</v>
      </c>
      <c r="CT29" s="31" t="str">
        <f t="shared" si="39"/>
        <v>↑</v>
      </c>
      <c r="CU29" s="32">
        <f t="shared" si="40"/>
        <v>28</v>
      </c>
      <c r="CV29" s="32" t="str">
        <f t="shared" ref="CV29:CW29" si="118">A29</f>
        <v>⭐️</v>
      </c>
      <c r="CW29" s="33" t="str">
        <f t="shared" si="118"/>
        <v>Alex</v>
      </c>
      <c r="CX29" s="33">
        <f t="shared" si="42"/>
        <v>42</v>
      </c>
      <c r="CY29" s="32">
        <f>SUM(
  IF(AND('MATCH DATES'!$A$2 &lt;= TODAY(), NOW() &gt;= 'MATCH DATES'!$A$2 + TIME(22, 0, 0)), E29, 0),
  IF(AND('MATCH DATES'!$A$3 &lt;= TODAY(), NOW() &gt;= 'MATCH DATES'!$A$3 + TIME(22, 0, 0)), Q29, 0),
  IF(AND('MATCH DATES'!$A$4 &lt;= TODAY(), NOW() &gt;= 'MATCH DATES'!$A$4 + TIME(22, 0, 0)), AC29, 0),
  IF(AND('MATCH DATES'!$A$5 &lt;= TODAY(), NOW() &gt;= 'MATCH DATES'!$A$5 + TIME(22, 0, 0)), AO29, 0),
  IF(AND('MATCH DATES'!$A$6 &lt;= TODAY(), NOW() &gt;= 'MATCH DATES'!$A$6 + TIME(22, 0, 0)), BA29, 0),
  IF(AND('MATCH DATES'!$A$7 &lt;= TODAY(), NOW() &gt;= 'MATCH DATES'!$A$7 + TIME(22, 0, 0)), BM29, 0),
  IF(AND('MATCH DATES'!$A$8 &lt;= TODAY(), NOW() &gt;= 'MATCH DATES'!$A$8 + TIME(22, 0, 0)), BY29, 0),
  IF(AND('MATCH DATES'!$A$9 &lt;= TODAY(), NOW() &gt;= 'MATCH DATES'!$A$9 + TIME(22, 0, 0)), CK29, 0)
)
</f>
        <v>14</v>
      </c>
      <c r="CZ29" s="33">
        <f t="shared" ref="CZ29:DA29" si="119">SUM(G29,S29,AE29,AQ29,BC29,BO29,CA29,CM29)</f>
        <v>8</v>
      </c>
      <c r="DA29" s="33">
        <f t="shared" si="119"/>
        <v>1</v>
      </c>
      <c r="DB29" s="33">
        <f>SUM(
  IF(AND('MATCH DATES'!$A$2 &lt;= TODAY(), NOW() &gt;= 'MATCH DATES'!$A$2 + TIME(22, 0, 0)), I29, 0),
  IF(AND('MATCH DATES'!$A$3 &lt;= TODAY(), NOW() &gt;= 'MATCH DATES'!$A$3 + TIME(22, 0, 0)), U29, 0),
  IF(AND('MATCH DATES'!$A$4 &lt;= TODAY(), NOW() &gt;= 'MATCH DATES'!$A$4 + TIME(22, 0, 0)), AG29, 0),
  IF(AND('MATCH DATES'!$A$5 &lt;= TODAY(), NOW() &gt;= 'MATCH DATES'!$A$5 + TIME(22, 0, 0)), AS29, 0),
  IF(AND('MATCH DATES'!$A$6 &lt;= TODAY(), NOW() &gt;= 'MATCH DATES'!$A$6 + TIME(22, 0, 0)), BE29, 0),
  IF(AND('MATCH DATES'!$A$7 &lt;= TODAY(), NOW() &gt;= 'MATCH DATES'!$A$7 + TIME(22, 0, 0)), BQ29, 0),
  IF(AND('MATCH DATES'!$A$8 &lt;= TODAY(), NOW() &gt;= 'MATCH DATES'!$A$8 + TIME(22, 0, 0)), CC29, 0),
  IF(AND('MATCH DATES'!$A$9 &lt;= TODAY(), NOW() &gt;= 'MATCH DATES'!$A$9 + TIME(22, 0, 0)), CO29, 0)
)</f>
        <v>5</v>
      </c>
      <c r="DC29" s="33">
        <f t="shared" si="44"/>
        <v>1</v>
      </c>
      <c r="DD29" s="33">
        <f t="shared" ref="DD29:DE29" si="120">SUM(K29,W29,AI29,AU29,BG29,BS29,CE29,CQ29)</f>
        <v>0</v>
      </c>
      <c r="DE29" s="33">
        <f t="shared" si="120"/>
        <v>0</v>
      </c>
    </row>
    <row r="30" ht="24.75" customHeight="1">
      <c r="A30" s="17" t="s">
        <v>136</v>
      </c>
      <c r="B30" s="18" t="s">
        <v>168</v>
      </c>
      <c r="C30" s="19" t="s">
        <v>139</v>
      </c>
      <c r="D30" s="20">
        <f t="shared" si="4"/>
        <v>2</v>
      </c>
      <c r="E30" s="20">
        <f t="shared" si="5"/>
        <v>2</v>
      </c>
      <c r="F30" s="20">
        <f t="shared" si="6"/>
        <v>0</v>
      </c>
      <c r="G30" s="20">
        <f>IF(C30&lt;&gt;"",
    COUNTIFS(MATCH_INPUT!$K$2:$K$5,C30),
0)</f>
        <v>0</v>
      </c>
      <c r="H30" s="20">
        <f>IF(C30&lt;&gt;"",
    COUNTIFS(MATCH_INPUT!$F$2:$F$5, C30, MATCH_INPUT!$K$2:$K$5, "Draw") +
    COUNTIFS(MATCH_INPUT!$J$2:$J$5, C30, MATCH_INPUT!$K$2:$K$5, "Draw"),
0)</f>
        <v>0</v>
      </c>
      <c r="I30" s="20">
        <f>IF(C30&lt;&gt;"",
    COUNTIFS(MATCH_INPUT!$F$2:$F$5, C30, MATCH_INPUT!$K$2:$K$5, "&lt;&gt;"&amp;C30, MATCH_INPUT!$K$2:$K$5, "&lt;&gt;Draw", MATCH_INPUT!$K$2:$K$5, "&lt;&gt;""") +
    COUNTIFS(MATCH_INPUT!$J$2:$J$5, C30, MATCH_INPUT!$K$2:$K$5, "&lt;&gt;"&amp;C30, MATCH_INPUT!$K$2:$K$5, "&lt;&gt;Draw", MATCH_INPUT!$K$2:$K$5, "&lt;&gt;"""),
0)</f>
        <v>2</v>
      </c>
      <c r="J30" s="21"/>
      <c r="K30" s="21"/>
      <c r="L30" s="22"/>
      <c r="M30" s="23">
        <f t="shared" si="7"/>
        <v>26</v>
      </c>
      <c r="N30" s="24" t="str">
        <f t="shared" si="8"/>
        <v>↓</v>
      </c>
      <c r="O30" s="25" t="s">
        <v>140</v>
      </c>
      <c r="P30" s="26">
        <f t="shared" si="9"/>
        <v>6</v>
      </c>
      <c r="Q30" s="26">
        <f t="shared" si="10"/>
        <v>2</v>
      </c>
      <c r="R30" s="26">
        <f t="shared" si="11"/>
        <v>1</v>
      </c>
      <c r="S30" s="26">
        <f>IF(O30&lt;&gt;"",
    COUNTIFS(MATCH_INPUT!$K$6:$K$9,O30),
0)</f>
        <v>0</v>
      </c>
      <c r="T30" s="26">
        <f>IF(O30&lt;&gt;"",
    COUNTIFS(MATCH_INPUT!$F$6:$F$9, O30, MATCH_INPUT!$K$6:$K$9, "Draw") +
    COUNTIFS(MATCH_INPUT!$J$6:$J$9, O30, MATCH_INPUT!$K$6:$K$9, "Draw"),
0)</f>
        <v>1</v>
      </c>
      <c r="U30" s="26">
        <f>IF(O30&lt;&gt;"",
    COUNTIFS(MATCH_INPUT!$F$6:$F$9, O30, MATCH_INPUT!$K$6:$K$9, "&lt;&gt;"&amp;O30, MATCH_INPUT!$K$6:$K$9, "&lt;&gt;Draw", MATCH_INPUT!$K$6:$K$9, "&lt;&gt;""") +
    COUNTIFS(MATCH_INPUT!$J$6:$J$9, O30, MATCH_INPUT!$K$6:$K$9, "&lt;&gt;"&amp;O30, MATCH_INPUT!$K$6:$K$9, "&lt;&gt;Draw", MATCH_INPUT!$K$6:$K$9, "&lt;&gt;"""),
0)</f>
        <v>1</v>
      </c>
      <c r="V30" s="27"/>
      <c r="W30" s="27">
        <v>1.0</v>
      </c>
      <c r="X30" s="28"/>
      <c r="Y30" s="26">
        <f t="shared" si="12"/>
        <v>20</v>
      </c>
      <c r="Z30" s="29" t="str">
        <f t="shared" si="13"/>
        <v>↑</v>
      </c>
      <c r="AA30" s="19" t="s">
        <v>139</v>
      </c>
      <c r="AB30" s="23">
        <f t="shared" si="14"/>
        <v>10</v>
      </c>
      <c r="AC30" s="20">
        <f t="shared" si="15"/>
        <v>2</v>
      </c>
      <c r="AD30" s="20">
        <f t="shared" si="16"/>
        <v>2</v>
      </c>
      <c r="AE30" s="20">
        <f>IF(AA30&lt;&gt;"",
    COUNTIFS(MATCH_INPUT!$K$10:$K$13,AA30),
0)</f>
        <v>1</v>
      </c>
      <c r="AF30" s="20">
        <f>IF(AA30&lt;&gt;"",
    COUNTIFS(MATCH_INPUT!$F$10:$F$13, AA30, MATCH_INPUT!$K$10:$K$13, "Draw") +
    COUNTIFS(MATCH_INPUT!$J$10:$J$13, AA30, MATCH_INPUT!$K$10:$K$13, "Draw"),
0)</f>
        <v>0</v>
      </c>
      <c r="AG30" s="20">
        <f>IF(AA30&lt;&gt;"",
    COUNTIFS(MATCH_INPUT!$F$10:$F$13, AA30, MATCH_INPUT!$K$10:$K$13, "&lt;&gt;"&amp;AA30, MATCH_INPUT!$K$10:$K$13, "&lt;&gt;Draw", MATCH_INPUT!$K$10:$K$13, "&lt;&gt;""") +
    COUNTIFS(MATCH_INPUT!$J$10:$J$13, AA30, MATCH_INPUT!$K$10:$K$13, "&lt;&gt;"&amp;AA30, MATCH_INPUT!$K$10:$K$13, "&lt;&gt;Draw", MATCH_INPUT!$K$10:$K$13, "&lt;&gt;"""),
0)</f>
        <v>1</v>
      </c>
      <c r="AH30" s="21"/>
      <c r="AI30" s="21"/>
      <c r="AJ30" s="30"/>
      <c r="AK30" s="23">
        <f t="shared" si="17"/>
        <v>20</v>
      </c>
      <c r="AL30" s="24" t="str">
        <f t="shared" si="18"/>
        <v>=</v>
      </c>
      <c r="AM30" s="25"/>
      <c r="AN30" s="26">
        <f t="shared" si="19"/>
        <v>10</v>
      </c>
      <c r="AO30" s="26">
        <f t="shared" si="20"/>
        <v>0</v>
      </c>
      <c r="AP30" s="26">
        <f t="shared" si="21"/>
        <v>0</v>
      </c>
      <c r="AQ30" s="26">
        <f>IF(AM30&lt;&gt;"",
    COUNTIFS(MATCH_INPUT!$K$14:$K$17,AM30),
0)</f>
        <v>0</v>
      </c>
      <c r="AR30" s="26">
        <f>IF(AM30&lt;&gt;"",
    COUNTIFS(MATCH_INPUT!$F$14:$F$17, AM30, MATCH_INPUT!$K$14:$K$17, "Draw") +
    COUNTIFS(MATCH_INPUT!$J$14:$J$17, AM30, MATCH_INPUT!$K$14:$K$17, "Draw"),
0)</f>
        <v>0</v>
      </c>
      <c r="AS30" s="26">
        <f>IF(AM30&lt;&gt;"",
    COUNTIFS(MATCH_INPUT!$F$14:$F$17, AM30, MATCH_INPUT!$K$14:$K$17, "&lt;&gt;"&amp;AM30, MATCH_INPUT!$K$14:$K$17, "&lt;&gt;Draw", MATCH_INPUT!$K$14:$K$17, "&lt;&gt;""") +
    COUNTIFS(MATCH_INPUT!$J$14:$J$17, AM30, MATCH_INPUT!$K$14:$K$17, "&lt;&gt;"&amp;AM30, MATCH_INPUT!$K$14:$K$17, "&lt;&gt;Draw", MATCH_INPUT!$K$14:$K$17, "&lt;&gt;"""),
0)</f>
        <v>0</v>
      </c>
      <c r="AT30" s="27"/>
      <c r="AU30" s="27"/>
      <c r="AV30" s="28"/>
      <c r="AW30" s="26">
        <f t="shared" si="22"/>
        <v>30</v>
      </c>
      <c r="AX30" s="29" t="str">
        <f t="shared" si="23"/>
        <v>↓</v>
      </c>
      <c r="AY30" s="19" t="s">
        <v>140</v>
      </c>
      <c r="AZ30" s="23">
        <f t="shared" si="24"/>
        <v>19</v>
      </c>
      <c r="BA30" s="20">
        <f t="shared" si="25"/>
        <v>2</v>
      </c>
      <c r="BB30" s="20">
        <f>SUM(BC30*2) + (BD30*1) + SUMIFS(MATCH_INPUT!$G$18:$G$21, MATCH_INPUT!$F$18:$F$21, AY30) + SUMIFS(MATCH_INPUT!$I$18:$I$21, MATCH_INPUT!$J$18:$J$21, AY30)
</f>
        <v>7</v>
      </c>
      <c r="BC30" s="20">
        <f>IF(AY30&lt;&gt;"",
    COUNTIFS(MATCH_INPUT!$K$18:$K$21,AY30),
0)</f>
        <v>1</v>
      </c>
      <c r="BD30" s="20">
        <f>IF(AY30&lt;&gt;"",
    COUNTIFS(MATCH_INPUT!$F$18:$F$21, AY30, MATCH_INPUT!$K$18:$K$21, "Draw") +
    COUNTIFS(MATCH_INPUT!$J$18:$J$21, AY30, MATCH_INPUT!$K$18:$K$21, "Draw"),
0)</f>
        <v>1</v>
      </c>
      <c r="BE30" s="20">
        <f>IF(AY30&lt;&gt;"",
    COUNTIFS(MATCH_INPUT!$F$18:$F$21, AY30, MATCH_INPUT!$K$18:$K$21, "&lt;&gt;"&amp;AY30, MATCH_INPUT!$K$18:$K$21, "&lt;&gt;Draw", MATCH_INPUT!$K$18:$K$21, "&lt;&gt;""") +
    COUNTIFS(MATCH_INPUT!$J$18:$J$21, AY30, MATCH_INPUT!$K$18:$K$21, "&lt;&gt;"&amp;AY30, MATCH_INPUT!$K$18:$K$21, "&lt;&gt;Draw", MATCH_INPUT!$K$18:$K$21, "&lt;&gt;"""),
0)</f>
        <v>0</v>
      </c>
      <c r="BF30" s="21" t="str">
        <f t="array" ref="BF30">IFERROR(INDEX(Form_Response!E:E, MATCH(1, (Form_Response!C:C='MATCH DATES'!$B$6)*(Form_Response!D:D=B30), 0)), "")
</f>
        <v/>
      </c>
      <c r="BG30" s="21">
        <f t="array" ref="BG30">IFERROR(IF(INDEX(Form_Response!F:F, MATCH(1, (Form_Response!C:C='MATCH DATES'!$B$6)*(Form_Response!D:D=B30), 0))="Yes", 1, 0), 0)
</f>
        <v>0</v>
      </c>
      <c r="BH30" s="30" t="str">
        <f t="array" ref="BH30">IFERROR(INDEX(Form_Response!G:G, MATCH(1, (Form_Response!C:C='MATCH DATES'!$B$6)*(Form_Response!D:D=B30), 0)), "")
</f>
        <v/>
      </c>
      <c r="BI30" s="23">
        <f t="shared" si="26"/>
        <v>26</v>
      </c>
      <c r="BJ30" s="24" t="str">
        <f t="shared" si="27"/>
        <v>↑</v>
      </c>
      <c r="BK30" s="25"/>
      <c r="BL30" s="26">
        <f t="shared" si="28"/>
        <v>19</v>
      </c>
      <c r="BM30" s="26">
        <f t="shared" si="29"/>
        <v>0</v>
      </c>
      <c r="BN30" s="26">
        <f>SUM(BO30*2) + (BP30*1) + SUMIFS(MATCH_INPUT!$G$22:$G$25, MATCH_INPUT!$F$22:$F$25, BK30) + SUMIFS(MATCH_INPUT!$I$22:$I$25, MATCH_INPUT!$J$22:$J$25, BK30)
</f>
        <v>0</v>
      </c>
      <c r="BO30" s="26">
        <f>IF(BK30&lt;&gt;"",
    COUNTIFS(MATCH_INPUT!$K$22:$K$25,BK30),
0)</f>
        <v>0</v>
      </c>
      <c r="BP30" s="26">
        <f>IF(BK30&lt;&gt;"",
    COUNTIFS(MATCH_INPUT!$F$22:$F$25, BK30, MATCH_INPUT!$K$22:$K$25, "Draw") +
    COUNTIFS(MATCH_INPUT!$J$22:$J$25, BK30, MATCH_INPUT!$K$22:$K$25, "Draw"),
0)</f>
        <v>0</v>
      </c>
      <c r="BQ30" s="26">
        <f>IF(BK30&lt;&gt;"",
    COUNTIFS(MATCH_INPUT!$F$22:$F$25, BK30, MATCH_INPUT!$K$22:$K$25, "&lt;&gt;"&amp;BK30, MATCH_INPUT!$K$22:$K$25, "&lt;&gt;Draw", MATCH_INPUT!$K$22:$K$25, "&lt;&gt;""") +
    COUNTIFS(MATCH_INPUT!$J$22:$J$25, BK30, MATCH_INPUT!$K$22:$K$25, "&lt;&gt;"&amp;BK30, MATCH_INPUT!$K$22:$K$25, "&lt;&gt;Draw", MATCH_INPUT!$K$22:$K$25, "&lt;&gt;"""),
0)</f>
        <v>0</v>
      </c>
      <c r="BR30" s="27"/>
      <c r="BS30" s="27"/>
      <c r="BT30" s="28"/>
      <c r="BU30" s="26">
        <f t="shared" si="30"/>
        <v>28</v>
      </c>
      <c r="BV30" s="29" t="str">
        <f t="shared" si="31"/>
        <v>↓</v>
      </c>
      <c r="BW30" s="19" t="s">
        <v>141</v>
      </c>
      <c r="BX30" s="23">
        <f t="shared" si="32"/>
        <v>25</v>
      </c>
      <c r="BY30" s="20">
        <f t="shared" si="33"/>
        <v>2</v>
      </c>
      <c r="BZ30" s="20">
        <f>SUM(CA30*2)+(CB30*1) + SUMIFS(MATCH_INPUT!$G$26:$G$29, MATCH_INPUT!$F$26:$F$29, BW30) + SUMIFS(MATCH_INPUT!$I$26:$I$29, MATCH_INPUT!$J$26:$J$29, BW30)
</f>
        <v>4</v>
      </c>
      <c r="CA30" s="20">
        <f>IF(BW30&lt;&gt;"",
    COUNTIFS(MATCH_INPUT!$K$26:$K$29,BW30),
0)</f>
        <v>1</v>
      </c>
      <c r="CB30" s="20">
        <f>IF(BW30&lt;&gt;"",
    COUNTIFS(MATCH_INPUT!$F$26:$F$29, BW30, MATCH_INPUT!$K$26:$K$29, "Draw") +
    COUNTIFS(MATCH_INPUT!$J$26:$J$29, BW30, MATCH_INPUT!$K$26:$K$29, "Draw"),
0)</f>
        <v>0</v>
      </c>
      <c r="CC30" s="20">
        <f>IF(BW30&lt;&gt;"",
    COUNTIFS(MATCH_INPUT!$F$26:$F$29, BW30, MATCH_INPUT!$K$26:$K$29, "&lt;&gt;"&amp;BW30, MATCH_INPUT!$K$26:$K$29, "&lt;&gt;Draw", MATCH_INPUT!$K$26:$K$29, "&lt;&gt;""") +
    COUNTIFS(MATCH_INPUT!$J$26:$J$29, BW30, MATCH_INPUT!$K$26:$K$29, "&lt;&gt;"&amp;BW30, MATCH_INPUT!$K$26:$K$29, "&lt;&gt;Draw", MATCH_INPUT!$K$26:$K$29, "&lt;&gt;"""),
0)</f>
        <v>1</v>
      </c>
      <c r="CD30" s="21"/>
      <c r="CE30" s="21"/>
      <c r="CF30" s="30"/>
      <c r="CG30" s="23">
        <f t="shared" si="34"/>
        <v>30</v>
      </c>
      <c r="CH30" s="24" t="str">
        <f t="shared" si="35"/>
        <v>↓</v>
      </c>
      <c r="CI30" s="25" t="s">
        <v>140</v>
      </c>
      <c r="CJ30" s="26">
        <f t="shared" si="36"/>
        <v>30</v>
      </c>
      <c r="CK30" s="26">
        <f t="shared" si="37"/>
        <v>2</v>
      </c>
      <c r="CL30" s="26">
        <f>SUM(CM30*2)+(CN30*1) + SUMIFS(MATCH_INPUT!$G$30:$G$33, MATCH_INPUT!$F$30:$F$33, CI30) + SUMIFS(MATCH_INPUT!$I$30:$I$33, MATCH_INPUT!$J$30:$J$33, CI30)
</f>
        <v>3</v>
      </c>
      <c r="CM30" s="26">
        <f>IF(CI30&lt;&gt;"",
    COUNTIFS(MATCH_INPUT!$K$30:$K$33,CI30),
0)</f>
        <v>1</v>
      </c>
      <c r="CN30" s="26">
        <f>IF(CI30&lt;&gt;"",
    COUNTIFS(MATCH_INPUT!$F$30:$F$33, CI30, MATCH_INPUT!$K$30:$K$33, "Draw") +
    COUNTIFS(MATCH_INPUT!$J$30:$J$33, CI30, MATCH_INPUT!$K$30:$K$33, "Draw"),
0)</f>
        <v>0</v>
      </c>
      <c r="CO30" s="26">
        <f>IF(CI30&lt;&gt;"",
    COUNTIFS(MATCH_INPUT!$F$30:$F$33, CI30, MATCH_INPUT!$K$30:$K$33, "&lt;&gt;"&amp;CI30, MATCH_INPUT!$K$30:$K$33, "&lt;&gt;Draw", MATCH_INPUT!$K$30:$K$33, "&lt;&gt;""") +
    COUNTIFS(MATCH_INPUT!$J$30:$J$33, CI30, MATCH_INPUT!$K$30:$K$33, "&lt;&gt;"&amp;CI30, MATCH_INPUT!$K$30:$K$33, "&lt;&gt;Draw", MATCH_INPUT!$K$30:$K$33, "&lt;&gt;"""),
0)</f>
        <v>1</v>
      </c>
      <c r="CP30" s="27" t="str">
        <f t="array" ref="CP30">IFERROR(INDEX(Form_Response!E:E, MATCH(1, (Form_Response!C:C='MATCH DATES'!$B$9)*(Form_Response!D:D=B30), 0)), "")
</f>
        <v/>
      </c>
      <c r="CQ30" s="27">
        <f t="array" ref="CQ30">IFERROR(IF(INDEX(Form_Response!F:F, MATCH(1, (Form_Response!C:C='MATCH DATES'!$B$9)*(Form_Response!D:D=B30), 0))="Yes", 1, 0), 0)
</f>
        <v>0</v>
      </c>
      <c r="CR30" s="28" t="str">
        <f t="array" ref="CR30">IFERROR(INDEX(Form_Response!G:G, MATCH(1, (Form_Response!C:C='MATCH DATES'!$B$9)*(Form_Response!D:D=B30), 0)), "")
</f>
        <v/>
      </c>
      <c r="CS30" s="31">
        <f t="shared" si="38"/>
        <v>29</v>
      </c>
      <c r="CT30" s="31" t="str">
        <f t="shared" si="39"/>
        <v>↑</v>
      </c>
      <c r="CU30" s="32">
        <f t="shared" si="40"/>
        <v>17</v>
      </c>
      <c r="CV30" s="32" t="str">
        <f t="shared" ref="CV30:CW30" si="121">A30</f>
        <v>⭐️</v>
      </c>
      <c r="CW30" s="33" t="str">
        <f t="shared" si="121"/>
        <v>Efra</v>
      </c>
      <c r="CX30" s="33">
        <f t="shared" si="42"/>
        <v>30</v>
      </c>
      <c r="CY30" s="32">
        <f>SUM(
  IF(AND('MATCH DATES'!$A$2 &lt;= TODAY(), NOW() &gt;= 'MATCH DATES'!$A$2 + TIME(22, 0, 0)), E30, 0),
  IF(AND('MATCH DATES'!$A$3 &lt;= TODAY(), NOW() &gt;= 'MATCH DATES'!$A$3 + TIME(22, 0, 0)), Q30, 0),
  IF(AND('MATCH DATES'!$A$4 &lt;= TODAY(), NOW() &gt;= 'MATCH DATES'!$A$4 + TIME(22, 0, 0)), AC30, 0),
  IF(AND('MATCH DATES'!$A$5 &lt;= TODAY(), NOW() &gt;= 'MATCH DATES'!$A$5 + TIME(22, 0, 0)), AO30, 0),
  IF(AND('MATCH DATES'!$A$6 &lt;= TODAY(), NOW() &gt;= 'MATCH DATES'!$A$6 + TIME(22, 0, 0)), BA30, 0),
  IF(AND('MATCH DATES'!$A$7 &lt;= TODAY(), NOW() &gt;= 'MATCH DATES'!$A$7 + TIME(22, 0, 0)), BM30, 0),
  IF(AND('MATCH DATES'!$A$8 &lt;= TODAY(), NOW() &gt;= 'MATCH DATES'!$A$8 + TIME(22, 0, 0)), BY30, 0),
  IF(AND('MATCH DATES'!$A$9 &lt;= TODAY(), NOW() &gt;= 'MATCH DATES'!$A$9 + TIME(22, 0, 0)), CK30, 0)
)
</f>
        <v>12</v>
      </c>
      <c r="CZ30" s="33">
        <f t="shared" ref="CZ30:DA30" si="122">SUM(G30,S30,AE30,AQ30,BC30,BO30,CA30,CM30)</f>
        <v>4</v>
      </c>
      <c r="DA30" s="33">
        <f t="shared" si="122"/>
        <v>2</v>
      </c>
      <c r="DB30" s="33">
        <f>SUM(
  IF(AND('MATCH DATES'!$A$2 &lt;= TODAY(), NOW() &gt;= 'MATCH DATES'!$A$2 + TIME(22, 0, 0)), I30, 0),
  IF(AND('MATCH DATES'!$A$3 &lt;= TODAY(), NOW() &gt;= 'MATCH DATES'!$A$3 + TIME(22, 0, 0)), U30, 0),
  IF(AND('MATCH DATES'!$A$4 &lt;= TODAY(), NOW() &gt;= 'MATCH DATES'!$A$4 + TIME(22, 0, 0)), AG30, 0),
  IF(AND('MATCH DATES'!$A$5 &lt;= TODAY(), NOW() &gt;= 'MATCH DATES'!$A$5 + TIME(22, 0, 0)), AS30, 0),
  IF(AND('MATCH DATES'!$A$6 &lt;= TODAY(), NOW() &gt;= 'MATCH DATES'!$A$6 + TIME(22, 0, 0)), BE30, 0),
  IF(AND('MATCH DATES'!$A$7 &lt;= TODAY(), NOW() &gt;= 'MATCH DATES'!$A$7 + TIME(22, 0, 0)), BQ30, 0),
  IF(AND('MATCH DATES'!$A$8 &lt;= TODAY(), NOW() &gt;= 'MATCH DATES'!$A$8 + TIME(22, 0, 0)), CC30, 0),
  IF(AND('MATCH DATES'!$A$9 &lt;= TODAY(), NOW() &gt;= 'MATCH DATES'!$A$9 + TIME(22, 0, 0)), CO30, 0)
)</f>
        <v>6</v>
      </c>
      <c r="DC30" s="33">
        <f t="shared" si="44"/>
        <v>0</v>
      </c>
      <c r="DD30" s="33">
        <f t="shared" ref="DD30:DE30" si="123">SUM(K30,W30,AI30,AU30,BG30,BS30,CE30,CQ30)</f>
        <v>1</v>
      </c>
      <c r="DE30" s="33">
        <f t="shared" si="123"/>
        <v>0</v>
      </c>
    </row>
    <row r="31" ht="24.75" customHeight="1">
      <c r="A31" s="17" t="s">
        <v>136</v>
      </c>
      <c r="B31" s="18" t="s">
        <v>169</v>
      </c>
      <c r="C31" s="19"/>
      <c r="D31" s="20">
        <f t="shared" si="4"/>
        <v>0</v>
      </c>
      <c r="E31" s="20">
        <f t="shared" si="5"/>
        <v>0</v>
      </c>
      <c r="F31" s="20">
        <f t="shared" si="6"/>
        <v>0</v>
      </c>
      <c r="G31" s="20">
        <f>IF(C31&lt;&gt;"",
    COUNTIFS(MATCH_INPUT!$K$2:$K$5,C31),
0)</f>
        <v>0</v>
      </c>
      <c r="H31" s="20">
        <f>IF(C31&lt;&gt;"",
    COUNTIFS(MATCH_INPUT!$F$2:$F$5, C31, MATCH_INPUT!$K$2:$K$5, "Draw") +
    COUNTIFS(MATCH_INPUT!$J$2:$J$5, C31, MATCH_INPUT!$K$2:$K$5, "Draw"),
0)</f>
        <v>0</v>
      </c>
      <c r="I31" s="20">
        <f>IF(C31&lt;&gt;"",
    COUNTIFS(MATCH_INPUT!$F$2:$F$5, C31, MATCH_INPUT!$K$2:$K$5, "&lt;&gt;"&amp;C31, MATCH_INPUT!$K$2:$K$5, "&lt;&gt;Draw", MATCH_INPUT!$K$2:$K$5, "&lt;&gt;""") +
    COUNTIFS(MATCH_INPUT!$J$2:$J$5, C31, MATCH_INPUT!$K$2:$K$5, "&lt;&gt;"&amp;C31, MATCH_INPUT!$K$2:$K$5, "&lt;&gt;Draw", MATCH_INPUT!$K$2:$K$5, "&lt;&gt;"""),
0)</f>
        <v>0</v>
      </c>
      <c r="J31" s="21"/>
      <c r="K31" s="21"/>
      <c r="L31" s="22"/>
      <c r="M31" s="23">
        <f t="shared" si="7"/>
        <v>34</v>
      </c>
      <c r="N31" s="24" t="str">
        <f t="shared" si="8"/>
        <v>↓</v>
      </c>
      <c r="O31" s="25" t="s">
        <v>139</v>
      </c>
      <c r="P31" s="26">
        <f t="shared" si="9"/>
        <v>6</v>
      </c>
      <c r="Q31" s="26">
        <f t="shared" si="10"/>
        <v>2</v>
      </c>
      <c r="R31" s="26">
        <f t="shared" si="11"/>
        <v>4</v>
      </c>
      <c r="S31" s="26">
        <f>IF(O31&lt;&gt;"",
    COUNTIFS(MATCH_INPUT!$K$6:$K$9,O31),
0)</f>
        <v>2</v>
      </c>
      <c r="T31" s="26">
        <f>IF(O31&lt;&gt;"",
    COUNTIFS(MATCH_INPUT!$F$6:$F$9, O31, MATCH_INPUT!$K$6:$K$9, "Draw") +
    COUNTIFS(MATCH_INPUT!$J$6:$J$9, O31, MATCH_INPUT!$K$6:$K$9, "Draw"),
0)</f>
        <v>0</v>
      </c>
      <c r="U31" s="26">
        <f>IF(O31&lt;&gt;"",
    COUNTIFS(MATCH_INPUT!$F$6:$F$9, O31, MATCH_INPUT!$K$6:$K$9, "&lt;&gt;"&amp;O31, MATCH_INPUT!$K$6:$K$9, "&lt;&gt;Draw", MATCH_INPUT!$K$6:$K$9, "&lt;&gt;""") +
    COUNTIFS(MATCH_INPUT!$J$6:$J$9, O31, MATCH_INPUT!$K$6:$K$9, "&lt;&gt;"&amp;O31, MATCH_INPUT!$K$6:$K$9, "&lt;&gt;Draw", MATCH_INPUT!$K$6:$K$9, "&lt;&gt;"""),
0)</f>
        <v>0</v>
      </c>
      <c r="V31" s="27"/>
      <c r="W31" s="27"/>
      <c r="X31" s="28"/>
      <c r="Y31" s="26">
        <f t="shared" si="12"/>
        <v>20</v>
      </c>
      <c r="Z31" s="29" t="str">
        <f t="shared" si="13"/>
        <v>↑</v>
      </c>
      <c r="AA31" s="19" t="s">
        <v>140</v>
      </c>
      <c r="AB31" s="23">
        <f t="shared" si="14"/>
        <v>10</v>
      </c>
      <c r="AC31" s="20">
        <f t="shared" si="15"/>
        <v>2</v>
      </c>
      <c r="AD31" s="20">
        <f t="shared" si="16"/>
        <v>2</v>
      </c>
      <c r="AE31" s="20">
        <f>IF(AA31&lt;&gt;"",
    COUNTIFS(MATCH_INPUT!$K$10:$K$13,AA31),
0)</f>
        <v>1</v>
      </c>
      <c r="AF31" s="20">
        <f>IF(AA31&lt;&gt;"",
    COUNTIFS(MATCH_INPUT!$F$10:$F$13, AA31, MATCH_INPUT!$K$10:$K$13, "Draw") +
    COUNTIFS(MATCH_INPUT!$J$10:$J$13, AA31, MATCH_INPUT!$K$10:$K$13, "Draw"),
0)</f>
        <v>0</v>
      </c>
      <c r="AG31" s="20">
        <f>IF(AA31&lt;&gt;"",
    COUNTIFS(MATCH_INPUT!$F$10:$F$13, AA31, MATCH_INPUT!$K$10:$K$13, "&lt;&gt;"&amp;AA31, MATCH_INPUT!$K$10:$K$13, "&lt;&gt;Draw", MATCH_INPUT!$K$10:$K$13, "&lt;&gt;""") +
    COUNTIFS(MATCH_INPUT!$J$10:$J$13, AA31, MATCH_INPUT!$K$10:$K$13, "&lt;&gt;"&amp;AA31, MATCH_INPUT!$K$10:$K$13, "&lt;&gt;Draw", MATCH_INPUT!$K$10:$K$13, "&lt;&gt;"""),
0)</f>
        <v>1</v>
      </c>
      <c r="AH31" s="21">
        <v>1.0</v>
      </c>
      <c r="AI31" s="21"/>
      <c r="AJ31" s="30"/>
      <c r="AK31" s="23">
        <f t="shared" si="17"/>
        <v>20</v>
      </c>
      <c r="AL31" s="24" t="str">
        <f t="shared" si="18"/>
        <v>=</v>
      </c>
      <c r="AM31" s="25"/>
      <c r="AN31" s="26">
        <f t="shared" si="19"/>
        <v>10</v>
      </c>
      <c r="AO31" s="26">
        <f t="shared" si="20"/>
        <v>0</v>
      </c>
      <c r="AP31" s="26">
        <f t="shared" si="21"/>
        <v>0</v>
      </c>
      <c r="AQ31" s="26">
        <f>IF(AM31&lt;&gt;"",
    COUNTIFS(MATCH_INPUT!$K$14:$K$17,AM31),
0)</f>
        <v>0</v>
      </c>
      <c r="AR31" s="26">
        <f>IF(AM31&lt;&gt;"",
    COUNTIFS(MATCH_INPUT!$F$14:$F$17, AM31, MATCH_INPUT!$K$14:$K$17, "Draw") +
    COUNTIFS(MATCH_INPUT!$J$14:$J$17, AM31, MATCH_INPUT!$K$14:$K$17, "Draw"),
0)</f>
        <v>0</v>
      </c>
      <c r="AS31" s="26">
        <f>IF(AM31&lt;&gt;"",
    COUNTIFS(MATCH_INPUT!$F$14:$F$17, AM31, MATCH_INPUT!$K$14:$K$17, "&lt;&gt;"&amp;AM31, MATCH_INPUT!$K$14:$K$17, "&lt;&gt;Draw", MATCH_INPUT!$K$14:$K$17, "&lt;&gt;""") +
    COUNTIFS(MATCH_INPUT!$J$14:$J$17, AM31, MATCH_INPUT!$K$14:$K$17, "&lt;&gt;"&amp;AM31, MATCH_INPUT!$K$14:$K$17, "&lt;&gt;Draw", MATCH_INPUT!$K$14:$K$17, "&lt;&gt;"""),
0)</f>
        <v>0</v>
      </c>
      <c r="AT31" s="27"/>
      <c r="AU31" s="27"/>
      <c r="AV31" s="28"/>
      <c r="AW31" s="26">
        <f t="shared" si="22"/>
        <v>30</v>
      </c>
      <c r="AX31" s="29" t="str">
        <f t="shared" si="23"/>
        <v>↓</v>
      </c>
      <c r="AY31" s="19" t="s">
        <v>140</v>
      </c>
      <c r="AZ31" s="23">
        <f t="shared" si="24"/>
        <v>19</v>
      </c>
      <c r="BA31" s="20">
        <f t="shared" si="25"/>
        <v>2</v>
      </c>
      <c r="BB31" s="20">
        <f>SUM(BC31*2) + (BD31*1) + SUMIFS(MATCH_INPUT!$G$18:$G$21, MATCH_INPUT!$F$18:$F$21, AY31) + SUMIFS(MATCH_INPUT!$I$18:$I$21, MATCH_INPUT!$J$18:$J$21, AY31)
</f>
        <v>7</v>
      </c>
      <c r="BC31" s="20">
        <f>IF(AY31&lt;&gt;"",
    COUNTIFS(MATCH_INPUT!$K$18:$K$21,AY31),
0)</f>
        <v>1</v>
      </c>
      <c r="BD31" s="20">
        <f>IF(AY31&lt;&gt;"",
    COUNTIFS(MATCH_INPUT!$F$18:$F$21, AY31, MATCH_INPUT!$K$18:$K$21, "Draw") +
    COUNTIFS(MATCH_INPUT!$J$18:$J$21, AY31, MATCH_INPUT!$K$18:$K$21, "Draw"),
0)</f>
        <v>1</v>
      </c>
      <c r="BE31" s="20">
        <f>IF(AY31&lt;&gt;"",
    COUNTIFS(MATCH_INPUT!$F$18:$F$21, AY31, MATCH_INPUT!$K$18:$K$21, "&lt;&gt;"&amp;AY31, MATCH_INPUT!$K$18:$K$21, "&lt;&gt;Draw", MATCH_INPUT!$K$18:$K$21, "&lt;&gt;""") +
    COUNTIFS(MATCH_INPUT!$J$18:$J$21, AY31, MATCH_INPUT!$K$18:$K$21, "&lt;&gt;"&amp;AY31, MATCH_INPUT!$K$18:$K$21, "&lt;&gt;Draw", MATCH_INPUT!$K$18:$K$21, "&lt;&gt;"""),
0)</f>
        <v>0</v>
      </c>
      <c r="BF31" s="21" t="str">
        <f t="array" ref="BF31">IFERROR(INDEX(Form_Response!E:E, MATCH(1, (Form_Response!C:C='MATCH DATES'!$B$6)*(Form_Response!D:D=B31), 0)), "")
</f>
        <v/>
      </c>
      <c r="BG31" s="21">
        <f t="array" ref="BG31">IFERROR(IF(INDEX(Form_Response!F:F, MATCH(1, (Form_Response!C:C='MATCH DATES'!$B$6)*(Form_Response!D:D=B31), 0))="Yes", 1, 0), 0)
</f>
        <v>0</v>
      </c>
      <c r="BH31" s="30" t="str">
        <f t="array" ref="BH31">IFERROR(INDEX(Form_Response!G:G, MATCH(1, (Form_Response!C:C='MATCH DATES'!$B$6)*(Form_Response!D:D=B31), 0)), "")
</f>
        <v/>
      </c>
      <c r="BI31" s="23">
        <f t="shared" si="26"/>
        <v>26</v>
      </c>
      <c r="BJ31" s="24" t="str">
        <f t="shared" si="27"/>
        <v>↑</v>
      </c>
      <c r="BK31" s="25"/>
      <c r="BL31" s="26">
        <f t="shared" si="28"/>
        <v>19</v>
      </c>
      <c r="BM31" s="26">
        <f t="shared" si="29"/>
        <v>0</v>
      </c>
      <c r="BN31" s="26">
        <f>SUM(BO31*2) + (BP31*1) + SUMIFS(MATCH_INPUT!$G$22:$G$25, MATCH_INPUT!$F$22:$F$25, BK31) + SUMIFS(MATCH_INPUT!$I$22:$I$25, MATCH_INPUT!$J$22:$J$25, BK31)
</f>
        <v>0</v>
      </c>
      <c r="BO31" s="26">
        <f>IF(BK31&lt;&gt;"",
    COUNTIFS(MATCH_INPUT!$K$22:$K$25,BK31),
0)</f>
        <v>0</v>
      </c>
      <c r="BP31" s="26">
        <f>IF(BK31&lt;&gt;"",
    COUNTIFS(MATCH_INPUT!$F$22:$F$25, BK31, MATCH_INPUT!$K$22:$K$25, "Draw") +
    COUNTIFS(MATCH_INPUT!$J$22:$J$25, BK31, MATCH_INPUT!$K$22:$K$25, "Draw"),
0)</f>
        <v>0</v>
      </c>
      <c r="BQ31" s="26">
        <f>IF(BK31&lt;&gt;"",
    COUNTIFS(MATCH_INPUT!$F$22:$F$25, BK31, MATCH_INPUT!$K$22:$K$25, "&lt;&gt;"&amp;BK31, MATCH_INPUT!$K$22:$K$25, "&lt;&gt;Draw", MATCH_INPUT!$K$22:$K$25, "&lt;&gt;""") +
    COUNTIFS(MATCH_INPUT!$J$22:$J$25, BK31, MATCH_INPUT!$K$22:$K$25, "&lt;&gt;"&amp;BK31, MATCH_INPUT!$K$22:$K$25, "&lt;&gt;Draw", MATCH_INPUT!$K$22:$K$25, "&lt;&gt;"""),
0)</f>
        <v>0</v>
      </c>
      <c r="BR31" s="27"/>
      <c r="BS31" s="27"/>
      <c r="BT31" s="28"/>
      <c r="BU31" s="26">
        <f t="shared" si="30"/>
        <v>28</v>
      </c>
      <c r="BV31" s="29" t="str">
        <f t="shared" si="31"/>
        <v>↓</v>
      </c>
      <c r="BW31" s="35"/>
      <c r="BX31" s="23">
        <f t="shared" si="32"/>
        <v>19</v>
      </c>
      <c r="BY31" s="20">
        <f t="shared" si="33"/>
        <v>0</v>
      </c>
      <c r="BZ31" s="20">
        <f>SUM(CA31*2)+(CB31*1) + SUMIFS(MATCH_INPUT!$G$26:$G$29, MATCH_INPUT!$F$26:$F$29, BW31) + SUMIFS(MATCH_INPUT!$I$26:$I$29, MATCH_INPUT!$J$26:$J$29, BW31)
</f>
        <v>0</v>
      </c>
      <c r="CA31" s="20">
        <f>IF(BW31&lt;&gt;"",
    COUNTIFS(MATCH_INPUT!$K$26:$K$29,BW31),
0)</f>
        <v>0</v>
      </c>
      <c r="CB31" s="20">
        <f>IF(BW31&lt;&gt;"",
    COUNTIFS(MATCH_INPUT!$F$26:$F$29, BW31, MATCH_INPUT!$K$26:$K$29, "Draw") +
    COUNTIFS(MATCH_INPUT!$J$26:$J$29, BW31, MATCH_INPUT!$K$26:$K$29, "Draw"),
0)</f>
        <v>0</v>
      </c>
      <c r="CC31" s="20">
        <f>IF(BW31&lt;&gt;"",
    COUNTIFS(MATCH_INPUT!$F$26:$F$29, BW31, MATCH_INPUT!$K$26:$K$29, "&lt;&gt;"&amp;BW31, MATCH_INPUT!$K$26:$K$29, "&lt;&gt;Draw", MATCH_INPUT!$K$26:$K$29, "&lt;&gt;""") +
    COUNTIFS(MATCH_INPUT!$J$26:$J$29, BW31, MATCH_INPUT!$K$26:$K$29, "&lt;&gt;"&amp;BW31, MATCH_INPUT!$K$26:$K$29, "&lt;&gt;Draw", MATCH_INPUT!$K$26:$K$29, "&lt;&gt;"""),
0)</f>
        <v>0</v>
      </c>
      <c r="CD31" s="21"/>
      <c r="CE31" s="21"/>
      <c r="CF31" s="30"/>
      <c r="CG31" s="23">
        <f t="shared" si="34"/>
        <v>32</v>
      </c>
      <c r="CH31" s="24" t="str">
        <f t="shared" si="35"/>
        <v>↓</v>
      </c>
      <c r="CI31" s="25" t="s">
        <v>138</v>
      </c>
      <c r="CJ31" s="26">
        <f t="shared" si="36"/>
        <v>25</v>
      </c>
      <c r="CK31" s="26">
        <f t="shared" si="37"/>
        <v>2</v>
      </c>
      <c r="CL31" s="26">
        <f>SUM(CM31*2)+(CN31*1) + SUMIFS(MATCH_INPUT!$G$30:$G$33, MATCH_INPUT!$F$30:$F$33, CI31) + SUMIFS(MATCH_INPUT!$I$30:$I$33, MATCH_INPUT!$J$30:$J$33, CI31)
</f>
        <v>3</v>
      </c>
      <c r="CM31" s="26">
        <f>IF(CI31&lt;&gt;"",
    COUNTIFS(MATCH_INPUT!$K$30:$K$33,CI31),
0)</f>
        <v>1</v>
      </c>
      <c r="CN31" s="26">
        <f>IF(CI31&lt;&gt;"",
    COUNTIFS(MATCH_INPUT!$F$30:$F$33, CI31, MATCH_INPUT!$K$30:$K$33, "Draw") +
    COUNTIFS(MATCH_INPUT!$J$30:$J$33, CI31, MATCH_INPUT!$K$30:$K$33, "Draw"),
0)</f>
        <v>0</v>
      </c>
      <c r="CO31" s="26">
        <f>IF(CI31&lt;&gt;"",
    COUNTIFS(MATCH_INPUT!$F$30:$F$33, CI31, MATCH_INPUT!$K$30:$K$33, "&lt;&gt;"&amp;CI31, MATCH_INPUT!$K$30:$K$33, "&lt;&gt;Draw", MATCH_INPUT!$K$30:$K$33, "&lt;&gt;""") +
    COUNTIFS(MATCH_INPUT!$J$30:$J$33, CI31, MATCH_INPUT!$K$30:$K$33, "&lt;&gt;"&amp;CI31, MATCH_INPUT!$K$30:$K$33, "&lt;&gt;Draw", MATCH_INPUT!$K$30:$K$33, "&lt;&gt;"""),
0)</f>
        <v>1</v>
      </c>
      <c r="CP31" s="27" t="str">
        <f t="array" ref="CP31">IFERROR(INDEX(Form_Response!E:E, MATCH(1, (Form_Response!C:C='MATCH DATES'!$B$9)*(Form_Response!D:D=B31), 0)), "")
</f>
        <v/>
      </c>
      <c r="CQ31" s="27">
        <v>1.0</v>
      </c>
      <c r="CR31" s="28">
        <v>1.0</v>
      </c>
      <c r="CS31" s="31">
        <f t="shared" si="38"/>
        <v>32</v>
      </c>
      <c r="CT31" s="31" t="str">
        <f t="shared" si="39"/>
        <v>=</v>
      </c>
      <c r="CU31" s="32">
        <f t="shared" si="40"/>
        <v>16</v>
      </c>
      <c r="CV31" s="32" t="str">
        <f t="shared" ref="CV31:CW31" si="124">A31</f>
        <v>⭐️</v>
      </c>
      <c r="CW31" s="33" t="str">
        <f t="shared" si="124"/>
        <v>Jose Blanco</v>
      </c>
      <c r="CX31" s="33">
        <f t="shared" si="42"/>
        <v>25</v>
      </c>
      <c r="CY31" s="32">
        <f>SUM(
  IF(AND('MATCH DATES'!$A$2 &lt;= TODAY(), NOW() &gt;= 'MATCH DATES'!$A$2 + TIME(22, 0, 0)), E31, 0),
  IF(AND('MATCH DATES'!$A$3 &lt;= TODAY(), NOW() &gt;= 'MATCH DATES'!$A$3 + TIME(22, 0, 0)), Q31, 0),
  IF(AND('MATCH DATES'!$A$4 &lt;= TODAY(), NOW() &gt;= 'MATCH DATES'!$A$4 + TIME(22, 0, 0)), AC31, 0),
  IF(AND('MATCH DATES'!$A$5 &lt;= TODAY(), NOW() &gt;= 'MATCH DATES'!$A$5 + TIME(22, 0, 0)), AO31, 0),
  IF(AND('MATCH DATES'!$A$6 &lt;= TODAY(), NOW() &gt;= 'MATCH DATES'!$A$6 + TIME(22, 0, 0)), BA31, 0),
  IF(AND('MATCH DATES'!$A$7 &lt;= TODAY(), NOW() &gt;= 'MATCH DATES'!$A$7 + TIME(22, 0, 0)), BM31, 0),
  IF(AND('MATCH DATES'!$A$8 &lt;= TODAY(), NOW() &gt;= 'MATCH DATES'!$A$8 + TIME(22, 0, 0)), BY31, 0),
  IF(AND('MATCH DATES'!$A$9 &lt;= TODAY(), NOW() &gt;= 'MATCH DATES'!$A$9 + TIME(22, 0, 0)), CK31, 0)
)
</f>
        <v>8</v>
      </c>
      <c r="CZ31" s="33">
        <f t="shared" ref="CZ31:DA31" si="125">SUM(G31,S31,AE31,AQ31,BC31,BO31,CA31,CM31)</f>
        <v>5</v>
      </c>
      <c r="DA31" s="33">
        <f t="shared" si="125"/>
        <v>1</v>
      </c>
      <c r="DB31" s="33">
        <f>SUM(
  IF(AND('MATCH DATES'!$A$2 &lt;= TODAY(), NOW() &gt;= 'MATCH DATES'!$A$2 + TIME(22, 0, 0)), I31, 0),
  IF(AND('MATCH DATES'!$A$3 &lt;= TODAY(), NOW() &gt;= 'MATCH DATES'!$A$3 + TIME(22, 0, 0)), U31, 0),
  IF(AND('MATCH DATES'!$A$4 &lt;= TODAY(), NOW() &gt;= 'MATCH DATES'!$A$4 + TIME(22, 0, 0)), AG31, 0),
  IF(AND('MATCH DATES'!$A$5 &lt;= TODAY(), NOW() &gt;= 'MATCH DATES'!$A$5 + TIME(22, 0, 0)), AS31, 0),
  IF(AND('MATCH DATES'!$A$6 &lt;= TODAY(), NOW() &gt;= 'MATCH DATES'!$A$6 + TIME(22, 0, 0)), BE31, 0),
  IF(AND('MATCH DATES'!$A$7 &lt;= TODAY(), NOW() &gt;= 'MATCH DATES'!$A$7 + TIME(22, 0, 0)), BQ31, 0),
  IF(AND('MATCH DATES'!$A$8 &lt;= TODAY(), NOW() &gt;= 'MATCH DATES'!$A$8 + TIME(22, 0, 0)), CC31, 0),
  IF(AND('MATCH DATES'!$A$9 &lt;= TODAY(), NOW() &gt;= 'MATCH DATES'!$A$9 + TIME(22, 0, 0)), CO31, 0)
)</f>
        <v>2</v>
      </c>
      <c r="DC31" s="33">
        <f t="shared" si="44"/>
        <v>1</v>
      </c>
      <c r="DD31" s="33">
        <f t="shared" ref="DD31:DE31" si="126">SUM(K31,W31,AI31,AU31,BG31,BS31,CE31,CQ31)</f>
        <v>1</v>
      </c>
      <c r="DE31" s="33">
        <f t="shared" si="126"/>
        <v>1</v>
      </c>
    </row>
    <row r="32" ht="24.75" customHeight="1">
      <c r="A32" s="17" t="s">
        <v>136</v>
      </c>
      <c r="B32" s="18" t="s">
        <v>170</v>
      </c>
      <c r="C32" s="19" t="s">
        <v>139</v>
      </c>
      <c r="D32" s="20">
        <f t="shared" si="4"/>
        <v>2</v>
      </c>
      <c r="E32" s="20">
        <f t="shared" si="5"/>
        <v>2</v>
      </c>
      <c r="F32" s="20">
        <f t="shared" si="6"/>
        <v>0</v>
      </c>
      <c r="G32" s="20">
        <f>IF(C32&lt;&gt;"",
    COUNTIFS(MATCH_INPUT!$K$2:$K$5,C32),
0)</f>
        <v>0</v>
      </c>
      <c r="H32" s="20">
        <f>IF(C32&lt;&gt;"",
    COUNTIFS(MATCH_INPUT!$F$2:$F$5, C32, MATCH_INPUT!$K$2:$K$5, "Draw") +
    COUNTIFS(MATCH_INPUT!$J$2:$J$5, C32, MATCH_INPUT!$K$2:$K$5, "Draw"),
0)</f>
        <v>0</v>
      </c>
      <c r="I32" s="20">
        <f>IF(C32&lt;&gt;"",
    COUNTIFS(MATCH_INPUT!$F$2:$F$5, C32, MATCH_INPUT!$K$2:$K$5, "&lt;&gt;"&amp;C32, MATCH_INPUT!$K$2:$K$5, "&lt;&gt;Draw", MATCH_INPUT!$K$2:$K$5, "&lt;&gt;""") +
    COUNTIFS(MATCH_INPUT!$J$2:$J$5, C32, MATCH_INPUT!$K$2:$K$5, "&lt;&gt;"&amp;C32, MATCH_INPUT!$K$2:$K$5, "&lt;&gt;Draw", MATCH_INPUT!$K$2:$K$5, "&lt;&gt;"""),
0)</f>
        <v>2</v>
      </c>
      <c r="J32" s="21"/>
      <c r="K32" s="21"/>
      <c r="L32" s="22"/>
      <c r="M32" s="23">
        <f t="shared" si="7"/>
        <v>26</v>
      </c>
      <c r="N32" s="24" t="str">
        <f t="shared" si="8"/>
        <v>↓</v>
      </c>
      <c r="O32" s="25" t="s">
        <v>138</v>
      </c>
      <c r="P32" s="26">
        <f t="shared" si="9"/>
        <v>4</v>
      </c>
      <c r="Q32" s="26">
        <f t="shared" si="10"/>
        <v>2</v>
      </c>
      <c r="R32" s="26">
        <f t="shared" si="11"/>
        <v>0</v>
      </c>
      <c r="S32" s="26">
        <f>IF(O32&lt;&gt;"",
    COUNTIFS(MATCH_INPUT!$K$6:$K$9,O32),
0)</f>
        <v>0</v>
      </c>
      <c r="T32" s="26">
        <f>IF(O32&lt;&gt;"",
    COUNTIFS(MATCH_INPUT!$F$6:$F$9, O32, MATCH_INPUT!$K$6:$K$9, "Draw") +
    COUNTIFS(MATCH_INPUT!$J$6:$J$9, O32, MATCH_INPUT!$K$6:$K$9, "Draw"),
0)</f>
        <v>0</v>
      </c>
      <c r="U32" s="26">
        <f>IF(O32&lt;&gt;"",
    COUNTIFS(MATCH_INPUT!$F$6:$F$9, O32, MATCH_INPUT!$K$6:$K$9, "&lt;&gt;"&amp;O32, MATCH_INPUT!$K$6:$K$9, "&lt;&gt;Draw", MATCH_INPUT!$K$6:$K$9, "&lt;&gt;""") +
    COUNTIFS(MATCH_INPUT!$J$6:$J$9, O32, MATCH_INPUT!$K$6:$K$9, "&lt;&gt;"&amp;O32, MATCH_INPUT!$K$6:$K$9, "&lt;&gt;Draw", MATCH_INPUT!$K$6:$K$9, "&lt;&gt;"""),
0)</f>
        <v>2</v>
      </c>
      <c r="V32" s="27"/>
      <c r="W32" s="27"/>
      <c r="X32" s="28"/>
      <c r="Y32" s="26">
        <f t="shared" si="12"/>
        <v>30</v>
      </c>
      <c r="Z32" s="29" t="str">
        <f t="shared" si="13"/>
        <v>↓</v>
      </c>
      <c r="AA32" s="19" t="s">
        <v>139</v>
      </c>
      <c r="AB32" s="23">
        <f t="shared" si="14"/>
        <v>8</v>
      </c>
      <c r="AC32" s="20">
        <f t="shared" si="15"/>
        <v>2</v>
      </c>
      <c r="AD32" s="20">
        <f t="shared" si="16"/>
        <v>2</v>
      </c>
      <c r="AE32" s="20">
        <f>IF(AA32&lt;&gt;"",
    COUNTIFS(MATCH_INPUT!$K$10:$K$13,AA32),
0)</f>
        <v>1</v>
      </c>
      <c r="AF32" s="20">
        <f>IF(AA32&lt;&gt;"",
    COUNTIFS(MATCH_INPUT!$F$10:$F$13, AA32, MATCH_INPUT!$K$10:$K$13, "Draw") +
    COUNTIFS(MATCH_INPUT!$J$10:$J$13, AA32, MATCH_INPUT!$K$10:$K$13, "Draw"),
0)</f>
        <v>0</v>
      </c>
      <c r="AG32" s="20">
        <f>IF(AA32&lt;&gt;"",
    COUNTIFS(MATCH_INPUT!$F$10:$F$13, AA32, MATCH_INPUT!$K$10:$K$13, "&lt;&gt;"&amp;AA32, MATCH_INPUT!$K$10:$K$13, "&lt;&gt;Draw", MATCH_INPUT!$K$10:$K$13, "&lt;&gt;""") +
    COUNTIFS(MATCH_INPUT!$J$10:$J$13, AA32, MATCH_INPUT!$K$10:$K$13, "&lt;&gt;"&amp;AA32, MATCH_INPUT!$K$10:$K$13, "&lt;&gt;Draw", MATCH_INPUT!$K$10:$K$13, "&lt;&gt;"""),
0)</f>
        <v>1</v>
      </c>
      <c r="AH32" s="21"/>
      <c r="AI32" s="21"/>
      <c r="AJ32" s="30"/>
      <c r="AK32" s="23">
        <f t="shared" si="17"/>
        <v>29</v>
      </c>
      <c r="AL32" s="24" t="str">
        <f t="shared" si="18"/>
        <v>↑</v>
      </c>
      <c r="AM32" s="25" t="s">
        <v>141</v>
      </c>
      <c r="AN32" s="26">
        <f t="shared" si="19"/>
        <v>12</v>
      </c>
      <c r="AO32" s="26">
        <f t="shared" si="20"/>
        <v>2</v>
      </c>
      <c r="AP32" s="26">
        <f t="shared" si="21"/>
        <v>2</v>
      </c>
      <c r="AQ32" s="26">
        <f>IF(AM32&lt;&gt;"",
    COUNTIFS(MATCH_INPUT!$K$14:$K$17,AM32),
0)</f>
        <v>1</v>
      </c>
      <c r="AR32" s="26">
        <f>IF(AM32&lt;&gt;"",
    COUNTIFS(MATCH_INPUT!$F$14:$F$17, AM32, MATCH_INPUT!$K$14:$K$17, "Draw") +
    COUNTIFS(MATCH_INPUT!$J$14:$J$17, AM32, MATCH_INPUT!$K$14:$K$17, "Draw"),
0)</f>
        <v>0</v>
      </c>
      <c r="AS32" s="26">
        <f>IF(AM32&lt;&gt;"",
    COUNTIFS(MATCH_INPUT!$F$14:$F$17, AM32, MATCH_INPUT!$K$14:$K$17, "&lt;&gt;"&amp;AM32, MATCH_INPUT!$K$14:$K$17, "&lt;&gt;Draw", MATCH_INPUT!$K$14:$K$17, "&lt;&gt;""") +
    COUNTIFS(MATCH_INPUT!$J$14:$J$17, AM32, MATCH_INPUT!$K$14:$K$17, "&lt;&gt;"&amp;AM32, MATCH_INPUT!$K$14:$K$17, "&lt;&gt;Draw", MATCH_INPUT!$K$14:$K$17, "&lt;&gt;"""),
0)</f>
        <v>1</v>
      </c>
      <c r="AT32" s="27"/>
      <c r="AU32" s="27"/>
      <c r="AV32" s="28"/>
      <c r="AW32" s="26">
        <f t="shared" si="22"/>
        <v>29</v>
      </c>
      <c r="AX32" s="29" t="str">
        <f t="shared" si="23"/>
        <v>=</v>
      </c>
      <c r="AY32" s="19" t="s">
        <v>138</v>
      </c>
      <c r="AZ32" s="23">
        <f t="shared" si="24"/>
        <v>19</v>
      </c>
      <c r="BA32" s="20">
        <f t="shared" si="25"/>
        <v>2</v>
      </c>
      <c r="BB32" s="20">
        <f>SUM(BC32*2) + (BD32*1) + SUMIFS(MATCH_INPUT!$G$18:$G$21, MATCH_INPUT!$F$18:$F$21, AY32) + SUMIFS(MATCH_INPUT!$I$18:$I$21, MATCH_INPUT!$J$18:$J$21, AY32)
</f>
        <v>5</v>
      </c>
      <c r="BC32" s="20">
        <f>IF(AY32&lt;&gt;"",
    COUNTIFS(MATCH_INPUT!$K$18:$K$21,AY32),
0)</f>
        <v>1</v>
      </c>
      <c r="BD32" s="20">
        <f>IF(AY32&lt;&gt;"",
    COUNTIFS(MATCH_INPUT!$F$18:$F$21, AY32, MATCH_INPUT!$K$18:$K$21, "Draw") +
    COUNTIFS(MATCH_INPUT!$J$18:$J$21, AY32, MATCH_INPUT!$K$18:$K$21, "Draw"),
0)</f>
        <v>0</v>
      </c>
      <c r="BE32" s="20">
        <f>IF(AY32&lt;&gt;"",
    COUNTIFS(MATCH_INPUT!$F$18:$F$21, AY32, MATCH_INPUT!$K$18:$K$21, "&lt;&gt;"&amp;AY32, MATCH_INPUT!$K$18:$K$21, "&lt;&gt;Draw", MATCH_INPUT!$K$18:$K$21, "&lt;&gt;""") +
    COUNTIFS(MATCH_INPUT!$J$18:$J$21, AY32, MATCH_INPUT!$K$18:$K$21, "&lt;&gt;"&amp;AY32, MATCH_INPUT!$K$18:$K$21, "&lt;&gt;Draw", MATCH_INPUT!$K$18:$K$21, "&lt;&gt;"""),
0)</f>
        <v>1</v>
      </c>
      <c r="BF32" s="21" t="str">
        <f t="array" ref="BF32">IFERROR(INDEX(Form_Response!E:E, MATCH(1, (Form_Response!C:C='MATCH DATES'!$B$6)*(Form_Response!D:D=B32), 0)), "")
</f>
        <v/>
      </c>
      <c r="BG32" s="21">
        <f t="array" ref="BG32">IFERROR(IF(INDEX(Form_Response!F:F, MATCH(1, (Form_Response!C:C='MATCH DATES'!$B$6)*(Form_Response!D:D=B32), 0))="Yes", 1, 0), 0)
</f>
        <v>0</v>
      </c>
      <c r="BH32" s="30" t="str">
        <f t="array" ref="BH32">IFERROR(INDEX(Form_Response!G:G, MATCH(1, (Form_Response!C:C='MATCH DATES'!$B$6)*(Form_Response!D:D=B32), 0)), "")
</f>
        <v/>
      </c>
      <c r="BI32" s="23">
        <f t="shared" si="26"/>
        <v>26</v>
      </c>
      <c r="BJ32" s="24" t="str">
        <f t="shared" si="27"/>
        <v>↑</v>
      </c>
      <c r="BK32" s="34"/>
      <c r="BL32" s="26">
        <f t="shared" si="28"/>
        <v>19</v>
      </c>
      <c r="BM32" s="26">
        <f t="shared" si="29"/>
        <v>0</v>
      </c>
      <c r="BN32" s="26">
        <f>SUM(BO32*2) + (BP32*1) + SUMIFS(MATCH_INPUT!$G$22:$G$25, MATCH_INPUT!$F$22:$F$25, BK32) + SUMIFS(MATCH_INPUT!$I$22:$I$25, MATCH_INPUT!$J$22:$J$25, BK32)
</f>
        <v>0</v>
      </c>
      <c r="BO32" s="26">
        <f>IF(BK32&lt;&gt;"",
    COUNTIFS(MATCH_INPUT!$K$22:$K$25,BK32),
0)</f>
        <v>0</v>
      </c>
      <c r="BP32" s="26">
        <f>IF(BK32&lt;&gt;"",
    COUNTIFS(MATCH_INPUT!$F$22:$F$25, BK32, MATCH_INPUT!$K$22:$K$25, "Draw") +
    COUNTIFS(MATCH_INPUT!$J$22:$J$25, BK32, MATCH_INPUT!$K$22:$K$25, "Draw"),
0)</f>
        <v>0</v>
      </c>
      <c r="BQ32" s="26">
        <f>IF(BK32&lt;&gt;"",
    COUNTIFS(MATCH_INPUT!$F$22:$F$25, BK32, MATCH_INPUT!$K$22:$K$25, "&lt;&gt;"&amp;BK32, MATCH_INPUT!$K$22:$K$25, "&lt;&gt;Draw", MATCH_INPUT!$K$22:$K$25, "&lt;&gt;""") +
    COUNTIFS(MATCH_INPUT!$J$22:$J$25, BK32, MATCH_INPUT!$K$22:$K$25, "&lt;&gt;"&amp;BK32, MATCH_INPUT!$K$22:$K$25, "&lt;&gt;Draw", MATCH_INPUT!$K$22:$K$25, "&lt;&gt;"""),
0)</f>
        <v>0</v>
      </c>
      <c r="BR32" s="27"/>
      <c r="BS32" s="27"/>
      <c r="BT32" s="28"/>
      <c r="BU32" s="26">
        <f t="shared" si="30"/>
        <v>28</v>
      </c>
      <c r="BV32" s="29" t="str">
        <f t="shared" si="31"/>
        <v>↓</v>
      </c>
      <c r="BW32" s="19" t="s">
        <v>138</v>
      </c>
      <c r="BX32" s="23">
        <f t="shared" si="32"/>
        <v>30</v>
      </c>
      <c r="BY32" s="20">
        <f t="shared" si="33"/>
        <v>2</v>
      </c>
      <c r="BZ32" s="20">
        <f>SUM(CA32*2)+(CB32*1) + SUMIFS(MATCH_INPUT!$G$26:$G$29, MATCH_INPUT!$F$26:$F$29, BW32) + SUMIFS(MATCH_INPUT!$I$26:$I$29, MATCH_INPUT!$J$26:$J$29, BW32)
</f>
        <v>9</v>
      </c>
      <c r="CA32" s="20">
        <f>IF(BW32&lt;&gt;"",
    COUNTIFS(MATCH_INPUT!$K$26:$K$29,BW32),
0)</f>
        <v>2</v>
      </c>
      <c r="CB32" s="20">
        <f>IF(BW32&lt;&gt;"",
    COUNTIFS(MATCH_INPUT!$F$26:$F$29, BW32, MATCH_INPUT!$K$26:$K$29, "Draw") +
    COUNTIFS(MATCH_INPUT!$J$26:$J$29, BW32, MATCH_INPUT!$K$26:$K$29, "Draw"),
0)</f>
        <v>0</v>
      </c>
      <c r="CC32" s="20">
        <f>IF(BW32&lt;&gt;"",
    COUNTIFS(MATCH_INPUT!$F$26:$F$29, BW32, MATCH_INPUT!$K$26:$K$29, "&lt;&gt;"&amp;BW32, MATCH_INPUT!$K$26:$K$29, "&lt;&gt;Draw", MATCH_INPUT!$K$26:$K$29, "&lt;&gt;""") +
    COUNTIFS(MATCH_INPUT!$J$26:$J$29, BW32, MATCH_INPUT!$K$26:$K$29, "&lt;&gt;"&amp;BW32, MATCH_INPUT!$K$26:$K$29, "&lt;&gt;Draw", MATCH_INPUT!$K$26:$K$29, "&lt;&gt;"""),
0)</f>
        <v>0</v>
      </c>
      <c r="CD32" s="21"/>
      <c r="CE32" s="21"/>
      <c r="CF32" s="30"/>
      <c r="CG32" s="23">
        <f t="shared" si="34"/>
        <v>23</v>
      </c>
      <c r="CH32" s="24" t="str">
        <f t="shared" si="35"/>
        <v>↑</v>
      </c>
      <c r="CI32" s="25" t="s">
        <v>140</v>
      </c>
      <c r="CJ32" s="26">
        <f t="shared" si="36"/>
        <v>35</v>
      </c>
      <c r="CK32" s="26">
        <f t="shared" si="37"/>
        <v>2</v>
      </c>
      <c r="CL32" s="26">
        <f>SUM(CM32*2)+(CN32*1) + SUMIFS(MATCH_INPUT!$G$30:$G$33, MATCH_INPUT!$F$30:$F$33, CI32) + SUMIFS(MATCH_INPUT!$I$30:$I$33, MATCH_INPUT!$J$30:$J$33, CI32)
</f>
        <v>3</v>
      </c>
      <c r="CM32" s="26">
        <f>IF(CI32&lt;&gt;"",
    COUNTIFS(MATCH_INPUT!$K$30:$K$33,CI32),
0)</f>
        <v>1</v>
      </c>
      <c r="CN32" s="26">
        <f>IF(CI32&lt;&gt;"",
    COUNTIFS(MATCH_INPUT!$F$30:$F$33, CI32, MATCH_INPUT!$K$30:$K$33, "Draw") +
    COUNTIFS(MATCH_INPUT!$J$30:$J$33, CI32, MATCH_INPUT!$K$30:$K$33, "Draw"),
0)</f>
        <v>0</v>
      </c>
      <c r="CO32" s="26">
        <f>IF(CI32&lt;&gt;"",
    COUNTIFS(MATCH_INPUT!$F$30:$F$33, CI32, MATCH_INPUT!$K$30:$K$33, "&lt;&gt;"&amp;CI32, MATCH_INPUT!$K$30:$K$33, "&lt;&gt;Draw", MATCH_INPUT!$K$30:$K$33, "&lt;&gt;""") +
    COUNTIFS(MATCH_INPUT!$J$30:$J$33, CI32, MATCH_INPUT!$K$30:$K$33, "&lt;&gt;"&amp;CI32, MATCH_INPUT!$K$30:$K$33, "&lt;&gt;Draw", MATCH_INPUT!$K$30:$K$33, "&lt;&gt;"""),
0)</f>
        <v>1</v>
      </c>
      <c r="CP32" s="27" t="str">
        <f t="array" ref="CP32">IFERROR(INDEX(Form_Response!E:E, MATCH(1, (Form_Response!C:C='MATCH DATES'!$B$9)*(Form_Response!D:D=B32), 0)), "")
</f>
        <v/>
      </c>
      <c r="CQ32" s="27">
        <f t="array" ref="CQ32">IFERROR(IF(INDEX(Form_Response!F:F, MATCH(1, (Form_Response!C:C='MATCH DATES'!$B$9)*(Form_Response!D:D=B32), 0))="Yes", 1, 0), 0)
</f>
        <v>0</v>
      </c>
      <c r="CR32" s="28" t="str">
        <f t="array" ref="CR32">IFERROR(INDEX(Form_Response!G:G, MATCH(1, (Form_Response!C:C='MATCH DATES'!$B$9)*(Form_Response!D:D=B32), 0)), "")
</f>
        <v/>
      </c>
      <c r="CS32" s="31">
        <f t="shared" si="38"/>
        <v>25</v>
      </c>
      <c r="CT32" s="31" t="str">
        <f t="shared" si="39"/>
        <v>↓</v>
      </c>
      <c r="CU32" s="32">
        <f t="shared" si="40"/>
        <v>21</v>
      </c>
      <c r="CV32" s="32" t="str">
        <f t="shared" ref="CV32:CW32" si="127">A32</f>
        <v>⭐️</v>
      </c>
      <c r="CW32" s="33" t="str">
        <f t="shared" si="127"/>
        <v>Alexis 👨🏾‍🤝‍👨🏿 Lopez</v>
      </c>
      <c r="CX32" s="33">
        <f t="shared" si="42"/>
        <v>35</v>
      </c>
      <c r="CY32" s="32">
        <f>SUM(
  IF(AND('MATCH DATES'!$A$2 &lt;= TODAY(), NOW() &gt;= 'MATCH DATES'!$A$2 + TIME(22, 0, 0)), E32, 0),
  IF(AND('MATCH DATES'!$A$3 &lt;= TODAY(), NOW() &gt;= 'MATCH DATES'!$A$3 + TIME(22, 0, 0)), Q32, 0),
  IF(AND('MATCH DATES'!$A$4 &lt;= TODAY(), NOW() &gt;= 'MATCH DATES'!$A$4 + TIME(22, 0, 0)), AC32, 0),
  IF(AND('MATCH DATES'!$A$5 &lt;= TODAY(), NOW() &gt;= 'MATCH DATES'!$A$5 + TIME(22, 0, 0)), AO32, 0),
  IF(AND('MATCH DATES'!$A$6 &lt;= TODAY(), NOW() &gt;= 'MATCH DATES'!$A$6 + TIME(22, 0, 0)), BA32, 0),
  IF(AND('MATCH DATES'!$A$7 &lt;= TODAY(), NOW() &gt;= 'MATCH DATES'!$A$7 + TIME(22, 0, 0)), BM32, 0),
  IF(AND('MATCH DATES'!$A$8 &lt;= TODAY(), NOW() &gt;= 'MATCH DATES'!$A$8 + TIME(22, 0, 0)), BY32, 0),
  IF(AND('MATCH DATES'!$A$9 &lt;= TODAY(), NOW() &gt;= 'MATCH DATES'!$A$9 + TIME(22, 0, 0)), CK32, 0)
)
</f>
        <v>14</v>
      </c>
      <c r="CZ32" s="33">
        <f t="shared" ref="CZ32:DA32" si="128">SUM(G32,S32,AE32,AQ32,BC32,BO32,CA32,CM32)</f>
        <v>6</v>
      </c>
      <c r="DA32" s="33">
        <f t="shared" si="128"/>
        <v>0</v>
      </c>
      <c r="DB32" s="33">
        <f>SUM(
  IF(AND('MATCH DATES'!$A$2 &lt;= TODAY(), NOW() &gt;= 'MATCH DATES'!$A$2 + TIME(22, 0, 0)), I32, 0),
  IF(AND('MATCH DATES'!$A$3 &lt;= TODAY(), NOW() &gt;= 'MATCH DATES'!$A$3 + TIME(22, 0, 0)), U32, 0),
  IF(AND('MATCH DATES'!$A$4 &lt;= TODAY(), NOW() &gt;= 'MATCH DATES'!$A$4 + TIME(22, 0, 0)), AG32, 0),
  IF(AND('MATCH DATES'!$A$5 &lt;= TODAY(), NOW() &gt;= 'MATCH DATES'!$A$5 + TIME(22, 0, 0)), AS32, 0),
  IF(AND('MATCH DATES'!$A$6 &lt;= TODAY(), NOW() &gt;= 'MATCH DATES'!$A$6 + TIME(22, 0, 0)), BE32, 0),
  IF(AND('MATCH DATES'!$A$7 &lt;= TODAY(), NOW() &gt;= 'MATCH DATES'!$A$7 + TIME(22, 0, 0)), BQ32, 0),
  IF(AND('MATCH DATES'!$A$8 &lt;= TODAY(), NOW() &gt;= 'MATCH DATES'!$A$8 + TIME(22, 0, 0)), CC32, 0),
  IF(AND('MATCH DATES'!$A$9 &lt;= TODAY(), NOW() &gt;= 'MATCH DATES'!$A$9 + TIME(22, 0, 0)), CO32, 0)
)</f>
        <v>8</v>
      </c>
      <c r="DC32" s="33">
        <f t="shared" si="44"/>
        <v>0</v>
      </c>
      <c r="DD32" s="33">
        <f t="shared" ref="DD32:DE32" si="129">SUM(K32,W32,AI32,AU32,BG32,BS32,CE32,CQ32)</f>
        <v>0</v>
      </c>
      <c r="DE32" s="33">
        <f t="shared" si="129"/>
        <v>0</v>
      </c>
    </row>
    <row r="33" ht="24.75" customHeight="1">
      <c r="A33" s="17" t="s">
        <v>136</v>
      </c>
      <c r="B33" s="18" t="s">
        <v>171</v>
      </c>
      <c r="C33" s="19" t="s">
        <v>139</v>
      </c>
      <c r="D33" s="20">
        <f t="shared" si="4"/>
        <v>2</v>
      </c>
      <c r="E33" s="20">
        <f t="shared" si="5"/>
        <v>2</v>
      </c>
      <c r="F33" s="20">
        <f t="shared" si="6"/>
        <v>0</v>
      </c>
      <c r="G33" s="20">
        <f>IF(C33&lt;&gt;"",
    COUNTIFS(MATCH_INPUT!$K$2:$K$5,C33),
0)</f>
        <v>0</v>
      </c>
      <c r="H33" s="20">
        <f>IF(C33&lt;&gt;"",
    COUNTIFS(MATCH_INPUT!$F$2:$F$5, C33, MATCH_INPUT!$K$2:$K$5, "Draw") +
    COUNTIFS(MATCH_INPUT!$J$2:$J$5, C33, MATCH_INPUT!$K$2:$K$5, "Draw"),
0)</f>
        <v>0</v>
      </c>
      <c r="I33" s="20">
        <f>IF(C33&lt;&gt;"",
    COUNTIFS(MATCH_INPUT!$F$2:$F$5, C33, MATCH_INPUT!$K$2:$K$5, "&lt;&gt;"&amp;C33, MATCH_INPUT!$K$2:$K$5, "&lt;&gt;Draw", MATCH_INPUT!$K$2:$K$5, "&lt;&gt;""") +
    COUNTIFS(MATCH_INPUT!$J$2:$J$5, C33, MATCH_INPUT!$K$2:$K$5, "&lt;&gt;"&amp;C33, MATCH_INPUT!$K$2:$K$5, "&lt;&gt;Draw", MATCH_INPUT!$K$2:$K$5, "&lt;&gt;"""),
0)</f>
        <v>2</v>
      </c>
      <c r="J33" s="21"/>
      <c r="K33" s="21"/>
      <c r="L33" s="22"/>
      <c r="M33" s="23">
        <f t="shared" si="7"/>
        <v>26</v>
      </c>
      <c r="N33" s="24" t="str">
        <f t="shared" si="8"/>
        <v>↓</v>
      </c>
      <c r="O33" s="25"/>
      <c r="P33" s="26">
        <f t="shared" si="9"/>
        <v>2</v>
      </c>
      <c r="Q33" s="26">
        <f t="shared" si="10"/>
        <v>0</v>
      </c>
      <c r="R33" s="26">
        <f t="shared" si="11"/>
        <v>0</v>
      </c>
      <c r="S33" s="26">
        <f>IF(O33&lt;&gt;"",
    COUNTIFS(MATCH_INPUT!$K$6:$K$9,O33),
0)</f>
        <v>0</v>
      </c>
      <c r="T33" s="26">
        <f>IF(O33&lt;&gt;"",
    COUNTIFS(MATCH_INPUT!$F$6:$F$9, O33, MATCH_INPUT!$K$6:$K$9, "Draw") +
    COUNTIFS(MATCH_INPUT!$J$6:$J$9, O33, MATCH_INPUT!$K$6:$K$9, "Draw"),
0)</f>
        <v>0</v>
      </c>
      <c r="U33" s="26">
        <f>IF(O33&lt;&gt;"",
    COUNTIFS(MATCH_INPUT!$F$6:$F$9, O33, MATCH_INPUT!$K$6:$K$9, "&lt;&gt;"&amp;O33, MATCH_INPUT!$K$6:$K$9, "&lt;&gt;Draw", MATCH_INPUT!$K$6:$K$9, "&lt;&gt;""") +
    COUNTIFS(MATCH_INPUT!$J$6:$J$9, O33, MATCH_INPUT!$K$6:$K$9, "&lt;&gt;"&amp;O33, MATCH_INPUT!$K$6:$K$9, "&lt;&gt;Draw", MATCH_INPUT!$K$6:$K$9, "&lt;&gt;"""),
0)</f>
        <v>0</v>
      </c>
      <c r="V33" s="27"/>
      <c r="W33" s="27"/>
      <c r="X33" s="28"/>
      <c r="Y33" s="26">
        <f t="shared" si="12"/>
        <v>35</v>
      </c>
      <c r="Z33" s="29" t="str">
        <f t="shared" si="13"/>
        <v>↓</v>
      </c>
      <c r="AA33" s="19" t="s">
        <v>141</v>
      </c>
      <c r="AB33" s="23">
        <f t="shared" si="14"/>
        <v>9</v>
      </c>
      <c r="AC33" s="20">
        <f t="shared" si="15"/>
        <v>2</v>
      </c>
      <c r="AD33" s="20">
        <f t="shared" si="16"/>
        <v>4</v>
      </c>
      <c r="AE33" s="20">
        <f>IF(AA33&lt;&gt;"",
    COUNTIFS(MATCH_INPUT!$K$10:$K$13,AA33),
0)</f>
        <v>2</v>
      </c>
      <c r="AF33" s="20">
        <f>IF(AA33&lt;&gt;"",
    COUNTIFS(MATCH_INPUT!$F$10:$F$13, AA33, MATCH_INPUT!$K$10:$K$13, "Draw") +
    COUNTIFS(MATCH_INPUT!$J$10:$J$13, AA33, MATCH_INPUT!$K$10:$K$13, "Draw"),
0)</f>
        <v>0</v>
      </c>
      <c r="AG33" s="20">
        <f>IF(AA33&lt;&gt;"",
    COUNTIFS(MATCH_INPUT!$F$10:$F$13, AA33, MATCH_INPUT!$K$10:$K$13, "&lt;&gt;"&amp;AA33, MATCH_INPUT!$K$10:$K$13, "&lt;&gt;Draw", MATCH_INPUT!$K$10:$K$13, "&lt;&gt;""") +
    COUNTIFS(MATCH_INPUT!$J$10:$J$13, AA33, MATCH_INPUT!$K$10:$K$13, "&lt;&gt;"&amp;AA33, MATCH_INPUT!$K$10:$K$13, "&lt;&gt;Draw", MATCH_INPUT!$K$10:$K$13, "&lt;&gt;"""),
0)</f>
        <v>0</v>
      </c>
      <c r="AH33" s="21"/>
      <c r="AI33" s="21">
        <v>1.0</v>
      </c>
      <c r="AJ33" s="30">
        <v>1.0</v>
      </c>
      <c r="AK33" s="23">
        <f t="shared" si="17"/>
        <v>28</v>
      </c>
      <c r="AL33" s="24" t="str">
        <f t="shared" si="18"/>
        <v>↑</v>
      </c>
      <c r="AM33" s="25" t="s">
        <v>141</v>
      </c>
      <c r="AN33" s="26">
        <f t="shared" si="19"/>
        <v>13</v>
      </c>
      <c r="AO33" s="26">
        <f t="shared" si="20"/>
        <v>2</v>
      </c>
      <c r="AP33" s="26">
        <f t="shared" si="21"/>
        <v>2</v>
      </c>
      <c r="AQ33" s="26">
        <f>IF(AM33&lt;&gt;"",
    COUNTIFS(MATCH_INPUT!$K$14:$K$17,AM33),
0)</f>
        <v>1</v>
      </c>
      <c r="AR33" s="26">
        <f>IF(AM33&lt;&gt;"",
    COUNTIFS(MATCH_INPUT!$F$14:$F$17, AM33, MATCH_INPUT!$K$14:$K$17, "Draw") +
    COUNTIFS(MATCH_INPUT!$J$14:$J$17, AM33, MATCH_INPUT!$K$14:$K$17, "Draw"),
0)</f>
        <v>0</v>
      </c>
      <c r="AS33" s="26">
        <f>IF(AM33&lt;&gt;"",
    COUNTIFS(MATCH_INPUT!$F$14:$F$17, AM33, MATCH_INPUT!$K$14:$K$17, "&lt;&gt;"&amp;AM33, MATCH_INPUT!$K$14:$K$17, "&lt;&gt;Draw", MATCH_INPUT!$K$14:$K$17, "&lt;&gt;""") +
    COUNTIFS(MATCH_INPUT!$J$14:$J$17, AM33, MATCH_INPUT!$K$14:$K$17, "&lt;&gt;"&amp;AM33, MATCH_INPUT!$K$14:$K$17, "&lt;&gt;Draw", MATCH_INPUT!$K$14:$K$17, "&lt;&gt;"""),
0)</f>
        <v>1</v>
      </c>
      <c r="AT33" s="27"/>
      <c r="AU33" s="27"/>
      <c r="AV33" s="28"/>
      <c r="AW33" s="26">
        <f t="shared" si="22"/>
        <v>24</v>
      </c>
      <c r="AX33" s="29" t="str">
        <f t="shared" si="23"/>
        <v>↑</v>
      </c>
      <c r="AY33" s="19"/>
      <c r="AZ33" s="23">
        <f t="shared" si="24"/>
        <v>13</v>
      </c>
      <c r="BA33" s="20">
        <f t="shared" si="25"/>
        <v>0</v>
      </c>
      <c r="BB33" s="20">
        <f>SUM(BC33*2) + (BD33*1) + SUMIFS(MATCH_INPUT!$G$18:$G$21, MATCH_INPUT!$F$18:$F$21, AY33) + SUMIFS(MATCH_INPUT!$I$18:$I$21, MATCH_INPUT!$J$18:$J$21, AY33)
</f>
        <v>0</v>
      </c>
      <c r="BC33" s="20">
        <f>IF(AY33&lt;&gt;"",
    COUNTIFS(MATCH_INPUT!$K$18:$K$21,AY33),
0)</f>
        <v>0</v>
      </c>
      <c r="BD33" s="20">
        <f>IF(AY33&lt;&gt;"",
    COUNTIFS(MATCH_INPUT!$F$18:$F$21, AY33, MATCH_INPUT!$K$18:$K$21, "Draw") +
    COUNTIFS(MATCH_INPUT!$J$18:$J$21, AY33, MATCH_INPUT!$K$18:$K$21, "Draw"),
0)</f>
        <v>0</v>
      </c>
      <c r="BE33" s="20">
        <f>IF(AY33&lt;&gt;"",
    COUNTIFS(MATCH_INPUT!$F$18:$F$21, AY33, MATCH_INPUT!$K$18:$K$21, "&lt;&gt;"&amp;AY33, MATCH_INPUT!$K$18:$K$21, "&lt;&gt;Draw", MATCH_INPUT!$K$18:$K$21, "&lt;&gt;""") +
    COUNTIFS(MATCH_INPUT!$J$18:$J$21, AY33, MATCH_INPUT!$K$18:$K$21, "&lt;&gt;"&amp;AY33, MATCH_INPUT!$K$18:$K$21, "&lt;&gt;Draw", MATCH_INPUT!$K$18:$K$21, "&lt;&gt;"""),
0)</f>
        <v>0</v>
      </c>
      <c r="BF33" s="21" t="str">
        <f t="array" ref="BF33">IFERROR(INDEX(Form_Response!E:E, MATCH(1, (Form_Response!C:C='MATCH DATES'!$B$6)*(Form_Response!D:D=B33), 0)), "")
</f>
        <v/>
      </c>
      <c r="BG33" s="21">
        <f t="array" ref="BG33">IFERROR(IF(INDEX(Form_Response!F:F, MATCH(1, (Form_Response!C:C='MATCH DATES'!$B$6)*(Form_Response!D:D=B33), 0))="Yes", 1, 0), 0)
</f>
        <v>0</v>
      </c>
      <c r="BH33" s="30" t="str">
        <f t="array" ref="BH33">IFERROR(INDEX(Form_Response!G:G, MATCH(1, (Form_Response!C:C='MATCH DATES'!$B$6)*(Form_Response!D:D=B33), 0)), "")
</f>
        <v/>
      </c>
      <c r="BI33" s="23">
        <f t="shared" si="26"/>
        <v>33</v>
      </c>
      <c r="BJ33" s="24" t="str">
        <f t="shared" si="27"/>
        <v>↓</v>
      </c>
      <c r="BK33" s="25" t="s">
        <v>141</v>
      </c>
      <c r="BL33" s="26">
        <f t="shared" si="28"/>
        <v>18</v>
      </c>
      <c r="BM33" s="26">
        <f t="shared" si="29"/>
        <v>4</v>
      </c>
      <c r="BN33" s="26">
        <f>SUM(BO33*2) + (BP33*1) + SUMIFS(MATCH_INPUT!$G$22:$G$25, MATCH_INPUT!$F$22:$F$25, BK33) + SUMIFS(MATCH_INPUT!$I$22:$I$25, MATCH_INPUT!$J$22:$J$25, BK33)
</f>
        <v>1</v>
      </c>
      <c r="BO33" s="26">
        <f>IF(BK33&lt;&gt;"",
    COUNTIFS(MATCH_INPUT!$K$22:$K$25,BK33),
0)</f>
        <v>0</v>
      </c>
      <c r="BP33" s="26">
        <f>IF(BK33&lt;&gt;"",
    COUNTIFS(MATCH_INPUT!$F$22:$F$25, BK33, MATCH_INPUT!$K$22:$K$25, "Draw") +
    COUNTIFS(MATCH_INPUT!$J$22:$J$25, BK33, MATCH_INPUT!$K$22:$K$25, "Draw"),
0)</f>
        <v>0</v>
      </c>
      <c r="BQ33" s="26">
        <f>IF(BK33&lt;&gt;"",
    COUNTIFS(MATCH_INPUT!$F$22:$F$25, BK33, MATCH_INPUT!$K$22:$K$25, "&lt;&gt;"&amp;BK33, MATCH_INPUT!$K$22:$K$25, "&lt;&gt;Draw", MATCH_INPUT!$K$22:$K$25, "&lt;&gt;""") +
    COUNTIFS(MATCH_INPUT!$J$22:$J$25, BK33, MATCH_INPUT!$K$22:$K$25, "&lt;&gt;"&amp;BK33, MATCH_INPUT!$K$22:$K$25, "&lt;&gt;Draw", MATCH_INPUT!$K$22:$K$25, "&lt;&gt;"""),
0)</f>
        <v>2</v>
      </c>
      <c r="BR33" s="27"/>
      <c r="BS33" s="27"/>
      <c r="BT33" s="28"/>
      <c r="BU33" s="26">
        <f t="shared" si="30"/>
        <v>31</v>
      </c>
      <c r="BV33" s="29" t="str">
        <f t="shared" si="31"/>
        <v>↑</v>
      </c>
      <c r="BW33" s="19" t="s">
        <v>141</v>
      </c>
      <c r="BX33" s="23">
        <f t="shared" si="32"/>
        <v>24</v>
      </c>
      <c r="BY33" s="20">
        <f t="shared" si="33"/>
        <v>2</v>
      </c>
      <c r="BZ33" s="20">
        <f>SUM(CA33*2)+(CB33*1) + SUMIFS(MATCH_INPUT!$G$26:$G$29, MATCH_INPUT!$F$26:$F$29, BW33) + SUMIFS(MATCH_INPUT!$I$26:$I$29, MATCH_INPUT!$J$26:$J$29, BW33)
</f>
        <v>4</v>
      </c>
      <c r="CA33" s="20">
        <f>IF(BW33&lt;&gt;"",
    COUNTIFS(MATCH_INPUT!$K$26:$K$29,BW33),
0)</f>
        <v>1</v>
      </c>
      <c r="CB33" s="20">
        <f>IF(BW33&lt;&gt;"",
    COUNTIFS(MATCH_INPUT!$F$26:$F$29, BW33, MATCH_INPUT!$K$26:$K$29, "Draw") +
    COUNTIFS(MATCH_INPUT!$J$26:$J$29, BW33, MATCH_INPUT!$K$26:$K$29, "Draw"),
0)</f>
        <v>0</v>
      </c>
      <c r="CC33" s="20">
        <f>IF(BW33&lt;&gt;"",
    COUNTIFS(MATCH_INPUT!$F$26:$F$29, BW33, MATCH_INPUT!$K$26:$K$29, "&lt;&gt;"&amp;BW33, MATCH_INPUT!$K$26:$K$29, "&lt;&gt;Draw", MATCH_INPUT!$K$26:$K$29, "&lt;&gt;""") +
    COUNTIFS(MATCH_INPUT!$J$26:$J$29, BW33, MATCH_INPUT!$K$26:$K$29, "&lt;&gt;"&amp;BW33, MATCH_INPUT!$K$26:$K$29, "&lt;&gt;Draw", MATCH_INPUT!$K$26:$K$29, "&lt;&gt;"""),
0)</f>
        <v>1</v>
      </c>
      <c r="CD33" s="21">
        <v>1.0</v>
      </c>
      <c r="CE33" s="21"/>
      <c r="CF33" s="30"/>
      <c r="CG33" s="23">
        <f t="shared" si="34"/>
        <v>31</v>
      </c>
      <c r="CH33" s="24" t="str">
        <f t="shared" si="35"/>
        <v>=</v>
      </c>
      <c r="CI33" s="25" t="s">
        <v>139</v>
      </c>
      <c r="CJ33" s="26">
        <f t="shared" si="36"/>
        <v>27</v>
      </c>
      <c r="CK33" s="26">
        <f t="shared" si="37"/>
        <v>2</v>
      </c>
      <c r="CL33" s="26">
        <f>SUM(CM33*2)+(CN33*1) + SUMIFS(MATCH_INPUT!$G$30:$G$33, MATCH_INPUT!$F$30:$F$33, CI33) + SUMIFS(MATCH_INPUT!$I$30:$I$33, MATCH_INPUT!$J$30:$J$33, CI33)
</f>
        <v>1</v>
      </c>
      <c r="CM33" s="26">
        <f>IF(CI33&lt;&gt;"",
    COUNTIFS(MATCH_INPUT!$K$30:$K$33,CI33),
0)</f>
        <v>0</v>
      </c>
      <c r="CN33" s="26">
        <f>IF(CI33&lt;&gt;"",
    COUNTIFS(MATCH_INPUT!$F$30:$F$33, CI33, MATCH_INPUT!$K$30:$K$33, "Draw") +
    COUNTIFS(MATCH_INPUT!$J$30:$J$33, CI33, MATCH_INPUT!$K$30:$K$33, "Draw"),
0)</f>
        <v>0</v>
      </c>
      <c r="CO33" s="26">
        <f>IF(CI33&lt;&gt;"",
    COUNTIFS(MATCH_INPUT!$F$30:$F$33, CI33, MATCH_INPUT!$K$30:$K$33, "&lt;&gt;"&amp;CI33, MATCH_INPUT!$K$30:$K$33, "&lt;&gt;Draw", MATCH_INPUT!$K$30:$K$33, "&lt;&gt;""") +
    COUNTIFS(MATCH_INPUT!$J$30:$J$33, CI33, MATCH_INPUT!$K$30:$K$33, "&lt;&gt;"&amp;CI33, MATCH_INPUT!$K$30:$K$33, "&lt;&gt;Draw", MATCH_INPUT!$K$30:$K$33, "&lt;&gt;"""),
0)</f>
        <v>2</v>
      </c>
      <c r="CP33" s="27" t="str">
        <f t="array" ref="CP33">IFERROR(INDEX(Form_Response!E:E, MATCH(1, (Form_Response!C:C='MATCH DATES'!$B$9)*(Form_Response!D:D=B33), 0)), "")
</f>
        <v/>
      </c>
      <c r="CQ33" s="27">
        <f t="array" ref="CQ33">IFERROR(IF(INDEX(Form_Response!F:F, MATCH(1, (Form_Response!C:C='MATCH DATES'!$B$9)*(Form_Response!D:D=B33), 0))="Yes", 1, 0), 0)
</f>
        <v>0</v>
      </c>
      <c r="CR33" s="28" t="str">
        <f t="array" ref="CR33">IFERROR(INDEX(Form_Response!G:G, MATCH(1, (Form_Response!C:C='MATCH DATES'!$B$9)*(Form_Response!D:D=B33), 0)), "")
</f>
        <v/>
      </c>
      <c r="CS33" s="31">
        <f t="shared" si="38"/>
        <v>31</v>
      </c>
      <c r="CT33" s="31" t="str">
        <f t="shared" si="39"/>
        <v>=</v>
      </c>
      <c r="CU33" s="32">
        <f t="shared" si="40"/>
        <v>12</v>
      </c>
      <c r="CV33" s="32" t="str">
        <f t="shared" ref="CV33:CW33" si="130">A33</f>
        <v>⭐️</v>
      </c>
      <c r="CW33" s="33" t="str">
        <f t="shared" si="130"/>
        <v>Eder</v>
      </c>
      <c r="CX33" s="33">
        <f t="shared" si="42"/>
        <v>27</v>
      </c>
      <c r="CY33" s="32">
        <f>SUM(
  IF(AND('MATCH DATES'!$A$2 &lt;= TODAY(), NOW() &gt;= 'MATCH DATES'!$A$2 + TIME(22, 0, 0)), E33, 0),
  IF(AND('MATCH DATES'!$A$3 &lt;= TODAY(), NOW() &gt;= 'MATCH DATES'!$A$3 + TIME(22, 0, 0)), Q33, 0),
  IF(AND('MATCH DATES'!$A$4 &lt;= TODAY(), NOW() &gt;= 'MATCH DATES'!$A$4 + TIME(22, 0, 0)), AC33, 0),
  IF(AND('MATCH DATES'!$A$5 &lt;= TODAY(), NOW() &gt;= 'MATCH DATES'!$A$5 + TIME(22, 0, 0)), AO33, 0),
  IF(AND('MATCH DATES'!$A$6 &lt;= TODAY(), NOW() &gt;= 'MATCH DATES'!$A$6 + TIME(22, 0, 0)), BA33, 0),
  IF(AND('MATCH DATES'!$A$7 &lt;= TODAY(), NOW() &gt;= 'MATCH DATES'!$A$7 + TIME(22, 0, 0)), BM33, 0),
  IF(AND('MATCH DATES'!$A$8 &lt;= TODAY(), NOW() &gt;= 'MATCH DATES'!$A$8 + TIME(22, 0, 0)), BY33, 0),
  IF(AND('MATCH DATES'!$A$9 &lt;= TODAY(), NOW() &gt;= 'MATCH DATES'!$A$9 + TIME(22, 0, 0)), CK33, 0)
)
</f>
        <v>14</v>
      </c>
      <c r="CZ33" s="33">
        <f t="shared" ref="CZ33:DA33" si="131">SUM(G33,S33,AE33,AQ33,BC33,BO33,CA33,CM33)</f>
        <v>4</v>
      </c>
      <c r="DA33" s="33">
        <f t="shared" si="131"/>
        <v>0</v>
      </c>
      <c r="DB33" s="33">
        <f>SUM(
  IF(AND('MATCH DATES'!$A$2 &lt;= TODAY(), NOW() &gt;= 'MATCH DATES'!$A$2 + TIME(22, 0, 0)), I33, 0),
  IF(AND('MATCH DATES'!$A$3 &lt;= TODAY(), NOW() &gt;= 'MATCH DATES'!$A$3 + TIME(22, 0, 0)), U33, 0),
  IF(AND('MATCH DATES'!$A$4 &lt;= TODAY(), NOW() &gt;= 'MATCH DATES'!$A$4 + TIME(22, 0, 0)), AG33, 0),
  IF(AND('MATCH DATES'!$A$5 &lt;= TODAY(), NOW() &gt;= 'MATCH DATES'!$A$5 + TIME(22, 0, 0)), AS33, 0),
  IF(AND('MATCH DATES'!$A$6 &lt;= TODAY(), NOW() &gt;= 'MATCH DATES'!$A$6 + TIME(22, 0, 0)), BE33, 0),
  IF(AND('MATCH DATES'!$A$7 &lt;= TODAY(), NOW() &gt;= 'MATCH DATES'!$A$7 + TIME(22, 0, 0)), BQ33, 0),
  IF(AND('MATCH DATES'!$A$8 &lt;= TODAY(), NOW() &gt;= 'MATCH DATES'!$A$8 + TIME(22, 0, 0)), CC33, 0),
  IF(AND('MATCH DATES'!$A$9 &lt;= TODAY(), NOW() &gt;= 'MATCH DATES'!$A$9 + TIME(22, 0, 0)), CO33, 0)
)</f>
        <v>8</v>
      </c>
      <c r="DC33" s="33">
        <f t="shared" si="44"/>
        <v>1</v>
      </c>
      <c r="DD33" s="33">
        <f t="shared" ref="DD33:DE33" si="132">SUM(K33,W33,AI33,AU33,BG33,BS33,CE33,CQ33)</f>
        <v>1</v>
      </c>
      <c r="DE33" s="33">
        <f t="shared" si="132"/>
        <v>1</v>
      </c>
    </row>
    <row r="34" ht="24.75" customHeight="1">
      <c r="A34" s="17" t="s">
        <v>136</v>
      </c>
      <c r="B34" s="18" t="s">
        <v>172</v>
      </c>
      <c r="C34" s="19" t="s">
        <v>140</v>
      </c>
      <c r="D34" s="20">
        <f t="shared" si="4"/>
        <v>4</v>
      </c>
      <c r="E34" s="20">
        <f t="shared" si="5"/>
        <v>2</v>
      </c>
      <c r="F34" s="20">
        <f t="shared" si="6"/>
        <v>2</v>
      </c>
      <c r="G34" s="20">
        <f>IF(C34&lt;&gt;"",
    COUNTIFS(MATCH_INPUT!$K$2:$K$5,C34),
0)</f>
        <v>1</v>
      </c>
      <c r="H34" s="20">
        <f>IF(C34&lt;&gt;"",
    COUNTIFS(MATCH_INPUT!$F$2:$F$5, C34, MATCH_INPUT!$K$2:$K$5, "Draw") +
    COUNTIFS(MATCH_INPUT!$J$2:$J$5, C34, MATCH_INPUT!$K$2:$K$5, "Draw"),
0)</f>
        <v>0</v>
      </c>
      <c r="I34" s="20">
        <f>IF(C34&lt;&gt;"",
    COUNTIFS(MATCH_INPUT!$F$2:$F$5, C34, MATCH_INPUT!$K$2:$K$5, "&lt;&gt;"&amp;C34, MATCH_INPUT!$K$2:$K$5, "&lt;&gt;Draw", MATCH_INPUT!$K$2:$K$5, "&lt;&gt;""") +
    COUNTIFS(MATCH_INPUT!$J$2:$J$5, C34, MATCH_INPUT!$K$2:$K$5, "&lt;&gt;"&amp;C34, MATCH_INPUT!$K$2:$K$5, "&lt;&gt;Draw", MATCH_INPUT!$K$2:$K$5, "&lt;&gt;"""),
0)</f>
        <v>1</v>
      </c>
      <c r="J34" s="21">
        <v>1.0</v>
      </c>
      <c r="K34" s="21"/>
      <c r="L34" s="22"/>
      <c r="M34" s="23">
        <f t="shared" si="7"/>
        <v>11</v>
      </c>
      <c r="N34" s="24" t="str">
        <f t="shared" si="8"/>
        <v>↓</v>
      </c>
      <c r="O34" s="25" t="s">
        <v>141</v>
      </c>
      <c r="P34" s="26">
        <f t="shared" si="9"/>
        <v>9</v>
      </c>
      <c r="Q34" s="26">
        <f t="shared" si="10"/>
        <v>2</v>
      </c>
      <c r="R34" s="26">
        <f t="shared" si="11"/>
        <v>3</v>
      </c>
      <c r="S34" s="26">
        <f>IF(O34&lt;&gt;"",
    COUNTIFS(MATCH_INPUT!$K$6:$K$9,O34),
0)</f>
        <v>1</v>
      </c>
      <c r="T34" s="26">
        <f>IF(O34&lt;&gt;"",
    COUNTIFS(MATCH_INPUT!$F$6:$F$9, O34, MATCH_INPUT!$K$6:$K$9, "Draw") +
    COUNTIFS(MATCH_INPUT!$J$6:$J$9, O34, MATCH_INPUT!$K$6:$K$9, "Draw"),
0)</f>
        <v>1</v>
      </c>
      <c r="U34" s="26">
        <f>IF(O34&lt;&gt;"",
    COUNTIFS(MATCH_INPUT!$F$6:$F$9, O34, MATCH_INPUT!$K$6:$K$9, "&lt;&gt;"&amp;O34, MATCH_INPUT!$K$6:$K$9, "&lt;&gt;Draw", MATCH_INPUT!$K$6:$K$9, "&lt;&gt;""") +
    COUNTIFS(MATCH_INPUT!$J$6:$J$9, O34, MATCH_INPUT!$K$6:$K$9, "&lt;&gt;"&amp;O34, MATCH_INPUT!$K$6:$K$9, "&lt;&gt;Draw", MATCH_INPUT!$K$6:$K$9, "&lt;&gt;"""),
0)</f>
        <v>0</v>
      </c>
      <c r="V34" s="27"/>
      <c r="W34" s="27"/>
      <c r="X34" s="28"/>
      <c r="Y34" s="26">
        <f t="shared" si="12"/>
        <v>11</v>
      </c>
      <c r="Z34" s="29" t="str">
        <f t="shared" si="13"/>
        <v>=</v>
      </c>
      <c r="AA34" s="19" t="s">
        <v>139</v>
      </c>
      <c r="AB34" s="23">
        <f t="shared" si="14"/>
        <v>13</v>
      </c>
      <c r="AC34" s="20">
        <f t="shared" si="15"/>
        <v>2</v>
      </c>
      <c r="AD34" s="20">
        <f t="shared" si="16"/>
        <v>2</v>
      </c>
      <c r="AE34" s="20">
        <f>IF(AA34&lt;&gt;"",
    COUNTIFS(MATCH_INPUT!$K$10:$K$13,AA34),
0)</f>
        <v>1</v>
      </c>
      <c r="AF34" s="20">
        <f>IF(AA34&lt;&gt;"",
    COUNTIFS(MATCH_INPUT!$F$10:$F$13, AA34, MATCH_INPUT!$K$10:$K$13, "Draw") +
    COUNTIFS(MATCH_INPUT!$J$10:$J$13, AA34, MATCH_INPUT!$K$10:$K$13, "Draw"),
0)</f>
        <v>0</v>
      </c>
      <c r="AG34" s="20">
        <f>IF(AA34&lt;&gt;"",
    COUNTIFS(MATCH_INPUT!$F$10:$F$13, AA34, MATCH_INPUT!$K$10:$K$13, "&lt;&gt;"&amp;AA34, MATCH_INPUT!$K$10:$K$13, "&lt;&gt;Draw", MATCH_INPUT!$K$10:$K$13, "&lt;&gt;""") +
    COUNTIFS(MATCH_INPUT!$J$10:$J$13, AA34, MATCH_INPUT!$K$10:$K$13, "&lt;&gt;"&amp;AA34, MATCH_INPUT!$K$10:$K$13, "&lt;&gt;Draw", MATCH_INPUT!$K$10:$K$13, "&lt;&gt;"""),
0)</f>
        <v>1</v>
      </c>
      <c r="AH34" s="21"/>
      <c r="AI34" s="21"/>
      <c r="AJ34" s="30"/>
      <c r="AK34" s="23">
        <f t="shared" si="17"/>
        <v>8</v>
      </c>
      <c r="AL34" s="24" t="str">
        <f t="shared" si="18"/>
        <v>↑</v>
      </c>
      <c r="AM34" s="25" t="s">
        <v>138</v>
      </c>
      <c r="AN34" s="26">
        <f t="shared" si="19"/>
        <v>15</v>
      </c>
      <c r="AO34" s="26">
        <f t="shared" si="20"/>
        <v>2</v>
      </c>
      <c r="AP34" s="26">
        <f t="shared" si="21"/>
        <v>0</v>
      </c>
      <c r="AQ34" s="26">
        <f>IF(AM34&lt;&gt;"",
    COUNTIFS(MATCH_INPUT!$K$14:$K$17,AM34),
0)</f>
        <v>0</v>
      </c>
      <c r="AR34" s="26">
        <f>IF(AM34&lt;&gt;"",
    COUNTIFS(MATCH_INPUT!$F$14:$F$17, AM34, MATCH_INPUT!$K$14:$K$17, "Draw") +
    COUNTIFS(MATCH_INPUT!$J$14:$J$17, AM34, MATCH_INPUT!$K$14:$K$17, "Draw"),
0)</f>
        <v>0</v>
      </c>
      <c r="AS34" s="26">
        <f>IF(AM34&lt;&gt;"",
    COUNTIFS(MATCH_INPUT!$F$14:$F$17, AM34, MATCH_INPUT!$K$14:$K$17, "&lt;&gt;"&amp;AM34, MATCH_INPUT!$K$14:$K$17, "&lt;&gt;Draw", MATCH_INPUT!$K$14:$K$17, "&lt;&gt;""") +
    COUNTIFS(MATCH_INPUT!$J$14:$J$17, AM34, MATCH_INPUT!$K$14:$K$17, "&lt;&gt;"&amp;AM34, MATCH_INPUT!$K$14:$K$17, "&lt;&gt;Draw", MATCH_INPUT!$K$14:$K$17, "&lt;&gt;"""),
0)</f>
        <v>2</v>
      </c>
      <c r="AT34" s="27"/>
      <c r="AU34" s="27"/>
      <c r="AV34" s="28"/>
      <c r="AW34" s="26">
        <f t="shared" si="22"/>
        <v>17</v>
      </c>
      <c r="AX34" s="29" t="str">
        <f t="shared" si="23"/>
        <v>↓</v>
      </c>
      <c r="AY34" s="19"/>
      <c r="AZ34" s="23">
        <f t="shared" si="24"/>
        <v>15</v>
      </c>
      <c r="BA34" s="20">
        <f t="shared" si="25"/>
        <v>0</v>
      </c>
      <c r="BB34" s="20">
        <f>SUM(BC34*2) + (BD34*1) + SUMIFS(MATCH_INPUT!$G$18:$G$21, MATCH_INPUT!$F$18:$F$21, AY34) + SUMIFS(MATCH_INPUT!$I$18:$I$21, MATCH_INPUT!$J$18:$J$21, AY34)
</f>
        <v>0</v>
      </c>
      <c r="BC34" s="20">
        <f>IF(AY34&lt;&gt;"",
    COUNTIFS(MATCH_INPUT!$K$18:$K$21,AY34),
0)</f>
        <v>0</v>
      </c>
      <c r="BD34" s="20">
        <f>IF(AY34&lt;&gt;"",
    COUNTIFS(MATCH_INPUT!$F$18:$F$21, AY34, MATCH_INPUT!$K$18:$K$21, "Draw") +
    COUNTIFS(MATCH_INPUT!$J$18:$J$21, AY34, MATCH_INPUT!$K$18:$K$21, "Draw"),
0)</f>
        <v>0</v>
      </c>
      <c r="BE34" s="20">
        <f>IF(AY34&lt;&gt;"",
    COUNTIFS(MATCH_INPUT!$F$18:$F$21, AY34, MATCH_INPUT!$K$18:$K$21, "&lt;&gt;"&amp;AY34, MATCH_INPUT!$K$18:$K$21, "&lt;&gt;Draw", MATCH_INPUT!$K$18:$K$21, "&lt;&gt;""") +
    COUNTIFS(MATCH_INPUT!$J$18:$J$21, AY34, MATCH_INPUT!$K$18:$K$21, "&lt;&gt;"&amp;AY34, MATCH_INPUT!$K$18:$K$21, "&lt;&gt;Draw", MATCH_INPUT!$K$18:$K$21, "&lt;&gt;"""),
0)</f>
        <v>0</v>
      </c>
      <c r="BF34" s="21" t="str">
        <f t="array" ref="BF34">IFERROR(INDEX(Form_Response!E:E, MATCH(1, (Form_Response!C:C='MATCH DATES'!$B$6)*(Form_Response!D:D=B34), 0)), "")
</f>
        <v/>
      </c>
      <c r="BG34" s="21">
        <f t="array" ref="BG34">IFERROR(IF(INDEX(Form_Response!F:F, MATCH(1, (Form_Response!C:C='MATCH DATES'!$B$6)*(Form_Response!D:D=B34), 0))="Yes", 1, 0), 0)
</f>
        <v>0</v>
      </c>
      <c r="BH34" s="30" t="str">
        <f t="array" ref="BH34">IFERROR(INDEX(Form_Response!G:G, MATCH(1, (Form_Response!C:C='MATCH DATES'!$B$6)*(Form_Response!D:D=B34), 0)), "")
</f>
        <v/>
      </c>
      <c r="BI34" s="23">
        <f t="shared" si="26"/>
        <v>31</v>
      </c>
      <c r="BJ34" s="24" t="str">
        <f t="shared" si="27"/>
        <v>↓</v>
      </c>
      <c r="BK34" s="25"/>
      <c r="BL34" s="26">
        <f t="shared" si="28"/>
        <v>15</v>
      </c>
      <c r="BM34" s="26">
        <f t="shared" si="29"/>
        <v>0</v>
      </c>
      <c r="BN34" s="26">
        <f>SUM(BO34*2) + (BP34*1) + SUMIFS(MATCH_INPUT!$G$22:$G$25, MATCH_INPUT!$F$22:$F$25, BK34) + SUMIFS(MATCH_INPUT!$I$22:$I$25, MATCH_INPUT!$J$22:$J$25, BK34)
</f>
        <v>0</v>
      </c>
      <c r="BO34" s="26">
        <f>IF(BK34&lt;&gt;"",
    COUNTIFS(MATCH_INPUT!$K$22:$K$25,BK34),
0)</f>
        <v>0</v>
      </c>
      <c r="BP34" s="26">
        <f>IF(BK34&lt;&gt;"",
    COUNTIFS(MATCH_INPUT!$F$22:$F$25, BK34, MATCH_INPUT!$K$22:$K$25, "Draw") +
    COUNTIFS(MATCH_INPUT!$J$22:$J$25, BK34, MATCH_INPUT!$K$22:$K$25, "Draw"),
0)</f>
        <v>0</v>
      </c>
      <c r="BQ34" s="26">
        <f>IF(BK34&lt;&gt;"",
    COUNTIFS(MATCH_INPUT!$F$22:$F$25, BK34, MATCH_INPUT!$K$22:$K$25, "&lt;&gt;"&amp;BK34, MATCH_INPUT!$K$22:$K$25, "&lt;&gt;Draw", MATCH_INPUT!$K$22:$K$25, "&lt;&gt;""") +
    COUNTIFS(MATCH_INPUT!$J$22:$J$25, BK34, MATCH_INPUT!$K$22:$K$25, "&lt;&gt;"&amp;BK34, MATCH_INPUT!$K$22:$K$25, "&lt;&gt;Draw", MATCH_INPUT!$K$22:$K$25, "&lt;&gt;"""),
0)</f>
        <v>0</v>
      </c>
      <c r="BR34" s="27"/>
      <c r="BS34" s="27"/>
      <c r="BT34" s="28"/>
      <c r="BU34" s="26">
        <f t="shared" si="30"/>
        <v>32</v>
      </c>
      <c r="BV34" s="29" t="str">
        <f t="shared" si="31"/>
        <v>↓</v>
      </c>
      <c r="BW34" s="19" t="s">
        <v>138</v>
      </c>
      <c r="BX34" s="23">
        <f t="shared" si="32"/>
        <v>26</v>
      </c>
      <c r="BY34" s="20">
        <f t="shared" si="33"/>
        <v>2</v>
      </c>
      <c r="BZ34" s="20">
        <f>SUM(CA34*2)+(CB34*1) + SUMIFS(MATCH_INPUT!$G$26:$G$29, MATCH_INPUT!$F$26:$F$29, BW34) + SUMIFS(MATCH_INPUT!$I$26:$I$29, MATCH_INPUT!$J$26:$J$29, BW34)
</f>
        <v>9</v>
      </c>
      <c r="CA34" s="20">
        <f>IF(BW34&lt;&gt;"",
    COUNTIFS(MATCH_INPUT!$K$26:$K$29,BW34),
0)</f>
        <v>2</v>
      </c>
      <c r="CB34" s="20">
        <f>IF(BW34&lt;&gt;"",
    COUNTIFS(MATCH_INPUT!$F$26:$F$29, BW34, MATCH_INPUT!$K$26:$K$29, "Draw") +
    COUNTIFS(MATCH_INPUT!$J$26:$J$29, BW34, MATCH_INPUT!$K$26:$K$29, "Draw"),
0)</f>
        <v>0</v>
      </c>
      <c r="CC34" s="20">
        <f>IF(BW34&lt;&gt;"",
    COUNTIFS(MATCH_INPUT!$F$26:$F$29, BW34, MATCH_INPUT!$K$26:$K$29, "&lt;&gt;"&amp;BW34, MATCH_INPUT!$K$26:$K$29, "&lt;&gt;Draw", MATCH_INPUT!$K$26:$K$29, "&lt;&gt;""") +
    COUNTIFS(MATCH_INPUT!$J$26:$J$29, BW34, MATCH_INPUT!$K$26:$K$29, "&lt;&gt;"&amp;BW34, MATCH_INPUT!$K$26:$K$29, "&lt;&gt;Draw", MATCH_INPUT!$K$26:$K$29, "&lt;&gt;"""),
0)</f>
        <v>0</v>
      </c>
      <c r="CD34" s="21"/>
      <c r="CE34" s="21"/>
      <c r="CF34" s="30"/>
      <c r="CG34" s="23">
        <f t="shared" si="34"/>
        <v>29</v>
      </c>
      <c r="CH34" s="24" t="str">
        <f t="shared" si="35"/>
        <v>↑</v>
      </c>
      <c r="CI34" s="25" t="s">
        <v>141</v>
      </c>
      <c r="CJ34" s="26">
        <f t="shared" si="36"/>
        <v>38</v>
      </c>
      <c r="CK34" s="26">
        <f t="shared" si="37"/>
        <v>2</v>
      </c>
      <c r="CL34" s="26">
        <f>SUM(CM34*2)+(CN34*1) + SUMIFS(MATCH_INPUT!$G$30:$G$33, MATCH_INPUT!$F$30:$F$33, CI34) + SUMIFS(MATCH_INPUT!$I$30:$I$33, MATCH_INPUT!$J$30:$J$33, CI34)
</f>
        <v>10</v>
      </c>
      <c r="CM34" s="26">
        <f>IF(CI34&lt;&gt;"",
    COUNTIFS(MATCH_INPUT!$K$30:$K$33,CI34),
0)</f>
        <v>2</v>
      </c>
      <c r="CN34" s="26">
        <f>IF(CI34&lt;&gt;"",
    COUNTIFS(MATCH_INPUT!$F$30:$F$33, CI34, MATCH_INPUT!$K$30:$K$33, "Draw") +
    COUNTIFS(MATCH_INPUT!$J$30:$J$33, CI34, MATCH_INPUT!$K$30:$K$33, "Draw"),
0)</f>
        <v>0</v>
      </c>
      <c r="CO34" s="26">
        <f>IF(CI34&lt;&gt;"",
    COUNTIFS(MATCH_INPUT!$F$30:$F$33, CI34, MATCH_INPUT!$K$30:$K$33, "&lt;&gt;"&amp;CI34, MATCH_INPUT!$K$30:$K$33, "&lt;&gt;Draw", MATCH_INPUT!$K$30:$K$33, "&lt;&gt;""") +
    COUNTIFS(MATCH_INPUT!$J$30:$J$33, CI34, MATCH_INPUT!$K$30:$K$33, "&lt;&gt;"&amp;CI34, MATCH_INPUT!$K$30:$K$33, "&lt;&gt;Draw", MATCH_INPUT!$K$30:$K$33, "&lt;&gt;"""),
0)</f>
        <v>0</v>
      </c>
      <c r="CP34" s="27" t="str">
        <f t="array" ref="CP34">IFERROR(INDEX(Form_Response!E:E, MATCH(1, (Form_Response!C:C='MATCH DATES'!$B$9)*(Form_Response!D:D=B34), 0)), "")
</f>
        <v/>
      </c>
      <c r="CQ34" s="27">
        <f t="array" ref="CQ34">IFERROR(IF(INDEX(Form_Response!F:F, MATCH(1, (Form_Response!C:C='MATCH DATES'!$B$9)*(Form_Response!D:D=B34), 0))="Yes", 1, 0), 0)
</f>
        <v>0</v>
      </c>
      <c r="CR34" s="28" t="str">
        <f t="array" ref="CR34">IFERROR(INDEX(Form_Response!G:G, MATCH(1, (Form_Response!C:C='MATCH DATES'!$B$9)*(Form_Response!D:D=B34), 0)), "")
</f>
        <v/>
      </c>
      <c r="CS34" s="31">
        <f t="shared" si="38"/>
        <v>23</v>
      </c>
      <c r="CT34" s="31" t="str">
        <f t="shared" si="39"/>
        <v>↑</v>
      </c>
      <c r="CU34" s="32">
        <f t="shared" si="40"/>
        <v>26</v>
      </c>
      <c r="CV34" s="32" t="str">
        <f t="shared" ref="CV34:CW34" si="133">A34</f>
        <v>⭐️</v>
      </c>
      <c r="CW34" s="33" t="str">
        <f t="shared" si="133"/>
        <v>Carlos Haro</v>
      </c>
      <c r="CX34" s="33">
        <f t="shared" si="42"/>
        <v>38</v>
      </c>
      <c r="CY34" s="32">
        <f>SUM(
  IF(AND('MATCH DATES'!$A$2 &lt;= TODAY(), NOW() &gt;= 'MATCH DATES'!$A$2 + TIME(22, 0, 0)), E34, 0),
  IF(AND('MATCH DATES'!$A$3 &lt;= TODAY(), NOW() &gt;= 'MATCH DATES'!$A$3 + TIME(22, 0, 0)), Q34, 0),
  IF(AND('MATCH DATES'!$A$4 &lt;= TODAY(), NOW() &gt;= 'MATCH DATES'!$A$4 + TIME(22, 0, 0)), AC34, 0),
  IF(AND('MATCH DATES'!$A$5 &lt;= TODAY(), NOW() &gt;= 'MATCH DATES'!$A$5 + TIME(22, 0, 0)), AO34, 0),
  IF(AND('MATCH DATES'!$A$6 &lt;= TODAY(), NOW() &gt;= 'MATCH DATES'!$A$6 + TIME(22, 0, 0)), BA34, 0),
  IF(AND('MATCH DATES'!$A$7 &lt;= TODAY(), NOW() &gt;= 'MATCH DATES'!$A$7 + TIME(22, 0, 0)), BM34, 0),
  IF(AND('MATCH DATES'!$A$8 &lt;= TODAY(), NOW() &gt;= 'MATCH DATES'!$A$8 + TIME(22, 0, 0)), BY34, 0),
  IF(AND('MATCH DATES'!$A$9 &lt;= TODAY(), NOW() &gt;= 'MATCH DATES'!$A$9 + TIME(22, 0, 0)), CK34, 0)
)
</f>
        <v>12</v>
      </c>
      <c r="CZ34" s="33">
        <f t="shared" ref="CZ34:DA34" si="134">SUM(G34,S34,AE34,AQ34,BC34,BO34,CA34,CM34)</f>
        <v>7</v>
      </c>
      <c r="DA34" s="33">
        <f t="shared" si="134"/>
        <v>1</v>
      </c>
      <c r="DB34" s="33">
        <f>SUM(
  IF(AND('MATCH DATES'!$A$2 &lt;= TODAY(), NOW() &gt;= 'MATCH DATES'!$A$2 + TIME(22, 0, 0)), I34, 0),
  IF(AND('MATCH DATES'!$A$3 &lt;= TODAY(), NOW() &gt;= 'MATCH DATES'!$A$3 + TIME(22, 0, 0)), U34, 0),
  IF(AND('MATCH DATES'!$A$4 &lt;= TODAY(), NOW() &gt;= 'MATCH DATES'!$A$4 + TIME(22, 0, 0)), AG34, 0),
  IF(AND('MATCH DATES'!$A$5 &lt;= TODAY(), NOW() &gt;= 'MATCH DATES'!$A$5 + TIME(22, 0, 0)), AS34, 0),
  IF(AND('MATCH DATES'!$A$6 &lt;= TODAY(), NOW() &gt;= 'MATCH DATES'!$A$6 + TIME(22, 0, 0)), BE34, 0),
  IF(AND('MATCH DATES'!$A$7 &lt;= TODAY(), NOW() &gt;= 'MATCH DATES'!$A$7 + TIME(22, 0, 0)), BQ34, 0),
  IF(AND('MATCH DATES'!$A$8 &lt;= TODAY(), NOW() &gt;= 'MATCH DATES'!$A$8 + TIME(22, 0, 0)), CC34, 0),
  IF(AND('MATCH DATES'!$A$9 &lt;= TODAY(), NOW() &gt;= 'MATCH DATES'!$A$9 + TIME(22, 0, 0)), CO34, 0)
)</f>
        <v>4</v>
      </c>
      <c r="DC34" s="33">
        <f t="shared" si="44"/>
        <v>1</v>
      </c>
      <c r="DD34" s="33">
        <f t="shared" ref="DD34:DE34" si="135">SUM(K34,W34,AI34,AU34,BG34,BS34,CE34,CQ34)</f>
        <v>0</v>
      </c>
      <c r="DE34" s="33">
        <f t="shared" si="135"/>
        <v>0</v>
      </c>
    </row>
    <row r="35" ht="24.75" customHeight="1">
      <c r="A35" s="17" t="s">
        <v>136</v>
      </c>
      <c r="B35" s="18" t="s">
        <v>173</v>
      </c>
      <c r="C35" s="19" t="s">
        <v>141</v>
      </c>
      <c r="D35" s="20">
        <f t="shared" si="4"/>
        <v>4</v>
      </c>
      <c r="E35" s="20">
        <f t="shared" si="5"/>
        <v>2</v>
      </c>
      <c r="F35" s="20">
        <f t="shared" si="6"/>
        <v>2</v>
      </c>
      <c r="G35" s="20">
        <f>IF(C35&lt;&gt;"",
    COUNTIFS(MATCH_INPUT!$K$2:$K$5,C35),
0)</f>
        <v>1</v>
      </c>
      <c r="H35" s="20">
        <f>IF(C35&lt;&gt;"",
    COUNTIFS(MATCH_INPUT!$F$2:$F$5, C35, MATCH_INPUT!$K$2:$K$5, "Draw") +
    COUNTIFS(MATCH_INPUT!$J$2:$J$5, C35, MATCH_INPUT!$K$2:$K$5, "Draw"),
0)</f>
        <v>0</v>
      </c>
      <c r="I35" s="20">
        <f>IF(C35&lt;&gt;"",
    COUNTIFS(MATCH_INPUT!$F$2:$F$5, C35, MATCH_INPUT!$K$2:$K$5, "&lt;&gt;"&amp;C35, MATCH_INPUT!$K$2:$K$5, "&lt;&gt;Draw", MATCH_INPUT!$K$2:$K$5, "&lt;&gt;""") +
    COUNTIFS(MATCH_INPUT!$J$2:$J$5, C35, MATCH_INPUT!$K$2:$K$5, "&lt;&gt;"&amp;C35, MATCH_INPUT!$K$2:$K$5, "&lt;&gt;Draw", MATCH_INPUT!$K$2:$K$5, "&lt;&gt;"""),
0)</f>
        <v>1</v>
      </c>
      <c r="J35" s="21"/>
      <c r="K35" s="21"/>
      <c r="L35" s="22"/>
      <c r="M35" s="23">
        <f t="shared" si="7"/>
        <v>11</v>
      </c>
      <c r="N35" s="24" t="str">
        <f t="shared" si="8"/>
        <v>↓</v>
      </c>
      <c r="O35" s="25" t="s">
        <v>138</v>
      </c>
      <c r="P35" s="26">
        <f t="shared" si="9"/>
        <v>6</v>
      </c>
      <c r="Q35" s="26">
        <f t="shared" si="10"/>
        <v>2</v>
      </c>
      <c r="R35" s="26">
        <f t="shared" si="11"/>
        <v>0</v>
      </c>
      <c r="S35" s="26">
        <f>IF(O35&lt;&gt;"",
    COUNTIFS(MATCH_INPUT!$K$6:$K$9,O35),
0)</f>
        <v>0</v>
      </c>
      <c r="T35" s="26">
        <f>IF(O35&lt;&gt;"",
    COUNTIFS(MATCH_INPUT!$F$6:$F$9, O35, MATCH_INPUT!$K$6:$K$9, "Draw") +
    COUNTIFS(MATCH_INPUT!$J$6:$J$9, O35, MATCH_INPUT!$K$6:$K$9, "Draw"),
0)</f>
        <v>0</v>
      </c>
      <c r="U35" s="26">
        <f>IF(O35&lt;&gt;"",
    COUNTIFS(MATCH_INPUT!$F$6:$F$9, O35, MATCH_INPUT!$K$6:$K$9, "&lt;&gt;"&amp;O35, MATCH_INPUT!$K$6:$K$9, "&lt;&gt;Draw", MATCH_INPUT!$K$6:$K$9, "&lt;&gt;""") +
    COUNTIFS(MATCH_INPUT!$J$6:$J$9, O35, MATCH_INPUT!$K$6:$K$9, "&lt;&gt;"&amp;O35, MATCH_INPUT!$K$6:$K$9, "&lt;&gt;Draw", MATCH_INPUT!$K$6:$K$9, "&lt;&gt;"""),
0)</f>
        <v>2</v>
      </c>
      <c r="V35" s="27"/>
      <c r="W35" s="27"/>
      <c r="X35" s="28"/>
      <c r="Y35" s="26">
        <f t="shared" si="12"/>
        <v>20</v>
      </c>
      <c r="Z35" s="29" t="str">
        <f t="shared" si="13"/>
        <v>↓</v>
      </c>
      <c r="AA35" s="19" t="s">
        <v>140</v>
      </c>
      <c r="AB35" s="23">
        <f t="shared" si="14"/>
        <v>10</v>
      </c>
      <c r="AC35" s="20">
        <f t="shared" si="15"/>
        <v>2</v>
      </c>
      <c r="AD35" s="20">
        <f t="shared" si="16"/>
        <v>2</v>
      </c>
      <c r="AE35" s="20">
        <f>IF(AA35&lt;&gt;"",
    COUNTIFS(MATCH_INPUT!$K$10:$K$13,AA35),
0)</f>
        <v>1</v>
      </c>
      <c r="AF35" s="20">
        <f>IF(AA35&lt;&gt;"",
    COUNTIFS(MATCH_INPUT!$F$10:$F$13, AA35, MATCH_INPUT!$K$10:$K$13, "Draw") +
    COUNTIFS(MATCH_INPUT!$J$10:$J$13, AA35, MATCH_INPUT!$K$10:$K$13, "Draw"),
0)</f>
        <v>0</v>
      </c>
      <c r="AG35" s="20">
        <f>IF(AA35&lt;&gt;"",
    COUNTIFS(MATCH_INPUT!$F$10:$F$13, AA35, MATCH_INPUT!$K$10:$K$13, "&lt;&gt;"&amp;AA35, MATCH_INPUT!$K$10:$K$13, "&lt;&gt;Draw", MATCH_INPUT!$K$10:$K$13, "&lt;&gt;""") +
    COUNTIFS(MATCH_INPUT!$J$10:$J$13, AA35, MATCH_INPUT!$K$10:$K$13, "&lt;&gt;"&amp;AA35, MATCH_INPUT!$K$10:$K$13, "&lt;&gt;Draw", MATCH_INPUT!$K$10:$K$13, "&lt;&gt;"""),
0)</f>
        <v>1</v>
      </c>
      <c r="AH35" s="21">
        <v>1.0</v>
      </c>
      <c r="AI35" s="21"/>
      <c r="AJ35" s="30"/>
      <c r="AK35" s="23">
        <f t="shared" si="17"/>
        <v>20</v>
      </c>
      <c r="AL35" s="24" t="str">
        <f t="shared" si="18"/>
        <v>=</v>
      </c>
      <c r="AM35" s="25" t="s">
        <v>140</v>
      </c>
      <c r="AN35" s="26">
        <f t="shared" si="19"/>
        <v>14</v>
      </c>
      <c r="AO35" s="26">
        <f t="shared" si="20"/>
        <v>2</v>
      </c>
      <c r="AP35" s="26">
        <f t="shared" si="21"/>
        <v>2</v>
      </c>
      <c r="AQ35" s="26">
        <f>IF(AM35&lt;&gt;"",
    COUNTIFS(MATCH_INPUT!$K$14:$K$17,AM35),
0)</f>
        <v>1</v>
      </c>
      <c r="AR35" s="26">
        <f>IF(AM35&lt;&gt;"",
    COUNTIFS(MATCH_INPUT!$F$14:$F$17, AM35, MATCH_INPUT!$K$14:$K$17, "Draw") +
    COUNTIFS(MATCH_INPUT!$J$14:$J$17, AM35, MATCH_INPUT!$K$14:$K$17, "Draw"),
0)</f>
        <v>0</v>
      </c>
      <c r="AS35" s="26">
        <f>IF(AM35&lt;&gt;"",
    COUNTIFS(MATCH_INPUT!$F$14:$F$17, AM35, MATCH_INPUT!$K$14:$K$17, "&lt;&gt;"&amp;AM35, MATCH_INPUT!$K$14:$K$17, "&lt;&gt;Draw", MATCH_INPUT!$K$14:$K$17, "&lt;&gt;""") +
    COUNTIFS(MATCH_INPUT!$J$14:$J$17, AM35, MATCH_INPUT!$K$14:$K$17, "&lt;&gt;"&amp;AM35, MATCH_INPUT!$K$14:$K$17, "&lt;&gt;Draw", MATCH_INPUT!$K$14:$K$17, "&lt;&gt;"""),
0)</f>
        <v>1</v>
      </c>
      <c r="AT35" s="27">
        <v>1.0</v>
      </c>
      <c r="AU35" s="27"/>
      <c r="AV35" s="28"/>
      <c r="AW35" s="26">
        <f t="shared" si="22"/>
        <v>19</v>
      </c>
      <c r="AX35" s="29" t="str">
        <f t="shared" si="23"/>
        <v>↑</v>
      </c>
      <c r="AY35" s="19"/>
      <c r="AZ35" s="23">
        <f t="shared" si="24"/>
        <v>14</v>
      </c>
      <c r="BA35" s="20">
        <f t="shared" si="25"/>
        <v>0</v>
      </c>
      <c r="BB35" s="20">
        <f>SUM(BC35*2) + (BD35*1) + SUMIFS(MATCH_INPUT!$G$18:$G$21, MATCH_INPUT!$F$18:$F$21, AY35) + SUMIFS(MATCH_INPUT!$I$18:$I$21, MATCH_INPUT!$J$18:$J$21, AY35)
</f>
        <v>0</v>
      </c>
      <c r="BC35" s="20">
        <f>IF(AY35&lt;&gt;"",
    COUNTIFS(MATCH_INPUT!$K$18:$K$21,AY35),
0)</f>
        <v>0</v>
      </c>
      <c r="BD35" s="20">
        <f>IF(AY35&lt;&gt;"",
    COUNTIFS(MATCH_INPUT!$F$18:$F$21, AY35, MATCH_INPUT!$K$18:$K$21, "Draw") +
    COUNTIFS(MATCH_INPUT!$J$18:$J$21, AY35, MATCH_INPUT!$K$18:$K$21, "Draw"),
0)</f>
        <v>0</v>
      </c>
      <c r="BE35" s="20">
        <f>IF(AY35&lt;&gt;"",
    COUNTIFS(MATCH_INPUT!$F$18:$F$21, AY35, MATCH_INPUT!$K$18:$K$21, "&lt;&gt;"&amp;AY35, MATCH_INPUT!$K$18:$K$21, "&lt;&gt;Draw", MATCH_INPUT!$K$18:$K$21, "&lt;&gt;""") +
    COUNTIFS(MATCH_INPUT!$J$18:$J$21, AY35, MATCH_INPUT!$K$18:$K$21, "&lt;&gt;"&amp;AY35, MATCH_INPUT!$K$18:$K$21, "&lt;&gt;Draw", MATCH_INPUT!$K$18:$K$21, "&lt;&gt;"""),
0)</f>
        <v>0</v>
      </c>
      <c r="BF35" s="21" t="str">
        <f t="array" ref="BF35">IFERROR(INDEX(Form_Response!E:E, MATCH(1, (Form_Response!C:C='MATCH DATES'!$B$6)*(Form_Response!D:D=B35), 0)), "")
</f>
        <v/>
      </c>
      <c r="BG35" s="21">
        <f t="array" ref="BG35">IFERROR(IF(INDEX(Form_Response!F:F, MATCH(1, (Form_Response!C:C='MATCH DATES'!$B$6)*(Form_Response!D:D=B35), 0))="Yes", 1, 0), 0)
</f>
        <v>0</v>
      </c>
      <c r="BH35" s="30" t="str">
        <f t="array" ref="BH35">IFERROR(INDEX(Form_Response!G:G, MATCH(1, (Form_Response!C:C='MATCH DATES'!$B$6)*(Form_Response!D:D=B35), 0)), "")
</f>
        <v/>
      </c>
      <c r="BI35" s="23">
        <f t="shared" si="26"/>
        <v>32</v>
      </c>
      <c r="BJ35" s="24" t="str">
        <f t="shared" si="27"/>
        <v>↓</v>
      </c>
      <c r="BK35" s="25"/>
      <c r="BL35" s="26">
        <f t="shared" si="28"/>
        <v>14</v>
      </c>
      <c r="BM35" s="26">
        <f t="shared" si="29"/>
        <v>0</v>
      </c>
      <c r="BN35" s="26">
        <f>SUM(BO35*2) + (BP35*1) + SUMIFS(MATCH_INPUT!$G$22:$G$25, MATCH_INPUT!$F$22:$F$25, BK35) + SUMIFS(MATCH_INPUT!$I$22:$I$25, MATCH_INPUT!$J$22:$J$25, BK35)
</f>
        <v>0</v>
      </c>
      <c r="BO35" s="26">
        <f>IF(BK35&lt;&gt;"",
    COUNTIFS(MATCH_INPUT!$K$22:$K$25,BK35),
0)</f>
        <v>0</v>
      </c>
      <c r="BP35" s="26">
        <f>IF(BK35&lt;&gt;"",
    COUNTIFS(MATCH_INPUT!$F$22:$F$25, BK35, MATCH_INPUT!$K$22:$K$25, "Draw") +
    COUNTIFS(MATCH_INPUT!$J$22:$J$25, BK35, MATCH_INPUT!$K$22:$K$25, "Draw"),
0)</f>
        <v>0</v>
      </c>
      <c r="BQ35" s="26">
        <f>IF(BK35&lt;&gt;"",
    COUNTIFS(MATCH_INPUT!$F$22:$F$25, BK35, MATCH_INPUT!$K$22:$K$25, "&lt;&gt;"&amp;BK35, MATCH_INPUT!$K$22:$K$25, "&lt;&gt;Draw", MATCH_INPUT!$K$22:$K$25, "&lt;&gt;""") +
    COUNTIFS(MATCH_INPUT!$J$22:$J$25, BK35, MATCH_INPUT!$K$22:$K$25, "&lt;&gt;"&amp;BK35, MATCH_INPUT!$K$22:$K$25, "&lt;&gt;Draw", MATCH_INPUT!$K$22:$K$25, "&lt;&gt;"""),
0)</f>
        <v>0</v>
      </c>
      <c r="BR35" s="27"/>
      <c r="BS35" s="27"/>
      <c r="BT35" s="28"/>
      <c r="BU35" s="26">
        <f t="shared" si="30"/>
        <v>33</v>
      </c>
      <c r="BV35" s="29" t="str">
        <f t="shared" si="31"/>
        <v>↓</v>
      </c>
      <c r="BW35" s="19" t="s">
        <v>139</v>
      </c>
      <c r="BX35" s="23">
        <f t="shared" si="32"/>
        <v>18</v>
      </c>
      <c r="BY35" s="20">
        <f t="shared" si="33"/>
        <v>2</v>
      </c>
      <c r="BZ35" s="20">
        <f>SUM(CA35*2)+(CB35*1) + SUMIFS(MATCH_INPUT!$G$26:$G$29, MATCH_INPUT!$F$26:$F$29, BW35) + SUMIFS(MATCH_INPUT!$I$26:$I$29, MATCH_INPUT!$J$26:$J$29, BW35)
</f>
        <v>2</v>
      </c>
      <c r="CA35" s="20">
        <f>IF(BW35&lt;&gt;"",
    COUNTIFS(MATCH_INPUT!$K$26:$K$29,BW35),
0)</f>
        <v>0</v>
      </c>
      <c r="CB35" s="20">
        <f>IF(BW35&lt;&gt;"",
    COUNTIFS(MATCH_INPUT!$F$26:$F$29, BW35, MATCH_INPUT!$K$26:$K$29, "Draw") +
    COUNTIFS(MATCH_INPUT!$J$26:$J$29, BW35, MATCH_INPUT!$K$26:$K$29, "Draw"),
0)</f>
        <v>0</v>
      </c>
      <c r="CC35" s="20">
        <f>IF(BW35&lt;&gt;"",
    COUNTIFS(MATCH_INPUT!$F$26:$F$29, BW35, MATCH_INPUT!$K$26:$K$29, "&lt;&gt;"&amp;BW35, MATCH_INPUT!$K$26:$K$29, "&lt;&gt;Draw", MATCH_INPUT!$K$26:$K$29, "&lt;&gt;""") +
    COUNTIFS(MATCH_INPUT!$J$26:$J$29, BW35, MATCH_INPUT!$K$26:$K$29, "&lt;&gt;"&amp;BW35, MATCH_INPUT!$K$26:$K$29, "&lt;&gt;Draw", MATCH_INPUT!$K$26:$K$29, "&lt;&gt;"""),
0)</f>
        <v>2</v>
      </c>
      <c r="CD35" s="21"/>
      <c r="CE35" s="21"/>
      <c r="CF35" s="30"/>
      <c r="CG35" s="23">
        <f t="shared" si="34"/>
        <v>33</v>
      </c>
      <c r="CH35" s="24" t="str">
        <f t="shared" si="35"/>
        <v>=</v>
      </c>
      <c r="CI35" s="25" t="s">
        <v>138</v>
      </c>
      <c r="CJ35" s="26">
        <f t="shared" si="36"/>
        <v>23</v>
      </c>
      <c r="CK35" s="26">
        <f t="shared" si="37"/>
        <v>2</v>
      </c>
      <c r="CL35" s="26">
        <f>SUM(CM35*2)+(CN35*1) + SUMIFS(MATCH_INPUT!$G$30:$G$33, MATCH_INPUT!$F$30:$F$33, CI35) + SUMIFS(MATCH_INPUT!$I$30:$I$33, MATCH_INPUT!$J$30:$J$33, CI35)
</f>
        <v>3</v>
      </c>
      <c r="CM35" s="26">
        <f>IF(CI35&lt;&gt;"",
    COUNTIFS(MATCH_INPUT!$K$30:$K$33,CI35),
0)</f>
        <v>1</v>
      </c>
      <c r="CN35" s="26">
        <f>IF(CI35&lt;&gt;"",
    COUNTIFS(MATCH_INPUT!$F$30:$F$33, CI35, MATCH_INPUT!$K$30:$K$33, "Draw") +
    COUNTIFS(MATCH_INPUT!$J$30:$J$33, CI35, MATCH_INPUT!$K$30:$K$33, "Draw"),
0)</f>
        <v>0</v>
      </c>
      <c r="CO35" s="26">
        <f>IF(CI35&lt;&gt;"",
    COUNTIFS(MATCH_INPUT!$F$30:$F$33, CI35, MATCH_INPUT!$K$30:$K$33, "&lt;&gt;"&amp;CI35, MATCH_INPUT!$K$30:$K$33, "&lt;&gt;Draw", MATCH_INPUT!$K$30:$K$33, "&lt;&gt;""") +
    COUNTIFS(MATCH_INPUT!$J$30:$J$33, CI35, MATCH_INPUT!$K$30:$K$33, "&lt;&gt;"&amp;CI35, MATCH_INPUT!$K$30:$K$33, "&lt;&gt;Draw", MATCH_INPUT!$K$30:$K$33, "&lt;&gt;"""),
0)</f>
        <v>1</v>
      </c>
      <c r="CP35" s="27" t="str">
        <f t="array" ref="CP35">IFERROR(INDEX(Form_Response!E:E, MATCH(1, (Form_Response!C:C='MATCH DATES'!$B$9)*(Form_Response!D:D=B35), 0)), "")
</f>
        <v/>
      </c>
      <c r="CQ35" s="27">
        <f t="array" ref="CQ35">IFERROR(IF(INDEX(Form_Response!F:F, MATCH(1, (Form_Response!C:C='MATCH DATES'!$B$9)*(Form_Response!D:D=B35), 0))="Yes", 1, 0), 0)
</f>
        <v>0</v>
      </c>
      <c r="CR35" s="28" t="str">
        <f t="array" ref="CR35">IFERROR(INDEX(Form_Response!G:G, MATCH(1, (Form_Response!C:C='MATCH DATES'!$B$9)*(Form_Response!D:D=B35), 0)), "")
</f>
        <v/>
      </c>
      <c r="CS35" s="31">
        <f t="shared" si="38"/>
        <v>33</v>
      </c>
      <c r="CT35" s="31" t="str">
        <f t="shared" si="39"/>
        <v>=</v>
      </c>
      <c r="CU35" s="32">
        <f t="shared" si="40"/>
        <v>11</v>
      </c>
      <c r="CV35" s="32" t="str">
        <f t="shared" ref="CV35:CW35" si="136">A35</f>
        <v>⭐️</v>
      </c>
      <c r="CW35" s="33" t="str">
        <f t="shared" si="136"/>
        <v>David</v>
      </c>
      <c r="CX35" s="33">
        <f t="shared" si="42"/>
        <v>23</v>
      </c>
      <c r="CY35" s="32">
        <f>SUM(
  IF(AND('MATCH DATES'!$A$2 &lt;= TODAY(), NOW() &gt;= 'MATCH DATES'!$A$2 + TIME(22, 0, 0)), E35, 0),
  IF(AND('MATCH DATES'!$A$3 &lt;= TODAY(), NOW() &gt;= 'MATCH DATES'!$A$3 + TIME(22, 0, 0)), Q35, 0),
  IF(AND('MATCH DATES'!$A$4 &lt;= TODAY(), NOW() &gt;= 'MATCH DATES'!$A$4 + TIME(22, 0, 0)), AC35, 0),
  IF(AND('MATCH DATES'!$A$5 &lt;= TODAY(), NOW() &gt;= 'MATCH DATES'!$A$5 + TIME(22, 0, 0)), AO35, 0),
  IF(AND('MATCH DATES'!$A$6 &lt;= TODAY(), NOW() &gt;= 'MATCH DATES'!$A$6 + TIME(22, 0, 0)), BA35, 0),
  IF(AND('MATCH DATES'!$A$7 &lt;= TODAY(), NOW() &gt;= 'MATCH DATES'!$A$7 + TIME(22, 0, 0)), BM35, 0),
  IF(AND('MATCH DATES'!$A$8 &lt;= TODAY(), NOW() &gt;= 'MATCH DATES'!$A$8 + TIME(22, 0, 0)), BY35, 0),
  IF(AND('MATCH DATES'!$A$9 &lt;= TODAY(), NOW() &gt;= 'MATCH DATES'!$A$9 + TIME(22, 0, 0)), CK35, 0)
)
</f>
        <v>12</v>
      </c>
      <c r="CZ35" s="33">
        <f t="shared" ref="CZ35:DA35" si="137">SUM(G35,S35,AE35,AQ35,BC35,BO35,CA35,CM35)</f>
        <v>4</v>
      </c>
      <c r="DA35" s="33">
        <f t="shared" si="137"/>
        <v>0</v>
      </c>
      <c r="DB35" s="33">
        <f>SUM(
  IF(AND('MATCH DATES'!$A$2 &lt;= TODAY(), NOW() &gt;= 'MATCH DATES'!$A$2 + TIME(22, 0, 0)), I35, 0),
  IF(AND('MATCH DATES'!$A$3 &lt;= TODAY(), NOW() &gt;= 'MATCH DATES'!$A$3 + TIME(22, 0, 0)), U35, 0),
  IF(AND('MATCH DATES'!$A$4 &lt;= TODAY(), NOW() &gt;= 'MATCH DATES'!$A$4 + TIME(22, 0, 0)), AG35, 0),
  IF(AND('MATCH DATES'!$A$5 &lt;= TODAY(), NOW() &gt;= 'MATCH DATES'!$A$5 + TIME(22, 0, 0)), AS35, 0),
  IF(AND('MATCH DATES'!$A$6 &lt;= TODAY(), NOW() &gt;= 'MATCH DATES'!$A$6 + TIME(22, 0, 0)), BE35, 0),
  IF(AND('MATCH DATES'!$A$7 &lt;= TODAY(), NOW() &gt;= 'MATCH DATES'!$A$7 + TIME(22, 0, 0)), BQ35, 0),
  IF(AND('MATCH DATES'!$A$8 &lt;= TODAY(), NOW() &gt;= 'MATCH DATES'!$A$8 + TIME(22, 0, 0)), CC35, 0),
  IF(AND('MATCH DATES'!$A$9 &lt;= TODAY(), NOW() &gt;= 'MATCH DATES'!$A$9 + TIME(22, 0, 0)), CO35, 0)
)</f>
        <v>8</v>
      </c>
      <c r="DC35" s="33">
        <f t="shared" si="44"/>
        <v>2</v>
      </c>
      <c r="DD35" s="33">
        <f t="shared" ref="DD35:DE35" si="138">SUM(K35,W35,AI35,AU35,BG35,BS35,CE35,CQ35)</f>
        <v>0</v>
      </c>
      <c r="DE35" s="33">
        <f t="shared" si="138"/>
        <v>0</v>
      </c>
    </row>
    <row r="36" ht="24.75" customHeight="1">
      <c r="A36" s="17" t="s">
        <v>136</v>
      </c>
      <c r="B36" s="18" t="s">
        <v>174</v>
      </c>
      <c r="C36" s="19" t="s">
        <v>139</v>
      </c>
      <c r="D36" s="20">
        <f t="shared" si="4"/>
        <v>2</v>
      </c>
      <c r="E36" s="20">
        <f t="shared" si="5"/>
        <v>2</v>
      </c>
      <c r="F36" s="20">
        <f t="shared" si="6"/>
        <v>0</v>
      </c>
      <c r="G36" s="20">
        <f>IF(C36&lt;&gt;"",
    COUNTIFS(MATCH_INPUT!$K$2:$K$5,C36),
0)</f>
        <v>0</v>
      </c>
      <c r="H36" s="20">
        <f>IF(C36&lt;&gt;"",
    COUNTIFS(MATCH_INPUT!$F$2:$F$5, C36, MATCH_INPUT!$K$2:$K$5, "Draw") +
    COUNTIFS(MATCH_INPUT!$J$2:$J$5, C36, MATCH_INPUT!$K$2:$K$5, "Draw"),
0)</f>
        <v>0</v>
      </c>
      <c r="I36" s="20">
        <f>IF(C36&lt;&gt;"",
    COUNTIFS(MATCH_INPUT!$F$2:$F$5, C36, MATCH_INPUT!$K$2:$K$5, "&lt;&gt;"&amp;C36, MATCH_INPUT!$K$2:$K$5, "&lt;&gt;Draw", MATCH_INPUT!$K$2:$K$5, "&lt;&gt;""") +
    COUNTIFS(MATCH_INPUT!$J$2:$J$5, C36, MATCH_INPUT!$K$2:$K$5, "&lt;&gt;"&amp;C36, MATCH_INPUT!$K$2:$K$5, "&lt;&gt;Draw", MATCH_INPUT!$K$2:$K$5, "&lt;&gt;"""),
0)</f>
        <v>2</v>
      </c>
      <c r="J36" s="21"/>
      <c r="K36" s="21"/>
      <c r="L36" s="22"/>
      <c r="M36" s="23">
        <f t="shared" si="7"/>
        <v>26</v>
      </c>
      <c r="N36" s="24" t="str">
        <f t="shared" si="8"/>
        <v>↓</v>
      </c>
      <c r="O36" s="25"/>
      <c r="P36" s="26">
        <f t="shared" si="9"/>
        <v>2</v>
      </c>
      <c r="Q36" s="26">
        <f t="shared" si="10"/>
        <v>0</v>
      </c>
      <c r="R36" s="26">
        <f t="shared" si="11"/>
        <v>0</v>
      </c>
      <c r="S36" s="26">
        <f>IF(O36&lt;&gt;"",
    COUNTIFS(MATCH_INPUT!$K$6:$K$9,O36),
0)</f>
        <v>0</v>
      </c>
      <c r="T36" s="26">
        <f>IF(O36&lt;&gt;"",
    COUNTIFS(MATCH_INPUT!$F$6:$F$9, O36, MATCH_INPUT!$K$6:$K$9, "Draw") +
    COUNTIFS(MATCH_INPUT!$J$6:$J$9, O36, MATCH_INPUT!$K$6:$K$9, "Draw"),
0)</f>
        <v>0</v>
      </c>
      <c r="U36" s="26">
        <f>IF(O36&lt;&gt;"",
    COUNTIFS(MATCH_INPUT!$F$6:$F$9, O36, MATCH_INPUT!$K$6:$K$9, "&lt;&gt;"&amp;O36, MATCH_INPUT!$K$6:$K$9, "&lt;&gt;Draw", MATCH_INPUT!$K$6:$K$9, "&lt;&gt;""") +
    COUNTIFS(MATCH_INPUT!$J$6:$J$9, O36, MATCH_INPUT!$K$6:$K$9, "&lt;&gt;"&amp;O36, MATCH_INPUT!$K$6:$K$9, "&lt;&gt;Draw", MATCH_INPUT!$K$6:$K$9, "&lt;&gt;"""),
0)</f>
        <v>0</v>
      </c>
      <c r="V36" s="27"/>
      <c r="W36" s="27"/>
      <c r="X36" s="28"/>
      <c r="Y36" s="26">
        <f t="shared" si="12"/>
        <v>35</v>
      </c>
      <c r="Z36" s="29" t="str">
        <f t="shared" si="13"/>
        <v>↓</v>
      </c>
      <c r="AA36" s="19"/>
      <c r="AB36" s="23">
        <f t="shared" si="14"/>
        <v>2</v>
      </c>
      <c r="AC36" s="20">
        <f t="shared" si="15"/>
        <v>0</v>
      </c>
      <c r="AD36" s="20">
        <f t="shared" si="16"/>
        <v>0</v>
      </c>
      <c r="AE36" s="20">
        <f>IF(AA36&lt;&gt;"",
    COUNTIFS(MATCH_INPUT!$K$10:$K$13,AA36),
0)</f>
        <v>0</v>
      </c>
      <c r="AF36" s="20">
        <f>IF(AA36&lt;&gt;"",
    COUNTIFS(MATCH_INPUT!$F$10:$F$13, AA36, MATCH_INPUT!$K$10:$K$13, "Draw") +
    COUNTIFS(MATCH_INPUT!$J$10:$J$13, AA36, MATCH_INPUT!$K$10:$K$13, "Draw"),
0)</f>
        <v>0</v>
      </c>
      <c r="AG36" s="20">
        <f>IF(AA36&lt;&gt;"",
    COUNTIFS(MATCH_INPUT!$F$10:$F$13, AA36, MATCH_INPUT!$K$10:$K$13, "&lt;&gt;"&amp;AA36, MATCH_INPUT!$K$10:$K$13, "&lt;&gt;Draw", MATCH_INPUT!$K$10:$K$13, "&lt;&gt;""") +
    COUNTIFS(MATCH_INPUT!$J$10:$J$13, AA36, MATCH_INPUT!$K$10:$K$13, "&lt;&gt;"&amp;AA36, MATCH_INPUT!$K$10:$K$13, "&lt;&gt;Draw", MATCH_INPUT!$K$10:$K$13, "&lt;&gt;"""),
0)</f>
        <v>0</v>
      </c>
      <c r="AH36" s="21"/>
      <c r="AI36" s="21"/>
      <c r="AJ36" s="30"/>
      <c r="AK36" s="23">
        <f t="shared" si="17"/>
        <v>36</v>
      </c>
      <c r="AL36" s="24" t="str">
        <f t="shared" si="18"/>
        <v>↓</v>
      </c>
      <c r="AM36" s="25" t="s">
        <v>138</v>
      </c>
      <c r="AN36" s="26">
        <f t="shared" si="19"/>
        <v>4</v>
      </c>
      <c r="AO36" s="26">
        <f t="shared" si="20"/>
        <v>2</v>
      </c>
      <c r="AP36" s="26">
        <f t="shared" si="21"/>
        <v>0</v>
      </c>
      <c r="AQ36" s="26">
        <f>IF(AM36&lt;&gt;"",
    COUNTIFS(MATCH_INPUT!$K$14:$K$17,AM36),
0)</f>
        <v>0</v>
      </c>
      <c r="AR36" s="26">
        <f>IF(AM36&lt;&gt;"",
    COUNTIFS(MATCH_INPUT!$F$14:$F$17, AM36, MATCH_INPUT!$K$14:$K$17, "Draw") +
    COUNTIFS(MATCH_INPUT!$J$14:$J$17, AM36, MATCH_INPUT!$K$14:$K$17, "Draw"),
0)</f>
        <v>0</v>
      </c>
      <c r="AS36" s="26">
        <f>IF(AM36&lt;&gt;"",
    COUNTIFS(MATCH_INPUT!$F$14:$F$17, AM36, MATCH_INPUT!$K$14:$K$17, "&lt;&gt;"&amp;AM36, MATCH_INPUT!$K$14:$K$17, "&lt;&gt;Draw", MATCH_INPUT!$K$14:$K$17, "&lt;&gt;""") +
    COUNTIFS(MATCH_INPUT!$J$14:$J$17, AM36, MATCH_INPUT!$K$14:$K$17, "&lt;&gt;"&amp;AM36, MATCH_INPUT!$K$14:$K$17, "&lt;&gt;Draw", MATCH_INPUT!$K$14:$K$17, "&lt;&gt;"""),
0)</f>
        <v>2</v>
      </c>
      <c r="AT36" s="27">
        <v>1.0</v>
      </c>
      <c r="AU36" s="27"/>
      <c r="AV36" s="28"/>
      <c r="AW36" s="26">
        <f t="shared" si="22"/>
        <v>35</v>
      </c>
      <c r="AX36" s="29" t="str">
        <f t="shared" si="23"/>
        <v>↑</v>
      </c>
      <c r="AY36" s="19" t="s">
        <v>141</v>
      </c>
      <c r="AZ36" s="23">
        <f t="shared" si="24"/>
        <v>10</v>
      </c>
      <c r="BA36" s="20">
        <f t="shared" si="25"/>
        <v>2</v>
      </c>
      <c r="BB36" s="20">
        <f>SUM(BC36*2) + (BD36*1) + SUMIFS(MATCH_INPUT!$G$18:$G$21, MATCH_INPUT!$F$18:$F$21, AY36) + SUMIFS(MATCH_INPUT!$I$18:$I$21, MATCH_INPUT!$J$18:$J$21, AY36)
</f>
        <v>4</v>
      </c>
      <c r="BC36" s="20">
        <f>IF(AY36&lt;&gt;"",
    COUNTIFS(MATCH_INPUT!$K$18:$K$21,AY36),
0)</f>
        <v>0</v>
      </c>
      <c r="BD36" s="20">
        <f>IF(AY36&lt;&gt;"",
    COUNTIFS(MATCH_INPUT!$F$18:$F$21, AY36, MATCH_INPUT!$K$18:$K$21, "Draw") +
    COUNTIFS(MATCH_INPUT!$J$18:$J$21, AY36, MATCH_INPUT!$K$18:$K$21, "Draw"),
0)</f>
        <v>1</v>
      </c>
      <c r="BE36" s="20">
        <f>IF(AY36&lt;&gt;"",
    COUNTIFS(MATCH_INPUT!$F$18:$F$21, AY36, MATCH_INPUT!$K$18:$K$21, "&lt;&gt;"&amp;AY36, MATCH_INPUT!$K$18:$K$21, "&lt;&gt;Draw", MATCH_INPUT!$K$18:$K$21, "&lt;&gt;""") +
    COUNTIFS(MATCH_INPUT!$J$18:$J$21, AY36, MATCH_INPUT!$K$18:$K$21, "&lt;&gt;"&amp;AY36, MATCH_INPUT!$K$18:$K$21, "&lt;&gt;Draw", MATCH_INPUT!$K$18:$K$21, "&lt;&gt;"""),
0)</f>
        <v>1</v>
      </c>
      <c r="BF36" s="21" t="str">
        <f t="array" ref="BF36">IFERROR(INDEX(Form_Response!E:E, MATCH(1, (Form_Response!C:C='MATCH DATES'!$B$6)*(Form_Response!D:D=B36), 0)), "")
</f>
        <v/>
      </c>
      <c r="BG36" s="21">
        <f t="array" ref="BG36">IFERROR(IF(INDEX(Form_Response!F:F, MATCH(1, (Form_Response!C:C='MATCH DATES'!$B$6)*(Form_Response!D:D=B36), 0))="Yes", 1, 0), 0)
</f>
        <v>0</v>
      </c>
      <c r="BH36" s="30" t="str">
        <f t="array" ref="BH36">IFERROR(INDEX(Form_Response!G:G, MATCH(1, (Form_Response!C:C='MATCH DATES'!$B$6)*(Form_Response!D:D=B36), 0)), "")
</f>
        <v/>
      </c>
      <c r="BI36" s="23">
        <f t="shared" si="26"/>
        <v>34</v>
      </c>
      <c r="BJ36" s="24" t="str">
        <f t="shared" si="27"/>
        <v>↑</v>
      </c>
      <c r="BK36" s="34"/>
      <c r="BL36" s="26">
        <f t="shared" si="28"/>
        <v>10</v>
      </c>
      <c r="BM36" s="26">
        <f t="shared" si="29"/>
        <v>0</v>
      </c>
      <c r="BN36" s="26">
        <f>SUM(BO36*2) + (BP36*1) + SUMIFS(MATCH_INPUT!$G$22:$G$25, MATCH_INPUT!$F$22:$F$25, BK36) + SUMIFS(MATCH_INPUT!$I$22:$I$25, MATCH_INPUT!$J$22:$J$25, BK36)
</f>
        <v>0</v>
      </c>
      <c r="BO36" s="26">
        <f>IF(BK36&lt;&gt;"",
    COUNTIFS(MATCH_INPUT!$K$22:$K$25,BK36),
0)</f>
        <v>0</v>
      </c>
      <c r="BP36" s="26">
        <f>IF(BK36&lt;&gt;"",
    COUNTIFS(MATCH_INPUT!$F$22:$F$25, BK36, MATCH_INPUT!$K$22:$K$25, "Draw") +
    COUNTIFS(MATCH_INPUT!$J$22:$J$25, BK36, MATCH_INPUT!$K$22:$K$25, "Draw"),
0)</f>
        <v>0</v>
      </c>
      <c r="BQ36" s="26">
        <f>IF(BK36&lt;&gt;"",
    COUNTIFS(MATCH_INPUT!$F$22:$F$25, BK36, MATCH_INPUT!$K$22:$K$25, "&lt;&gt;"&amp;BK36, MATCH_INPUT!$K$22:$K$25, "&lt;&gt;Draw", MATCH_INPUT!$K$22:$K$25, "&lt;&gt;""") +
    COUNTIFS(MATCH_INPUT!$J$22:$J$25, BK36, MATCH_INPUT!$K$22:$K$25, "&lt;&gt;"&amp;BK36, MATCH_INPUT!$K$22:$K$25, "&lt;&gt;Draw", MATCH_INPUT!$K$22:$K$25, "&lt;&gt;"""),
0)</f>
        <v>0</v>
      </c>
      <c r="BR36" s="27"/>
      <c r="BS36" s="27"/>
      <c r="BT36" s="28"/>
      <c r="BU36" s="26">
        <f t="shared" si="30"/>
        <v>34</v>
      </c>
      <c r="BV36" s="29" t="str">
        <f t="shared" si="31"/>
        <v>=</v>
      </c>
      <c r="BW36" s="19" t="s">
        <v>140</v>
      </c>
      <c r="BX36" s="23">
        <f t="shared" si="32"/>
        <v>16</v>
      </c>
      <c r="BY36" s="20">
        <f t="shared" si="33"/>
        <v>2</v>
      </c>
      <c r="BZ36" s="20">
        <f>SUM(CA36*2)+(CB36*1) + SUMIFS(MATCH_INPUT!$G$26:$G$29, MATCH_INPUT!$F$26:$F$29, BW36) + SUMIFS(MATCH_INPUT!$I$26:$I$29, MATCH_INPUT!$J$26:$J$29, BW36)
</f>
        <v>4</v>
      </c>
      <c r="CA36" s="20">
        <f>IF(BW36&lt;&gt;"",
    COUNTIFS(MATCH_INPUT!$K$26:$K$29,BW36),
0)</f>
        <v>1</v>
      </c>
      <c r="CB36" s="20">
        <f>IF(BW36&lt;&gt;"",
    COUNTIFS(MATCH_INPUT!$F$26:$F$29, BW36, MATCH_INPUT!$K$26:$K$29, "Draw") +
    COUNTIFS(MATCH_INPUT!$J$26:$J$29, BW36, MATCH_INPUT!$K$26:$K$29, "Draw"),
0)</f>
        <v>0</v>
      </c>
      <c r="CC36" s="20">
        <f>IF(BW36&lt;&gt;"",
    COUNTIFS(MATCH_INPUT!$F$26:$F$29, BW36, MATCH_INPUT!$K$26:$K$29, "&lt;&gt;"&amp;BW36, MATCH_INPUT!$K$26:$K$29, "&lt;&gt;Draw", MATCH_INPUT!$K$26:$K$29, "&lt;&gt;""") +
    COUNTIFS(MATCH_INPUT!$J$26:$J$29, BW36, MATCH_INPUT!$K$26:$K$29, "&lt;&gt;"&amp;BW36, MATCH_INPUT!$K$26:$K$29, "&lt;&gt;Draw", MATCH_INPUT!$K$26:$K$29, "&lt;&gt;"""),
0)</f>
        <v>1</v>
      </c>
      <c r="CD36" s="21"/>
      <c r="CE36" s="21"/>
      <c r="CF36" s="30"/>
      <c r="CG36" s="23">
        <f t="shared" si="34"/>
        <v>34</v>
      </c>
      <c r="CH36" s="24" t="str">
        <f t="shared" si="35"/>
        <v>=</v>
      </c>
      <c r="CI36" s="25" t="s">
        <v>138</v>
      </c>
      <c r="CJ36" s="26">
        <f t="shared" si="36"/>
        <v>21</v>
      </c>
      <c r="CK36" s="26">
        <f t="shared" si="37"/>
        <v>2</v>
      </c>
      <c r="CL36" s="26">
        <f>SUM(CM36*2)+(CN36*1) + SUMIFS(MATCH_INPUT!$G$30:$G$33, MATCH_INPUT!$F$30:$F$33, CI36) + SUMIFS(MATCH_INPUT!$I$30:$I$33, MATCH_INPUT!$J$30:$J$33, CI36)
</f>
        <v>3</v>
      </c>
      <c r="CM36" s="26">
        <f>IF(CI36&lt;&gt;"",
    COUNTIFS(MATCH_INPUT!$K$30:$K$33,CI36),
0)</f>
        <v>1</v>
      </c>
      <c r="CN36" s="26">
        <f>IF(CI36&lt;&gt;"",
    COUNTIFS(MATCH_INPUT!$F$30:$F$33, CI36, MATCH_INPUT!$K$30:$K$33, "Draw") +
    COUNTIFS(MATCH_INPUT!$J$30:$J$33, CI36, MATCH_INPUT!$K$30:$K$33, "Draw"),
0)</f>
        <v>0</v>
      </c>
      <c r="CO36" s="26">
        <f>IF(CI36&lt;&gt;"",
    COUNTIFS(MATCH_INPUT!$F$30:$F$33, CI36, MATCH_INPUT!$K$30:$K$33, "&lt;&gt;"&amp;CI36, MATCH_INPUT!$K$30:$K$33, "&lt;&gt;Draw", MATCH_INPUT!$K$30:$K$33, "&lt;&gt;""") +
    COUNTIFS(MATCH_INPUT!$J$30:$J$33, CI36, MATCH_INPUT!$K$30:$K$33, "&lt;&gt;"&amp;CI36, MATCH_INPUT!$K$30:$K$33, "&lt;&gt;Draw", MATCH_INPUT!$K$30:$K$33, "&lt;&gt;"""),
0)</f>
        <v>1</v>
      </c>
      <c r="CP36" s="27" t="str">
        <f t="array" ref="CP36">IFERROR(INDEX(Form_Response!E:E, MATCH(1, (Form_Response!C:C='MATCH DATES'!$B$9)*(Form_Response!D:D=B36), 0)), "")
</f>
        <v/>
      </c>
      <c r="CQ36" s="27">
        <f t="array" ref="CQ36">IFERROR(IF(INDEX(Form_Response!F:F, MATCH(1, (Form_Response!C:C='MATCH DATES'!$B$9)*(Form_Response!D:D=B36), 0))="Yes", 1, 0), 0)
</f>
        <v>0</v>
      </c>
      <c r="CR36" s="28" t="str">
        <f t="array" ref="CR36">IFERROR(INDEX(Form_Response!G:G, MATCH(1, (Form_Response!C:C='MATCH DATES'!$B$9)*(Form_Response!D:D=B36), 0)), "")
</f>
        <v/>
      </c>
      <c r="CS36" s="31">
        <f t="shared" si="38"/>
        <v>34</v>
      </c>
      <c r="CT36" s="31" t="str">
        <f t="shared" si="39"/>
        <v>=</v>
      </c>
      <c r="CU36" s="32">
        <f t="shared" si="40"/>
        <v>11</v>
      </c>
      <c r="CV36" s="32" t="str">
        <f t="shared" ref="CV36:CW36" si="139">A36</f>
        <v>⭐️</v>
      </c>
      <c r="CW36" s="33" t="str">
        <f t="shared" si="139"/>
        <v>Chavito</v>
      </c>
      <c r="CX36" s="33">
        <f t="shared" si="42"/>
        <v>21</v>
      </c>
      <c r="CY36" s="32">
        <f>SUM(
  IF(AND('MATCH DATES'!$A$2 &lt;= TODAY(), NOW() &gt;= 'MATCH DATES'!$A$2 + TIME(22, 0, 0)), E36, 0),
  IF(AND('MATCH DATES'!$A$3 &lt;= TODAY(), NOW() &gt;= 'MATCH DATES'!$A$3 + TIME(22, 0, 0)), Q36, 0),
  IF(AND('MATCH DATES'!$A$4 &lt;= TODAY(), NOW() &gt;= 'MATCH DATES'!$A$4 + TIME(22, 0, 0)), AC36, 0),
  IF(AND('MATCH DATES'!$A$5 &lt;= TODAY(), NOW() &gt;= 'MATCH DATES'!$A$5 + TIME(22, 0, 0)), AO36, 0),
  IF(AND('MATCH DATES'!$A$6 &lt;= TODAY(), NOW() &gt;= 'MATCH DATES'!$A$6 + TIME(22, 0, 0)), BA36, 0),
  IF(AND('MATCH DATES'!$A$7 &lt;= TODAY(), NOW() &gt;= 'MATCH DATES'!$A$7 + TIME(22, 0, 0)), BM36, 0),
  IF(AND('MATCH DATES'!$A$8 &lt;= TODAY(), NOW() &gt;= 'MATCH DATES'!$A$8 + TIME(22, 0, 0)), BY36, 0),
  IF(AND('MATCH DATES'!$A$9 &lt;= TODAY(), NOW() &gt;= 'MATCH DATES'!$A$9 + TIME(22, 0, 0)), CK36, 0)
)
</f>
        <v>10</v>
      </c>
      <c r="CZ36" s="33">
        <f t="shared" ref="CZ36:DA36" si="140">SUM(G36,S36,AE36,AQ36,BC36,BO36,CA36,CM36)</f>
        <v>2</v>
      </c>
      <c r="DA36" s="33">
        <f t="shared" si="140"/>
        <v>1</v>
      </c>
      <c r="DB36" s="33">
        <f>SUM(
  IF(AND('MATCH DATES'!$A$2 &lt;= TODAY(), NOW() &gt;= 'MATCH DATES'!$A$2 + TIME(22, 0, 0)), I36, 0),
  IF(AND('MATCH DATES'!$A$3 &lt;= TODAY(), NOW() &gt;= 'MATCH DATES'!$A$3 + TIME(22, 0, 0)), U36, 0),
  IF(AND('MATCH DATES'!$A$4 &lt;= TODAY(), NOW() &gt;= 'MATCH DATES'!$A$4 + TIME(22, 0, 0)), AG36, 0),
  IF(AND('MATCH DATES'!$A$5 &lt;= TODAY(), NOW() &gt;= 'MATCH DATES'!$A$5 + TIME(22, 0, 0)), AS36, 0),
  IF(AND('MATCH DATES'!$A$6 &lt;= TODAY(), NOW() &gt;= 'MATCH DATES'!$A$6 + TIME(22, 0, 0)), BE36, 0),
  IF(AND('MATCH DATES'!$A$7 &lt;= TODAY(), NOW() &gt;= 'MATCH DATES'!$A$7 + TIME(22, 0, 0)), BQ36, 0),
  IF(AND('MATCH DATES'!$A$8 &lt;= TODAY(), NOW() &gt;= 'MATCH DATES'!$A$8 + TIME(22, 0, 0)), CC36, 0),
  IF(AND('MATCH DATES'!$A$9 &lt;= TODAY(), NOW() &gt;= 'MATCH DATES'!$A$9 + TIME(22, 0, 0)), CO36, 0)
)</f>
        <v>7</v>
      </c>
      <c r="DC36" s="33">
        <f t="shared" si="44"/>
        <v>1</v>
      </c>
      <c r="DD36" s="33">
        <f t="shared" ref="DD36:DE36" si="141">SUM(K36,W36,AI36,AU36,BG36,BS36,CE36,CQ36)</f>
        <v>0</v>
      </c>
      <c r="DE36" s="33">
        <f t="shared" si="141"/>
        <v>0</v>
      </c>
    </row>
    <row r="37" ht="24.75" customHeight="1">
      <c r="A37" s="17" t="s">
        <v>136</v>
      </c>
      <c r="B37" s="18" t="s">
        <v>175</v>
      </c>
      <c r="C37" s="19" t="s">
        <v>140</v>
      </c>
      <c r="D37" s="20">
        <f t="shared" si="4"/>
        <v>4</v>
      </c>
      <c r="E37" s="20">
        <f t="shared" si="5"/>
        <v>2</v>
      </c>
      <c r="F37" s="20">
        <f t="shared" si="6"/>
        <v>2</v>
      </c>
      <c r="G37" s="20">
        <f>IF(C37&lt;&gt;"",
    COUNTIFS(MATCH_INPUT!$K$2:$K$5,C37),
0)</f>
        <v>1</v>
      </c>
      <c r="H37" s="20">
        <f>IF(C37&lt;&gt;"",
    COUNTIFS(MATCH_INPUT!$F$2:$F$5, C37, MATCH_INPUT!$K$2:$K$5, "Draw") +
    COUNTIFS(MATCH_INPUT!$J$2:$J$5, C37, MATCH_INPUT!$K$2:$K$5, "Draw"),
0)</f>
        <v>0</v>
      </c>
      <c r="I37" s="20">
        <f>IF(C37&lt;&gt;"",
    COUNTIFS(MATCH_INPUT!$F$2:$F$5, C37, MATCH_INPUT!$K$2:$K$5, "&lt;&gt;"&amp;C37, MATCH_INPUT!$K$2:$K$5, "&lt;&gt;Draw", MATCH_INPUT!$K$2:$K$5, "&lt;&gt;""") +
    COUNTIFS(MATCH_INPUT!$J$2:$J$5, C37, MATCH_INPUT!$K$2:$K$5, "&lt;&gt;"&amp;C37, MATCH_INPUT!$K$2:$K$5, "&lt;&gt;Draw", MATCH_INPUT!$K$2:$K$5, "&lt;&gt;"""),
0)</f>
        <v>1</v>
      </c>
      <c r="J37" s="21"/>
      <c r="K37" s="21"/>
      <c r="L37" s="22"/>
      <c r="M37" s="23">
        <f t="shared" si="7"/>
        <v>11</v>
      </c>
      <c r="N37" s="24" t="str">
        <f t="shared" si="8"/>
        <v>↓</v>
      </c>
      <c r="O37" s="25"/>
      <c r="P37" s="26">
        <f t="shared" si="9"/>
        <v>4</v>
      </c>
      <c r="Q37" s="26">
        <f t="shared" si="10"/>
        <v>0</v>
      </c>
      <c r="R37" s="26">
        <f t="shared" si="11"/>
        <v>0</v>
      </c>
      <c r="S37" s="26">
        <f>IF(O37&lt;&gt;"",
    COUNTIFS(MATCH_INPUT!$K$6:$K$9,O37),
0)</f>
        <v>0</v>
      </c>
      <c r="T37" s="26">
        <f>IF(O37&lt;&gt;"",
    COUNTIFS(MATCH_INPUT!$F$6:$F$9, O37, MATCH_INPUT!$K$6:$K$9, "Draw") +
    COUNTIFS(MATCH_INPUT!$J$6:$J$9, O37, MATCH_INPUT!$K$6:$K$9, "Draw"),
0)</f>
        <v>0</v>
      </c>
      <c r="U37" s="26">
        <f>IF(O37&lt;&gt;"",
    COUNTIFS(MATCH_INPUT!$F$6:$F$9, O37, MATCH_INPUT!$K$6:$K$9, "&lt;&gt;"&amp;O37, MATCH_INPUT!$K$6:$K$9, "&lt;&gt;Draw", MATCH_INPUT!$K$6:$K$9, "&lt;&gt;""") +
    COUNTIFS(MATCH_INPUT!$J$6:$J$9, O37, MATCH_INPUT!$K$6:$K$9, "&lt;&gt;"&amp;O37, MATCH_INPUT!$K$6:$K$9, "&lt;&gt;Draw", MATCH_INPUT!$K$6:$K$9, "&lt;&gt;"""),
0)</f>
        <v>0</v>
      </c>
      <c r="V37" s="27"/>
      <c r="W37" s="27"/>
      <c r="X37" s="28"/>
      <c r="Y37" s="26">
        <f t="shared" si="12"/>
        <v>30</v>
      </c>
      <c r="Z37" s="29" t="str">
        <f t="shared" si="13"/>
        <v>↓</v>
      </c>
      <c r="AA37" s="19"/>
      <c r="AB37" s="23">
        <f t="shared" si="14"/>
        <v>4</v>
      </c>
      <c r="AC37" s="20">
        <f t="shared" si="15"/>
        <v>0</v>
      </c>
      <c r="AD37" s="20">
        <f t="shared" si="16"/>
        <v>0</v>
      </c>
      <c r="AE37" s="20">
        <f>IF(AA37&lt;&gt;"",
    COUNTIFS(MATCH_INPUT!$K$10:$K$13,AA37),
0)</f>
        <v>0</v>
      </c>
      <c r="AF37" s="20">
        <f>IF(AA37&lt;&gt;"",
    COUNTIFS(MATCH_INPUT!$F$10:$F$13, AA37, MATCH_INPUT!$K$10:$K$13, "Draw") +
    COUNTIFS(MATCH_INPUT!$J$10:$J$13, AA37, MATCH_INPUT!$K$10:$K$13, "Draw"),
0)</f>
        <v>0</v>
      </c>
      <c r="AG37" s="20">
        <f>IF(AA37&lt;&gt;"",
    COUNTIFS(MATCH_INPUT!$F$10:$F$13, AA37, MATCH_INPUT!$K$10:$K$13, "&lt;&gt;"&amp;AA37, MATCH_INPUT!$K$10:$K$13, "&lt;&gt;Draw", MATCH_INPUT!$K$10:$K$13, "&lt;&gt;""") +
    COUNTIFS(MATCH_INPUT!$J$10:$J$13, AA37, MATCH_INPUT!$K$10:$K$13, "&lt;&gt;"&amp;AA37, MATCH_INPUT!$K$10:$K$13, "&lt;&gt;Draw", MATCH_INPUT!$K$10:$K$13, "&lt;&gt;"""),
0)</f>
        <v>0</v>
      </c>
      <c r="AH37" s="21"/>
      <c r="AI37" s="21"/>
      <c r="AJ37" s="30"/>
      <c r="AK37" s="23">
        <f t="shared" si="17"/>
        <v>35</v>
      </c>
      <c r="AL37" s="24" t="str">
        <f t="shared" si="18"/>
        <v>↓</v>
      </c>
      <c r="AM37" s="25"/>
      <c r="AN37" s="26">
        <f t="shared" si="19"/>
        <v>4</v>
      </c>
      <c r="AO37" s="26">
        <f t="shared" si="20"/>
        <v>0</v>
      </c>
      <c r="AP37" s="26">
        <f t="shared" si="21"/>
        <v>0</v>
      </c>
      <c r="AQ37" s="26">
        <f>IF(AM37&lt;&gt;"",
    COUNTIFS(MATCH_INPUT!$K$14:$K$17,AM37),
0)</f>
        <v>0</v>
      </c>
      <c r="AR37" s="26">
        <f>IF(AM37&lt;&gt;"",
    COUNTIFS(MATCH_INPUT!$F$14:$F$17, AM37, MATCH_INPUT!$K$14:$K$17, "Draw") +
    COUNTIFS(MATCH_INPUT!$J$14:$J$17, AM37, MATCH_INPUT!$K$14:$K$17, "Draw"),
0)</f>
        <v>0</v>
      </c>
      <c r="AS37" s="26">
        <f>IF(AM37&lt;&gt;"",
    COUNTIFS(MATCH_INPUT!$F$14:$F$17, AM37, MATCH_INPUT!$K$14:$K$17, "&lt;&gt;"&amp;AM37, MATCH_INPUT!$K$14:$K$17, "&lt;&gt;Draw", MATCH_INPUT!$K$14:$K$17, "&lt;&gt;""") +
    COUNTIFS(MATCH_INPUT!$J$14:$J$17, AM37, MATCH_INPUT!$K$14:$K$17, "&lt;&gt;"&amp;AM37, MATCH_INPUT!$K$14:$K$17, "&lt;&gt;Draw", MATCH_INPUT!$K$14:$K$17, "&lt;&gt;"""),
0)</f>
        <v>0</v>
      </c>
      <c r="AT37" s="27"/>
      <c r="AU37" s="27"/>
      <c r="AV37" s="28"/>
      <c r="AW37" s="26">
        <f t="shared" si="22"/>
        <v>35</v>
      </c>
      <c r="AX37" s="29" t="str">
        <f t="shared" si="23"/>
        <v>=</v>
      </c>
      <c r="AY37" s="19"/>
      <c r="AZ37" s="23">
        <f t="shared" si="24"/>
        <v>4</v>
      </c>
      <c r="BA37" s="20">
        <f t="shared" si="25"/>
        <v>0</v>
      </c>
      <c r="BB37" s="20">
        <f>SUM(BC37*2) + (BD37*1) + SUMIFS(MATCH_INPUT!$G$18:$G$21, MATCH_INPUT!$F$18:$F$21, AY37) + SUMIFS(MATCH_INPUT!$I$18:$I$21, MATCH_INPUT!$J$18:$J$21, AY37)
</f>
        <v>0</v>
      </c>
      <c r="BC37" s="20">
        <f>IF(AY37&lt;&gt;"",
    COUNTIFS(MATCH_INPUT!$K$18:$K$21,AY37),
0)</f>
        <v>0</v>
      </c>
      <c r="BD37" s="20">
        <f>IF(AY37&lt;&gt;"",
    COUNTIFS(MATCH_INPUT!$F$18:$F$21, AY37, MATCH_INPUT!$K$18:$K$21, "Draw") +
    COUNTIFS(MATCH_INPUT!$J$18:$J$21, AY37, MATCH_INPUT!$K$18:$K$21, "Draw"),
0)</f>
        <v>0</v>
      </c>
      <c r="BE37" s="20">
        <f>IF(AY37&lt;&gt;"",
    COUNTIFS(MATCH_INPUT!$F$18:$F$21, AY37, MATCH_INPUT!$K$18:$K$21, "&lt;&gt;"&amp;AY37, MATCH_INPUT!$K$18:$K$21, "&lt;&gt;Draw", MATCH_INPUT!$K$18:$K$21, "&lt;&gt;""") +
    COUNTIFS(MATCH_INPUT!$J$18:$J$21, AY37, MATCH_INPUT!$K$18:$K$21, "&lt;&gt;"&amp;AY37, MATCH_INPUT!$K$18:$K$21, "&lt;&gt;Draw", MATCH_INPUT!$K$18:$K$21, "&lt;&gt;"""),
0)</f>
        <v>0</v>
      </c>
      <c r="BF37" s="21" t="str">
        <f t="array" ref="BF37">IFERROR(INDEX(Form_Response!E:E, MATCH(1, (Form_Response!C:C='MATCH DATES'!$B$6)*(Form_Response!D:D=B37), 0)), "")
</f>
        <v/>
      </c>
      <c r="BG37" s="21">
        <f t="array" ref="BG37">IFERROR(IF(INDEX(Form_Response!F:F, MATCH(1, (Form_Response!C:C='MATCH DATES'!$B$6)*(Form_Response!D:D=B37), 0))="Yes", 1, 0), 0)
</f>
        <v>0</v>
      </c>
      <c r="BH37" s="30" t="str">
        <f t="array" ref="BH37">IFERROR(INDEX(Form_Response!G:G, MATCH(1, (Form_Response!C:C='MATCH DATES'!$B$6)*(Form_Response!D:D=B37), 0)), "")
</f>
        <v/>
      </c>
      <c r="BI37" s="23">
        <f t="shared" si="26"/>
        <v>36</v>
      </c>
      <c r="BJ37" s="24" t="str">
        <f t="shared" si="27"/>
        <v>↓</v>
      </c>
      <c r="BK37" s="25"/>
      <c r="BL37" s="26">
        <f t="shared" si="28"/>
        <v>4</v>
      </c>
      <c r="BM37" s="26">
        <f t="shared" si="29"/>
        <v>0</v>
      </c>
      <c r="BN37" s="26">
        <f>SUM(BO37*2) + (BP37*1) + SUMIFS(MATCH_INPUT!$G$22:$G$25, MATCH_INPUT!$F$22:$F$25, BK37) + SUMIFS(MATCH_INPUT!$I$22:$I$25, MATCH_INPUT!$J$22:$J$25, BK37)
</f>
        <v>0</v>
      </c>
      <c r="BO37" s="26">
        <f>IF(BK37&lt;&gt;"",
    COUNTIFS(MATCH_INPUT!$K$22:$K$25,BK37),
0)</f>
        <v>0</v>
      </c>
      <c r="BP37" s="26">
        <f>IF(BK37&lt;&gt;"",
    COUNTIFS(MATCH_INPUT!$F$22:$F$25, BK37, MATCH_INPUT!$K$22:$K$25, "Draw") +
    COUNTIFS(MATCH_INPUT!$J$22:$J$25, BK37, MATCH_INPUT!$K$22:$K$25, "Draw"),
0)</f>
        <v>0</v>
      </c>
      <c r="BQ37" s="26">
        <f>IF(BK37&lt;&gt;"",
    COUNTIFS(MATCH_INPUT!$F$22:$F$25, BK37, MATCH_INPUT!$K$22:$K$25, "&lt;&gt;"&amp;BK37, MATCH_INPUT!$K$22:$K$25, "&lt;&gt;Draw", MATCH_INPUT!$K$22:$K$25, "&lt;&gt;""") +
    COUNTIFS(MATCH_INPUT!$J$22:$J$25, BK37, MATCH_INPUT!$K$22:$K$25, "&lt;&gt;"&amp;BK37, MATCH_INPUT!$K$22:$K$25, "&lt;&gt;Draw", MATCH_INPUT!$K$22:$K$25, "&lt;&gt;"""),
0)</f>
        <v>0</v>
      </c>
      <c r="BR37" s="27"/>
      <c r="BS37" s="27"/>
      <c r="BT37" s="28"/>
      <c r="BU37" s="26">
        <f t="shared" si="30"/>
        <v>36</v>
      </c>
      <c r="BV37" s="29" t="str">
        <f t="shared" si="31"/>
        <v>=</v>
      </c>
      <c r="BW37" s="19"/>
      <c r="BX37" s="23">
        <f t="shared" si="32"/>
        <v>4</v>
      </c>
      <c r="BY37" s="20">
        <f t="shared" si="33"/>
        <v>0</v>
      </c>
      <c r="BZ37" s="20">
        <f>SUM(CA37*2)+(CB37*1) + SUMIFS(MATCH_INPUT!$G$26:$G$29, MATCH_INPUT!$F$26:$F$29, BW37) + SUMIFS(MATCH_INPUT!$I$26:$I$29, MATCH_INPUT!$J$26:$J$29, BW37)
</f>
        <v>0</v>
      </c>
      <c r="CA37" s="20">
        <f>IF(BW37&lt;&gt;"",
    COUNTIFS(MATCH_INPUT!$K$26:$K$29,BW37),
0)</f>
        <v>0</v>
      </c>
      <c r="CB37" s="20">
        <f>IF(BW37&lt;&gt;"",
    COUNTIFS(MATCH_INPUT!$F$26:$F$29, BW37, MATCH_INPUT!$K$26:$K$29, "Draw") +
    COUNTIFS(MATCH_INPUT!$J$26:$J$29, BW37, MATCH_INPUT!$K$26:$K$29, "Draw"),
0)</f>
        <v>0</v>
      </c>
      <c r="CC37" s="20">
        <f>IF(BW37&lt;&gt;"",
    COUNTIFS(MATCH_INPUT!$F$26:$F$29, BW37, MATCH_INPUT!$K$26:$K$29, "&lt;&gt;"&amp;BW37, MATCH_INPUT!$K$26:$K$29, "&lt;&gt;Draw", MATCH_INPUT!$K$26:$K$29, "&lt;&gt;""") +
    COUNTIFS(MATCH_INPUT!$J$26:$J$29, BW37, MATCH_INPUT!$K$26:$K$29, "&lt;&gt;"&amp;BW37, MATCH_INPUT!$K$26:$K$29, "&lt;&gt;Draw", MATCH_INPUT!$K$26:$K$29, "&lt;&gt;"""),
0)</f>
        <v>0</v>
      </c>
      <c r="CD37" s="21"/>
      <c r="CE37" s="21"/>
      <c r="CF37" s="30"/>
      <c r="CG37" s="23">
        <f t="shared" si="34"/>
        <v>36</v>
      </c>
      <c r="CH37" s="24" t="str">
        <f t="shared" si="35"/>
        <v>=</v>
      </c>
      <c r="CI37" s="25"/>
      <c r="CJ37" s="26">
        <f t="shared" si="36"/>
        <v>4</v>
      </c>
      <c r="CK37" s="26">
        <f t="shared" si="37"/>
        <v>0</v>
      </c>
      <c r="CL37" s="26">
        <f>SUM(CM37*2)+(CN37*1) + SUMIFS(MATCH_INPUT!$G$30:$G$33, MATCH_INPUT!$F$30:$F$33, CI37) + SUMIFS(MATCH_INPUT!$I$30:$I$33, MATCH_INPUT!$J$30:$J$33, CI37)
</f>
        <v>0</v>
      </c>
      <c r="CM37" s="26">
        <f>IF(CI37&lt;&gt;"",
    COUNTIFS(MATCH_INPUT!$K$30:$K$33,CI37),
0)</f>
        <v>0</v>
      </c>
      <c r="CN37" s="26">
        <f>IF(CI37&lt;&gt;"",
    COUNTIFS(MATCH_INPUT!$F$30:$F$33, CI37, MATCH_INPUT!$K$30:$K$33, "Draw") +
    COUNTIFS(MATCH_INPUT!$J$30:$J$33, CI37, MATCH_INPUT!$K$30:$K$33, "Draw"),
0)</f>
        <v>0</v>
      </c>
      <c r="CO37" s="26">
        <f>IF(CI37&lt;&gt;"",
    COUNTIFS(MATCH_INPUT!$F$30:$F$33, CI37, MATCH_INPUT!$K$30:$K$33, "&lt;&gt;"&amp;CI37, MATCH_INPUT!$K$30:$K$33, "&lt;&gt;Draw", MATCH_INPUT!$K$30:$K$33, "&lt;&gt;""") +
    COUNTIFS(MATCH_INPUT!$J$30:$J$33, CI37, MATCH_INPUT!$K$30:$K$33, "&lt;&gt;"&amp;CI37, MATCH_INPUT!$K$30:$K$33, "&lt;&gt;Draw", MATCH_INPUT!$K$30:$K$33, "&lt;&gt;"""),
0)</f>
        <v>0</v>
      </c>
      <c r="CP37" s="27" t="str">
        <f t="array" ref="CP37">IFERROR(INDEX(Form_Response!E:E, MATCH(1, (Form_Response!C:C='MATCH DATES'!$B$9)*(Form_Response!D:D=B37), 0)), "")
</f>
        <v/>
      </c>
      <c r="CQ37" s="27">
        <f t="array" ref="CQ37">IFERROR(IF(INDEX(Form_Response!F:F, MATCH(1, (Form_Response!C:C='MATCH DATES'!$B$9)*(Form_Response!D:D=B37), 0))="Yes", 1, 0), 0)
</f>
        <v>0</v>
      </c>
      <c r="CR37" s="28" t="str">
        <f t="array" ref="CR37">IFERROR(INDEX(Form_Response!G:G, MATCH(1, (Form_Response!C:C='MATCH DATES'!$B$9)*(Form_Response!D:D=B37), 0)), "")
</f>
        <v/>
      </c>
      <c r="CS37" s="31">
        <f t="shared" si="38"/>
        <v>36</v>
      </c>
      <c r="CT37" s="31" t="str">
        <f t="shared" si="39"/>
        <v>=</v>
      </c>
      <c r="CU37" s="32">
        <f t="shared" si="40"/>
        <v>2</v>
      </c>
      <c r="CV37" s="32" t="str">
        <f t="shared" ref="CV37:CW37" si="142">A37</f>
        <v>⭐️</v>
      </c>
      <c r="CW37" s="33" t="str">
        <f t="shared" si="142"/>
        <v>A. Espinoza</v>
      </c>
      <c r="CX37" s="33">
        <f t="shared" si="42"/>
        <v>4</v>
      </c>
      <c r="CY37" s="32">
        <f>SUM(
  IF(AND('MATCH DATES'!$A$2 &lt;= TODAY(), NOW() &gt;= 'MATCH DATES'!$A$2 + TIME(22, 0, 0)), E37, 0),
  IF(AND('MATCH DATES'!$A$3 &lt;= TODAY(), NOW() &gt;= 'MATCH DATES'!$A$3 + TIME(22, 0, 0)), Q37, 0),
  IF(AND('MATCH DATES'!$A$4 &lt;= TODAY(), NOW() &gt;= 'MATCH DATES'!$A$4 + TIME(22, 0, 0)), AC37, 0),
  IF(AND('MATCH DATES'!$A$5 &lt;= TODAY(), NOW() &gt;= 'MATCH DATES'!$A$5 + TIME(22, 0, 0)), AO37, 0),
  IF(AND('MATCH DATES'!$A$6 &lt;= TODAY(), NOW() &gt;= 'MATCH DATES'!$A$6 + TIME(22, 0, 0)), BA37, 0),
  IF(AND('MATCH DATES'!$A$7 &lt;= TODAY(), NOW() &gt;= 'MATCH DATES'!$A$7 + TIME(22, 0, 0)), BM37, 0),
  IF(AND('MATCH DATES'!$A$8 &lt;= TODAY(), NOW() &gt;= 'MATCH DATES'!$A$8 + TIME(22, 0, 0)), BY37, 0),
  IF(AND('MATCH DATES'!$A$9 &lt;= TODAY(), NOW() &gt;= 'MATCH DATES'!$A$9 + TIME(22, 0, 0)), CK37, 0)
)
</f>
        <v>2</v>
      </c>
      <c r="CZ37" s="33">
        <f t="shared" ref="CZ37:DA37" si="143">SUM(G37,S37,AE37,AQ37,BC37,BO37,CA37,CM37)</f>
        <v>1</v>
      </c>
      <c r="DA37" s="33">
        <f t="shared" si="143"/>
        <v>0</v>
      </c>
      <c r="DB37" s="33">
        <f>SUM(
  IF(AND('MATCH DATES'!$A$2 &lt;= TODAY(), NOW() &gt;= 'MATCH DATES'!$A$2 + TIME(22, 0, 0)), I37, 0),
  IF(AND('MATCH DATES'!$A$3 &lt;= TODAY(), NOW() &gt;= 'MATCH DATES'!$A$3 + TIME(22, 0, 0)), U37, 0),
  IF(AND('MATCH DATES'!$A$4 &lt;= TODAY(), NOW() &gt;= 'MATCH DATES'!$A$4 + TIME(22, 0, 0)), AG37, 0),
  IF(AND('MATCH DATES'!$A$5 &lt;= TODAY(), NOW() &gt;= 'MATCH DATES'!$A$5 + TIME(22, 0, 0)), AS37, 0),
  IF(AND('MATCH DATES'!$A$6 &lt;= TODAY(), NOW() &gt;= 'MATCH DATES'!$A$6 + TIME(22, 0, 0)), BE37, 0),
  IF(AND('MATCH DATES'!$A$7 &lt;= TODAY(), NOW() &gt;= 'MATCH DATES'!$A$7 + TIME(22, 0, 0)), BQ37, 0),
  IF(AND('MATCH DATES'!$A$8 &lt;= TODAY(), NOW() &gt;= 'MATCH DATES'!$A$8 + TIME(22, 0, 0)), CC37, 0),
  IF(AND('MATCH DATES'!$A$9 &lt;= TODAY(), NOW() &gt;= 'MATCH DATES'!$A$9 + TIME(22, 0, 0)), CO37, 0)
)</f>
        <v>1</v>
      </c>
      <c r="DC37" s="33">
        <f t="shared" si="44"/>
        <v>0</v>
      </c>
      <c r="DD37" s="33">
        <f t="shared" ref="DD37:DE37" si="144">SUM(K37,W37,AI37,AU37,BG37,BS37,CE37,CQ37)</f>
        <v>0</v>
      </c>
      <c r="DE37" s="33">
        <f t="shared" si="144"/>
        <v>0</v>
      </c>
    </row>
    <row r="38" ht="24.75" customHeight="1">
      <c r="A38" s="17" t="s">
        <v>136</v>
      </c>
      <c r="B38" s="18" t="s">
        <v>176</v>
      </c>
      <c r="C38" s="19" t="s">
        <v>138</v>
      </c>
      <c r="D38" s="20">
        <f t="shared" si="4"/>
        <v>6</v>
      </c>
      <c r="E38" s="20">
        <f t="shared" si="5"/>
        <v>2</v>
      </c>
      <c r="F38" s="20">
        <f t="shared" si="6"/>
        <v>4</v>
      </c>
      <c r="G38" s="20">
        <f>IF(C38&lt;&gt;"",
    COUNTIFS(MATCH_INPUT!$K$2:$K$5,C38),
0)</f>
        <v>2</v>
      </c>
      <c r="H38" s="20">
        <f>IF(C38&lt;&gt;"",
    COUNTIFS(MATCH_INPUT!$F$2:$F$5, C38, MATCH_INPUT!$K$2:$K$5, "Draw") +
    COUNTIFS(MATCH_INPUT!$J$2:$J$5, C38, MATCH_INPUT!$K$2:$K$5, "Draw"),
0)</f>
        <v>0</v>
      </c>
      <c r="I38" s="20">
        <f>IF(C38&lt;&gt;"",
    COUNTIFS(MATCH_INPUT!$F$2:$F$5, C38, MATCH_INPUT!$K$2:$K$5, "&lt;&gt;"&amp;C38, MATCH_INPUT!$K$2:$K$5, "&lt;&gt;Draw", MATCH_INPUT!$K$2:$K$5, "&lt;&gt;""") +
    COUNTIFS(MATCH_INPUT!$J$2:$J$5, C38, MATCH_INPUT!$K$2:$K$5, "&lt;&gt;"&amp;C38, MATCH_INPUT!$K$2:$K$5, "&lt;&gt;Draw", MATCH_INPUT!$K$2:$K$5, "&lt;&gt;"""),
0)</f>
        <v>0</v>
      </c>
      <c r="J38" s="21"/>
      <c r="K38" s="21"/>
      <c r="L38" s="22"/>
      <c r="M38" s="23">
        <f t="shared" si="7"/>
        <v>2</v>
      </c>
      <c r="N38" s="24" t="str">
        <f t="shared" si="8"/>
        <v>↓</v>
      </c>
      <c r="O38" s="25"/>
      <c r="P38" s="26">
        <f t="shared" si="9"/>
        <v>6</v>
      </c>
      <c r="Q38" s="26">
        <f t="shared" si="10"/>
        <v>0</v>
      </c>
      <c r="R38" s="26">
        <f t="shared" si="11"/>
        <v>0</v>
      </c>
      <c r="S38" s="26">
        <f>IF(O38&lt;&gt;"",
    COUNTIFS(MATCH_INPUT!$K$6:$K$9,O38),
0)</f>
        <v>0</v>
      </c>
      <c r="T38" s="26">
        <f>IF(O38&lt;&gt;"",
    COUNTIFS(MATCH_INPUT!$F$6:$F$9, O38, MATCH_INPUT!$K$6:$K$9, "Draw") +
    COUNTIFS(MATCH_INPUT!$J$6:$J$9, O38, MATCH_INPUT!$K$6:$K$9, "Draw"),
0)</f>
        <v>0</v>
      </c>
      <c r="U38" s="26">
        <f>IF(O38&lt;&gt;"",
    COUNTIFS(MATCH_INPUT!$F$6:$F$9, O38, MATCH_INPUT!$K$6:$K$9, "&lt;&gt;"&amp;O38, MATCH_INPUT!$K$6:$K$9, "&lt;&gt;Draw", MATCH_INPUT!$K$6:$K$9, "&lt;&gt;""") +
    COUNTIFS(MATCH_INPUT!$J$6:$J$9, O38, MATCH_INPUT!$K$6:$K$9, "&lt;&gt;"&amp;O38, MATCH_INPUT!$K$6:$K$9, "&lt;&gt;Draw", MATCH_INPUT!$K$6:$K$9, "&lt;&gt;"""),
0)</f>
        <v>0</v>
      </c>
      <c r="V38" s="27"/>
      <c r="W38" s="27"/>
      <c r="X38" s="28"/>
      <c r="Y38" s="26">
        <f t="shared" si="12"/>
        <v>20</v>
      </c>
      <c r="Z38" s="29" t="str">
        <f t="shared" si="13"/>
        <v>↓</v>
      </c>
      <c r="AA38" s="19"/>
      <c r="AB38" s="23">
        <f t="shared" si="14"/>
        <v>6</v>
      </c>
      <c r="AC38" s="20">
        <f t="shared" si="15"/>
        <v>0</v>
      </c>
      <c r="AD38" s="20">
        <f t="shared" si="16"/>
        <v>0</v>
      </c>
      <c r="AE38" s="20">
        <f>IF(AA38&lt;&gt;"",
    COUNTIFS(MATCH_INPUT!$K$10:$K$13,AA38),
0)</f>
        <v>0</v>
      </c>
      <c r="AF38" s="20">
        <f>IF(AA38&lt;&gt;"",
    COUNTIFS(MATCH_INPUT!$F$10:$F$13, AA38, MATCH_INPUT!$K$10:$K$13, "Draw") +
    COUNTIFS(MATCH_INPUT!$J$10:$J$13, AA38, MATCH_INPUT!$K$10:$K$13, "Draw"),
0)</f>
        <v>0</v>
      </c>
      <c r="AG38" s="20">
        <f>IF(AA38&lt;&gt;"",
    COUNTIFS(MATCH_INPUT!$F$10:$F$13, AA38, MATCH_INPUT!$K$10:$K$13, "&lt;&gt;"&amp;AA38, MATCH_INPUT!$K$10:$K$13, "&lt;&gt;Draw", MATCH_INPUT!$K$10:$K$13, "&lt;&gt;""") +
    COUNTIFS(MATCH_INPUT!$J$10:$J$13, AA38, MATCH_INPUT!$K$10:$K$13, "&lt;&gt;"&amp;AA38, MATCH_INPUT!$K$10:$K$13, "&lt;&gt;Draw", MATCH_INPUT!$K$10:$K$13, "&lt;&gt;"""),
0)</f>
        <v>0</v>
      </c>
      <c r="AH38" s="21"/>
      <c r="AI38" s="21"/>
      <c r="AJ38" s="30"/>
      <c r="AK38" s="23">
        <f t="shared" si="17"/>
        <v>33</v>
      </c>
      <c r="AL38" s="24" t="str">
        <f t="shared" si="18"/>
        <v>↓</v>
      </c>
      <c r="AM38" s="25" t="s">
        <v>138</v>
      </c>
      <c r="AN38" s="26">
        <f t="shared" si="19"/>
        <v>8</v>
      </c>
      <c r="AO38" s="26">
        <f t="shared" si="20"/>
        <v>2</v>
      </c>
      <c r="AP38" s="26">
        <f t="shared" si="21"/>
        <v>0</v>
      </c>
      <c r="AQ38" s="26">
        <f>IF(AM38&lt;&gt;"",
    COUNTIFS(MATCH_INPUT!$K$14:$K$17,AM38),
0)</f>
        <v>0</v>
      </c>
      <c r="AR38" s="26">
        <f>IF(AM38&lt;&gt;"",
    COUNTIFS(MATCH_INPUT!$F$14:$F$17, AM38, MATCH_INPUT!$K$14:$K$17, "Draw") +
    COUNTIFS(MATCH_INPUT!$J$14:$J$17, AM38, MATCH_INPUT!$K$14:$K$17, "Draw"),
0)</f>
        <v>0</v>
      </c>
      <c r="AS38" s="26">
        <f>IF(AM38&lt;&gt;"",
    COUNTIFS(MATCH_INPUT!$F$14:$F$17, AM38, MATCH_INPUT!$K$14:$K$17, "&lt;&gt;"&amp;AM38, MATCH_INPUT!$K$14:$K$17, "&lt;&gt;Draw", MATCH_INPUT!$K$14:$K$17, "&lt;&gt;""") +
    COUNTIFS(MATCH_INPUT!$J$14:$J$17, AM38, MATCH_INPUT!$K$14:$K$17, "&lt;&gt;"&amp;AM38, MATCH_INPUT!$K$14:$K$17, "&lt;&gt;Draw", MATCH_INPUT!$K$14:$K$17, "&lt;&gt;"""),
0)</f>
        <v>2</v>
      </c>
      <c r="AT38" s="27"/>
      <c r="AU38" s="27"/>
      <c r="AV38" s="28"/>
      <c r="AW38" s="26">
        <f t="shared" si="22"/>
        <v>34</v>
      </c>
      <c r="AX38" s="29" t="str">
        <f t="shared" si="23"/>
        <v>↓</v>
      </c>
      <c r="AY38" s="19"/>
      <c r="AZ38" s="23">
        <f t="shared" si="24"/>
        <v>8</v>
      </c>
      <c r="BA38" s="20">
        <f t="shared" si="25"/>
        <v>0</v>
      </c>
      <c r="BB38" s="20">
        <f>SUM(BC38*2) + (BD38*1) + SUMIFS(MATCH_INPUT!$G$18:$G$21, MATCH_INPUT!$F$18:$F$21, AY38) + SUMIFS(MATCH_INPUT!$I$18:$I$21, MATCH_INPUT!$J$18:$J$21, AY38)
</f>
        <v>0</v>
      </c>
      <c r="BC38" s="20">
        <f>IF(AY38&lt;&gt;"",
    COUNTIFS(MATCH_INPUT!$K$18:$K$21,AY38),
0)</f>
        <v>0</v>
      </c>
      <c r="BD38" s="20">
        <f>IF(AY38&lt;&gt;"",
    COUNTIFS(MATCH_INPUT!$F$18:$F$21, AY38, MATCH_INPUT!$K$18:$K$21, "Draw") +
    COUNTIFS(MATCH_INPUT!$J$18:$J$21, AY38, MATCH_INPUT!$K$18:$K$21, "Draw"),
0)</f>
        <v>0</v>
      </c>
      <c r="BE38" s="20">
        <f>IF(AY38&lt;&gt;"",
    COUNTIFS(MATCH_INPUT!$F$18:$F$21, AY38, MATCH_INPUT!$K$18:$K$21, "&lt;&gt;"&amp;AY38, MATCH_INPUT!$K$18:$K$21, "&lt;&gt;Draw", MATCH_INPUT!$K$18:$K$21, "&lt;&gt;""") +
    COUNTIFS(MATCH_INPUT!$J$18:$J$21, AY38, MATCH_INPUT!$K$18:$K$21, "&lt;&gt;"&amp;AY38, MATCH_INPUT!$K$18:$K$21, "&lt;&gt;Draw", MATCH_INPUT!$K$18:$K$21, "&lt;&gt;"""),
0)</f>
        <v>0</v>
      </c>
      <c r="BF38" s="21" t="str">
        <f t="array" ref="BF38">IFERROR(INDEX(Form_Response!E:E, MATCH(1, (Form_Response!C:C='MATCH DATES'!$B$6)*(Form_Response!D:D=B38), 0)), "")
</f>
        <v/>
      </c>
      <c r="BG38" s="21">
        <f t="array" ref="BG38">IFERROR(IF(INDEX(Form_Response!F:F, MATCH(1, (Form_Response!C:C='MATCH DATES'!$B$6)*(Form_Response!D:D=B38), 0))="Yes", 1, 0), 0)
</f>
        <v>0</v>
      </c>
      <c r="BH38" s="30" t="str">
        <f t="array" ref="BH38">IFERROR(INDEX(Form_Response!G:G, MATCH(1, (Form_Response!C:C='MATCH DATES'!$B$6)*(Form_Response!D:D=B38), 0)), "")
</f>
        <v/>
      </c>
      <c r="BI38" s="23">
        <f t="shared" si="26"/>
        <v>35</v>
      </c>
      <c r="BJ38" s="24" t="str">
        <f t="shared" si="27"/>
        <v>↓</v>
      </c>
      <c r="BK38" s="25"/>
      <c r="BL38" s="26">
        <f t="shared" si="28"/>
        <v>8</v>
      </c>
      <c r="BM38" s="26">
        <f t="shared" si="29"/>
        <v>0</v>
      </c>
      <c r="BN38" s="26">
        <f>SUM(BO38*2) + (BP38*1) + SUMIFS(MATCH_INPUT!$G$22:$G$25, MATCH_INPUT!$F$22:$F$25, BK38) + SUMIFS(MATCH_INPUT!$I$22:$I$25, MATCH_INPUT!$J$22:$J$25, BK38)
</f>
        <v>0</v>
      </c>
      <c r="BO38" s="26">
        <f>IF(BK38&lt;&gt;"",
    COUNTIFS(MATCH_INPUT!$K$22:$K$25,BK38),
0)</f>
        <v>0</v>
      </c>
      <c r="BP38" s="26">
        <f>IF(BK38&lt;&gt;"",
    COUNTIFS(MATCH_INPUT!$F$22:$F$25, BK38, MATCH_INPUT!$K$22:$K$25, "Draw") +
    COUNTIFS(MATCH_INPUT!$J$22:$J$25, BK38, MATCH_INPUT!$K$22:$K$25, "Draw"),
0)</f>
        <v>0</v>
      </c>
      <c r="BQ38" s="26">
        <f>IF(BK38&lt;&gt;"",
    COUNTIFS(MATCH_INPUT!$F$22:$F$25, BK38, MATCH_INPUT!$K$22:$K$25, "&lt;&gt;"&amp;BK38, MATCH_INPUT!$K$22:$K$25, "&lt;&gt;Draw", MATCH_INPUT!$K$22:$K$25, "&lt;&gt;""") +
    COUNTIFS(MATCH_INPUT!$J$22:$J$25, BK38, MATCH_INPUT!$K$22:$K$25, "&lt;&gt;"&amp;BK38, MATCH_INPUT!$K$22:$K$25, "&lt;&gt;Draw", MATCH_INPUT!$K$22:$K$25, "&lt;&gt;"""),
0)</f>
        <v>0</v>
      </c>
      <c r="BR38" s="27"/>
      <c r="BS38" s="27"/>
      <c r="BT38" s="28"/>
      <c r="BU38" s="26">
        <f t="shared" si="30"/>
        <v>35</v>
      </c>
      <c r="BV38" s="29" t="str">
        <f t="shared" si="31"/>
        <v>=</v>
      </c>
      <c r="BW38" s="19" t="s">
        <v>139</v>
      </c>
      <c r="BX38" s="23">
        <f t="shared" si="32"/>
        <v>12</v>
      </c>
      <c r="BY38" s="20">
        <f t="shared" si="33"/>
        <v>2</v>
      </c>
      <c r="BZ38" s="20">
        <f>SUM(CA38*2)+(CB38*1) + SUMIFS(MATCH_INPUT!$G$26:$G$29, MATCH_INPUT!$F$26:$F$29, BW38) + SUMIFS(MATCH_INPUT!$I$26:$I$29, MATCH_INPUT!$J$26:$J$29, BW38)
</f>
        <v>2</v>
      </c>
      <c r="CA38" s="20">
        <f>IF(BW38&lt;&gt;"",
    COUNTIFS(MATCH_INPUT!$K$26:$K$29,BW38),
0)</f>
        <v>0</v>
      </c>
      <c r="CB38" s="20">
        <f>IF(BW38&lt;&gt;"",
    COUNTIFS(MATCH_INPUT!$F$26:$F$29, BW38, MATCH_INPUT!$K$26:$K$29, "Draw") +
    COUNTIFS(MATCH_INPUT!$J$26:$J$29, BW38, MATCH_INPUT!$K$26:$K$29, "Draw"),
0)</f>
        <v>0</v>
      </c>
      <c r="CC38" s="20">
        <f>IF(BW38&lt;&gt;"",
    COUNTIFS(MATCH_INPUT!$F$26:$F$29, BW38, MATCH_INPUT!$K$26:$K$29, "&lt;&gt;"&amp;BW38, MATCH_INPUT!$K$26:$K$29, "&lt;&gt;Draw", MATCH_INPUT!$K$26:$K$29, "&lt;&gt;""") +
    COUNTIFS(MATCH_INPUT!$J$26:$J$29, BW38, MATCH_INPUT!$K$26:$K$29, "&lt;&gt;"&amp;BW38, MATCH_INPUT!$K$26:$K$29, "&lt;&gt;Draw", MATCH_INPUT!$K$26:$K$29, "&lt;&gt;"""),
0)</f>
        <v>2</v>
      </c>
      <c r="CD38" s="21"/>
      <c r="CE38" s="21"/>
      <c r="CF38" s="30"/>
      <c r="CG38" s="23">
        <f t="shared" si="34"/>
        <v>35</v>
      </c>
      <c r="CH38" s="24" t="str">
        <f t="shared" si="35"/>
        <v>=</v>
      </c>
      <c r="CI38" s="25"/>
      <c r="CJ38" s="26">
        <f t="shared" si="36"/>
        <v>12</v>
      </c>
      <c r="CK38" s="26">
        <f t="shared" si="37"/>
        <v>0</v>
      </c>
      <c r="CL38" s="26">
        <f>SUM(CM38*2)+(CN38*1) + SUMIFS(MATCH_INPUT!$G$30:$G$33, MATCH_INPUT!$F$30:$F$33, CI38) + SUMIFS(MATCH_INPUT!$I$30:$I$33, MATCH_INPUT!$J$30:$J$33, CI38)
</f>
        <v>0</v>
      </c>
      <c r="CM38" s="26">
        <f>IF(CI38&lt;&gt;"",
    COUNTIFS(MATCH_INPUT!$K$30:$K$33,CI38),
0)</f>
        <v>0</v>
      </c>
      <c r="CN38" s="26">
        <f>IF(CI38&lt;&gt;"",
    COUNTIFS(MATCH_INPUT!$F$30:$F$33, CI38, MATCH_INPUT!$K$30:$K$33, "Draw") +
    COUNTIFS(MATCH_INPUT!$J$30:$J$33, CI38, MATCH_INPUT!$K$30:$K$33, "Draw"),
0)</f>
        <v>0</v>
      </c>
      <c r="CO38" s="26">
        <f>IF(CI38&lt;&gt;"",
    COUNTIFS(MATCH_INPUT!$F$30:$F$33, CI38, MATCH_INPUT!$K$30:$K$33, "&lt;&gt;"&amp;CI38, MATCH_INPUT!$K$30:$K$33, "&lt;&gt;Draw", MATCH_INPUT!$K$30:$K$33, "&lt;&gt;""") +
    COUNTIFS(MATCH_INPUT!$J$30:$J$33, CI38, MATCH_INPUT!$K$30:$K$33, "&lt;&gt;"&amp;CI38, MATCH_INPUT!$K$30:$K$33, "&lt;&gt;Draw", MATCH_INPUT!$K$30:$K$33, "&lt;&gt;"""),
0)</f>
        <v>0</v>
      </c>
      <c r="CP38" s="27" t="str">
        <f t="array" ref="CP38">IFERROR(INDEX(Form_Response!E:E, MATCH(1, (Form_Response!C:C='MATCH DATES'!$B$9)*(Form_Response!D:D=B38), 0)), "")
</f>
        <v/>
      </c>
      <c r="CQ38" s="27">
        <f t="array" ref="CQ38">IFERROR(IF(INDEX(Form_Response!F:F, MATCH(1, (Form_Response!C:C='MATCH DATES'!$B$9)*(Form_Response!D:D=B38), 0))="Yes", 1, 0), 0)
</f>
        <v>0</v>
      </c>
      <c r="CR38" s="28" t="str">
        <f t="array" ref="CR38">IFERROR(INDEX(Form_Response!G:G, MATCH(1, (Form_Response!C:C='MATCH DATES'!$B$9)*(Form_Response!D:D=B38), 0)), "")
</f>
        <v/>
      </c>
      <c r="CS38" s="31">
        <f t="shared" si="38"/>
        <v>35</v>
      </c>
      <c r="CT38" s="31" t="str">
        <f t="shared" si="39"/>
        <v>=</v>
      </c>
      <c r="CU38" s="32">
        <f t="shared" si="40"/>
        <v>6</v>
      </c>
      <c r="CV38" s="32" t="str">
        <f t="shared" ref="CV38:CW38" si="145">A38</f>
        <v>⭐️</v>
      </c>
      <c r="CW38" s="33" t="str">
        <f t="shared" si="145"/>
        <v>J. Sarza</v>
      </c>
      <c r="CX38" s="33">
        <f t="shared" si="42"/>
        <v>12</v>
      </c>
      <c r="CY38" s="32">
        <f>SUM(
  IF(AND('MATCH DATES'!$A$2 &lt;= TODAY(), NOW() &gt;= 'MATCH DATES'!$A$2 + TIME(22, 0, 0)), E38, 0),
  IF(AND('MATCH DATES'!$A$3 &lt;= TODAY(), NOW() &gt;= 'MATCH DATES'!$A$3 + TIME(22, 0, 0)), Q38, 0),
  IF(AND('MATCH DATES'!$A$4 &lt;= TODAY(), NOW() &gt;= 'MATCH DATES'!$A$4 + TIME(22, 0, 0)), AC38, 0),
  IF(AND('MATCH DATES'!$A$5 &lt;= TODAY(), NOW() &gt;= 'MATCH DATES'!$A$5 + TIME(22, 0, 0)), AO38, 0),
  IF(AND('MATCH DATES'!$A$6 &lt;= TODAY(), NOW() &gt;= 'MATCH DATES'!$A$6 + TIME(22, 0, 0)), BA38, 0),
  IF(AND('MATCH DATES'!$A$7 &lt;= TODAY(), NOW() &gt;= 'MATCH DATES'!$A$7 + TIME(22, 0, 0)), BM38, 0),
  IF(AND('MATCH DATES'!$A$8 &lt;= TODAY(), NOW() &gt;= 'MATCH DATES'!$A$8 + TIME(22, 0, 0)), BY38, 0),
  IF(AND('MATCH DATES'!$A$9 &lt;= TODAY(), NOW() &gt;= 'MATCH DATES'!$A$9 + TIME(22, 0, 0)), CK38, 0)
)
</f>
        <v>6</v>
      </c>
      <c r="CZ38" s="33">
        <f t="shared" ref="CZ38:DA38" si="146">SUM(G38,S38,AE38,AQ38,BC38,BO38,CA38,CM38)</f>
        <v>2</v>
      </c>
      <c r="DA38" s="33">
        <f t="shared" si="146"/>
        <v>0</v>
      </c>
      <c r="DB38" s="33">
        <f>SUM(
  IF(AND('MATCH DATES'!$A$2 &lt;= TODAY(), NOW() &gt;= 'MATCH DATES'!$A$2 + TIME(22, 0, 0)), I38, 0),
  IF(AND('MATCH DATES'!$A$3 &lt;= TODAY(), NOW() &gt;= 'MATCH DATES'!$A$3 + TIME(22, 0, 0)), U38, 0),
  IF(AND('MATCH DATES'!$A$4 &lt;= TODAY(), NOW() &gt;= 'MATCH DATES'!$A$4 + TIME(22, 0, 0)), AG38, 0),
  IF(AND('MATCH DATES'!$A$5 &lt;= TODAY(), NOW() &gt;= 'MATCH DATES'!$A$5 + TIME(22, 0, 0)), AS38, 0),
  IF(AND('MATCH DATES'!$A$6 &lt;= TODAY(), NOW() &gt;= 'MATCH DATES'!$A$6 + TIME(22, 0, 0)), BE38, 0),
  IF(AND('MATCH DATES'!$A$7 &lt;= TODAY(), NOW() &gt;= 'MATCH DATES'!$A$7 + TIME(22, 0, 0)), BQ38, 0),
  IF(AND('MATCH DATES'!$A$8 &lt;= TODAY(), NOW() &gt;= 'MATCH DATES'!$A$8 + TIME(22, 0, 0)), CC38, 0),
  IF(AND('MATCH DATES'!$A$9 &lt;= TODAY(), NOW() &gt;= 'MATCH DATES'!$A$9 + TIME(22, 0, 0)), CO38, 0)
)</f>
        <v>4</v>
      </c>
      <c r="DC38" s="33">
        <f t="shared" si="44"/>
        <v>0</v>
      </c>
      <c r="DD38" s="33">
        <f t="shared" ref="DD38:DE38" si="147">SUM(K38,W38,AI38,AU38,BG38,BS38,CE38,CQ38)</f>
        <v>0</v>
      </c>
      <c r="DE38" s="33">
        <f t="shared" si="147"/>
        <v>0</v>
      </c>
    </row>
    <row r="39" ht="24.75" customHeight="1">
      <c r="A39" s="17"/>
      <c r="B39" s="18" t="s">
        <v>177</v>
      </c>
      <c r="C39" s="19" t="s">
        <v>141</v>
      </c>
      <c r="D39" s="20">
        <f t="shared" si="4"/>
        <v>4</v>
      </c>
      <c r="E39" s="20">
        <f t="shared" si="5"/>
        <v>2</v>
      </c>
      <c r="F39" s="20">
        <f t="shared" si="6"/>
        <v>2</v>
      </c>
      <c r="G39" s="20">
        <f>IF(C39&lt;&gt;"",
    COUNTIFS(MATCH_INPUT!$K$2:$K$5,C39),
0)</f>
        <v>1</v>
      </c>
      <c r="H39" s="20">
        <f>IF(C39&lt;&gt;"",
    COUNTIFS(MATCH_INPUT!$F$2:$F$5, C39, MATCH_INPUT!$K$2:$K$5, "Draw") +
    COUNTIFS(MATCH_INPUT!$J$2:$J$5, C39, MATCH_INPUT!$K$2:$K$5, "Draw"),
0)</f>
        <v>0</v>
      </c>
      <c r="I39" s="20">
        <f>IF(C39&lt;&gt;"",
    COUNTIFS(MATCH_INPUT!$F$2:$F$5, C39, MATCH_INPUT!$K$2:$K$5, "&lt;&gt;"&amp;C39, MATCH_INPUT!$K$2:$K$5, "&lt;&gt;Draw", MATCH_INPUT!$K$2:$K$5, "&lt;&gt;""") +
    COUNTIFS(MATCH_INPUT!$J$2:$J$5, C39, MATCH_INPUT!$K$2:$K$5, "&lt;&gt;"&amp;C39, MATCH_INPUT!$K$2:$K$5, "&lt;&gt;Draw", MATCH_INPUT!$K$2:$K$5, "&lt;&gt;"""),
0)</f>
        <v>1</v>
      </c>
      <c r="J39" s="21">
        <v>1.0</v>
      </c>
      <c r="K39" s="21"/>
      <c r="L39" s="22"/>
      <c r="M39" s="23">
        <f t="shared" ref="M39:M98" si="151">RANK(D39, D$39:D$99, 0)</f>
        <v>2</v>
      </c>
      <c r="N39" s="24" t="str">
        <f t="shared" si="8"/>
        <v>↓</v>
      </c>
      <c r="O39" s="25"/>
      <c r="P39" s="26">
        <f t="shared" si="9"/>
        <v>4</v>
      </c>
      <c r="Q39" s="26">
        <f t="shared" si="10"/>
        <v>0</v>
      </c>
      <c r="R39" s="26">
        <f t="shared" si="11"/>
        <v>0</v>
      </c>
      <c r="S39" s="26">
        <f>IF(O39&lt;&gt;"",
    COUNTIFS(MATCH_INPUT!$K$6:$K$9,O39),
0)</f>
        <v>0</v>
      </c>
      <c r="T39" s="26">
        <f>IF(O39&lt;&gt;"",
    COUNTIFS(MATCH_INPUT!$F$6:$F$9, O39, MATCH_INPUT!$K$6:$K$9, "Draw") +
    COUNTIFS(MATCH_INPUT!$J$6:$J$9, O39, MATCH_INPUT!$K$6:$K$9, "Draw"),
0)</f>
        <v>0</v>
      </c>
      <c r="U39" s="26">
        <f>IF(O39&lt;&gt;"",
    COUNTIFS(MATCH_INPUT!$F$6:$F$9, O39, MATCH_INPUT!$K$6:$K$9, "&lt;&gt;"&amp;O39, MATCH_INPUT!$K$6:$K$9, "&lt;&gt;Draw", MATCH_INPUT!$K$6:$K$9, "&lt;&gt;""") +
    COUNTIFS(MATCH_INPUT!$J$6:$J$9, O39, MATCH_INPUT!$K$6:$K$9, "&lt;&gt;"&amp;O39, MATCH_INPUT!$K$6:$K$9, "&lt;&gt;Draw", MATCH_INPUT!$K$6:$K$9, "&lt;&gt;"""),
0)</f>
        <v>0</v>
      </c>
      <c r="V39" s="27"/>
      <c r="W39" s="27"/>
      <c r="X39" s="28"/>
      <c r="Y39" s="26">
        <f t="shared" ref="Y39:Y98" si="152">RANK(P39, P$39:P$99, 0)</f>
        <v>3</v>
      </c>
      <c r="Z39" s="29" t="str">
        <f t="shared" si="13"/>
        <v>↓</v>
      </c>
      <c r="AA39" s="19" t="s">
        <v>139</v>
      </c>
      <c r="AB39" s="23">
        <f t="shared" si="14"/>
        <v>8</v>
      </c>
      <c r="AC39" s="20">
        <f t="shared" si="15"/>
        <v>2</v>
      </c>
      <c r="AD39" s="20">
        <f t="shared" si="16"/>
        <v>2</v>
      </c>
      <c r="AE39" s="20">
        <f>IF(AA39&lt;&gt;"",
    COUNTIFS(MATCH_INPUT!$K$10:$K$13,AA39),
0)</f>
        <v>1</v>
      </c>
      <c r="AF39" s="20">
        <f>IF(AA39&lt;&gt;"",
    COUNTIFS(MATCH_INPUT!$F$10:$F$13, AA39, MATCH_INPUT!$K$10:$K$13, "Draw") +
    COUNTIFS(MATCH_INPUT!$J$10:$J$13, AA39, MATCH_INPUT!$K$10:$K$13, "Draw"),
0)</f>
        <v>0</v>
      </c>
      <c r="AG39" s="20">
        <f>IF(AA39&lt;&gt;"",
    COUNTIFS(MATCH_INPUT!$F$10:$F$13, AA39, MATCH_INPUT!$K$10:$K$13, "&lt;&gt;"&amp;AA39, MATCH_INPUT!$K$10:$K$13, "&lt;&gt;Draw", MATCH_INPUT!$K$10:$K$13, "&lt;&gt;""") +
    COUNTIFS(MATCH_INPUT!$J$10:$J$13, AA39, MATCH_INPUT!$K$10:$K$13, "&lt;&gt;"&amp;AA39, MATCH_INPUT!$K$10:$K$13, "&lt;&gt;Draw", MATCH_INPUT!$K$10:$K$13, "&lt;&gt;"""),
0)</f>
        <v>1</v>
      </c>
      <c r="AH39" s="21"/>
      <c r="AI39" s="21"/>
      <c r="AJ39" s="30"/>
      <c r="AK39" s="23">
        <f t="shared" ref="AK39:AK98" si="153">RANK(AB39, AB$39:AB$99, 0)</f>
        <v>3</v>
      </c>
      <c r="AL39" s="24" t="str">
        <f t="shared" si="18"/>
        <v>=</v>
      </c>
      <c r="AM39" s="25" t="s">
        <v>140</v>
      </c>
      <c r="AN39" s="26">
        <f t="shared" si="19"/>
        <v>12</v>
      </c>
      <c r="AO39" s="26">
        <f t="shared" si="20"/>
        <v>2</v>
      </c>
      <c r="AP39" s="26">
        <f t="shared" si="21"/>
        <v>2</v>
      </c>
      <c r="AQ39" s="26">
        <f>IF(AM39&lt;&gt;"",
    COUNTIFS(MATCH_INPUT!$K$14:$K$17,AM39),
0)</f>
        <v>1</v>
      </c>
      <c r="AR39" s="26">
        <f>IF(AM39&lt;&gt;"",
    COUNTIFS(MATCH_INPUT!$F$14:$F$17, AM39, MATCH_INPUT!$K$14:$K$17, "Draw") +
    COUNTIFS(MATCH_INPUT!$J$14:$J$17, AM39, MATCH_INPUT!$K$14:$K$17, "Draw"),
0)</f>
        <v>0</v>
      </c>
      <c r="AS39" s="26">
        <f>IF(AM39&lt;&gt;"",
    COUNTIFS(MATCH_INPUT!$F$14:$F$17, AM39, MATCH_INPUT!$K$14:$K$17, "&lt;&gt;"&amp;AM39, MATCH_INPUT!$K$14:$K$17, "&lt;&gt;Draw", MATCH_INPUT!$K$14:$K$17, "&lt;&gt;""") +
    COUNTIFS(MATCH_INPUT!$J$14:$J$17, AM39, MATCH_INPUT!$K$14:$K$17, "&lt;&gt;"&amp;AM39, MATCH_INPUT!$K$14:$K$17, "&lt;&gt;Draw", MATCH_INPUT!$K$14:$K$17, "&lt;&gt;"""),
0)</f>
        <v>1</v>
      </c>
      <c r="AT39" s="27"/>
      <c r="AU39" s="27"/>
      <c r="AV39" s="28"/>
      <c r="AW39" s="26">
        <f t="shared" ref="AW39:AW98" si="154">RANK(AN39, AN$39:AN$99, 0)</f>
        <v>2</v>
      </c>
      <c r="AX39" s="29" t="str">
        <f t="shared" si="23"/>
        <v>↑</v>
      </c>
      <c r="AY39" s="19" t="s">
        <v>138</v>
      </c>
      <c r="AZ39" s="23">
        <f t="shared" si="24"/>
        <v>19</v>
      </c>
      <c r="BA39" s="20">
        <f t="shared" si="25"/>
        <v>2</v>
      </c>
      <c r="BB39" s="20">
        <f>SUM(BC39*2) + (BD39*1) + SUMIFS(MATCH_INPUT!$G$18:$G$21, MATCH_INPUT!$F$18:$F$21, AY39) + SUMIFS(MATCH_INPUT!$I$18:$I$21, MATCH_INPUT!$J$18:$J$21, AY39)
</f>
        <v>5</v>
      </c>
      <c r="BC39" s="20">
        <f>IF(AY39&lt;&gt;"",
    COUNTIFS(MATCH_INPUT!$K$18:$K$21,AY39),
0)</f>
        <v>1</v>
      </c>
      <c r="BD39" s="20">
        <f>IF(AY39&lt;&gt;"",
    COUNTIFS(MATCH_INPUT!$F$18:$F$21, AY39, MATCH_INPUT!$K$18:$K$21, "Draw") +
    COUNTIFS(MATCH_INPUT!$J$18:$J$21, AY39, MATCH_INPUT!$K$18:$K$21, "Draw"),
0)</f>
        <v>0</v>
      </c>
      <c r="BE39" s="20">
        <f>IF(AY39&lt;&gt;"",
    COUNTIFS(MATCH_INPUT!$F$18:$F$21, AY39, MATCH_INPUT!$K$18:$K$21, "&lt;&gt;"&amp;AY39, MATCH_INPUT!$K$18:$K$21, "&lt;&gt;Draw", MATCH_INPUT!$K$18:$K$21, "&lt;&gt;""") +
    COUNTIFS(MATCH_INPUT!$J$18:$J$21, AY39, MATCH_INPUT!$K$18:$K$21, "&lt;&gt;"&amp;AY39, MATCH_INPUT!$K$18:$K$21, "&lt;&gt;Draw", MATCH_INPUT!$K$18:$K$21, "&lt;&gt;"""),
0)</f>
        <v>1</v>
      </c>
      <c r="BF39" s="21" t="str">
        <f t="array" ref="BF39">IFERROR(INDEX(Form_Response!E:E, MATCH(1, (Form_Response!C:C='MATCH DATES'!$B$6)*(Form_Response!D:D=B39), 0)), "")
</f>
        <v/>
      </c>
      <c r="BG39" s="21">
        <f t="array" ref="BG39">IFERROR(IF(INDEX(Form_Response!F:F, MATCH(1, (Form_Response!C:C='MATCH DATES'!$B$6)*(Form_Response!D:D=B39), 0))="Yes", 1, 0), 0)
</f>
        <v>0</v>
      </c>
      <c r="BH39" s="30" t="str">
        <f t="array" ref="BH39">IFERROR(INDEX(Form_Response!G:G, MATCH(1, (Form_Response!C:C='MATCH DATES'!$B$6)*(Form_Response!D:D=B39), 0)), "")
</f>
        <v/>
      </c>
      <c r="BI39" s="23">
        <f t="shared" ref="BI39:BI98" si="155">RANK(AZ39, AZ$39:AZ$99, 0)</f>
        <v>2</v>
      </c>
      <c r="BJ39" s="24" t="str">
        <f t="shared" si="27"/>
        <v>=</v>
      </c>
      <c r="BK39" s="25" t="s">
        <v>139</v>
      </c>
      <c r="BL39" s="26">
        <f t="shared" si="28"/>
        <v>29</v>
      </c>
      <c r="BM39" s="26">
        <f t="shared" si="29"/>
        <v>4</v>
      </c>
      <c r="BN39" s="26">
        <f>SUM(BO39*2) + (BP39*1) + SUMIFS(MATCH_INPUT!$G$22:$G$25, MATCH_INPUT!$F$22:$F$25, BK39) + SUMIFS(MATCH_INPUT!$I$22:$I$25, MATCH_INPUT!$J$22:$J$25, BK39)
</f>
        <v>6</v>
      </c>
      <c r="BO39" s="26">
        <f>IF(BK39&lt;&gt;"",
    COUNTIFS(MATCH_INPUT!$K$22:$K$25,BK39),
0)</f>
        <v>1</v>
      </c>
      <c r="BP39" s="26">
        <f>IF(BK39&lt;&gt;"",
    COUNTIFS(MATCH_INPUT!$F$22:$F$25, BK39, MATCH_INPUT!$K$22:$K$25, "Draw") +
    COUNTIFS(MATCH_INPUT!$J$22:$J$25, BK39, MATCH_INPUT!$K$22:$K$25, "Draw"),
0)</f>
        <v>1</v>
      </c>
      <c r="BQ39" s="26">
        <f>IF(BK39&lt;&gt;"",
    COUNTIFS(MATCH_INPUT!$F$22:$F$25, BK39, MATCH_INPUT!$K$22:$K$25, "&lt;&gt;"&amp;BK39, MATCH_INPUT!$K$22:$K$25, "&lt;&gt;Draw", MATCH_INPUT!$K$22:$K$25, "&lt;&gt;""") +
    COUNTIFS(MATCH_INPUT!$J$22:$J$25, BK39, MATCH_INPUT!$K$22:$K$25, "&lt;&gt;"&amp;BK39, MATCH_INPUT!$K$22:$K$25, "&lt;&gt;Draw", MATCH_INPUT!$K$22:$K$25, "&lt;&gt;"""),
0)</f>
        <v>0</v>
      </c>
      <c r="BR39" s="27"/>
      <c r="BS39" s="27"/>
      <c r="BT39" s="28"/>
      <c r="BU39" s="26">
        <f t="shared" ref="BU39:BU98" si="156">RANK(BL39, BL$39:BL$99, 0)</f>
        <v>2</v>
      </c>
      <c r="BV39" s="29" t="str">
        <f t="shared" si="31"/>
        <v>=</v>
      </c>
      <c r="BW39" s="19" t="s">
        <v>140</v>
      </c>
      <c r="BX39" s="23">
        <f t="shared" si="32"/>
        <v>35</v>
      </c>
      <c r="BY39" s="20">
        <f t="shared" si="33"/>
        <v>2</v>
      </c>
      <c r="BZ39" s="20">
        <f>SUM(CA39*2)+(CB39*1) + SUMIFS(MATCH_INPUT!$G$26:$G$29, MATCH_INPUT!$F$26:$F$29, BW39) + SUMIFS(MATCH_INPUT!$I$26:$I$29, MATCH_INPUT!$J$26:$J$29, BW39)
</f>
        <v>4</v>
      </c>
      <c r="CA39" s="20">
        <f>IF(BW39&lt;&gt;"",
    COUNTIFS(MATCH_INPUT!$K$26:$K$29,BW39),
0)</f>
        <v>1</v>
      </c>
      <c r="CB39" s="20">
        <f>IF(BW39&lt;&gt;"",
    COUNTIFS(MATCH_INPUT!$F$26:$F$29, BW39, MATCH_INPUT!$K$26:$K$29, "Draw") +
    COUNTIFS(MATCH_INPUT!$J$26:$J$29, BW39, MATCH_INPUT!$K$26:$K$29, "Draw"),
0)</f>
        <v>0</v>
      </c>
      <c r="CC39" s="20">
        <f>IF(BW39&lt;&gt;"",
    COUNTIFS(MATCH_INPUT!$F$26:$F$29, BW39, MATCH_INPUT!$K$26:$K$29, "&lt;&gt;"&amp;BW39, MATCH_INPUT!$K$26:$K$29, "&lt;&gt;Draw", MATCH_INPUT!$K$26:$K$29, "&lt;&gt;""") +
    COUNTIFS(MATCH_INPUT!$J$26:$J$29, BW39, MATCH_INPUT!$K$26:$K$29, "&lt;&gt;"&amp;BW39, MATCH_INPUT!$K$26:$K$29, "&lt;&gt;Draw", MATCH_INPUT!$K$26:$K$29, "&lt;&gt;"""),
0)</f>
        <v>1</v>
      </c>
      <c r="CD39" s="21"/>
      <c r="CE39" s="21"/>
      <c r="CF39" s="30"/>
      <c r="CG39" s="23">
        <f t="shared" ref="CG39:CG98" si="157">RANK(BX39, BX$39:BX$99, 0)</f>
        <v>2</v>
      </c>
      <c r="CH39" s="24" t="str">
        <f t="shared" si="35"/>
        <v>=</v>
      </c>
      <c r="CI39" s="25" t="s">
        <v>139</v>
      </c>
      <c r="CJ39" s="26">
        <f t="shared" si="36"/>
        <v>38</v>
      </c>
      <c r="CK39" s="26">
        <f t="shared" si="37"/>
        <v>2</v>
      </c>
      <c r="CL39" s="26">
        <f>SUM(CM39*2)+(CN39*1) + SUMIFS(MATCH_INPUT!$G$30:$G$33, MATCH_INPUT!$F$30:$F$33, CI39) + SUMIFS(MATCH_INPUT!$I$30:$I$33, MATCH_INPUT!$J$30:$J$33, CI39)
</f>
        <v>1</v>
      </c>
      <c r="CM39" s="26">
        <f>IF(CI39&lt;&gt;"",
    COUNTIFS(MATCH_INPUT!$K$30:$K$33,CI39),
0)</f>
        <v>0</v>
      </c>
      <c r="CN39" s="26">
        <f>IF(CI39&lt;&gt;"",
    COUNTIFS(MATCH_INPUT!$F$30:$F$33, CI39, MATCH_INPUT!$K$30:$K$33, "Draw") +
    COUNTIFS(MATCH_INPUT!$J$30:$J$33, CI39, MATCH_INPUT!$K$30:$K$33, "Draw"),
0)</f>
        <v>0</v>
      </c>
      <c r="CO39" s="26">
        <f>IF(CI39&lt;&gt;"",
    COUNTIFS(MATCH_INPUT!$F$30:$F$33, CI39, MATCH_INPUT!$K$30:$K$33, "&lt;&gt;"&amp;CI39, MATCH_INPUT!$K$30:$K$33, "&lt;&gt;Draw", MATCH_INPUT!$K$30:$K$33, "&lt;&gt;""") +
    COUNTIFS(MATCH_INPUT!$J$30:$J$33, CI39, MATCH_INPUT!$K$30:$K$33, "&lt;&gt;"&amp;CI39, MATCH_INPUT!$K$30:$K$33, "&lt;&gt;Draw", MATCH_INPUT!$K$30:$K$33, "&lt;&gt;"""),
0)</f>
        <v>2</v>
      </c>
      <c r="CP39" s="27" t="str">
        <f t="array" ref="CP39">IFERROR(INDEX(Form_Response!E:E, MATCH(1, (Form_Response!C:C='MATCH DATES'!$B$9)*(Form_Response!D:D=B39), 0)), "")
</f>
        <v/>
      </c>
      <c r="CQ39" s="27">
        <f t="array" ref="CQ39">IFERROR(IF(INDEX(Form_Response!F:F, MATCH(1, (Form_Response!C:C='MATCH DATES'!$B$9)*(Form_Response!D:D=B39), 0))="Yes", 1, 0), 0)
</f>
        <v>0</v>
      </c>
      <c r="CR39" s="28" t="str">
        <f t="array" ref="CR39">IFERROR(INDEX(Form_Response!G:G, MATCH(1, (Form_Response!C:C='MATCH DATES'!$B$9)*(Form_Response!D:D=B39), 0)), "")
</f>
        <v/>
      </c>
      <c r="CS39" s="31">
        <f t="shared" ref="CS39:CS98" si="158">RANK(CJ39, CJ$39:CJ$99, 0)</f>
        <v>2</v>
      </c>
      <c r="CT39" s="31" t="str">
        <f t="shared" si="39"/>
        <v>=</v>
      </c>
      <c r="CU39" s="32">
        <f t="shared" si="40"/>
        <v>22</v>
      </c>
      <c r="CV39" s="32" t="str">
        <f t="shared" ref="CV39:CW39" si="148">A39</f>
        <v/>
      </c>
      <c r="CW39" s="33" t="str">
        <f t="shared" si="148"/>
        <v>🔄 (Jhonatan A)</v>
      </c>
      <c r="CX39" s="33">
        <f t="shared" si="42"/>
        <v>38</v>
      </c>
      <c r="CY39" s="32">
        <f>SUM(
  IF(AND('MATCH DATES'!$A$2 &lt;= TODAY(), NOW() &gt;= 'MATCH DATES'!$A$2 + TIME(22, 0, 0)), E39, 0),
  IF(AND('MATCH DATES'!$A$3 &lt;= TODAY(), NOW() &gt;= 'MATCH DATES'!$A$3 + TIME(22, 0, 0)), Q39, 0),
  IF(AND('MATCH DATES'!$A$4 &lt;= TODAY(), NOW() &gt;= 'MATCH DATES'!$A$4 + TIME(22, 0, 0)), AC39, 0),
  IF(AND('MATCH DATES'!$A$5 &lt;= TODAY(), NOW() &gt;= 'MATCH DATES'!$A$5 + TIME(22, 0, 0)), AO39, 0),
  IF(AND('MATCH DATES'!$A$6 &lt;= TODAY(), NOW() &gt;= 'MATCH DATES'!$A$6 + TIME(22, 0, 0)), BA39, 0),
  IF(AND('MATCH DATES'!$A$7 &lt;= TODAY(), NOW() &gt;= 'MATCH DATES'!$A$7 + TIME(22, 0, 0)), BM39, 0),
  IF(AND('MATCH DATES'!$A$8 &lt;= TODAY(), NOW() &gt;= 'MATCH DATES'!$A$8 + TIME(22, 0, 0)), BY39, 0),
  IF(AND('MATCH DATES'!$A$9 &lt;= TODAY(), NOW() &gt;= 'MATCH DATES'!$A$9 + TIME(22, 0, 0)), CK39, 0)
)
</f>
        <v>16</v>
      </c>
      <c r="CZ39" s="33">
        <f t="shared" ref="CZ39:DA39" si="149">SUM(G39,S39,AE39,AQ39,BC39,BO39,CA39,CM39)</f>
        <v>6</v>
      </c>
      <c r="DA39" s="33">
        <f t="shared" si="149"/>
        <v>1</v>
      </c>
      <c r="DB39" s="33">
        <f>SUM(
  IF(AND('MATCH DATES'!$A$2 &lt;= TODAY(), NOW() &gt;= 'MATCH DATES'!$A$2 + TIME(22, 0, 0)), I39, 0),
  IF(AND('MATCH DATES'!$A$3 &lt;= TODAY(), NOW() &gt;= 'MATCH DATES'!$A$3 + TIME(22, 0, 0)), U39, 0),
  IF(AND('MATCH DATES'!$A$4 &lt;= TODAY(), NOW() &gt;= 'MATCH DATES'!$A$4 + TIME(22, 0, 0)), AG39, 0),
  IF(AND('MATCH DATES'!$A$5 &lt;= TODAY(), NOW() &gt;= 'MATCH DATES'!$A$5 + TIME(22, 0, 0)), AS39, 0),
  IF(AND('MATCH DATES'!$A$6 &lt;= TODAY(), NOW() &gt;= 'MATCH DATES'!$A$6 + TIME(22, 0, 0)), BE39, 0),
  IF(AND('MATCH DATES'!$A$7 &lt;= TODAY(), NOW() &gt;= 'MATCH DATES'!$A$7 + TIME(22, 0, 0)), BQ39, 0),
  IF(AND('MATCH DATES'!$A$8 &lt;= TODAY(), NOW() &gt;= 'MATCH DATES'!$A$8 + TIME(22, 0, 0)), CC39, 0),
  IF(AND('MATCH DATES'!$A$9 &lt;= TODAY(), NOW() &gt;= 'MATCH DATES'!$A$9 + TIME(22, 0, 0)), CO39, 0)
)</f>
        <v>7</v>
      </c>
      <c r="DC39" s="33">
        <f t="shared" si="44"/>
        <v>1</v>
      </c>
      <c r="DD39" s="33">
        <f t="shared" ref="DD39:DE39" si="150">SUM(K39,W39,AI39,AU39,BG39,BS39,CE39,CQ39)</f>
        <v>0</v>
      </c>
      <c r="DE39" s="33">
        <f t="shared" si="150"/>
        <v>0</v>
      </c>
    </row>
    <row r="40" ht="24.75" customHeight="1">
      <c r="A40" s="17"/>
      <c r="B40" s="18" t="s">
        <v>178</v>
      </c>
      <c r="C40" s="35"/>
      <c r="D40" s="20">
        <f t="shared" si="4"/>
        <v>0</v>
      </c>
      <c r="E40" s="20">
        <f t="shared" si="5"/>
        <v>0</v>
      </c>
      <c r="F40" s="20">
        <f t="shared" si="6"/>
        <v>0</v>
      </c>
      <c r="G40" s="20">
        <f>IF(C40&lt;&gt;"",
    COUNTIFS(MATCH_INPUT!$K$2:$K$5,C40),
0)</f>
        <v>0</v>
      </c>
      <c r="H40" s="20">
        <f>IF(C40&lt;&gt;"",
    COUNTIFS(MATCH_INPUT!$F$2:$F$5, C40, MATCH_INPUT!$K$2:$K$5, "Draw") +
    COUNTIFS(MATCH_INPUT!$J$2:$J$5, C40, MATCH_INPUT!$K$2:$K$5, "Draw"),
0)</f>
        <v>0</v>
      </c>
      <c r="I40" s="20">
        <f>IF(C40&lt;&gt;"",
    COUNTIFS(MATCH_INPUT!$F$2:$F$5, C40, MATCH_INPUT!$K$2:$K$5, "&lt;&gt;"&amp;C40, MATCH_INPUT!$K$2:$K$5, "&lt;&gt;Draw", MATCH_INPUT!$K$2:$K$5, "&lt;&gt;""") +
    COUNTIFS(MATCH_INPUT!$J$2:$J$5, C40, MATCH_INPUT!$K$2:$K$5, "&lt;&gt;"&amp;C40, MATCH_INPUT!$K$2:$K$5, "&lt;&gt;Draw", MATCH_INPUT!$K$2:$K$5, "&lt;&gt;"""),
0)</f>
        <v>0</v>
      </c>
      <c r="J40" s="21"/>
      <c r="K40" s="21"/>
      <c r="L40" s="22"/>
      <c r="M40" s="23">
        <f t="shared" si="151"/>
        <v>4</v>
      </c>
      <c r="N40" s="24" t="str">
        <f t="shared" si="8"/>
        <v>↓</v>
      </c>
      <c r="O40" s="25"/>
      <c r="P40" s="26">
        <f t="shared" si="9"/>
        <v>0</v>
      </c>
      <c r="Q40" s="26">
        <f t="shared" si="10"/>
        <v>0</v>
      </c>
      <c r="R40" s="26">
        <f t="shared" si="11"/>
        <v>0</v>
      </c>
      <c r="S40" s="26">
        <f>IF(O40&lt;&gt;"",
    COUNTIFS(MATCH_INPUT!$K$6:$K$9,O40),
0)</f>
        <v>0</v>
      </c>
      <c r="T40" s="26">
        <f>IF(O40&lt;&gt;"",
    COUNTIFS(MATCH_INPUT!$F$6:$F$9, O40, MATCH_INPUT!$K$6:$K$9, "Draw") +
    COUNTIFS(MATCH_INPUT!$J$6:$J$9, O40, MATCH_INPUT!$K$6:$K$9, "Draw"),
0)</f>
        <v>0</v>
      </c>
      <c r="U40" s="26">
        <f>IF(O40&lt;&gt;"",
    COUNTIFS(MATCH_INPUT!$F$6:$F$9, O40, MATCH_INPUT!$K$6:$K$9, "&lt;&gt;"&amp;O40, MATCH_INPUT!$K$6:$K$9, "&lt;&gt;Draw", MATCH_INPUT!$K$6:$K$9, "&lt;&gt;""") +
    COUNTIFS(MATCH_INPUT!$J$6:$J$9, O40, MATCH_INPUT!$K$6:$K$9, "&lt;&gt;"&amp;O40, MATCH_INPUT!$K$6:$K$9, "&lt;&gt;Draw", MATCH_INPUT!$K$6:$K$9, "&lt;&gt;"""),
0)</f>
        <v>0</v>
      </c>
      <c r="V40" s="27"/>
      <c r="W40" s="27"/>
      <c r="X40" s="28"/>
      <c r="Y40" s="26">
        <f t="shared" si="152"/>
        <v>7</v>
      </c>
      <c r="Z40" s="29" t="str">
        <f t="shared" si="13"/>
        <v>↓</v>
      </c>
      <c r="AA40" s="19"/>
      <c r="AB40" s="23">
        <f t="shared" si="14"/>
        <v>0</v>
      </c>
      <c r="AC40" s="20">
        <f t="shared" si="15"/>
        <v>0</v>
      </c>
      <c r="AD40" s="20">
        <f t="shared" si="16"/>
        <v>0</v>
      </c>
      <c r="AE40" s="20">
        <f>IF(AA40&lt;&gt;"",
    COUNTIFS(MATCH_INPUT!$K$10:$K$13,AA40),
0)</f>
        <v>0</v>
      </c>
      <c r="AF40" s="20">
        <f>IF(AA40&lt;&gt;"",
    COUNTIFS(MATCH_INPUT!$F$10:$F$13, AA40, MATCH_INPUT!$K$10:$K$13, "Draw") +
    COUNTIFS(MATCH_INPUT!$J$10:$J$13, AA40, MATCH_INPUT!$K$10:$K$13, "Draw"),
0)</f>
        <v>0</v>
      </c>
      <c r="AG40" s="20">
        <f>IF(AA40&lt;&gt;"",
    COUNTIFS(MATCH_INPUT!$F$10:$F$13, AA40, MATCH_INPUT!$K$10:$K$13, "&lt;&gt;"&amp;AA40, MATCH_INPUT!$K$10:$K$13, "&lt;&gt;Draw", MATCH_INPUT!$K$10:$K$13, "&lt;&gt;""") +
    COUNTIFS(MATCH_INPUT!$J$10:$J$13, AA40, MATCH_INPUT!$K$10:$K$13, "&lt;&gt;"&amp;AA40, MATCH_INPUT!$K$10:$K$13, "&lt;&gt;Draw", MATCH_INPUT!$K$10:$K$13, "&lt;&gt;"""),
0)</f>
        <v>0</v>
      </c>
      <c r="AH40" s="21"/>
      <c r="AI40" s="21"/>
      <c r="AJ40" s="30"/>
      <c r="AK40" s="23">
        <f t="shared" si="153"/>
        <v>8</v>
      </c>
      <c r="AL40" s="24" t="str">
        <f t="shared" si="18"/>
        <v>↓</v>
      </c>
      <c r="AM40" s="25" t="s">
        <v>139</v>
      </c>
      <c r="AN40" s="26">
        <f t="shared" si="19"/>
        <v>6</v>
      </c>
      <c r="AO40" s="26">
        <f t="shared" si="20"/>
        <v>2</v>
      </c>
      <c r="AP40" s="26">
        <f t="shared" si="21"/>
        <v>4</v>
      </c>
      <c r="AQ40" s="26">
        <f>IF(AM40&lt;&gt;"",
    COUNTIFS(MATCH_INPUT!$K$14:$K$17,AM40),
0)</f>
        <v>2</v>
      </c>
      <c r="AR40" s="26">
        <f>IF(AM40&lt;&gt;"",
    COUNTIFS(MATCH_INPUT!$F$14:$F$17, AM40, MATCH_INPUT!$K$14:$K$17, "Draw") +
    COUNTIFS(MATCH_INPUT!$J$14:$J$17, AM40, MATCH_INPUT!$K$14:$K$17, "Draw"),
0)</f>
        <v>0</v>
      </c>
      <c r="AS40" s="26">
        <f>IF(AM40&lt;&gt;"",
    COUNTIFS(MATCH_INPUT!$F$14:$F$17, AM40, MATCH_INPUT!$K$14:$K$17, "&lt;&gt;"&amp;AM40, MATCH_INPUT!$K$14:$K$17, "&lt;&gt;Draw", MATCH_INPUT!$K$14:$K$17, "&lt;&gt;""") +
    COUNTIFS(MATCH_INPUT!$J$14:$J$17, AM40, MATCH_INPUT!$K$14:$K$17, "&lt;&gt;"&amp;AM40, MATCH_INPUT!$K$14:$K$17, "&lt;&gt;Draw", MATCH_INPUT!$K$14:$K$17, "&lt;&gt;"""),
0)</f>
        <v>0</v>
      </c>
      <c r="AT40" s="27"/>
      <c r="AU40" s="27"/>
      <c r="AV40" s="28"/>
      <c r="AW40" s="26">
        <f t="shared" si="154"/>
        <v>4</v>
      </c>
      <c r="AX40" s="29" t="str">
        <f t="shared" si="23"/>
        <v>↑</v>
      </c>
      <c r="AY40" s="19" t="s">
        <v>139</v>
      </c>
      <c r="AZ40" s="23">
        <f t="shared" si="24"/>
        <v>14</v>
      </c>
      <c r="BA40" s="20">
        <f t="shared" si="25"/>
        <v>2</v>
      </c>
      <c r="BB40" s="20">
        <f>SUM(BC40*2) + (BD40*1) + SUMIFS(MATCH_INPUT!$G$18:$G$21, MATCH_INPUT!$F$18:$F$21, AY40) + SUMIFS(MATCH_INPUT!$I$18:$I$21, MATCH_INPUT!$J$18:$J$21, AY40)
</f>
        <v>6</v>
      </c>
      <c r="BC40" s="20">
        <f>IF(AY40&lt;&gt;"",
    COUNTIFS(MATCH_INPUT!$K$18:$K$21,AY40),
0)</f>
        <v>1</v>
      </c>
      <c r="BD40" s="20">
        <f>IF(AY40&lt;&gt;"",
    COUNTIFS(MATCH_INPUT!$F$18:$F$21, AY40, MATCH_INPUT!$K$18:$K$21, "Draw") +
    COUNTIFS(MATCH_INPUT!$J$18:$J$21, AY40, MATCH_INPUT!$K$18:$K$21, "Draw"),
0)</f>
        <v>0</v>
      </c>
      <c r="BE40" s="20">
        <f>IF(AY40&lt;&gt;"",
    COUNTIFS(MATCH_INPUT!$F$18:$F$21, AY40, MATCH_INPUT!$K$18:$K$21, "&lt;&gt;"&amp;AY40, MATCH_INPUT!$K$18:$K$21, "&lt;&gt;Draw", MATCH_INPUT!$K$18:$K$21, "&lt;&gt;""") +
    COUNTIFS(MATCH_INPUT!$J$18:$J$21, AY40, MATCH_INPUT!$K$18:$K$21, "&lt;&gt;"&amp;AY40, MATCH_INPUT!$K$18:$K$21, "&lt;&gt;Draw", MATCH_INPUT!$K$18:$K$21, "&lt;&gt;"""),
0)</f>
        <v>1</v>
      </c>
      <c r="BF40" s="21" t="str">
        <f t="array" ref="BF40">IFERROR(INDEX(Form_Response!E:E, MATCH(1, (Form_Response!C:C='MATCH DATES'!$B$6)*(Form_Response!D:D=B40), 0)), "")
</f>
        <v/>
      </c>
      <c r="BG40" s="21">
        <f t="array" ref="BG40">IFERROR(IF(INDEX(Form_Response!F:F, MATCH(1, (Form_Response!C:C='MATCH DATES'!$B$6)*(Form_Response!D:D=B40), 0))="Yes", 1, 0), 0)
</f>
        <v>0</v>
      </c>
      <c r="BH40" s="30" t="str">
        <f t="array" ref="BH40">IFERROR(INDEX(Form_Response!G:G, MATCH(1, (Form_Response!C:C='MATCH DATES'!$B$6)*(Form_Response!D:D=B40), 0)), "")
</f>
        <v/>
      </c>
      <c r="BI40" s="23">
        <f t="shared" si="155"/>
        <v>4</v>
      </c>
      <c r="BJ40" s="24" t="str">
        <f t="shared" si="27"/>
        <v>=</v>
      </c>
      <c r="BK40" s="25" t="s">
        <v>140</v>
      </c>
      <c r="BL40" s="26">
        <f t="shared" si="28"/>
        <v>26</v>
      </c>
      <c r="BM40" s="26">
        <f t="shared" si="29"/>
        <v>4</v>
      </c>
      <c r="BN40" s="26">
        <f>SUM(BO40*2) + (BP40*1) + SUMIFS(MATCH_INPUT!$G$22:$G$25, MATCH_INPUT!$F$22:$F$25, BK40) + SUMIFS(MATCH_INPUT!$I$22:$I$25, MATCH_INPUT!$J$22:$J$25, BK40)
</f>
        <v>8</v>
      </c>
      <c r="BO40" s="26">
        <f>IF(BK40&lt;&gt;"",
    COUNTIFS(MATCH_INPUT!$K$22:$K$25,BK40),
0)</f>
        <v>1</v>
      </c>
      <c r="BP40" s="26">
        <f>IF(BK40&lt;&gt;"",
    COUNTIFS(MATCH_INPUT!$F$22:$F$25, BK40, MATCH_INPUT!$K$22:$K$25, "Draw") +
    COUNTIFS(MATCH_INPUT!$J$22:$J$25, BK40, MATCH_INPUT!$K$22:$K$25, "Draw"),
0)</f>
        <v>1</v>
      </c>
      <c r="BQ40" s="26">
        <f>IF(BK40&lt;&gt;"",
    COUNTIFS(MATCH_INPUT!$F$22:$F$25, BK40, MATCH_INPUT!$K$22:$K$25, "&lt;&gt;"&amp;BK40, MATCH_INPUT!$K$22:$K$25, "&lt;&gt;Draw", MATCH_INPUT!$K$22:$K$25, "&lt;&gt;""") +
    COUNTIFS(MATCH_INPUT!$J$22:$J$25, BK40, MATCH_INPUT!$K$22:$K$25, "&lt;&gt;"&amp;BK40, MATCH_INPUT!$K$22:$K$25, "&lt;&gt;Draw", MATCH_INPUT!$K$22:$K$25, "&lt;&gt;"""),
0)</f>
        <v>0</v>
      </c>
      <c r="BR40" s="27"/>
      <c r="BS40" s="27"/>
      <c r="BT40" s="28"/>
      <c r="BU40" s="26">
        <f t="shared" si="156"/>
        <v>3</v>
      </c>
      <c r="BV40" s="29" t="str">
        <f t="shared" si="31"/>
        <v>↑</v>
      </c>
      <c r="BW40" s="19" t="s">
        <v>139</v>
      </c>
      <c r="BX40" s="23">
        <f t="shared" si="32"/>
        <v>30</v>
      </c>
      <c r="BY40" s="20">
        <f t="shared" si="33"/>
        <v>2</v>
      </c>
      <c r="BZ40" s="20">
        <f>SUM(CA40*2)+(CB40*1) + SUMIFS(MATCH_INPUT!$G$26:$G$29, MATCH_INPUT!$F$26:$F$29, BW40) + SUMIFS(MATCH_INPUT!$I$26:$I$29, MATCH_INPUT!$J$26:$J$29, BW40)
</f>
        <v>2</v>
      </c>
      <c r="CA40" s="20">
        <f>IF(BW40&lt;&gt;"",
    COUNTIFS(MATCH_INPUT!$K$26:$K$29,BW40),
0)</f>
        <v>0</v>
      </c>
      <c r="CB40" s="20">
        <f>IF(BW40&lt;&gt;"",
    COUNTIFS(MATCH_INPUT!$F$26:$F$29, BW40, MATCH_INPUT!$K$26:$K$29, "Draw") +
    COUNTIFS(MATCH_INPUT!$J$26:$J$29, BW40, MATCH_INPUT!$K$26:$K$29, "Draw"),
0)</f>
        <v>0</v>
      </c>
      <c r="CC40" s="20">
        <f>IF(BW40&lt;&gt;"",
    COUNTIFS(MATCH_INPUT!$F$26:$F$29, BW40, MATCH_INPUT!$K$26:$K$29, "&lt;&gt;"&amp;BW40, MATCH_INPUT!$K$26:$K$29, "&lt;&gt;Draw", MATCH_INPUT!$K$26:$K$29, "&lt;&gt;""") +
    COUNTIFS(MATCH_INPUT!$J$26:$J$29, BW40, MATCH_INPUT!$K$26:$K$29, "&lt;&gt;"&amp;BW40, MATCH_INPUT!$K$26:$K$29, "&lt;&gt;Draw", MATCH_INPUT!$K$26:$K$29, "&lt;&gt;"""),
0)</f>
        <v>2</v>
      </c>
      <c r="CD40" s="21"/>
      <c r="CE40" s="21"/>
      <c r="CF40" s="30"/>
      <c r="CG40" s="23">
        <f t="shared" si="157"/>
        <v>3</v>
      </c>
      <c r="CH40" s="24" t="str">
        <f t="shared" si="35"/>
        <v>=</v>
      </c>
      <c r="CI40" s="25"/>
      <c r="CJ40" s="26">
        <f t="shared" si="36"/>
        <v>30</v>
      </c>
      <c r="CK40" s="26">
        <f t="shared" si="37"/>
        <v>0</v>
      </c>
      <c r="CL40" s="26">
        <f>SUM(CM40*2)+(CN40*1) + SUMIFS(MATCH_INPUT!$G$30:$G$33, MATCH_INPUT!$F$30:$F$33, CI40) + SUMIFS(MATCH_INPUT!$I$30:$I$33, MATCH_INPUT!$J$30:$J$33, CI40)
</f>
        <v>0</v>
      </c>
      <c r="CM40" s="26">
        <f>IF(CI40&lt;&gt;"",
    COUNTIFS(MATCH_INPUT!$K$30:$K$33,CI40),
0)</f>
        <v>0</v>
      </c>
      <c r="CN40" s="26">
        <f>IF(CI40&lt;&gt;"",
    COUNTIFS(MATCH_INPUT!$F$30:$F$33, CI40, MATCH_INPUT!$K$30:$K$33, "Draw") +
    COUNTIFS(MATCH_INPUT!$J$30:$J$33, CI40, MATCH_INPUT!$K$30:$K$33, "Draw"),
0)</f>
        <v>0</v>
      </c>
      <c r="CO40" s="26">
        <f>IF(CI40&lt;&gt;"",
    COUNTIFS(MATCH_INPUT!$F$30:$F$33, CI40, MATCH_INPUT!$K$30:$K$33, "&lt;&gt;"&amp;CI40, MATCH_INPUT!$K$30:$K$33, "&lt;&gt;Draw", MATCH_INPUT!$K$30:$K$33, "&lt;&gt;""") +
    COUNTIFS(MATCH_INPUT!$J$30:$J$33, CI40, MATCH_INPUT!$K$30:$K$33, "&lt;&gt;"&amp;CI40, MATCH_INPUT!$K$30:$K$33, "&lt;&gt;Draw", MATCH_INPUT!$K$30:$K$33, "&lt;&gt;"""),
0)</f>
        <v>0</v>
      </c>
      <c r="CP40" s="27" t="str">
        <f t="array" ref="CP40">IFERROR(INDEX(Form_Response!E:E, MATCH(1, (Form_Response!C:C='MATCH DATES'!$B$9)*(Form_Response!D:D=B40), 0)), "")
</f>
        <v/>
      </c>
      <c r="CQ40" s="27">
        <f t="array" ref="CQ40">IFERROR(IF(INDEX(Form_Response!F:F, MATCH(1, (Form_Response!C:C='MATCH DATES'!$B$9)*(Form_Response!D:D=B40), 0))="Yes", 1, 0), 0)
</f>
        <v>0</v>
      </c>
      <c r="CR40" s="28" t="str">
        <f t="array" ref="CR40">IFERROR(INDEX(Form_Response!G:G, MATCH(1, (Form_Response!C:C='MATCH DATES'!$B$9)*(Form_Response!D:D=B40), 0)), "")
</f>
        <v/>
      </c>
      <c r="CS40" s="31">
        <f t="shared" si="158"/>
        <v>3</v>
      </c>
      <c r="CT40" s="31" t="str">
        <f t="shared" si="39"/>
        <v>=</v>
      </c>
      <c r="CU40" s="32">
        <f t="shared" si="40"/>
        <v>20</v>
      </c>
      <c r="CV40" s="32" t="str">
        <f t="shared" ref="CV40:CW40" si="159">A40</f>
        <v/>
      </c>
      <c r="CW40" s="33" t="str">
        <f t="shared" si="159"/>
        <v>🔄 (Joel)</v>
      </c>
      <c r="CX40" s="33">
        <f t="shared" si="42"/>
        <v>30</v>
      </c>
      <c r="CY40" s="32">
        <f>SUM(
  IF(AND('MATCH DATES'!$A$2 &lt;= TODAY(), NOW() &gt;= 'MATCH DATES'!$A$2 + TIME(22, 0, 0)), E40, 0),
  IF(AND('MATCH DATES'!$A$3 &lt;= TODAY(), NOW() &gt;= 'MATCH DATES'!$A$3 + TIME(22, 0, 0)), Q40, 0),
  IF(AND('MATCH DATES'!$A$4 &lt;= TODAY(), NOW() &gt;= 'MATCH DATES'!$A$4 + TIME(22, 0, 0)), AC40, 0),
  IF(AND('MATCH DATES'!$A$5 &lt;= TODAY(), NOW() &gt;= 'MATCH DATES'!$A$5 + TIME(22, 0, 0)), AO40, 0),
  IF(AND('MATCH DATES'!$A$6 &lt;= TODAY(), NOW() &gt;= 'MATCH DATES'!$A$6 + TIME(22, 0, 0)), BA40, 0),
  IF(AND('MATCH DATES'!$A$7 &lt;= TODAY(), NOW() &gt;= 'MATCH DATES'!$A$7 + TIME(22, 0, 0)), BM40, 0),
  IF(AND('MATCH DATES'!$A$8 &lt;= TODAY(), NOW() &gt;= 'MATCH DATES'!$A$8 + TIME(22, 0, 0)), BY40, 0),
  IF(AND('MATCH DATES'!$A$9 &lt;= TODAY(), NOW() &gt;= 'MATCH DATES'!$A$9 + TIME(22, 0, 0)), CK40, 0)
)
</f>
        <v>10</v>
      </c>
      <c r="CZ40" s="33">
        <f t="shared" ref="CZ40:DA40" si="160">SUM(G40,S40,AE40,AQ40,BC40,BO40,CA40,CM40)</f>
        <v>4</v>
      </c>
      <c r="DA40" s="33">
        <f t="shared" si="160"/>
        <v>1</v>
      </c>
      <c r="DB40" s="33">
        <f>SUM(
  IF(AND('MATCH DATES'!$A$2 &lt;= TODAY(), NOW() &gt;= 'MATCH DATES'!$A$2 + TIME(22, 0, 0)), I40, 0),
  IF(AND('MATCH DATES'!$A$3 &lt;= TODAY(), NOW() &gt;= 'MATCH DATES'!$A$3 + TIME(22, 0, 0)), U40, 0),
  IF(AND('MATCH DATES'!$A$4 &lt;= TODAY(), NOW() &gt;= 'MATCH DATES'!$A$4 + TIME(22, 0, 0)), AG40, 0),
  IF(AND('MATCH DATES'!$A$5 &lt;= TODAY(), NOW() &gt;= 'MATCH DATES'!$A$5 + TIME(22, 0, 0)), AS40, 0),
  IF(AND('MATCH DATES'!$A$6 &lt;= TODAY(), NOW() &gt;= 'MATCH DATES'!$A$6 + TIME(22, 0, 0)), BE40, 0),
  IF(AND('MATCH DATES'!$A$7 &lt;= TODAY(), NOW() &gt;= 'MATCH DATES'!$A$7 + TIME(22, 0, 0)), BQ40, 0),
  IF(AND('MATCH DATES'!$A$8 &lt;= TODAY(), NOW() &gt;= 'MATCH DATES'!$A$8 + TIME(22, 0, 0)), CC40, 0),
  IF(AND('MATCH DATES'!$A$9 &lt;= TODAY(), NOW() &gt;= 'MATCH DATES'!$A$9 + TIME(22, 0, 0)), CO40, 0)
)</f>
        <v>3</v>
      </c>
      <c r="DC40" s="33">
        <f t="shared" si="44"/>
        <v>0</v>
      </c>
      <c r="DD40" s="33">
        <f t="shared" ref="DD40:DE40" si="161">SUM(K40,W40,AI40,AU40,BG40,BS40,CE40,CQ40)</f>
        <v>0</v>
      </c>
      <c r="DE40" s="33">
        <f t="shared" si="161"/>
        <v>0</v>
      </c>
    </row>
    <row r="41" ht="24.75" customHeight="1">
      <c r="A41" s="17"/>
      <c r="B41" s="18" t="s">
        <v>179</v>
      </c>
      <c r="C41" s="19" t="s">
        <v>138</v>
      </c>
      <c r="D41" s="20">
        <f t="shared" si="4"/>
        <v>6</v>
      </c>
      <c r="E41" s="20">
        <f t="shared" si="5"/>
        <v>2</v>
      </c>
      <c r="F41" s="20">
        <f t="shared" si="6"/>
        <v>4</v>
      </c>
      <c r="G41" s="20">
        <f>IF(C41&lt;&gt;"",
    COUNTIFS(MATCH_INPUT!$K$2:$K$5,C41),
0)</f>
        <v>2</v>
      </c>
      <c r="H41" s="20">
        <f>IF(C41&lt;&gt;"",
    COUNTIFS(MATCH_INPUT!$F$2:$F$5, C41, MATCH_INPUT!$K$2:$K$5, "Draw") +
    COUNTIFS(MATCH_INPUT!$J$2:$J$5, C41, MATCH_INPUT!$K$2:$K$5, "Draw"),
0)</f>
        <v>0</v>
      </c>
      <c r="I41" s="20">
        <f>IF(C41&lt;&gt;"",
    COUNTIFS(MATCH_INPUT!$F$2:$F$5, C41, MATCH_INPUT!$K$2:$K$5, "&lt;&gt;"&amp;C41, MATCH_INPUT!$K$2:$K$5, "&lt;&gt;Draw", MATCH_INPUT!$K$2:$K$5, "&lt;&gt;""") +
    COUNTIFS(MATCH_INPUT!$J$2:$J$5, C41, MATCH_INPUT!$K$2:$K$5, "&lt;&gt;"&amp;C41, MATCH_INPUT!$K$2:$K$5, "&lt;&gt;Draw", MATCH_INPUT!$K$2:$K$5, "&lt;&gt;"""),
0)</f>
        <v>0</v>
      </c>
      <c r="J41" s="21">
        <v>3.0</v>
      </c>
      <c r="K41" s="21"/>
      <c r="L41" s="22"/>
      <c r="M41" s="23">
        <f t="shared" si="151"/>
        <v>1</v>
      </c>
      <c r="N41" s="24" t="str">
        <f t="shared" si="8"/>
        <v>=</v>
      </c>
      <c r="O41" s="25" t="s">
        <v>140</v>
      </c>
      <c r="P41" s="26">
        <f t="shared" si="9"/>
        <v>9</v>
      </c>
      <c r="Q41" s="26">
        <f t="shared" si="10"/>
        <v>2</v>
      </c>
      <c r="R41" s="26">
        <f t="shared" si="11"/>
        <v>1</v>
      </c>
      <c r="S41" s="26">
        <f>IF(O41&lt;&gt;"",
    COUNTIFS(MATCH_INPUT!$K$6:$K$9,O41),
0)</f>
        <v>0</v>
      </c>
      <c r="T41" s="26">
        <f>IF(O41&lt;&gt;"",
    COUNTIFS(MATCH_INPUT!$F$6:$F$9, O41, MATCH_INPUT!$K$6:$K$9, "Draw") +
    COUNTIFS(MATCH_INPUT!$J$6:$J$9, O41, MATCH_INPUT!$K$6:$K$9, "Draw"),
0)</f>
        <v>1</v>
      </c>
      <c r="U41" s="26">
        <f>IF(O41&lt;&gt;"",
    COUNTIFS(MATCH_INPUT!$F$6:$F$9, O41, MATCH_INPUT!$K$6:$K$9, "&lt;&gt;"&amp;O41, MATCH_INPUT!$K$6:$K$9, "&lt;&gt;Draw", MATCH_INPUT!$K$6:$K$9, "&lt;&gt;""") +
    COUNTIFS(MATCH_INPUT!$J$6:$J$9, O41, MATCH_INPUT!$K$6:$K$9, "&lt;&gt;"&amp;O41, MATCH_INPUT!$K$6:$K$9, "&lt;&gt;Draw", MATCH_INPUT!$K$6:$K$9, "&lt;&gt;"""),
0)</f>
        <v>1</v>
      </c>
      <c r="V41" s="27"/>
      <c r="W41" s="27"/>
      <c r="X41" s="28"/>
      <c r="Y41" s="26">
        <f t="shared" si="152"/>
        <v>1</v>
      </c>
      <c r="Z41" s="29" t="str">
        <f t="shared" si="13"/>
        <v>=</v>
      </c>
      <c r="AA41" s="19" t="s">
        <v>141</v>
      </c>
      <c r="AB41" s="23">
        <f t="shared" si="14"/>
        <v>15</v>
      </c>
      <c r="AC41" s="20">
        <f t="shared" si="15"/>
        <v>2</v>
      </c>
      <c r="AD41" s="20">
        <f t="shared" si="16"/>
        <v>4</v>
      </c>
      <c r="AE41" s="20">
        <f>IF(AA41&lt;&gt;"",
    COUNTIFS(MATCH_INPUT!$K$10:$K$13,AA41),
0)</f>
        <v>2</v>
      </c>
      <c r="AF41" s="20">
        <f>IF(AA41&lt;&gt;"",
    COUNTIFS(MATCH_INPUT!$F$10:$F$13, AA41, MATCH_INPUT!$K$10:$K$13, "Draw") +
    COUNTIFS(MATCH_INPUT!$J$10:$J$13, AA41, MATCH_INPUT!$K$10:$K$13, "Draw"),
0)</f>
        <v>0</v>
      </c>
      <c r="AG41" s="20">
        <f>IF(AA41&lt;&gt;"",
    COUNTIFS(MATCH_INPUT!$F$10:$F$13, AA41, MATCH_INPUT!$K$10:$K$13, "&lt;&gt;"&amp;AA41, MATCH_INPUT!$K$10:$K$13, "&lt;&gt;Draw", MATCH_INPUT!$K$10:$K$13, "&lt;&gt;""") +
    COUNTIFS(MATCH_INPUT!$J$10:$J$13, AA41, MATCH_INPUT!$K$10:$K$13, "&lt;&gt;"&amp;AA41, MATCH_INPUT!$K$10:$K$13, "&lt;&gt;Draw", MATCH_INPUT!$K$10:$K$13, "&lt;&gt;"""),
0)</f>
        <v>0</v>
      </c>
      <c r="AH41" s="21">
        <v>1.0</v>
      </c>
      <c r="AI41" s="21"/>
      <c r="AJ41" s="30"/>
      <c r="AK41" s="23">
        <f t="shared" si="153"/>
        <v>1</v>
      </c>
      <c r="AL41" s="24" t="str">
        <f t="shared" si="18"/>
        <v>=</v>
      </c>
      <c r="AM41" s="25" t="s">
        <v>140</v>
      </c>
      <c r="AN41" s="26">
        <f t="shared" si="19"/>
        <v>19</v>
      </c>
      <c r="AO41" s="26">
        <f t="shared" si="20"/>
        <v>2</v>
      </c>
      <c r="AP41" s="26">
        <f t="shared" si="21"/>
        <v>2</v>
      </c>
      <c r="AQ41" s="26">
        <f>IF(AM41&lt;&gt;"",
    COUNTIFS(MATCH_INPUT!$K$14:$K$17,AM41),
0)</f>
        <v>1</v>
      </c>
      <c r="AR41" s="26">
        <f>IF(AM41&lt;&gt;"",
    COUNTIFS(MATCH_INPUT!$F$14:$F$17, AM41, MATCH_INPUT!$K$14:$K$17, "Draw") +
    COUNTIFS(MATCH_INPUT!$J$14:$J$17, AM41, MATCH_INPUT!$K$14:$K$17, "Draw"),
0)</f>
        <v>0</v>
      </c>
      <c r="AS41" s="26">
        <f>IF(AM41&lt;&gt;"",
    COUNTIFS(MATCH_INPUT!$F$14:$F$17, AM41, MATCH_INPUT!$K$14:$K$17, "&lt;&gt;"&amp;AM41, MATCH_INPUT!$K$14:$K$17, "&lt;&gt;Draw", MATCH_INPUT!$K$14:$K$17, "&lt;&gt;""") +
    COUNTIFS(MATCH_INPUT!$J$14:$J$17, AM41, MATCH_INPUT!$K$14:$K$17, "&lt;&gt;"&amp;AM41, MATCH_INPUT!$K$14:$K$17, "&lt;&gt;Draw", MATCH_INPUT!$K$14:$K$17, "&lt;&gt;"""),
0)</f>
        <v>1</v>
      </c>
      <c r="AT41" s="27"/>
      <c r="AU41" s="27"/>
      <c r="AV41" s="28"/>
      <c r="AW41" s="26">
        <f t="shared" si="154"/>
        <v>1</v>
      </c>
      <c r="AX41" s="29" t="str">
        <f t="shared" si="23"/>
        <v>=</v>
      </c>
      <c r="AY41" s="19" t="s">
        <v>138</v>
      </c>
      <c r="AZ41" s="23">
        <f t="shared" si="24"/>
        <v>26</v>
      </c>
      <c r="BA41" s="20">
        <f t="shared" si="25"/>
        <v>2</v>
      </c>
      <c r="BB41" s="20">
        <f>SUM(BC41*2) + (BD41*1) + SUMIFS(MATCH_INPUT!$G$18:$G$21, MATCH_INPUT!$F$18:$F$21, AY41) + SUMIFS(MATCH_INPUT!$I$18:$I$21, MATCH_INPUT!$J$18:$J$21, AY41)
</f>
        <v>5</v>
      </c>
      <c r="BC41" s="20">
        <f>IF(AY41&lt;&gt;"",
    COUNTIFS(MATCH_INPUT!$K$18:$K$21,AY41),
0)</f>
        <v>1</v>
      </c>
      <c r="BD41" s="20">
        <f>IF(AY41&lt;&gt;"",
    COUNTIFS(MATCH_INPUT!$F$18:$F$21, AY41, MATCH_INPUT!$K$18:$K$21, "Draw") +
    COUNTIFS(MATCH_INPUT!$J$18:$J$21, AY41, MATCH_INPUT!$K$18:$K$21, "Draw"),
0)</f>
        <v>0</v>
      </c>
      <c r="BE41" s="20">
        <f>IF(AY41&lt;&gt;"",
    COUNTIFS(MATCH_INPUT!$F$18:$F$21, AY41, MATCH_INPUT!$K$18:$K$21, "&lt;&gt;"&amp;AY41, MATCH_INPUT!$K$18:$K$21, "&lt;&gt;Draw", MATCH_INPUT!$K$18:$K$21, "&lt;&gt;""") +
    COUNTIFS(MATCH_INPUT!$J$18:$J$21, AY41, MATCH_INPUT!$K$18:$K$21, "&lt;&gt;"&amp;AY41, MATCH_INPUT!$K$18:$K$21, "&lt;&gt;Draw", MATCH_INPUT!$K$18:$K$21, "&lt;&gt;"""),
0)</f>
        <v>1</v>
      </c>
      <c r="BF41" s="21" t="str">
        <f t="array" ref="BF41">IFERROR(INDEX(Form_Response!E:E, MATCH(1, (Form_Response!C:C='MATCH DATES'!$B$6)*(Form_Response!D:D=B41), 0)), "")
</f>
        <v/>
      </c>
      <c r="BG41" s="21">
        <f t="array" ref="BG41">IFERROR(IF(INDEX(Form_Response!F:F, MATCH(1, (Form_Response!C:C='MATCH DATES'!$B$6)*(Form_Response!D:D=B41), 0))="Yes", 1, 0), 0)
</f>
        <v>0</v>
      </c>
      <c r="BH41" s="30" t="str">
        <f t="array" ref="BH41">IFERROR(INDEX(Form_Response!G:G, MATCH(1, (Form_Response!C:C='MATCH DATES'!$B$6)*(Form_Response!D:D=B41), 0)), "")
</f>
        <v/>
      </c>
      <c r="BI41" s="23">
        <f t="shared" si="155"/>
        <v>1</v>
      </c>
      <c r="BJ41" s="24" t="str">
        <f t="shared" si="27"/>
        <v>=</v>
      </c>
      <c r="BK41" s="25" t="s">
        <v>141</v>
      </c>
      <c r="BL41" s="26">
        <f t="shared" si="28"/>
        <v>31</v>
      </c>
      <c r="BM41" s="26">
        <f t="shared" si="29"/>
        <v>4</v>
      </c>
      <c r="BN41" s="26">
        <f>SUM(BO41*2) + (BP41*1) + SUMIFS(MATCH_INPUT!$G$22:$G$25, MATCH_INPUT!$F$22:$F$25, BK41) + SUMIFS(MATCH_INPUT!$I$22:$I$25, MATCH_INPUT!$J$22:$J$25, BK41)
</f>
        <v>1</v>
      </c>
      <c r="BO41" s="26">
        <f>IF(BK41&lt;&gt;"",
    COUNTIFS(MATCH_INPUT!$K$22:$K$25,BK41),
0)</f>
        <v>0</v>
      </c>
      <c r="BP41" s="26">
        <f>IF(BK41&lt;&gt;"",
    COUNTIFS(MATCH_INPUT!$F$22:$F$25, BK41, MATCH_INPUT!$K$22:$K$25, "Draw") +
    COUNTIFS(MATCH_INPUT!$J$22:$J$25, BK41, MATCH_INPUT!$K$22:$K$25, "Draw"),
0)</f>
        <v>0</v>
      </c>
      <c r="BQ41" s="26">
        <f>IF(BK41&lt;&gt;"",
    COUNTIFS(MATCH_INPUT!$F$22:$F$25, BK41, MATCH_INPUT!$K$22:$K$25, "&lt;&gt;"&amp;BK41, MATCH_INPUT!$K$22:$K$25, "&lt;&gt;Draw", MATCH_INPUT!$K$22:$K$25, "&lt;&gt;""") +
    COUNTIFS(MATCH_INPUT!$J$22:$J$25, BK41, MATCH_INPUT!$K$22:$K$25, "&lt;&gt;"&amp;BK41, MATCH_INPUT!$K$22:$K$25, "&lt;&gt;Draw", MATCH_INPUT!$K$22:$K$25, "&lt;&gt;"""),
0)</f>
        <v>2</v>
      </c>
      <c r="BR41" s="27"/>
      <c r="BS41" s="27"/>
      <c r="BT41" s="28"/>
      <c r="BU41" s="26">
        <f t="shared" si="156"/>
        <v>1</v>
      </c>
      <c r="BV41" s="29" t="str">
        <f t="shared" si="31"/>
        <v>=</v>
      </c>
      <c r="BW41" s="19" t="s">
        <v>140</v>
      </c>
      <c r="BX41" s="23">
        <f t="shared" si="32"/>
        <v>37</v>
      </c>
      <c r="BY41" s="20">
        <f t="shared" si="33"/>
        <v>2</v>
      </c>
      <c r="BZ41" s="20">
        <f>SUM(CA41*2)+(CB41*1) + SUMIFS(MATCH_INPUT!$G$26:$G$29, MATCH_INPUT!$F$26:$F$29, BW41) + SUMIFS(MATCH_INPUT!$I$26:$I$29, MATCH_INPUT!$J$26:$J$29, BW41)
</f>
        <v>4</v>
      </c>
      <c r="CA41" s="20">
        <f>IF(BW41&lt;&gt;"",
    COUNTIFS(MATCH_INPUT!$K$26:$K$29,BW41),
0)</f>
        <v>1</v>
      </c>
      <c r="CB41" s="20">
        <f>IF(BW41&lt;&gt;"",
    COUNTIFS(MATCH_INPUT!$F$26:$F$29, BW41, MATCH_INPUT!$K$26:$K$29, "Draw") +
    COUNTIFS(MATCH_INPUT!$J$26:$J$29, BW41, MATCH_INPUT!$K$26:$K$29, "Draw"),
0)</f>
        <v>0</v>
      </c>
      <c r="CC41" s="20">
        <f>IF(BW41&lt;&gt;"",
    COUNTIFS(MATCH_INPUT!$F$26:$F$29, BW41, MATCH_INPUT!$K$26:$K$29, "&lt;&gt;"&amp;BW41, MATCH_INPUT!$K$26:$K$29, "&lt;&gt;Draw", MATCH_INPUT!$K$26:$K$29, "&lt;&gt;""") +
    COUNTIFS(MATCH_INPUT!$J$26:$J$29, BW41, MATCH_INPUT!$K$26:$K$29, "&lt;&gt;"&amp;BW41, MATCH_INPUT!$K$26:$K$29, "&lt;&gt;Draw", MATCH_INPUT!$K$26:$K$29, "&lt;&gt;"""),
0)</f>
        <v>1</v>
      </c>
      <c r="CD41" s="21"/>
      <c r="CE41" s="21"/>
      <c r="CF41" s="30"/>
      <c r="CG41" s="23">
        <f t="shared" si="157"/>
        <v>1</v>
      </c>
      <c r="CH41" s="24" t="str">
        <f t="shared" si="35"/>
        <v>=</v>
      </c>
      <c r="CI41" s="25" t="s">
        <v>139</v>
      </c>
      <c r="CJ41" s="26">
        <f t="shared" si="36"/>
        <v>40</v>
      </c>
      <c r="CK41" s="26">
        <f t="shared" si="37"/>
        <v>2</v>
      </c>
      <c r="CL41" s="26">
        <f>SUM(CM41*2)+(CN41*1) + SUMIFS(MATCH_INPUT!$G$30:$G$33, MATCH_INPUT!$F$30:$F$33, CI41) + SUMIFS(MATCH_INPUT!$I$30:$I$33, MATCH_INPUT!$J$30:$J$33, CI41)
</f>
        <v>1</v>
      </c>
      <c r="CM41" s="26">
        <f>IF(CI41&lt;&gt;"",
    COUNTIFS(MATCH_INPUT!$K$30:$K$33,CI41),
0)</f>
        <v>0</v>
      </c>
      <c r="CN41" s="26">
        <f>IF(CI41&lt;&gt;"",
    COUNTIFS(MATCH_INPUT!$F$30:$F$33, CI41, MATCH_INPUT!$K$30:$K$33, "Draw") +
    COUNTIFS(MATCH_INPUT!$J$30:$J$33, CI41, MATCH_INPUT!$K$30:$K$33, "Draw"),
0)</f>
        <v>0</v>
      </c>
      <c r="CO41" s="26">
        <f>IF(CI41&lt;&gt;"",
    COUNTIFS(MATCH_INPUT!$F$30:$F$33, CI41, MATCH_INPUT!$K$30:$K$33, "&lt;&gt;"&amp;CI41, MATCH_INPUT!$K$30:$K$33, "&lt;&gt;Draw", MATCH_INPUT!$K$30:$K$33, "&lt;&gt;""") +
    COUNTIFS(MATCH_INPUT!$J$30:$J$33, CI41, MATCH_INPUT!$K$30:$K$33, "&lt;&gt;"&amp;CI41, MATCH_INPUT!$K$30:$K$33, "&lt;&gt;Draw", MATCH_INPUT!$K$30:$K$33, "&lt;&gt;"""),
0)</f>
        <v>2</v>
      </c>
      <c r="CP41" s="27" t="str">
        <f t="array" ref="CP41">IFERROR(INDEX(Form_Response!E:E, MATCH(1, (Form_Response!C:C='MATCH DATES'!$B$9)*(Form_Response!D:D=B41), 0)), "")
</f>
        <v/>
      </c>
      <c r="CQ41" s="27">
        <f t="array" ref="CQ41">IFERROR(IF(INDEX(Form_Response!F:F, MATCH(1, (Form_Response!C:C='MATCH DATES'!$B$9)*(Form_Response!D:D=B41), 0))="Yes", 1, 0), 0)
</f>
        <v>0</v>
      </c>
      <c r="CR41" s="28" t="str">
        <f t="array" ref="CR41">IFERROR(INDEX(Form_Response!G:G, MATCH(1, (Form_Response!C:C='MATCH DATES'!$B$9)*(Form_Response!D:D=B41), 0)), "")
</f>
        <v/>
      </c>
      <c r="CS41" s="31">
        <f t="shared" si="158"/>
        <v>1</v>
      </c>
      <c r="CT41" s="31" t="str">
        <f t="shared" si="39"/>
        <v>=</v>
      </c>
      <c r="CU41" s="32">
        <f t="shared" si="40"/>
        <v>22</v>
      </c>
      <c r="CV41" s="32" t="str">
        <f t="shared" ref="CV41:CW41" si="162">A41</f>
        <v/>
      </c>
      <c r="CW41" s="33" t="str">
        <f t="shared" si="162"/>
        <v>🔄 (Valverde)</v>
      </c>
      <c r="CX41" s="33">
        <f t="shared" si="42"/>
        <v>40</v>
      </c>
      <c r="CY41" s="32">
        <f>SUM(
  IF(AND('MATCH DATES'!$A$2 &lt;= TODAY(), NOW() &gt;= 'MATCH DATES'!$A$2 + TIME(22, 0, 0)), E41, 0),
  IF(AND('MATCH DATES'!$A$3 &lt;= TODAY(), NOW() &gt;= 'MATCH DATES'!$A$3 + TIME(22, 0, 0)), Q41, 0),
  IF(AND('MATCH DATES'!$A$4 &lt;= TODAY(), NOW() &gt;= 'MATCH DATES'!$A$4 + TIME(22, 0, 0)), AC41, 0),
  IF(AND('MATCH DATES'!$A$5 &lt;= TODAY(), NOW() &gt;= 'MATCH DATES'!$A$5 + TIME(22, 0, 0)), AO41, 0),
  IF(AND('MATCH DATES'!$A$6 &lt;= TODAY(), NOW() &gt;= 'MATCH DATES'!$A$6 + TIME(22, 0, 0)), BA41, 0),
  IF(AND('MATCH DATES'!$A$7 &lt;= TODAY(), NOW() &gt;= 'MATCH DATES'!$A$7 + TIME(22, 0, 0)), BM41, 0),
  IF(AND('MATCH DATES'!$A$8 &lt;= TODAY(), NOW() &gt;= 'MATCH DATES'!$A$8 + TIME(22, 0, 0)), BY41, 0),
  IF(AND('MATCH DATES'!$A$9 &lt;= TODAY(), NOW() &gt;= 'MATCH DATES'!$A$9 + TIME(22, 0, 0)), CK41, 0)
)
</f>
        <v>18</v>
      </c>
      <c r="CZ41" s="33">
        <f t="shared" ref="CZ41:DA41" si="163">SUM(G41,S41,AE41,AQ41,BC41,BO41,CA41,CM41)</f>
        <v>7</v>
      </c>
      <c r="DA41" s="33">
        <f t="shared" si="163"/>
        <v>1</v>
      </c>
      <c r="DB41" s="33">
        <f>SUM(
  IF(AND('MATCH DATES'!$A$2 &lt;= TODAY(), NOW() &gt;= 'MATCH DATES'!$A$2 + TIME(22, 0, 0)), I41, 0),
  IF(AND('MATCH DATES'!$A$3 &lt;= TODAY(), NOW() &gt;= 'MATCH DATES'!$A$3 + TIME(22, 0, 0)), U41, 0),
  IF(AND('MATCH DATES'!$A$4 &lt;= TODAY(), NOW() &gt;= 'MATCH DATES'!$A$4 + TIME(22, 0, 0)), AG41, 0),
  IF(AND('MATCH DATES'!$A$5 &lt;= TODAY(), NOW() &gt;= 'MATCH DATES'!$A$5 + TIME(22, 0, 0)), AS41, 0),
  IF(AND('MATCH DATES'!$A$6 &lt;= TODAY(), NOW() &gt;= 'MATCH DATES'!$A$6 + TIME(22, 0, 0)), BE41, 0),
  IF(AND('MATCH DATES'!$A$7 &lt;= TODAY(), NOW() &gt;= 'MATCH DATES'!$A$7 + TIME(22, 0, 0)), BQ41, 0),
  IF(AND('MATCH DATES'!$A$8 &lt;= TODAY(), NOW() &gt;= 'MATCH DATES'!$A$8 + TIME(22, 0, 0)), CC41, 0),
  IF(AND('MATCH DATES'!$A$9 &lt;= TODAY(), NOW() &gt;= 'MATCH DATES'!$A$9 + TIME(22, 0, 0)), CO41, 0)
)</f>
        <v>8</v>
      </c>
      <c r="DC41" s="33">
        <f t="shared" si="44"/>
        <v>4</v>
      </c>
      <c r="DD41" s="33">
        <f t="shared" ref="DD41:DE41" si="164">SUM(K41,W41,AI41,AU41,BG41,BS41,CE41,CQ41)</f>
        <v>0</v>
      </c>
      <c r="DE41" s="33">
        <f t="shared" si="164"/>
        <v>0</v>
      </c>
    </row>
    <row r="42" ht="24.75" customHeight="1">
      <c r="A42" s="17"/>
      <c r="B42" s="18" t="s">
        <v>180</v>
      </c>
      <c r="C42" s="35"/>
      <c r="D42" s="20">
        <f t="shared" si="4"/>
        <v>0</v>
      </c>
      <c r="E42" s="20">
        <f t="shared" si="5"/>
        <v>0</v>
      </c>
      <c r="F42" s="20">
        <f t="shared" si="6"/>
        <v>0</v>
      </c>
      <c r="G42" s="20">
        <f>IF(C42&lt;&gt;"",
    COUNTIFS(MATCH_INPUT!$K$2:$K$5,C42),
0)</f>
        <v>0</v>
      </c>
      <c r="H42" s="20">
        <f>IF(C42&lt;&gt;"",
    COUNTIFS(MATCH_INPUT!$F$2:$F$5, C42, MATCH_INPUT!$K$2:$K$5, "Draw") +
    COUNTIFS(MATCH_INPUT!$J$2:$J$5, C42, MATCH_INPUT!$K$2:$K$5, "Draw"),
0)</f>
        <v>0</v>
      </c>
      <c r="I42" s="20">
        <f>IF(C42&lt;&gt;"",
    COUNTIFS(MATCH_INPUT!$F$2:$F$5, C42, MATCH_INPUT!$K$2:$K$5, "&lt;&gt;"&amp;C42, MATCH_INPUT!$K$2:$K$5, "&lt;&gt;Draw", MATCH_INPUT!$K$2:$K$5, "&lt;&gt;""") +
    COUNTIFS(MATCH_INPUT!$J$2:$J$5, C42, MATCH_INPUT!$K$2:$K$5, "&lt;&gt;"&amp;C42, MATCH_INPUT!$K$2:$K$5, "&lt;&gt;Draw", MATCH_INPUT!$K$2:$K$5, "&lt;&gt;"""),
0)</f>
        <v>0</v>
      </c>
      <c r="J42" s="21"/>
      <c r="K42" s="21"/>
      <c r="L42" s="22"/>
      <c r="M42" s="23">
        <f t="shared" si="151"/>
        <v>4</v>
      </c>
      <c r="N42" s="24" t="str">
        <f t="shared" si="8"/>
        <v>↓</v>
      </c>
      <c r="O42" s="25" t="s">
        <v>139</v>
      </c>
      <c r="P42" s="26">
        <f t="shared" si="9"/>
        <v>6</v>
      </c>
      <c r="Q42" s="26">
        <f t="shared" si="10"/>
        <v>2</v>
      </c>
      <c r="R42" s="26">
        <f t="shared" si="11"/>
        <v>4</v>
      </c>
      <c r="S42" s="26">
        <f>IF(O42&lt;&gt;"",
    COUNTIFS(MATCH_INPUT!$K$6:$K$9,O42),
0)</f>
        <v>2</v>
      </c>
      <c r="T42" s="26">
        <f>IF(O42&lt;&gt;"",
    COUNTIFS(MATCH_INPUT!$F$6:$F$9, O42, MATCH_INPUT!$K$6:$K$9, "Draw") +
    COUNTIFS(MATCH_INPUT!$J$6:$J$9, O42, MATCH_INPUT!$K$6:$K$9, "Draw"),
0)</f>
        <v>0</v>
      </c>
      <c r="U42" s="26">
        <f>IF(O42&lt;&gt;"",
    COUNTIFS(MATCH_INPUT!$F$6:$F$9, O42, MATCH_INPUT!$K$6:$K$9, "&lt;&gt;"&amp;O42, MATCH_INPUT!$K$6:$K$9, "&lt;&gt;Draw", MATCH_INPUT!$K$6:$K$9, "&lt;&gt;""") +
    COUNTIFS(MATCH_INPUT!$J$6:$J$9, O42, MATCH_INPUT!$K$6:$K$9, "&lt;&gt;"&amp;O42, MATCH_INPUT!$K$6:$K$9, "&lt;&gt;Draw", MATCH_INPUT!$K$6:$K$9, "&lt;&gt;"""),
0)</f>
        <v>0</v>
      </c>
      <c r="V42" s="27"/>
      <c r="W42" s="27"/>
      <c r="X42" s="28"/>
      <c r="Y42" s="26">
        <f t="shared" si="152"/>
        <v>2</v>
      </c>
      <c r="Z42" s="29" t="str">
        <f t="shared" si="13"/>
        <v>↑</v>
      </c>
      <c r="AA42" s="19"/>
      <c r="AB42" s="23">
        <f t="shared" si="14"/>
        <v>6</v>
      </c>
      <c r="AC42" s="20">
        <f t="shared" si="15"/>
        <v>0</v>
      </c>
      <c r="AD42" s="20">
        <f t="shared" si="16"/>
        <v>0</v>
      </c>
      <c r="AE42" s="20">
        <f>IF(AA42&lt;&gt;"",
    COUNTIFS(MATCH_INPUT!$K$10:$K$13,AA42),
0)</f>
        <v>0</v>
      </c>
      <c r="AF42" s="20">
        <f>IF(AA42&lt;&gt;"",
    COUNTIFS(MATCH_INPUT!$F$10:$F$13, AA42, MATCH_INPUT!$K$10:$K$13, "Draw") +
    COUNTIFS(MATCH_INPUT!$J$10:$J$13, AA42, MATCH_INPUT!$K$10:$K$13, "Draw"),
0)</f>
        <v>0</v>
      </c>
      <c r="AG42" s="20">
        <f>IF(AA42&lt;&gt;"",
    COUNTIFS(MATCH_INPUT!$F$10:$F$13, AA42, MATCH_INPUT!$K$10:$K$13, "&lt;&gt;"&amp;AA42, MATCH_INPUT!$K$10:$K$13, "&lt;&gt;Draw", MATCH_INPUT!$K$10:$K$13, "&lt;&gt;""") +
    COUNTIFS(MATCH_INPUT!$J$10:$J$13, AA42, MATCH_INPUT!$K$10:$K$13, "&lt;&gt;"&amp;AA42, MATCH_INPUT!$K$10:$K$13, "&lt;&gt;Draw", MATCH_INPUT!$K$10:$K$13, "&lt;&gt;"""),
0)</f>
        <v>0</v>
      </c>
      <c r="AH42" s="21"/>
      <c r="AI42" s="21"/>
      <c r="AJ42" s="30"/>
      <c r="AK42" s="23">
        <f t="shared" si="153"/>
        <v>4</v>
      </c>
      <c r="AL42" s="24" t="str">
        <f t="shared" si="18"/>
        <v>↓</v>
      </c>
      <c r="AM42" s="25"/>
      <c r="AN42" s="26">
        <f t="shared" si="19"/>
        <v>6</v>
      </c>
      <c r="AO42" s="26">
        <f t="shared" si="20"/>
        <v>0</v>
      </c>
      <c r="AP42" s="26">
        <f t="shared" si="21"/>
        <v>0</v>
      </c>
      <c r="AQ42" s="26">
        <f>IF(AM42&lt;&gt;"",
    COUNTIFS(MATCH_INPUT!$K$14:$K$17,AM42),
0)</f>
        <v>0</v>
      </c>
      <c r="AR42" s="26">
        <f>IF(AM42&lt;&gt;"",
    COUNTIFS(MATCH_INPUT!$F$14:$F$17, AM42, MATCH_INPUT!$K$14:$K$17, "Draw") +
    COUNTIFS(MATCH_INPUT!$J$14:$J$17, AM42, MATCH_INPUT!$K$14:$K$17, "Draw"),
0)</f>
        <v>0</v>
      </c>
      <c r="AS42" s="26">
        <f>IF(AM42&lt;&gt;"",
    COUNTIFS(MATCH_INPUT!$F$14:$F$17, AM42, MATCH_INPUT!$K$14:$K$17, "&lt;&gt;"&amp;AM42, MATCH_INPUT!$K$14:$K$17, "&lt;&gt;Draw", MATCH_INPUT!$K$14:$K$17, "&lt;&gt;""") +
    COUNTIFS(MATCH_INPUT!$J$14:$J$17, AM42, MATCH_INPUT!$K$14:$K$17, "&lt;&gt;"&amp;AM42, MATCH_INPUT!$K$14:$K$17, "&lt;&gt;Draw", MATCH_INPUT!$K$14:$K$17, "&lt;&gt;"""),
0)</f>
        <v>0</v>
      </c>
      <c r="AT42" s="27"/>
      <c r="AU42" s="27"/>
      <c r="AV42" s="28"/>
      <c r="AW42" s="26">
        <f t="shared" si="154"/>
        <v>4</v>
      </c>
      <c r="AX42" s="29" t="str">
        <f t="shared" si="23"/>
        <v>=</v>
      </c>
      <c r="AY42" s="19"/>
      <c r="AZ42" s="23">
        <f t="shared" si="24"/>
        <v>6</v>
      </c>
      <c r="BA42" s="20">
        <f t="shared" si="25"/>
        <v>0</v>
      </c>
      <c r="BB42" s="20">
        <f>SUM(BC42*2) + (BD42*1) + SUMIFS(MATCH_INPUT!$G$18:$G$21, MATCH_INPUT!$F$18:$F$21, AY42) + SUMIFS(MATCH_INPUT!$I$18:$I$21, MATCH_INPUT!$J$18:$J$21, AY42)
</f>
        <v>0</v>
      </c>
      <c r="BC42" s="20">
        <f>IF(AY42&lt;&gt;"",
    COUNTIFS(MATCH_INPUT!$K$18:$K$21,AY42),
0)</f>
        <v>0</v>
      </c>
      <c r="BD42" s="20">
        <f>IF(AY42&lt;&gt;"",
    COUNTIFS(MATCH_INPUT!$F$18:$F$21, AY42, MATCH_INPUT!$K$18:$K$21, "Draw") +
    COUNTIFS(MATCH_INPUT!$J$18:$J$21, AY42, MATCH_INPUT!$K$18:$K$21, "Draw"),
0)</f>
        <v>0</v>
      </c>
      <c r="BE42" s="20">
        <f>IF(AY42&lt;&gt;"",
    COUNTIFS(MATCH_INPUT!$F$18:$F$21, AY42, MATCH_INPUT!$K$18:$K$21, "&lt;&gt;"&amp;AY42, MATCH_INPUT!$K$18:$K$21, "&lt;&gt;Draw", MATCH_INPUT!$K$18:$K$21, "&lt;&gt;""") +
    COUNTIFS(MATCH_INPUT!$J$18:$J$21, AY42, MATCH_INPUT!$K$18:$K$21, "&lt;&gt;"&amp;AY42, MATCH_INPUT!$K$18:$K$21, "&lt;&gt;Draw", MATCH_INPUT!$K$18:$K$21, "&lt;&gt;"""),
0)</f>
        <v>0</v>
      </c>
      <c r="BF42" s="21" t="str">
        <f t="array" ref="BF42">IFERROR(INDEX(Form_Response!E:E, MATCH(1, (Form_Response!C:C='MATCH DATES'!$B$6)*(Form_Response!D:D=B42), 0)), "")
</f>
        <v/>
      </c>
      <c r="BG42" s="21">
        <f t="array" ref="BG42">IFERROR(IF(INDEX(Form_Response!F:F, MATCH(1, (Form_Response!C:C='MATCH DATES'!$B$6)*(Form_Response!D:D=B42), 0))="Yes", 1, 0), 0)
</f>
        <v>0</v>
      </c>
      <c r="BH42" s="30" t="str">
        <f t="array" ref="BH42">IFERROR(INDEX(Form_Response!G:G, MATCH(1, (Form_Response!C:C='MATCH DATES'!$B$6)*(Form_Response!D:D=B42), 0)), "")
</f>
        <v/>
      </c>
      <c r="BI42" s="23">
        <f t="shared" si="155"/>
        <v>6</v>
      </c>
      <c r="BJ42" s="24" t="str">
        <f t="shared" si="27"/>
        <v>↓</v>
      </c>
      <c r="BK42" s="25" t="s">
        <v>139</v>
      </c>
      <c r="BL42" s="26">
        <f t="shared" si="28"/>
        <v>16</v>
      </c>
      <c r="BM42" s="26">
        <f t="shared" si="29"/>
        <v>4</v>
      </c>
      <c r="BN42" s="26">
        <f>SUM(BO42*2) + (BP42*1) + SUMIFS(MATCH_INPUT!$G$22:$G$25, MATCH_INPUT!$F$22:$F$25, BK42) + SUMIFS(MATCH_INPUT!$I$22:$I$25, MATCH_INPUT!$J$22:$J$25, BK42)
</f>
        <v>6</v>
      </c>
      <c r="BO42" s="26">
        <f>IF(BK42&lt;&gt;"",
    COUNTIFS(MATCH_INPUT!$K$22:$K$25,BK42),
0)</f>
        <v>1</v>
      </c>
      <c r="BP42" s="26">
        <f>IF(BK42&lt;&gt;"",
    COUNTIFS(MATCH_INPUT!$F$22:$F$25, BK42, MATCH_INPUT!$K$22:$K$25, "Draw") +
    COUNTIFS(MATCH_INPUT!$J$22:$J$25, BK42, MATCH_INPUT!$K$22:$K$25, "Draw"),
0)</f>
        <v>1</v>
      </c>
      <c r="BQ42" s="26">
        <f>IF(BK42&lt;&gt;"",
    COUNTIFS(MATCH_INPUT!$F$22:$F$25, BK42, MATCH_INPUT!$K$22:$K$25, "&lt;&gt;"&amp;BK42, MATCH_INPUT!$K$22:$K$25, "&lt;&gt;Draw", MATCH_INPUT!$K$22:$K$25, "&lt;&gt;""") +
    COUNTIFS(MATCH_INPUT!$J$22:$J$25, BK42, MATCH_INPUT!$K$22:$K$25, "&lt;&gt;"&amp;BK42, MATCH_INPUT!$K$22:$K$25, "&lt;&gt;Draw", MATCH_INPUT!$K$22:$K$25, "&lt;&gt;"""),
0)</f>
        <v>0</v>
      </c>
      <c r="BR42" s="27">
        <v>1.0</v>
      </c>
      <c r="BS42" s="27"/>
      <c r="BT42" s="28"/>
      <c r="BU42" s="26">
        <f t="shared" si="156"/>
        <v>4</v>
      </c>
      <c r="BV42" s="29" t="str">
        <f t="shared" si="31"/>
        <v>↑</v>
      </c>
      <c r="BW42" s="35"/>
      <c r="BX42" s="23">
        <f t="shared" si="32"/>
        <v>16</v>
      </c>
      <c r="BY42" s="20">
        <f t="shared" si="33"/>
        <v>0</v>
      </c>
      <c r="BZ42" s="20">
        <f>SUM(CA42*2)+(CB42*1) + SUMIFS(MATCH_INPUT!$G$26:$G$29, MATCH_INPUT!$F$26:$F$29, BW42) + SUMIFS(MATCH_INPUT!$I$26:$I$29, MATCH_INPUT!$J$26:$J$29, BW42)
</f>
        <v>0</v>
      </c>
      <c r="CA42" s="20">
        <f>IF(BW42&lt;&gt;"",
    COUNTIFS(MATCH_INPUT!$K$26:$K$29,BW42),
0)</f>
        <v>0</v>
      </c>
      <c r="CB42" s="20">
        <f>IF(BW42&lt;&gt;"",
    COUNTIFS(MATCH_INPUT!$F$26:$F$29, BW42, MATCH_INPUT!$K$26:$K$29, "Draw") +
    COUNTIFS(MATCH_INPUT!$J$26:$J$29, BW42, MATCH_INPUT!$K$26:$K$29, "Draw"),
0)</f>
        <v>0</v>
      </c>
      <c r="CC42" s="20">
        <f>IF(BW42&lt;&gt;"",
    COUNTIFS(MATCH_INPUT!$F$26:$F$29, BW42, MATCH_INPUT!$K$26:$K$29, "&lt;&gt;"&amp;BW42, MATCH_INPUT!$K$26:$K$29, "&lt;&gt;Draw", MATCH_INPUT!$K$26:$K$29, "&lt;&gt;""") +
    COUNTIFS(MATCH_INPUT!$J$26:$J$29, BW42, MATCH_INPUT!$K$26:$K$29, "&lt;&gt;"&amp;BW42, MATCH_INPUT!$K$26:$K$29, "&lt;&gt;Draw", MATCH_INPUT!$K$26:$K$29, "&lt;&gt;"""),
0)</f>
        <v>0</v>
      </c>
      <c r="CD42" s="21"/>
      <c r="CE42" s="21"/>
      <c r="CF42" s="30"/>
      <c r="CG42" s="23">
        <f t="shared" si="157"/>
        <v>4</v>
      </c>
      <c r="CH42" s="24" t="str">
        <f t="shared" si="35"/>
        <v>=</v>
      </c>
      <c r="CI42" s="25"/>
      <c r="CJ42" s="26">
        <f t="shared" si="36"/>
        <v>16</v>
      </c>
      <c r="CK42" s="26">
        <f t="shared" si="37"/>
        <v>0</v>
      </c>
      <c r="CL42" s="26">
        <f>SUM(CM42*2)+(CN42*1) + SUMIFS(MATCH_INPUT!$G$30:$G$33, MATCH_INPUT!$F$30:$F$33, CI42) + SUMIFS(MATCH_INPUT!$I$30:$I$33, MATCH_INPUT!$J$30:$J$33, CI42)
</f>
        <v>0</v>
      </c>
      <c r="CM42" s="26">
        <f>IF(CI42&lt;&gt;"",
    COUNTIFS(MATCH_INPUT!$K$30:$K$33,CI42),
0)</f>
        <v>0</v>
      </c>
      <c r="CN42" s="26">
        <f>IF(CI42&lt;&gt;"",
    COUNTIFS(MATCH_INPUT!$F$30:$F$33, CI42, MATCH_INPUT!$K$30:$K$33, "Draw") +
    COUNTIFS(MATCH_INPUT!$J$30:$J$33, CI42, MATCH_INPUT!$K$30:$K$33, "Draw"),
0)</f>
        <v>0</v>
      </c>
      <c r="CO42" s="26">
        <f>IF(CI42&lt;&gt;"",
    COUNTIFS(MATCH_INPUT!$F$30:$F$33, CI42, MATCH_INPUT!$K$30:$K$33, "&lt;&gt;"&amp;CI42, MATCH_INPUT!$K$30:$K$33, "&lt;&gt;Draw", MATCH_INPUT!$K$30:$K$33, "&lt;&gt;""") +
    COUNTIFS(MATCH_INPUT!$J$30:$J$33, CI42, MATCH_INPUT!$K$30:$K$33, "&lt;&gt;"&amp;CI42, MATCH_INPUT!$K$30:$K$33, "&lt;&gt;Draw", MATCH_INPUT!$K$30:$K$33, "&lt;&gt;"""),
0)</f>
        <v>0</v>
      </c>
      <c r="CP42" s="27" t="str">
        <f t="array" ref="CP42">IFERROR(INDEX(Form_Response!E:E, MATCH(1, (Form_Response!C:C='MATCH DATES'!$B$9)*(Form_Response!D:D=B42), 0)), "")
</f>
        <v/>
      </c>
      <c r="CQ42" s="27">
        <f t="array" ref="CQ42">IFERROR(IF(INDEX(Form_Response!F:F, MATCH(1, (Form_Response!C:C='MATCH DATES'!$B$9)*(Form_Response!D:D=B42), 0))="Yes", 1, 0), 0)
</f>
        <v>0</v>
      </c>
      <c r="CR42" s="28" t="str">
        <f t="array" ref="CR42">IFERROR(INDEX(Form_Response!G:G, MATCH(1, (Form_Response!C:C='MATCH DATES'!$B$9)*(Form_Response!D:D=B42), 0)), "")
</f>
        <v/>
      </c>
      <c r="CS42" s="31">
        <f t="shared" si="158"/>
        <v>6</v>
      </c>
      <c r="CT42" s="31" t="str">
        <f t="shared" si="39"/>
        <v>↓</v>
      </c>
      <c r="CU42" s="32">
        <f t="shared" si="40"/>
        <v>10</v>
      </c>
      <c r="CV42" s="32" t="str">
        <f t="shared" ref="CV42:CW42" si="165">A42</f>
        <v/>
      </c>
      <c r="CW42" s="33" t="str">
        <f t="shared" si="165"/>
        <v>🔄 (Cuñis)</v>
      </c>
      <c r="CX42" s="33">
        <f t="shared" si="42"/>
        <v>16</v>
      </c>
      <c r="CY42" s="32">
        <f>SUM(
  IF(AND('MATCH DATES'!$A$2 &lt;= TODAY(), NOW() &gt;= 'MATCH DATES'!$A$2 + TIME(22, 0, 0)), E42, 0),
  IF(AND('MATCH DATES'!$A$3 &lt;= TODAY(), NOW() &gt;= 'MATCH DATES'!$A$3 + TIME(22, 0, 0)), Q42, 0),
  IF(AND('MATCH DATES'!$A$4 &lt;= TODAY(), NOW() &gt;= 'MATCH DATES'!$A$4 + TIME(22, 0, 0)), AC42, 0),
  IF(AND('MATCH DATES'!$A$5 &lt;= TODAY(), NOW() &gt;= 'MATCH DATES'!$A$5 + TIME(22, 0, 0)), AO42, 0),
  IF(AND('MATCH DATES'!$A$6 &lt;= TODAY(), NOW() &gt;= 'MATCH DATES'!$A$6 + TIME(22, 0, 0)), BA42, 0),
  IF(AND('MATCH DATES'!$A$7 &lt;= TODAY(), NOW() &gt;= 'MATCH DATES'!$A$7 + TIME(22, 0, 0)), BM42, 0),
  IF(AND('MATCH DATES'!$A$8 &lt;= TODAY(), NOW() &gt;= 'MATCH DATES'!$A$8 + TIME(22, 0, 0)), BY42, 0),
  IF(AND('MATCH DATES'!$A$9 &lt;= TODAY(), NOW() &gt;= 'MATCH DATES'!$A$9 + TIME(22, 0, 0)), CK42, 0)
)
</f>
        <v>6</v>
      </c>
      <c r="CZ42" s="33">
        <f t="shared" ref="CZ42:DA42" si="166">SUM(G42,S42,AE42,AQ42,BC42,BO42,CA42,CM42)</f>
        <v>3</v>
      </c>
      <c r="DA42" s="33">
        <f t="shared" si="166"/>
        <v>1</v>
      </c>
      <c r="DB42" s="33">
        <f>SUM(
  IF(AND('MATCH DATES'!$A$2 &lt;= TODAY(), NOW() &gt;= 'MATCH DATES'!$A$2 + TIME(22, 0, 0)), I42, 0),
  IF(AND('MATCH DATES'!$A$3 &lt;= TODAY(), NOW() &gt;= 'MATCH DATES'!$A$3 + TIME(22, 0, 0)), U42, 0),
  IF(AND('MATCH DATES'!$A$4 &lt;= TODAY(), NOW() &gt;= 'MATCH DATES'!$A$4 + TIME(22, 0, 0)), AG42, 0),
  IF(AND('MATCH DATES'!$A$5 &lt;= TODAY(), NOW() &gt;= 'MATCH DATES'!$A$5 + TIME(22, 0, 0)), AS42, 0),
  IF(AND('MATCH DATES'!$A$6 &lt;= TODAY(), NOW() &gt;= 'MATCH DATES'!$A$6 + TIME(22, 0, 0)), BE42, 0),
  IF(AND('MATCH DATES'!$A$7 &lt;= TODAY(), NOW() &gt;= 'MATCH DATES'!$A$7 + TIME(22, 0, 0)), BQ42, 0),
  IF(AND('MATCH DATES'!$A$8 &lt;= TODAY(), NOW() &gt;= 'MATCH DATES'!$A$8 + TIME(22, 0, 0)), CC42, 0),
  IF(AND('MATCH DATES'!$A$9 &lt;= TODAY(), NOW() &gt;= 'MATCH DATES'!$A$9 + TIME(22, 0, 0)), CO42, 0)
)</f>
        <v>0</v>
      </c>
      <c r="DC42" s="33">
        <f t="shared" si="44"/>
        <v>1</v>
      </c>
      <c r="DD42" s="33">
        <f t="shared" ref="DD42:DE42" si="167">SUM(K42,W42,AI42,AU42,BG42,BS42,CE42,CQ42)</f>
        <v>0</v>
      </c>
      <c r="DE42" s="33">
        <f t="shared" si="167"/>
        <v>0</v>
      </c>
    </row>
    <row r="43" ht="24.75" customHeight="1">
      <c r="A43" s="17"/>
      <c r="B43" s="18" t="s">
        <v>181</v>
      </c>
      <c r="C43" s="19" t="s">
        <v>140</v>
      </c>
      <c r="D43" s="20">
        <f t="shared" si="4"/>
        <v>4</v>
      </c>
      <c r="E43" s="20">
        <f t="shared" si="5"/>
        <v>2</v>
      </c>
      <c r="F43" s="20">
        <f t="shared" si="6"/>
        <v>2</v>
      </c>
      <c r="G43" s="20">
        <f>IF(C43&lt;&gt;"",
    COUNTIFS(MATCH_INPUT!$K$2:$K$5,C43),
0)</f>
        <v>1</v>
      </c>
      <c r="H43" s="20">
        <f>IF(C43&lt;&gt;"",
    COUNTIFS(MATCH_INPUT!$F$2:$F$5, C43, MATCH_INPUT!$K$2:$K$5, "Draw") +
    COUNTIFS(MATCH_INPUT!$J$2:$J$5, C43, MATCH_INPUT!$K$2:$K$5, "Draw"),
0)</f>
        <v>0</v>
      </c>
      <c r="I43" s="20">
        <f>IF(C43&lt;&gt;"",
    COUNTIFS(MATCH_INPUT!$F$2:$F$5, C43, MATCH_INPUT!$K$2:$K$5, "&lt;&gt;"&amp;C43, MATCH_INPUT!$K$2:$K$5, "&lt;&gt;Draw", MATCH_INPUT!$K$2:$K$5, "&lt;&gt;""") +
    COUNTIFS(MATCH_INPUT!$J$2:$J$5, C43, MATCH_INPUT!$K$2:$K$5, "&lt;&gt;"&amp;C43, MATCH_INPUT!$K$2:$K$5, "&lt;&gt;Draw", MATCH_INPUT!$K$2:$K$5, "&lt;&gt;"""),
0)</f>
        <v>1</v>
      </c>
      <c r="J43" s="21"/>
      <c r="K43" s="21"/>
      <c r="L43" s="22"/>
      <c r="M43" s="23">
        <f t="shared" si="151"/>
        <v>2</v>
      </c>
      <c r="N43" s="24" t="str">
        <f t="shared" si="8"/>
        <v>↓</v>
      </c>
      <c r="O43" s="25"/>
      <c r="P43" s="26">
        <f t="shared" si="9"/>
        <v>4</v>
      </c>
      <c r="Q43" s="26">
        <f t="shared" si="10"/>
        <v>0</v>
      </c>
      <c r="R43" s="26">
        <f t="shared" si="11"/>
        <v>0</v>
      </c>
      <c r="S43" s="26">
        <f>IF(O43&lt;&gt;"",
    COUNTIFS(MATCH_INPUT!$K$6:$K$9,O43),
0)</f>
        <v>0</v>
      </c>
      <c r="T43" s="26">
        <f>IF(O43&lt;&gt;"",
    COUNTIFS(MATCH_INPUT!$F$6:$F$9, O43, MATCH_INPUT!$K$6:$K$9, "Draw") +
    COUNTIFS(MATCH_INPUT!$J$6:$J$9, O43, MATCH_INPUT!$K$6:$K$9, "Draw"),
0)</f>
        <v>0</v>
      </c>
      <c r="U43" s="26">
        <f>IF(O43&lt;&gt;"",
    COUNTIFS(MATCH_INPUT!$F$6:$F$9, O43, MATCH_INPUT!$K$6:$K$9, "&lt;&gt;"&amp;O43, MATCH_INPUT!$K$6:$K$9, "&lt;&gt;Draw", MATCH_INPUT!$K$6:$K$9, "&lt;&gt;""") +
    COUNTIFS(MATCH_INPUT!$J$6:$J$9, O43, MATCH_INPUT!$K$6:$K$9, "&lt;&gt;"&amp;O43, MATCH_INPUT!$K$6:$K$9, "&lt;&gt;Draw", MATCH_INPUT!$K$6:$K$9, "&lt;&gt;"""),
0)</f>
        <v>0</v>
      </c>
      <c r="V43" s="27"/>
      <c r="W43" s="27"/>
      <c r="X43" s="28"/>
      <c r="Y43" s="26">
        <f t="shared" si="152"/>
        <v>3</v>
      </c>
      <c r="Z43" s="29" t="str">
        <f t="shared" si="13"/>
        <v>↓</v>
      </c>
      <c r="AA43" s="19" t="s">
        <v>141</v>
      </c>
      <c r="AB43" s="23">
        <f t="shared" si="14"/>
        <v>10</v>
      </c>
      <c r="AC43" s="20">
        <f t="shared" si="15"/>
        <v>2</v>
      </c>
      <c r="AD43" s="20">
        <f t="shared" si="16"/>
        <v>4</v>
      </c>
      <c r="AE43" s="20">
        <f>IF(AA43&lt;&gt;"",
    COUNTIFS(MATCH_INPUT!$K$10:$K$13,AA43),
0)</f>
        <v>2</v>
      </c>
      <c r="AF43" s="20">
        <f>IF(AA43&lt;&gt;"",
    COUNTIFS(MATCH_INPUT!$F$10:$F$13, AA43, MATCH_INPUT!$K$10:$K$13, "Draw") +
    COUNTIFS(MATCH_INPUT!$J$10:$J$13, AA43, MATCH_INPUT!$K$10:$K$13, "Draw"),
0)</f>
        <v>0</v>
      </c>
      <c r="AG43" s="20">
        <f>IF(AA43&lt;&gt;"",
    COUNTIFS(MATCH_INPUT!$F$10:$F$13, AA43, MATCH_INPUT!$K$10:$K$13, "&lt;&gt;"&amp;AA43, MATCH_INPUT!$K$10:$K$13, "&lt;&gt;Draw", MATCH_INPUT!$K$10:$K$13, "&lt;&gt;""") +
    COUNTIFS(MATCH_INPUT!$J$10:$J$13, AA43, MATCH_INPUT!$K$10:$K$13, "&lt;&gt;"&amp;AA43, MATCH_INPUT!$K$10:$K$13, "&lt;&gt;Draw", MATCH_INPUT!$K$10:$K$13, "&lt;&gt;"""),
0)</f>
        <v>0</v>
      </c>
      <c r="AH43" s="21">
        <v>1.0</v>
      </c>
      <c r="AI43" s="21"/>
      <c r="AJ43" s="30"/>
      <c r="AK43" s="23">
        <f t="shared" si="153"/>
        <v>2</v>
      </c>
      <c r="AL43" s="24" t="str">
        <f t="shared" si="18"/>
        <v>↑</v>
      </c>
      <c r="AM43" s="25"/>
      <c r="AN43" s="26">
        <f t="shared" si="19"/>
        <v>10</v>
      </c>
      <c r="AO43" s="26">
        <f t="shared" si="20"/>
        <v>0</v>
      </c>
      <c r="AP43" s="26">
        <f t="shared" si="21"/>
        <v>0</v>
      </c>
      <c r="AQ43" s="26">
        <f>IF(AM43&lt;&gt;"",
    COUNTIFS(MATCH_INPUT!$K$14:$K$17,AM43),
0)</f>
        <v>0</v>
      </c>
      <c r="AR43" s="26">
        <f>IF(AM43&lt;&gt;"",
    COUNTIFS(MATCH_INPUT!$F$14:$F$17, AM43, MATCH_INPUT!$K$14:$K$17, "Draw") +
    COUNTIFS(MATCH_INPUT!$J$14:$J$17, AM43, MATCH_INPUT!$K$14:$K$17, "Draw"),
0)</f>
        <v>0</v>
      </c>
      <c r="AS43" s="26">
        <f>IF(AM43&lt;&gt;"",
    COUNTIFS(MATCH_INPUT!$F$14:$F$17, AM43, MATCH_INPUT!$K$14:$K$17, "&lt;&gt;"&amp;AM43, MATCH_INPUT!$K$14:$K$17, "&lt;&gt;Draw", MATCH_INPUT!$K$14:$K$17, "&lt;&gt;""") +
    COUNTIFS(MATCH_INPUT!$J$14:$J$17, AM43, MATCH_INPUT!$K$14:$K$17, "&lt;&gt;"&amp;AM43, MATCH_INPUT!$K$14:$K$17, "&lt;&gt;Draw", MATCH_INPUT!$K$14:$K$17, "&lt;&gt;"""),
0)</f>
        <v>0</v>
      </c>
      <c r="AT43" s="27"/>
      <c r="AU43" s="27"/>
      <c r="AV43" s="28"/>
      <c r="AW43" s="26">
        <f t="shared" si="154"/>
        <v>3</v>
      </c>
      <c r="AX43" s="29" t="str">
        <f t="shared" si="23"/>
        <v>↓</v>
      </c>
      <c r="AY43" s="19" t="s">
        <v>141</v>
      </c>
      <c r="AZ43" s="23">
        <f t="shared" si="24"/>
        <v>16</v>
      </c>
      <c r="BA43" s="20">
        <f t="shared" si="25"/>
        <v>2</v>
      </c>
      <c r="BB43" s="20">
        <f>SUM(BC43*2) + (BD43*1) + SUMIFS(MATCH_INPUT!$G$18:$G$21, MATCH_INPUT!$F$18:$F$21, AY43) + SUMIFS(MATCH_INPUT!$I$18:$I$21, MATCH_INPUT!$J$18:$J$21, AY43)
</f>
        <v>4</v>
      </c>
      <c r="BC43" s="20">
        <f>IF(AY43&lt;&gt;"",
    COUNTIFS(MATCH_INPUT!$K$18:$K$21,AY43),
0)</f>
        <v>0</v>
      </c>
      <c r="BD43" s="20">
        <f>IF(AY43&lt;&gt;"",
    COUNTIFS(MATCH_INPUT!$F$18:$F$21, AY43, MATCH_INPUT!$K$18:$K$21, "Draw") +
    COUNTIFS(MATCH_INPUT!$J$18:$J$21, AY43, MATCH_INPUT!$K$18:$K$21, "Draw"),
0)</f>
        <v>1</v>
      </c>
      <c r="BE43" s="20">
        <f>IF(AY43&lt;&gt;"",
    COUNTIFS(MATCH_INPUT!$F$18:$F$21, AY43, MATCH_INPUT!$K$18:$K$21, "&lt;&gt;"&amp;AY43, MATCH_INPUT!$K$18:$K$21, "&lt;&gt;Draw", MATCH_INPUT!$K$18:$K$21, "&lt;&gt;""") +
    COUNTIFS(MATCH_INPUT!$J$18:$J$21, AY43, MATCH_INPUT!$K$18:$K$21, "&lt;&gt;"&amp;AY43, MATCH_INPUT!$K$18:$K$21, "&lt;&gt;Draw", MATCH_INPUT!$K$18:$K$21, "&lt;&gt;"""),
0)</f>
        <v>1</v>
      </c>
      <c r="BF43" s="21" t="str">
        <f t="array" ref="BF43">IFERROR(INDEX(Form_Response!E:E, MATCH(1, (Form_Response!C:C='MATCH DATES'!$B$6)*(Form_Response!D:D=B43), 0)), "")
</f>
        <v/>
      </c>
      <c r="BG43" s="21">
        <f t="array" ref="BG43">IFERROR(IF(INDEX(Form_Response!F:F, MATCH(1, (Form_Response!C:C='MATCH DATES'!$B$6)*(Form_Response!D:D=B43), 0))="Yes", 1, 0), 0)
</f>
        <v>0</v>
      </c>
      <c r="BH43" s="30" t="str">
        <f t="array" ref="BH43">IFERROR(INDEX(Form_Response!G:G, MATCH(1, (Form_Response!C:C='MATCH DATES'!$B$6)*(Form_Response!D:D=B43), 0)), "")
</f>
        <v/>
      </c>
      <c r="BI43" s="23">
        <f t="shared" si="155"/>
        <v>3</v>
      </c>
      <c r="BJ43" s="24" t="str">
        <f t="shared" si="27"/>
        <v>=</v>
      </c>
      <c r="BK43" s="25"/>
      <c r="BL43" s="26">
        <f t="shared" si="28"/>
        <v>16</v>
      </c>
      <c r="BM43" s="26">
        <f t="shared" si="29"/>
        <v>0</v>
      </c>
      <c r="BN43" s="26">
        <f>SUM(BO43*2) + (BP43*1) + SUMIFS(MATCH_INPUT!$G$22:$G$25, MATCH_INPUT!$F$22:$F$25, BK43) + SUMIFS(MATCH_INPUT!$I$22:$I$25, MATCH_INPUT!$J$22:$J$25, BK43)
</f>
        <v>0</v>
      </c>
      <c r="BO43" s="26">
        <f>IF(BK43&lt;&gt;"",
    COUNTIFS(MATCH_INPUT!$K$22:$K$25,BK43),
0)</f>
        <v>0</v>
      </c>
      <c r="BP43" s="26">
        <f>IF(BK43&lt;&gt;"",
    COUNTIFS(MATCH_INPUT!$F$22:$F$25, BK43, MATCH_INPUT!$K$22:$K$25, "Draw") +
    COUNTIFS(MATCH_INPUT!$J$22:$J$25, BK43, MATCH_INPUT!$K$22:$K$25, "Draw"),
0)</f>
        <v>0</v>
      </c>
      <c r="BQ43" s="26">
        <f>IF(BK43&lt;&gt;"",
    COUNTIFS(MATCH_INPUT!$F$22:$F$25, BK43, MATCH_INPUT!$K$22:$K$25, "&lt;&gt;"&amp;BK43, MATCH_INPUT!$K$22:$K$25, "&lt;&gt;Draw", MATCH_INPUT!$K$22:$K$25, "&lt;&gt;""") +
    COUNTIFS(MATCH_INPUT!$J$22:$J$25, BK43, MATCH_INPUT!$K$22:$K$25, "&lt;&gt;"&amp;BK43, MATCH_INPUT!$K$22:$K$25, "&lt;&gt;Draw", MATCH_INPUT!$K$22:$K$25, "&lt;&gt;"""),
0)</f>
        <v>0</v>
      </c>
      <c r="BR43" s="27"/>
      <c r="BS43" s="27"/>
      <c r="BT43" s="28"/>
      <c r="BU43" s="26">
        <f t="shared" si="156"/>
        <v>4</v>
      </c>
      <c r="BV43" s="29" t="str">
        <f t="shared" si="31"/>
        <v>↓</v>
      </c>
      <c r="BW43" s="35"/>
      <c r="BX43" s="23">
        <f t="shared" si="32"/>
        <v>16</v>
      </c>
      <c r="BY43" s="20">
        <f t="shared" si="33"/>
        <v>0</v>
      </c>
      <c r="BZ43" s="20">
        <f>SUM(CA43*2)+(CB43*1) + SUMIFS(MATCH_INPUT!$G$26:$G$29, MATCH_INPUT!$F$26:$F$29, BW43) + SUMIFS(MATCH_INPUT!$I$26:$I$29, MATCH_INPUT!$J$26:$J$29, BW43)
</f>
        <v>0</v>
      </c>
      <c r="CA43" s="20">
        <f>IF(BW43&lt;&gt;"",
    COUNTIFS(MATCH_INPUT!$K$26:$K$29,BW43),
0)</f>
        <v>0</v>
      </c>
      <c r="CB43" s="20">
        <f>IF(BW43&lt;&gt;"",
    COUNTIFS(MATCH_INPUT!$F$26:$F$29, BW43, MATCH_INPUT!$K$26:$K$29, "Draw") +
    COUNTIFS(MATCH_INPUT!$J$26:$J$29, BW43, MATCH_INPUT!$K$26:$K$29, "Draw"),
0)</f>
        <v>0</v>
      </c>
      <c r="CC43" s="20">
        <f>IF(BW43&lt;&gt;"",
    COUNTIFS(MATCH_INPUT!$F$26:$F$29, BW43, MATCH_INPUT!$K$26:$K$29, "&lt;&gt;"&amp;BW43, MATCH_INPUT!$K$26:$K$29, "&lt;&gt;Draw", MATCH_INPUT!$K$26:$K$29, "&lt;&gt;""") +
    COUNTIFS(MATCH_INPUT!$J$26:$J$29, BW43, MATCH_INPUT!$K$26:$K$29, "&lt;&gt;"&amp;BW43, MATCH_INPUT!$K$26:$K$29, "&lt;&gt;Draw", MATCH_INPUT!$K$26:$K$29, "&lt;&gt;"""),
0)</f>
        <v>0</v>
      </c>
      <c r="CD43" s="21"/>
      <c r="CE43" s="21"/>
      <c r="CF43" s="30"/>
      <c r="CG43" s="23">
        <f t="shared" si="157"/>
        <v>4</v>
      </c>
      <c r="CH43" s="24" t="str">
        <f t="shared" si="35"/>
        <v>=</v>
      </c>
      <c r="CI43" s="25"/>
      <c r="CJ43" s="26">
        <f t="shared" si="36"/>
        <v>16</v>
      </c>
      <c r="CK43" s="26">
        <f t="shared" si="37"/>
        <v>0</v>
      </c>
      <c r="CL43" s="26">
        <f>SUM(CM43*2)+(CN43*1) + SUMIFS(MATCH_INPUT!$G$30:$G$33, MATCH_INPUT!$F$30:$F$33, CI43) + SUMIFS(MATCH_INPUT!$I$30:$I$33, MATCH_INPUT!$J$30:$J$33, CI43)
</f>
        <v>0</v>
      </c>
      <c r="CM43" s="26">
        <f>IF(CI43&lt;&gt;"",
    COUNTIFS(MATCH_INPUT!$K$30:$K$33,CI43),
0)</f>
        <v>0</v>
      </c>
      <c r="CN43" s="26">
        <f>IF(CI43&lt;&gt;"",
    COUNTIFS(MATCH_INPUT!$F$30:$F$33, CI43, MATCH_INPUT!$K$30:$K$33, "Draw") +
    COUNTIFS(MATCH_INPUT!$J$30:$J$33, CI43, MATCH_INPUT!$K$30:$K$33, "Draw"),
0)</f>
        <v>0</v>
      </c>
      <c r="CO43" s="26">
        <f>IF(CI43&lt;&gt;"",
    COUNTIFS(MATCH_INPUT!$F$30:$F$33, CI43, MATCH_INPUT!$K$30:$K$33, "&lt;&gt;"&amp;CI43, MATCH_INPUT!$K$30:$K$33, "&lt;&gt;Draw", MATCH_INPUT!$K$30:$K$33, "&lt;&gt;""") +
    COUNTIFS(MATCH_INPUT!$J$30:$J$33, CI43, MATCH_INPUT!$K$30:$K$33, "&lt;&gt;"&amp;CI43, MATCH_INPUT!$K$30:$K$33, "&lt;&gt;Draw", MATCH_INPUT!$K$30:$K$33, "&lt;&gt;"""),
0)</f>
        <v>0</v>
      </c>
      <c r="CP43" s="27" t="str">
        <f t="array" ref="CP43">IFERROR(INDEX(Form_Response!E:E, MATCH(1, (Form_Response!C:C='MATCH DATES'!$B$9)*(Form_Response!D:D=B43), 0)), "")
</f>
        <v/>
      </c>
      <c r="CQ43" s="27">
        <f t="array" ref="CQ43">IFERROR(IF(INDEX(Form_Response!F:F, MATCH(1, (Form_Response!C:C='MATCH DATES'!$B$9)*(Form_Response!D:D=B43), 0))="Yes", 1, 0), 0)
</f>
        <v>0</v>
      </c>
      <c r="CR43" s="28" t="str">
        <f t="array" ref="CR43">IFERROR(INDEX(Form_Response!G:G, MATCH(1, (Form_Response!C:C='MATCH DATES'!$B$9)*(Form_Response!D:D=B43), 0)), "")
</f>
        <v/>
      </c>
      <c r="CS43" s="31">
        <f t="shared" si="158"/>
        <v>6</v>
      </c>
      <c r="CT43" s="31" t="str">
        <f t="shared" si="39"/>
        <v>↓</v>
      </c>
      <c r="CU43" s="32">
        <f t="shared" si="40"/>
        <v>10</v>
      </c>
      <c r="CV43" s="32" t="str">
        <f t="shared" ref="CV43:CW43" si="168">A43</f>
        <v/>
      </c>
      <c r="CW43" s="33" t="str">
        <f t="shared" si="168"/>
        <v>🔄 (Karter)</v>
      </c>
      <c r="CX43" s="33">
        <f t="shared" si="42"/>
        <v>16</v>
      </c>
      <c r="CY43" s="32">
        <f>SUM(
  IF(AND('MATCH DATES'!$A$2 &lt;= TODAY(), NOW() &gt;= 'MATCH DATES'!$A$2 + TIME(22, 0, 0)), E43, 0),
  IF(AND('MATCH DATES'!$A$3 &lt;= TODAY(), NOW() &gt;= 'MATCH DATES'!$A$3 + TIME(22, 0, 0)), Q43, 0),
  IF(AND('MATCH DATES'!$A$4 &lt;= TODAY(), NOW() &gt;= 'MATCH DATES'!$A$4 + TIME(22, 0, 0)), AC43, 0),
  IF(AND('MATCH DATES'!$A$5 &lt;= TODAY(), NOW() &gt;= 'MATCH DATES'!$A$5 + TIME(22, 0, 0)), AO43, 0),
  IF(AND('MATCH DATES'!$A$6 &lt;= TODAY(), NOW() &gt;= 'MATCH DATES'!$A$6 + TIME(22, 0, 0)), BA43, 0),
  IF(AND('MATCH DATES'!$A$7 &lt;= TODAY(), NOW() &gt;= 'MATCH DATES'!$A$7 + TIME(22, 0, 0)), BM43, 0),
  IF(AND('MATCH DATES'!$A$8 &lt;= TODAY(), NOW() &gt;= 'MATCH DATES'!$A$8 + TIME(22, 0, 0)), BY43, 0),
  IF(AND('MATCH DATES'!$A$9 &lt;= TODAY(), NOW() &gt;= 'MATCH DATES'!$A$9 + TIME(22, 0, 0)), CK43, 0)
)
</f>
        <v>6</v>
      </c>
      <c r="CZ43" s="33">
        <f t="shared" ref="CZ43:DA43" si="169">SUM(G43,S43,AE43,AQ43,BC43,BO43,CA43,CM43)</f>
        <v>3</v>
      </c>
      <c r="DA43" s="33">
        <f t="shared" si="169"/>
        <v>1</v>
      </c>
      <c r="DB43" s="33">
        <f>SUM(
  IF(AND('MATCH DATES'!$A$2 &lt;= TODAY(), NOW() &gt;= 'MATCH DATES'!$A$2 + TIME(22, 0, 0)), I43, 0),
  IF(AND('MATCH DATES'!$A$3 &lt;= TODAY(), NOW() &gt;= 'MATCH DATES'!$A$3 + TIME(22, 0, 0)), U43, 0),
  IF(AND('MATCH DATES'!$A$4 &lt;= TODAY(), NOW() &gt;= 'MATCH DATES'!$A$4 + TIME(22, 0, 0)), AG43, 0),
  IF(AND('MATCH DATES'!$A$5 &lt;= TODAY(), NOW() &gt;= 'MATCH DATES'!$A$5 + TIME(22, 0, 0)), AS43, 0),
  IF(AND('MATCH DATES'!$A$6 &lt;= TODAY(), NOW() &gt;= 'MATCH DATES'!$A$6 + TIME(22, 0, 0)), BE43, 0),
  IF(AND('MATCH DATES'!$A$7 &lt;= TODAY(), NOW() &gt;= 'MATCH DATES'!$A$7 + TIME(22, 0, 0)), BQ43, 0),
  IF(AND('MATCH DATES'!$A$8 &lt;= TODAY(), NOW() &gt;= 'MATCH DATES'!$A$8 + TIME(22, 0, 0)), CC43, 0),
  IF(AND('MATCH DATES'!$A$9 &lt;= TODAY(), NOW() &gt;= 'MATCH DATES'!$A$9 + TIME(22, 0, 0)), CO43, 0)
)</f>
        <v>2</v>
      </c>
      <c r="DC43" s="33">
        <f t="shared" si="44"/>
        <v>1</v>
      </c>
      <c r="DD43" s="33">
        <f t="shared" ref="DD43:DE43" si="170">SUM(K43,W43,AI43,AU43,BG43,BS43,CE43,CQ43)</f>
        <v>0</v>
      </c>
      <c r="DE43" s="33">
        <f t="shared" si="170"/>
        <v>0</v>
      </c>
    </row>
    <row r="44" ht="24.75" customHeight="1">
      <c r="A44" s="17"/>
      <c r="B44" s="18" t="s">
        <v>182</v>
      </c>
      <c r="C44" s="35"/>
      <c r="D44" s="20">
        <f t="shared" si="4"/>
        <v>0</v>
      </c>
      <c r="E44" s="20">
        <f t="shared" si="5"/>
        <v>0</v>
      </c>
      <c r="F44" s="20">
        <f t="shared" si="6"/>
        <v>0</v>
      </c>
      <c r="G44" s="20">
        <f>IF(C44&lt;&gt;"",
    COUNTIFS(MATCH_INPUT!$K$2:$K$5,C44),
0)</f>
        <v>0</v>
      </c>
      <c r="H44" s="20">
        <f>IF(C44&lt;&gt;"",
    COUNTIFS(MATCH_INPUT!$F$2:$F$5, C44, MATCH_INPUT!$K$2:$K$5, "Draw") +
    COUNTIFS(MATCH_INPUT!$J$2:$J$5, C44, MATCH_INPUT!$K$2:$K$5, "Draw"),
0)</f>
        <v>0</v>
      </c>
      <c r="I44" s="20">
        <f>IF(C44&lt;&gt;"",
    COUNTIFS(MATCH_INPUT!$F$2:$F$5, C44, MATCH_INPUT!$K$2:$K$5, "&lt;&gt;"&amp;C44, MATCH_INPUT!$K$2:$K$5, "&lt;&gt;Draw", MATCH_INPUT!$K$2:$K$5, "&lt;&gt;""") +
    COUNTIFS(MATCH_INPUT!$J$2:$J$5, C44, MATCH_INPUT!$K$2:$K$5, "&lt;&gt;"&amp;C44, MATCH_INPUT!$K$2:$K$5, "&lt;&gt;Draw", MATCH_INPUT!$K$2:$K$5, "&lt;&gt;"""),
0)</f>
        <v>0</v>
      </c>
      <c r="J44" s="21"/>
      <c r="K44" s="21"/>
      <c r="L44" s="22"/>
      <c r="M44" s="23">
        <f t="shared" si="151"/>
        <v>4</v>
      </c>
      <c r="N44" s="24" t="str">
        <f t="shared" si="8"/>
        <v>↓</v>
      </c>
      <c r="O44" s="25"/>
      <c r="P44" s="26">
        <f t="shared" si="9"/>
        <v>0</v>
      </c>
      <c r="Q44" s="26">
        <f t="shared" si="10"/>
        <v>0</v>
      </c>
      <c r="R44" s="26">
        <f t="shared" si="11"/>
        <v>0</v>
      </c>
      <c r="S44" s="26">
        <f>IF(O44&lt;&gt;"",
    COUNTIFS(MATCH_INPUT!$K$6:$K$9,O44),
0)</f>
        <v>0</v>
      </c>
      <c r="T44" s="26">
        <f>IF(O44&lt;&gt;"",
    COUNTIFS(MATCH_INPUT!$F$6:$F$9, O44, MATCH_INPUT!$K$6:$K$9, "Draw") +
    COUNTIFS(MATCH_INPUT!$J$6:$J$9, O44, MATCH_INPUT!$K$6:$K$9, "Draw"),
0)</f>
        <v>0</v>
      </c>
      <c r="U44" s="26">
        <f>IF(O44&lt;&gt;"",
    COUNTIFS(MATCH_INPUT!$F$6:$F$9, O44, MATCH_INPUT!$K$6:$K$9, "&lt;&gt;"&amp;O44, MATCH_INPUT!$K$6:$K$9, "&lt;&gt;Draw", MATCH_INPUT!$K$6:$K$9, "&lt;&gt;""") +
    COUNTIFS(MATCH_INPUT!$J$6:$J$9, O44, MATCH_INPUT!$K$6:$K$9, "&lt;&gt;"&amp;O44, MATCH_INPUT!$K$6:$K$9, "&lt;&gt;Draw", MATCH_INPUT!$K$6:$K$9, "&lt;&gt;"""),
0)</f>
        <v>0</v>
      </c>
      <c r="V44" s="27"/>
      <c r="W44" s="27"/>
      <c r="X44" s="28"/>
      <c r="Y44" s="26">
        <f t="shared" si="152"/>
        <v>7</v>
      </c>
      <c r="Z44" s="29" t="str">
        <f t="shared" si="13"/>
        <v>↓</v>
      </c>
      <c r="AA44" s="19"/>
      <c r="AB44" s="23">
        <f t="shared" si="14"/>
        <v>0</v>
      </c>
      <c r="AC44" s="20">
        <f t="shared" si="15"/>
        <v>0</v>
      </c>
      <c r="AD44" s="20">
        <f t="shared" si="16"/>
        <v>0</v>
      </c>
      <c r="AE44" s="20">
        <f>IF(AA44&lt;&gt;"",
    COUNTIFS(MATCH_INPUT!$K$10:$K$13,AA44),
0)</f>
        <v>0</v>
      </c>
      <c r="AF44" s="20">
        <f>IF(AA44&lt;&gt;"",
    COUNTIFS(MATCH_INPUT!$F$10:$F$13, AA44, MATCH_INPUT!$K$10:$K$13, "Draw") +
    COUNTIFS(MATCH_INPUT!$J$10:$J$13, AA44, MATCH_INPUT!$K$10:$K$13, "Draw"),
0)</f>
        <v>0</v>
      </c>
      <c r="AG44" s="20">
        <f>IF(AA44&lt;&gt;"",
    COUNTIFS(MATCH_INPUT!$F$10:$F$13, AA44, MATCH_INPUT!$K$10:$K$13, "&lt;&gt;"&amp;AA44, MATCH_INPUT!$K$10:$K$13, "&lt;&gt;Draw", MATCH_INPUT!$K$10:$K$13, "&lt;&gt;""") +
    COUNTIFS(MATCH_INPUT!$J$10:$J$13, AA44, MATCH_INPUT!$K$10:$K$13, "&lt;&gt;"&amp;AA44, MATCH_INPUT!$K$10:$K$13, "&lt;&gt;Draw", MATCH_INPUT!$K$10:$K$13, "&lt;&gt;"""),
0)</f>
        <v>0</v>
      </c>
      <c r="AH44" s="21"/>
      <c r="AI44" s="21"/>
      <c r="AJ44" s="30"/>
      <c r="AK44" s="23">
        <f t="shared" si="153"/>
        <v>8</v>
      </c>
      <c r="AL44" s="24" t="str">
        <f t="shared" si="18"/>
        <v>↓</v>
      </c>
      <c r="AM44" s="25"/>
      <c r="AN44" s="26">
        <f t="shared" si="19"/>
        <v>0</v>
      </c>
      <c r="AO44" s="26">
        <f t="shared" si="20"/>
        <v>0</v>
      </c>
      <c r="AP44" s="26">
        <f t="shared" si="21"/>
        <v>0</v>
      </c>
      <c r="AQ44" s="26">
        <f>IF(AM44&lt;&gt;"",
    COUNTIFS(MATCH_INPUT!$K$14:$K$17,AM44),
0)</f>
        <v>0</v>
      </c>
      <c r="AR44" s="26">
        <f>IF(AM44&lt;&gt;"",
    COUNTIFS(MATCH_INPUT!$F$14:$F$17, AM44, MATCH_INPUT!$K$14:$K$17, "Draw") +
    COUNTIFS(MATCH_INPUT!$J$14:$J$17, AM44, MATCH_INPUT!$K$14:$K$17, "Draw"),
0)</f>
        <v>0</v>
      </c>
      <c r="AS44" s="26">
        <f>IF(AM44&lt;&gt;"",
    COUNTIFS(MATCH_INPUT!$F$14:$F$17, AM44, MATCH_INPUT!$K$14:$K$17, "&lt;&gt;"&amp;AM44, MATCH_INPUT!$K$14:$K$17, "&lt;&gt;Draw", MATCH_INPUT!$K$14:$K$17, "&lt;&gt;""") +
    COUNTIFS(MATCH_INPUT!$J$14:$J$17, AM44, MATCH_INPUT!$K$14:$K$17, "&lt;&gt;"&amp;AM44, MATCH_INPUT!$K$14:$K$17, "&lt;&gt;Draw", MATCH_INPUT!$K$14:$K$17, "&lt;&gt;"""),
0)</f>
        <v>0</v>
      </c>
      <c r="AT44" s="27"/>
      <c r="AU44" s="27"/>
      <c r="AV44" s="28"/>
      <c r="AW44" s="26">
        <f t="shared" si="154"/>
        <v>10</v>
      </c>
      <c r="AX44" s="29" t="str">
        <f t="shared" si="23"/>
        <v>↓</v>
      </c>
      <c r="AY44" s="19" t="s">
        <v>139</v>
      </c>
      <c r="AZ44" s="23">
        <f t="shared" si="24"/>
        <v>8</v>
      </c>
      <c r="BA44" s="20">
        <f t="shared" si="25"/>
        <v>2</v>
      </c>
      <c r="BB44" s="20">
        <f>SUM(BC44*2) + (BD44*1) + SUMIFS(MATCH_INPUT!$G$18:$G$21, MATCH_INPUT!$F$18:$F$21, AY44) + SUMIFS(MATCH_INPUT!$I$18:$I$21, MATCH_INPUT!$J$18:$J$21, AY44)
</f>
        <v>6</v>
      </c>
      <c r="BC44" s="20">
        <f>IF(AY44&lt;&gt;"",
    COUNTIFS(MATCH_INPUT!$K$18:$K$21,AY44),
0)</f>
        <v>1</v>
      </c>
      <c r="BD44" s="20">
        <f>IF(AY44&lt;&gt;"",
    COUNTIFS(MATCH_INPUT!$F$18:$F$21, AY44, MATCH_INPUT!$K$18:$K$21, "Draw") +
    COUNTIFS(MATCH_INPUT!$J$18:$J$21, AY44, MATCH_INPUT!$K$18:$K$21, "Draw"),
0)</f>
        <v>0</v>
      </c>
      <c r="BE44" s="20">
        <f>IF(AY44&lt;&gt;"",
    COUNTIFS(MATCH_INPUT!$F$18:$F$21, AY44, MATCH_INPUT!$K$18:$K$21, "&lt;&gt;"&amp;AY44, MATCH_INPUT!$K$18:$K$21, "&lt;&gt;Draw", MATCH_INPUT!$K$18:$K$21, "&lt;&gt;""") +
    COUNTIFS(MATCH_INPUT!$J$18:$J$21, AY44, MATCH_INPUT!$K$18:$K$21, "&lt;&gt;"&amp;AY44, MATCH_INPUT!$K$18:$K$21, "&lt;&gt;Draw", MATCH_INPUT!$K$18:$K$21, "&lt;&gt;"""),
0)</f>
        <v>1</v>
      </c>
      <c r="BF44" s="21" t="str">
        <f t="array" ref="BF44">IFERROR(INDEX(Form_Response!E:E, MATCH(1, (Form_Response!C:C='MATCH DATES'!$B$6)*(Form_Response!D:D=B44), 0)), "")
</f>
        <v/>
      </c>
      <c r="BG44" s="21">
        <f t="array" ref="BG44">IFERROR(IF(INDEX(Form_Response!F:F, MATCH(1, (Form_Response!C:C='MATCH DATES'!$B$6)*(Form_Response!D:D=B44), 0))="Yes", 1, 0), 0)
</f>
        <v>0</v>
      </c>
      <c r="BH44" s="30" t="str">
        <f t="array" ref="BH44">IFERROR(INDEX(Form_Response!G:G, MATCH(1, (Form_Response!C:C='MATCH DATES'!$B$6)*(Form_Response!D:D=B44), 0)), "")
</f>
        <v/>
      </c>
      <c r="BI44" s="23">
        <f t="shared" si="155"/>
        <v>5</v>
      </c>
      <c r="BJ44" s="24" t="str">
        <f t="shared" si="27"/>
        <v>↑</v>
      </c>
      <c r="BK44" s="36" t="s">
        <v>141</v>
      </c>
      <c r="BL44" s="26">
        <f t="shared" si="28"/>
        <v>13</v>
      </c>
      <c r="BM44" s="26">
        <f t="shared" si="29"/>
        <v>4</v>
      </c>
      <c r="BN44" s="26">
        <f>SUM(BO44*2) + (BP44*1) + SUMIFS(MATCH_INPUT!$G$22:$G$25, MATCH_INPUT!$F$22:$F$25, BK44) + SUMIFS(MATCH_INPUT!$I$22:$I$25, MATCH_INPUT!$J$22:$J$25, BK44)
</f>
        <v>1</v>
      </c>
      <c r="BO44" s="26">
        <f>IF(BK44&lt;&gt;"",
    COUNTIFS(MATCH_INPUT!$K$22:$K$25,BK44),
0)</f>
        <v>0</v>
      </c>
      <c r="BP44" s="26">
        <f>IF(BK44&lt;&gt;"",
    COUNTIFS(MATCH_INPUT!$F$22:$F$25, BK44, MATCH_INPUT!$K$22:$K$25, "Draw") +
    COUNTIFS(MATCH_INPUT!$J$22:$J$25, BK44, MATCH_INPUT!$K$22:$K$25, "Draw"),
0)</f>
        <v>0</v>
      </c>
      <c r="BQ44" s="26">
        <f>IF(BK44&lt;&gt;"",
    COUNTIFS(MATCH_INPUT!$F$22:$F$25, BK44, MATCH_INPUT!$K$22:$K$25, "&lt;&gt;"&amp;BK44, MATCH_INPUT!$K$22:$K$25, "&lt;&gt;Draw", MATCH_INPUT!$K$22:$K$25, "&lt;&gt;""") +
    COUNTIFS(MATCH_INPUT!$J$22:$J$25, BK44, MATCH_INPUT!$K$22:$K$25, "&lt;&gt;"&amp;BK44, MATCH_INPUT!$K$22:$K$25, "&lt;&gt;Draw", MATCH_INPUT!$K$22:$K$25, "&lt;&gt;"""),
0)</f>
        <v>2</v>
      </c>
      <c r="BR44" s="27"/>
      <c r="BS44" s="27"/>
      <c r="BT44" s="28"/>
      <c r="BU44" s="26">
        <f t="shared" si="156"/>
        <v>6</v>
      </c>
      <c r="BV44" s="29" t="str">
        <f t="shared" si="31"/>
        <v>↓</v>
      </c>
      <c r="BW44" s="35"/>
      <c r="BX44" s="23">
        <f t="shared" si="32"/>
        <v>13</v>
      </c>
      <c r="BY44" s="20">
        <f t="shared" si="33"/>
        <v>0</v>
      </c>
      <c r="BZ44" s="20">
        <f>SUM(CA44*2)+(CB44*1) + SUMIFS(MATCH_INPUT!$G$26:$G$29, MATCH_INPUT!$F$26:$F$29, BW44) + SUMIFS(MATCH_INPUT!$I$26:$I$29, MATCH_INPUT!$J$26:$J$29, BW44)
</f>
        <v>0</v>
      </c>
      <c r="CA44" s="20">
        <f>IF(BW44&lt;&gt;"",
    COUNTIFS(MATCH_INPUT!$K$26:$K$29,BW44),
0)</f>
        <v>0</v>
      </c>
      <c r="CB44" s="20">
        <f>IF(BW44&lt;&gt;"",
    COUNTIFS(MATCH_INPUT!$F$26:$F$29, BW44, MATCH_INPUT!$K$26:$K$29, "Draw") +
    COUNTIFS(MATCH_INPUT!$J$26:$J$29, BW44, MATCH_INPUT!$K$26:$K$29, "Draw"),
0)</f>
        <v>0</v>
      </c>
      <c r="CC44" s="20">
        <f>IF(BW44&lt;&gt;"",
    COUNTIFS(MATCH_INPUT!$F$26:$F$29, BW44, MATCH_INPUT!$K$26:$K$29, "&lt;&gt;"&amp;BW44, MATCH_INPUT!$K$26:$K$29, "&lt;&gt;Draw", MATCH_INPUT!$K$26:$K$29, "&lt;&gt;""") +
    COUNTIFS(MATCH_INPUT!$J$26:$J$29, BW44, MATCH_INPUT!$K$26:$K$29, "&lt;&gt;"&amp;BW44, MATCH_INPUT!$K$26:$K$29, "&lt;&gt;Draw", MATCH_INPUT!$K$26:$K$29, "&lt;&gt;"""),
0)</f>
        <v>0</v>
      </c>
      <c r="CD44" s="21"/>
      <c r="CE44" s="21"/>
      <c r="CF44" s="30"/>
      <c r="CG44" s="23">
        <f t="shared" si="157"/>
        <v>7</v>
      </c>
      <c r="CH44" s="24" t="str">
        <f t="shared" si="35"/>
        <v>↓</v>
      </c>
      <c r="CI44" s="25" t="s">
        <v>141</v>
      </c>
      <c r="CJ44" s="26">
        <f t="shared" si="36"/>
        <v>25</v>
      </c>
      <c r="CK44" s="26">
        <f t="shared" si="37"/>
        <v>2</v>
      </c>
      <c r="CL44" s="26">
        <f>SUM(CM44*2)+(CN44*1) + SUMIFS(MATCH_INPUT!$G$30:$G$33, MATCH_INPUT!$F$30:$F$33, CI44) + SUMIFS(MATCH_INPUT!$I$30:$I$33, MATCH_INPUT!$J$30:$J$33, CI44)
</f>
        <v>10</v>
      </c>
      <c r="CM44" s="26">
        <f>IF(CI44&lt;&gt;"",
    COUNTIFS(MATCH_INPUT!$K$30:$K$33,CI44),
0)</f>
        <v>2</v>
      </c>
      <c r="CN44" s="26">
        <f>IF(CI44&lt;&gt;"",
    COUNTIFS(MATCH_INPUT!$F$30:$F$33, CI44, MATCH_INPUT!$K$30:$K$33, "Draw") +
    COUNTIFS(MATCH_INPUT!$J$30:$J$33, CI44, MATCH_INPUT!$K$30:$K$33, "Draw"),
0)</f>
        <v>0</v>
      </c>
      <c r="CO44" s="26">
        <f>IF(CI44&lt;&gt;"",
    COUNTIFS(MATCH_INPUT!$F$30:$F$33, CI44, MATCH_INPUT!$K$30:$K$33, "&lt;&gt;"&amp;CI44, MATCH_INPUT!$K$30:$K$33, "&lt;&gt;Draw", MATCH_INPUT!$K$30:$K$33, "&lt;&gt;""") +
    COUNTIFS(MATCH_INPUT!$J$30:$J$33, CI44, MATCH_INPUT!$K$30:$K$33, "&lt;&gt;"&amp;CI44, MATCH_INPUT!$K$30:$K$33, "&lt;&gt;Draw", MATCH_INPUT!$K$30:$K$33, "&lt;&gt;"""),
0)</f>
        <v>0</v>
      </c>
      <c r="CP44" s="27" t="str">
        <f t="array" ref="CP44">IFERROR(INDEX(Form_Response!E:E, MATCH(1, (Form_Response!C:C='MATCH DATES'!$B$9)*(Form_Response!D:D=B44), 0)), "")
</f>
        <v/>
      </c>
      <c r="CQ44" s="27">
        <f t="array" ref="CQ44">IFERROR(IF(INDEX(Form_Response!F:F, MATCH(1, (Form_Response!C:C='MATCH DATES'!$B$9)*(Form_Response!D:D=B44), 0))="Yes", 1, 0), 0)
</f>
        <v>0</v>
      </c>
      <c r="CR44" s="28" t="str">
        <f t="array" ref="CR44">IFERROR(INDEX(Form_Response!G:G, MATCH(1, (Form_Response!C:C='MATCH DATES'!$B$9)*(Form_Response!D:D=B44), 0)), "")
</f>
        <v/>
      </c>
      <c r="CS44" s="31">
        <f t="shared" si="158"/>
        <v>4</v>
      </c>
      <c r="CT44" s="31" t="str">
        <f t="shared" si="39"/>
        <v>↑</v>
      </c>
      <c r="CU44" s="32">
        <f t="shared" si="40"/>
        <v>17</v>
      </c>
      <c r="CV44" s="32" t="str">
        <f t="shared" ref="CV44:CW44" si="171">A44</f>
        <v/>
      </c>
      <c r="CW44" s="33" t="str">
        <f t="shared" si="171"/>
        <v>🔄 (Enerson)</v>
      </c>
      <c r="CX44" s="33">
        <f t="shared" si="42"/>
        <v>25</v>
      </c>
      <c r="CY44" s="32">
        <f>SUM(
  IF(AND('MATCH DATES'!$A$2 &lt;= TODAY(), NOW() &gt;= 'MATCH DATES'!$A$2 + TIME(22, 0, 0)), E44, 0),
  IF(AND('MATCH DATES'!$A$3 &lt;= TODAY(), NOW() &gt;= 'MATCH DATES'!$A$3 + TIME(22, 0, 0)), Q44, 0),
  IF(AND('MATCH DATES'!$A$4 &lt;= TODAY(), NOW() &gt;= 'MATCH DATES'!$A$4 + TIME(22, 0, 0)), AC44, 0),
  IF(AND('MATCH DATES'!$A$5 &lt;= TODAY(), NOW() &gt;= 'MATCH DATES'!$A$5 + TIME(22, 0, 0)), AO44, 0),
  IF(AND('MATCH DATES'!$A$6 &lt;= TODAY(), NOW() &gt;= 'MATCH DATES'!$A$6 + TIME(22, 0, 0)), BA44, 0),
  IF(AND('MATCH DATES'!$A$7 &lt;= TODAY(), NOW() &gt;= 'MATCH DATES'!$A$7 + TIME(22, 0, 0)), BM44, 0),
  IF(AND('MATCH DATES'!$A$8 &lt;= TODAY(), NOW() &gt;= 'MATCH DATES'!$A$8 + TIME(22, 0, 0)), BY44, 0),
  IF(AND('MATCH DATES'!$A$9 &lt;= TODAY(), NOW() &gt;= 'MATCH DATES'!$A$9 + TIME(22, 0, 0)), CK44, 0)
)
</f>
        <v>8</v>
      </c>
      <c r="CZ44" s="33">
        <f t="shared" ref="CZ44:DA44" si="172">SUM(G44,S44,AE44,AQ44,BC44,BO44,CA44,CM44)</f>
        <v>3</v>
      </c>
      <c r="DA44" s="33">
        <f t="shared" si="172"/>
        <v>0</v>
      </c>
      <c r="DB44" s="33">
        <f>SUM(
  IF(AND('MATCH DATES'!$A$2 &lt;= TODAY(), NOW() &gt;= 'MATCH DATES'!$A$2 + TIME(22, 0, 0)), I44, 0),
  IF(AND('MATCH DATES'!$A$3 &lt;= TODAY(), NOW() &gt;= 'MATCH DATES'!$A$3 + TIME(22, 0, 0)), U44, 0),
  IF(AND('MATCH DATES'!$A$4 &lt;= TODAY(), NOW() &gt;= 'MATCH DATES'!$A$4 + TIME(22, 0, 0)), AG44, 0),
  IF(AND('MATCH DATES'!$A$5 &lt;= TODAY(), NOW() &gt;= 'MATCH DATES'!$A$5 + TIME(22, 0, 0)), AS44, 0),
  IF(AND('MATCH DATES'!$A$6 &lt;= TODAY(), NOW() &gt;= 'MATCH DATES'!$A$6 + TIME(22, 0, 0)), BE44, 0),
  IF(AND('MATCH DATES'!$A$7 &lt;= TODAY(), NOW() &gt;= 'MATCH DATES'!$A$7 + TIME(22, 0, 0)), BQ44, 0),
  IF(AND('MATCH DATES'!$A$8 &lt;= TODAY(), NOW() &gt;= 'MATCH DATES'!$A$8 + TIME(22, 0, 0)), CC44, 0),
  IF(AND('MATCH DATES'!$A$9 &lt;= TODAY(), NOW() &gt;= 'MATCH DATES'!$A$9 + TIME(22, 0, 0)), CO44, 0)
)</f>
        <v>3</v>
      </c>
      <c r="DC44" s="33">
        <f t="shared" si="44"/>
        <v>0</v>
      </c>
      <c r="DD44" s="33">
        <f t="shared" ref="DD44:DE44" si="173">SUM(K44,W44,AI44,AU44,BG44,BS44,CE44,CQ44)</f>
        <v>0</v>
      </c>
      <c r="DE44" s="33">
        <f t="shared" si="173"/>
        <v>0</v>
      </c>
    </row>
    <row r="45" ht="24.75" customHeight="1">
      <c r="A45" s="17"/>
      <c r="B45" s="18" t="s">
        <v>183</v>
      </c>
      <c r="C45" s="35"/>
      <c r="D45" s="20">
        <f t="shared" si="4"/>
        <v>0</v>
      </c>
      <c r="E45" s="20">
        <f t="shared" si="5"/>
        <v>0</v>
      </c>
      <c r="F45" s="20">
        <f t="shared" si="6"/>
        <v>0</v>
      </c>
      <c r="G45" s="20">
        <f>IF(C45&lt;&gt;"",
    COUNTIFS(MATCH_INPUT!$K$2:$K$5,C45),
0)</f>
        <v>0</v>
      </c>
      <c r="H45" s="20">
        <f>IF(C45&lt;&gt;"",
    COUNTIFS(MATCH_INPUT!$F$2:$F$5, C45, MATCH_INPUT!$K$2:$K$5, "Draw") +
    COUNTIFS(MATCH_INPUT!$J$2:$J$5, C45, MATCH_INPUT!$K$2:$K$5, "Draw"),
0)</f>
        <v>0</v>
      </c>
      <c r="I45" s="20">
        <f>IF(C45&lt;&gt;"",
    COUNTIFS(MATCH_INPUT!$F$2:$F$5, C45, MATCH_INPUT!$K$2:$K$5, "&lt;&gt;"&amp;C45, MATCH_INPUT!$K$2:$K$5, "&lt;&gt;Draw", MATCH_INPUT!$K$2:$K$5, "&lt;&gt;""") +
    COUNTIFS(MATCH_INPUT!$J$2:$J$5, C45, MATCH_INPUT!$K$2:$K$5, "&lt;&gt;"&amp;C45, MATCH_INPUT!$K$2:$K$5, "&lt;&gt;Draw", MATCH_INPUT!$K$2:$K$5, "&lt;&gt;"""),
0)</f>
        <v>0</v>
      </c>
      <c r="J45" s="21"/>
      <c r="K45" s="21"/>
      <c r="L45" s="22"/>
      <c r="M45" s="23">
        <f t="shared" si="151"/>
        <v>4</v>
      </c>
      <c r="N45" s="24" t="str">
        <f t="shared" si="8"/>
        <v>↓</v>
      </c>
      <c r="O45" s="25"/>
      <c r="P45" s="26">
        <f t="shared" si="9"/>
        <v>0</v>
      </c>
      <c r="Q45" s="26">
        <f t="shared" si="10"/>
        <v>0</v>
      </c>
      <c r="R45" s="26">
        <f t="shared" si="11"/>
        <v>0</v>
      </c>
      <c r="S45" s="26">
        <f>IF(O45&lt;&gt;"",
    COUNTIFS(MATCH_INPUT!$K$6:$K$9,O45),
0)</f>
        <v>0</v>
      </c>
      <c r="T45" s="26">
        <f>IF(O45&lt;&gt;"",
    COUNTIFS(MATCH_INPUT!$F$6:$F$9, O45, MATCH_INPUT!$K$6:$K$9, "Draw") +
    COUNTIFS(MATCH_INPUT!$J$6:$J$9, O45, MATCH_INPUT!$K$6:$K$9, "Draw"),
0)</f>
        <v>0</v>
      </c>
      <c r="U45" s="26">
        <f>IF(O45&lt;&gt;"",
    COUNTIFS(MATCH_INPUT!$F$6:$F$9, O45, MATCH_INPUT!$K$6:$K$9, "&lt;&gt;"&amp;O45, MATCH_INPUT!$K$6:$K$9, "&lt;&gt;Draw", MATCH_INPUT!$K$6:$K$9, "&lt;&gt;""") +
    COUNTIFS(MATCH_INPUT!$J$6:$J$9, O45, MATCH_INPUT!$K$6:$K$9, "&lt;&gt;"&amp;O45, MATCH_INPUT!$K$6:$K$9, "&lt;&gt;Draw", MATCH_INPUT!$K$6:$K$9, "&lt;&gt;"""),
0)</f>
        <v>0</v>
      </c>
      <c r="V45" s="27"/>
      <c r="W45" s="27"/>
      <c r="X45" s="28"/>
      <c r="Y45" s="26">
        <f t="shared" si="152"/>
        <v>7</v>
      </c>
      <c r="Z45" s="29" t="str">
        <f t="shared" si="13"/>
        <v>↓</v>
      </c>
      <c r="AA45" s="19"/>
      <c r="AB45" s="23">
        <f t="shared" si="14"/>
        <v>0</v>
      </c>
      <c r="AC45" s="20">
        <f t="shared" si="15"/>
        <v>0</v>
      </c>
      <c r="AD45" s="20">
        <f t="shared" si="16"/>
        <v>0</v>
      </c>
      <c r="AE45" s="20">
        <f>IF(AA45&lt;&gt;"",
    COUNTIFS(MATCH_INPUT!$K$10:$K$13,AA45),
0)</f>
        <v>0</v>
      </c>
      <c r="AF45" s="20">
        <f>IF(AA45&lt;&gt;"",
    COUNTIFS(MATCH_INPUT!$F$10:$F$13, AA45, MATCH_INPUT!$K$10:$K$13, "Draw") +
    COUNTIFS(MATCH_INPUT!$J$10:$J$13, AA45, MATCH_INPUT!$K$10:$K$13, "Draw"),
0)</f>
        <v>0</v>
      </c>
      <c r="AG45" s="20">
        <f>IF(AA45&lt;&gt;"",
    COUNTIFS(MATCH_INPUT!$F$10:$F$13, AA45, MATCH_INPUT!$K$10:$K$13, "&lt;&gt;"&amp;AA45, MATCH_INPUT!$K$10:$K$13, "&lt;&gt;Draw", MATCH_INPUT!$K$10:$K$13, "&lt;&gt;""") +
    COUNTIFS(MATCH_INPUT!$J$10:$J$13, AA45, MATCH_INPUT!$K$10:$K$13, "&lt;&gt;"&amp;AA45, MATCH_INPUT!$K$10:$K$13, "&lt;&gt;Draw", MATCH_INPUT!$K$10:$K$13, "&lt;&gt;"""),
0)</f>
        <v>0</v>
      </c>
      <c r="AH45" s="21"/>
      <c r="AI45" s="21"/>
      <c r="AJ45" s="30"/>
      <c r="AK45" s="23">
        <f t="shared" si="153"/>
        <v>8</v>
      </c>
      <c r="AL45" s="24" t="str">
        <f t="shared" si="18"/>
        <v>↓</v>
      </c>
      <c r="AM45" s="25"/>
      <c r="AN45" s="26">
        <f t="shared" si="19"/>
        <v>0</v>
      </c>
      <c r="AO45" s="26">
        <f t="shared" si="20"/>
        <v>0</v>
      </c>
      <c r="AP45" s="26">
        <f t="shared" si="21"/>
        <v>0</v>
      </c>
      <c r="AQ45" s="26">
        <f>IF(AM45&lt;&gt;"",
    COUNTIFS(MATCH_INPUT!$K$14:$K$17,AM45),
0)</f>
        <v>0</v>
      </c>
      <c r="AR45" s="26">
        <f>IF(AM45&lt;&gt;"",
    COUNTIFS(MATCH_INPUT!$F$14:$F$17, AM45, MATCH_INPUT!$K$14:$K$17, "Draw") +
    COUNTIFS(MATCH_INPUT!$J$14:$J$17, AM45, MATCH_INPUT!$K$14:$K$17, "Draw"),
0)</f>
        <v>0</v>
      </c>
      <c r="AS45" s="26">
        <f>IF(AM45&lt;&gt;"",
    COUNTIFS(MATCH_INPUT!$F$14:$F$17, AM45, MATCH_INPUT!$K$14:$K$17, "&lt;&gt;"&amp;AM45, MATCH_INPUT!$K$14:$K$17, "&lt;&gt;Draw", MATCH_INPUT!$K$14:$K$17, "&lt;&gt;""") +
    COUNTIFS(MATCH_INPUT!$J$14:$J$17, AM45, MATCH_INPUT!$K$14:$K$17, "&lt;&gt;"&amp;AM45, MATCH_INPUT!$K$14:$K$17, "&lt;&gt;Draw", MATCH_INPUT!$K$14:$K$17, "&lt;&gt;"""),
0)</f>
        <v>0</v>
      </c>
      <c r="AT45" s="27"/>
      <c r="AU45" s="27"/>
      <c r="AV45" s="28"/>
      <c r="AW45" s="26">
        <f t="shared" si="154"/>
        <v>10</v>
      </c>
      <c r="AX45" s="29" t="str">
        <f t="shared" si="23"/>
        <v>↓</v>
      </c>
      <c r="AY45" s="19"/>
      <c r="AZ45" s="23">
        <f t="shared" si="24"/>
        <v>0</v>
      </c>
      <c r="BA45" s="20">
        <f t="shared" si="25"/>
        <v>0</v>
      </c>
      <c r="BB45" s="20">
        <f>SUM(BC45*2) + (BD45*1) + SUMIFS(MATCH_INPUT!$G$18:$G$21, MATCH_INPUT!$F$18:$F$21, AY45) + SUMIFS(MATCH_INPUT!$I$18:$I$21, MATCH_INPUT!$J$18:$J$21, AY45)
</f>
        <v>0</v>
      </c>
      <c r="BC45" s="20">
        <f>IF(AY45&lt;&gt;"",
    COUNTIFS(MATCH_INPUT!$K$18:$K$21,AY45),
0)</f>
        <v>0</v>
      </c>
      <c r="BD45" s="20">
        <f>IF(AY45&lt;&gt;"",
    COUNTIFS(MATCH_INPUT!$F$18:$F$21, AY45, MATCH_INPUT!$K$18:$K$21, "Draw") +
    COUNTIFS(MATCH_INPUT!$J$18:$J$21, AY45, MATCH_INPUT!$K$18:$K$21, "Draw"),
0)</f>
        <v>0</v>
      </c>
      <c r="BE45" s="20">
        <f>IF(AY45&lt;&gt;"",
    COUNTIFS(MATCH_INPUT!$F$18:$F$21, AY45, MATCH_INPUT!$K$18:$K$21, "&lt;&gt;"&amp;AY45, MATCH_INPUT!$K$18:$K$21, "&lt;&gt;Draw", MATCH_INPUT!$K$18:$K$21, "&lt;&gt;""") +
    COUNTIFS(MATCH_INPUT!$J$18:$J$21, AY45, MATCH_INPUT!$K$18:$K$21, "&lt;&gt;"&amp;AY45, MATCH_INPUT!$K$18:$K$21, "&lt;&gt;Draw", MATCH_INPUT!$K$18:$K$21, "&lt;&gt;"""),
0)</f>
        <v>0</v>
      </c>
      <c r="BF45" s="21" t="str">
        <f t="array" ref="BF45">IFERROR(INDEX(Form_Response!E:E, MATCH(1, (Form_Response!C:C='MATCH DATES'!$B$6)*(Form_Response!D:D=B45), 0)), "")
</f>
        <v/>
      </c>
      <c r="BG45" s="21">
        <f t="array" ref="BG45">IFERROR(IF(INDEX(Form_Response!F:F, MATCH(1, (Form_Response!C:C='MATCH DATES'!$B$6)*(Form_Response!D:D=B45), 0))="Yes", 1, 0), 0)
</f>
        <v>0</v>
      </c>
      <c r="BH45" s="30" t="str">
        <f t="array" ref="BH45">IFERROR(INDEX(Form_Response!G:G, MATCH(1, (Form_Response!C:C='MATCH DATES'!$B$6)*(Form_Response!D:D=B45), 0)), "")
</f>
        <v/>
      </c>
      <c r="BI45" s="23">
        <f t="shared" si="155"/>
        <v>11</v>
      </c>
      <c r="BJ45" s="24" t="str">
        <f t="shared" si="27"/>
        <v>↓</v>
      </c>
      <c r="BK45" s="25" t="s">
        <v>140</v>
      </c>
      <c r="BL45" s="26">
        <f t="shared" si="28"/>
        <v>12</v>
      </c>
      <c r="BM45" s="26">
        <f t="shared" si="29"/>
        <v>4</v>
      </c>
      <c r="BN45" s="26">
        <f>SUM(BO45*2) + (BP45*1) + SUMIFS(MATCH_INPUT!$G$22:$G$25, MATCH_INPUT!$F$22:$F$25, BK45) + SUMIFS(MATCH_INPUT!$I$22:$I$25, MATCH_INPUT!$J$22:$J$25, BK45)
</f>
        <v>8</v>
      </c>
      <c r="BO45" s="26">
        <f>IF(BK45&lt;&gt;"",
    COUNTIFS(MATCH_INPUT!$K$22:$K$25,BK45),
0)</f>
        <v>1</v>
      </c>
      <c r="BP45" s="26">
        <f>IF(BK45&lt;&gt;"",
    COUNTIFS(MATCH_INPUT!$F$22:$F$25, BK45, MATCH_INPUT!$K$22:$K$25, "Draw") +
    COUNTIFS(MATCH_INPUT!$J$22:$J$25, BK45, MATCH_INPUT!$K$22:$K$25, "Draw"),
0)</f>
        <v>1</v>
      </c>
      <c r="BQ45" s="26">
        <f>IF(BK45&lt;&gt;"",
    COUNTIFS(MATCH_INPUT!$F$22:$F$25, BK45, MATCH_INPUT!$K$22:$K$25, "&lt;&gt;"&amp;BK45, MATCH_INPUT!$K$22:$K$25, "&lt;&gt;Draw", MATCH_INPUT!$K$22:$K$25, "&lt;&gt;""") +
    COUNTIFS(MATCH_INPUT!$J$22:$J$25, BK45, MATCH_INPUT!$K$22:$K$25, "&lt;&gt;"&amp;BK45, MATCH_INPUT!$K$22:$K$25, "&lt;&gt;Draw", MATCH_INPUT!$K$22:$K$25, "&lt;&gt;"""),
0)</f>
        <v>0</v>
      </c>
      <c r="BR45" s="27"/>
      <c r="BS45" s="27"/>
      <c r="BT45" s="28"/>
      <c r="BU45" s="26">
        <f t="shared" si="156"/>
        <v>7</v>
      </c>
      <c r="BV45" s="29" t="str">
        <f t="shared" si="31"/>
        <v>↑</v>
      </c>
      <c r="BW45" s="19" t="s">
        <v>139</v>
      </c>
      <c r="BX45" s="23">
        <f t="shared" si="32"/>
        <v>16</v>
      </c>
      <c r="BY45" s="20">
        <f t="shared" si="33"/>
        <v>2</v>
      </c>
      <c r="BZ45" s="20">
        <f>SUM(CA45*2)+(CB45*1) + SUMIFS(MATCH_INPUT!$G$26:$G$29, MATCH_INPUT!$F$26:$F$29, BW45) + SUMIFS(MATCH_INPUT!$I$26:$I$29, MATCH_INPUT!$J$26:$J$29, BW45)
</f>
        <v>2</v>
      </c>
      <c r="CA45" s="20">
        <f>IF(BW45&lt;&gt;"",
    COUNTIFS(MATCH_INPUT!$K$26:$K$29,BW45),
0)</f>
        <v>0</v>
      </c>
      <c r="CB45" s="20">
        <f>IF(BW45&lt;&gt;"",
    COUNTIFS(MATCH_INPUT!$F$26:$F$29, BW45, MATCH_INPUT!$K$26:$K$29, "Draw") +
    COUNTIFS(MATCH_INPUT!$J$26:$J$29, BW45, MATCH_INPUT!$K$26:$K$29, "Draw"),
0)</f>
        <v>0</v>
      </c>
      <c r="CC45" s="20">
        <f>IF(BW45&lt;&gt;"",
    COUNTIFS(MATCH_INPUT!$F$26:$F$29, BW45, MATCH_INPUT!$K$26:$K$29, "&lt;&gt;"&amp;BW45, MATCH_INPUT!$K$26:$K$29, "&lt;&gt;Draw", MATCH_INPUT!$K$26:$K$29, "&lt;&gt;""") +
    COUNTIFS(MATCH_INPUT!$J$26:$J$29, BW45, MATCH_INPUT!$K$26:$K$29, "&lt;&gt;"&amp;BW45, MATCH_INPUT!$K$26:$K$29, "&lt;&gt;Draw", MATCH_INPUT!$K$26:$K$29, "&lt;&gt;"""),
0)</f>
        <v>2</v>
      </c>
      <c r="CD45" s="21"/>
      <c r="CE45" s="21"/>
      <c r="CF45" s="30"/>
      <c r="CG45" s="23">
        <f t="shared" si="157"/>
        <v>4</v>
      </c>
      <c r="CH45" s="24" t="str">
        <f t="shared" si="35"/>
        <v>↑</v>
      </c>
      <c r="CI45" s="25" t="s">
        <v>140</v>
      </c>
      <c r="CJ45" s="26">
        <f t="shared" si="36"/>
        <v>21</v>
      </c>
      <c r="CK45" s="26">
        <f t="shared" si="37"/>
        <v>2</v>
      </c>
      <c r="CL45" s="26">
        <f>SUM(CM45*2)+(CN45*1) + SUMIFS(MATCH_INPUT!$G$30:$G$33, MATCH_INPUT!$F$30:$F$33, CI45) + SUMIFS(MATCH_INPUT!$I$30:$I$33, MATCH_INPUT!$J$30:$J$33, CI45)
</f>
        <v>3</v>
      </c>
      <c r="CM45" s="26">
        <f>IF(CI45&lt;&gt;"",
    COUNTIFS(MATCH_INPUT!$K$30:$K$33,CI45),
0)</f>
        <v>1</v>
      </c>
      <c r="CN45" s="26">
        <f>IF(CI45&lt;&gt;"",
    COUNTIFS(MATCH_INPUT!$F$30:$F$33, CI45, MATCH_INPUT!$K$30:$K$33, "Draw") +
    COUNTIFS(MATCH_INPUT!$J$30:$J$33, CI45, MATCH_INPUT!$K$30:$K$33, "Draw"),
0)</f>
        <v>0</v>
      </c>
      <c r="CO45" s="26">
        <f>IF(CI45&lt;&gt;"",
    COUNTIFS(MATCH_INPUT!$F$30:$F$33, CI45, MATCH_INPUT!$K$30:$K$33, "&lt;&gt;"&amp;CI45, MATCH_INPUT!$K$30:$K$33, "&lt;&gt;Draw", MATCH_INPUT!$K$30:$K$33, "&lt;&gt;""") +
    COUNTIFS(MATCH_INPUT!$J$30:$J$33, CI45, MATCH_INPUT!$K$30:$K$33, "&lt;&gt;"&amp;CI45, MATCH_INPUT!$K$30:$K$33, "&lt;&gt;Draw", MATCH_INPUT!$K$30:$K$33, "&lt;&gt;"""),
0)</f>
        <v>1</v>
      </c>
      <c r="CP45" s="27" t="str">
        <f t="array" ref="CP45">IFERROR(INDEX(Form_Response!E:E, MATCH(1, (Form_Response!C:C='MATCH DATES'!$B$9)*(Form_Response!D:D=B45), 0)), "")
</f>
        <v/>
      </c>
      <c r="CQ45" s="27">
        <f t="array" ref="CQ45">IFERROR(IF(INDEX(Form_Response!F:F, MATCH(1, (Form_Response!C:C='MATCH DATES'!$B$9)*(Form_Response!D:D=B45), 0))="Yes", 1, 0), 0)
</f>
        <v>0</v>
      </c>
      <c r="CR45" s="28" t="str">
        <f t="array" ref="CR45">IFERROR(INDEX(Form_Response!G:G, MATCH(1, (Form_Response!C:C='MATCH DATES'!$B$9)*(Form_Response!D:D=B45), 0)), "")
</f>
        <v/>
      </c>
      <c r="CS45" s="31">
        <f t="shared" si="158"/>
        <v>5</v>
      </c>
      <c r="CT45" s="31" t="str">
        <f t="shared" si="39"/>
        <v>↓</v>
      </c>
      <c r="CU45" s="32">
        <f t="shared" si="40"/>
        <v>13</v>
      </c>
      <c r="CV45" s="32" t="str">
        <f t="shared" ref="CV45:CW45" si="174">A45</f>
        <v/>
      </c>
      <c r="CW45" s="33" t="str">
        <f t="shared" si="174"/>
        <v>🔄 (Rudy)</v>
      </c>
      <c r="CX45" s="33">
        <f t="shared" si="42"/>
        <v>21</v>
      </c>
      <c r="CY45" s="32">
        <f>SUM(
  IF(AND('MATCH DATES'!$A$2 &lt;= TODAY(), NOW() &gt;= 'MATCH DATES'!$A$2 + TIME(22, 0, 0)), E45, 0),
  IF(AND('MATCH DATES'!$A$3 &lt;= TODAY(), NOW() &gt;= 'MATCH DATES'!$A$3 + TIME(22, 0, 0)), Q45, 0),
  IF(AND('MATCH DATES'!$A$4 &lt;= TODAY(), NOW() &gt;= 'MATCH DATES'!$A$4 + TIME(22, 0, 0)), AC45, 0),
  IF(AND('MATCH DATES'!$A$5 &lt;= TODAY(), NOW() &gt;= 'MATCH DATES'!$A$5 + TIME(22, 0, 0)), AO45, 0),
  IF(AND('MATCH DATES'!$A$6 &lt;= TODAY(), NOW() &gt;= 'MATCH DATES'!$A$6 + TIME(22, 0, 0)), BA45, 0),
  IF(AND('MATCH DATES'!$A$7 &lt;= TODAY(), NOW() &gt;= 'MATCH DATES'!$A$7 + TIME(22, 0, 0)), BM45, 0),
  IF(AND('MATCH DATES'!$A$8 &lt;= TODAY(), NOW() &gt;= 'MATCH DATES'!$A$8 + TIME(22, 0, 0)), BY45, 0),
  IF(AND('MATCH DATES'!$A$9 &lt;= TODAY(), NOW() &gt;= 'MATCH DATES'!$A$9 + TIME(22, 0, 0)), CK45, 0)
)
</f>
        <v>8</v>
      </c>
      <c r="CZ45" s="33">
        <f t="shared" ref="CZ45:DA45" si="175">SUM(G45,S45,AE45,AQ45,BC45,BO45,CA45,CM45)</f>
        <v>2</v>
      </c>
      <c r="DA45" s="33">
        <f t="shared" si="175"/>
        <v>1</v>
      </c>
      <c r="DB45" s="33">
        <f>SUM(
  IF(AND('MATCH DATES'!$A$2 &lt;= TODAY(), NOW() &gt;= 'MATCH DATES'!$A$2 + TIME(22, 0, 0)), I45, 0),
  IF(AND('MATCH DATES'!$A$3 &lt;= TODAY(), NOW() &gt;= 'MATCH DATES'!$A$3 + TIME(22, 0, 0)), U45, 0),
  IF(AND('MATCH DATES'!$A$4 &lt;= TODAY(), NOW() &gt;= 'MATCH DATES'!$A$4 + TIME(22, 0, 0)), AG45, 0),
  IF(AND('MATCH DATES'!$A$5 &lt;= TODAY(), NOW() &gt;= 'MATCH DATES'!$A$5 + TIME(22, 0, 0)), AS45, 0),
  IF(AND('MATCH DATES'!$A$6 &lt;= TODAY(), NOW() &gt;= 'MATCH DATES'!$A$6 + TIME(22, 0, 0)), BE45, 0),
  IF(AND('MATCH DATES'!$A$7 &lt;= TODAY(), NOW() &gt;= 'MATCH DATES'!$A$7 + TIME(22, 0, 0)), BQ45, 0),
  IF(AND('MATCH DATES'!$A$8 &lt;= TODAY(), NOW() &gt;= 'MATCH DATES'!$A$8 + TIME(22, 0, 0)), CC45, 0),
  IF(AND('MATCH DATES'!$A$9 &lt;= TODAY(), NOW() &gt;= 'MATCH DATES'!$A$9 + TIME(22, 0, 0)), CO45, 0)
)</f>
        <v>3</v>
      </c>
      <c r="DC45" s="33">
        <f t="shared" si="44"/>
        <v>0</v>
      </c>
      <c r="DD45" s="33">
        <f t="shared" ref="DD45:DE45" si="176">SUM(K45,W45,AI45,AU45,BG45,BS45,CE45,CQ45)</f>
        <v>0</v>
      </c>
      <c r="DE45" s="33">
        <f t="shared" si="176"/>
        <v>0</v>
      </c>
    </row>
    <row r="46" ht="24.75" customHeight="1">
      <c r="A46" s="31"/>
      <c r="B46" s="18" t="s">
        <v>184</v>
      </c>
      <c r="C46" s="35"/>
      <c r="D46" s="20">
        <f t="shared" si="4"/>
        <v>0</v>
      </c>
      <c r="E46" s="20">
        <f t="shared" si="5"/>
        <v>0</v>
      </c>
      <c r="F46" s="20">
        <f t="shared" si="6"/>
        <v>0</v>
      </c>
      <c r="G46" s="20">
        <f>IF(C46&lt;&gt;"",
    COUNTIFS(MATCH_INPUT!$K$2:$K$5,C46),
0)</f>
        <v>0</v>
      </c>
      <c r="H46" s="20">
        <f>IF(C46&lt;&gt;"",
    COUNTIFS(MATCH_INPUT!$F$2:$F$5, C46, MATCH_INPUT!$K$2:$K$5, "Draw") +
    COUNTIFS(MATCH_INPUT!$J$2:$J$5, C46, MATCH_INPUT!$K$2:$K$5, "Draw"),
0)</f>
        <v>0</v>
      </c>
      <c r="I46" s="20">
        <f>IF(C46&lt;&gt;"",
    COUNTIFS(MATCH_INPUT!$F$2:$F$5, C46, MATCH_INPUT!$K$2:$K$5, "&lt;&gt;"&amp;C46, MATCH_INPUT!$K$2:$K$5, "&lt;&gt;Draw", MATCH_INPUT!$K$2:$K$5, "&lt;&gt;""") +
    COUNTIFS(MATCH_INPUT!$J$2:$J$5, C46, MATCH_INPUT!$K$2:$K$5, "&lt;&gt;"&amp;C46, MATCH_INPUT!$K$2:$K$5, "&lt;&gt;Draw", MATCH_INPUT!$K$2:$K$5, "&lt;&gt;"""),
0)</f>
        <v>0</v>
      </c>
      <c r="J46" s="21"/>
      <c r="K46" s="21"/>
      <c r="L46" s="22"/>
      <c r="M46" s="23">
        <f t="shared" si="151"/>
        <v>4</v>
      </c>
      <c r="N46" s="24" t="str">
        <f t="shared" si="8"/>
        <v>↓</v>
      </c>
      <c r="O46" s="25"/>
      <c r="P46" s="26">
        <f t="shared" si="9"/>
        <v>0</v>
      </c>
      <c r="Q46" s="26">
        <f t="shared" si="10"/>
        <v>0</v>
      </c>
      <c r="R46" s="26">
        <f t="shared" si="11"/>
        <v>0</v>
      </c>
      <c r="S46" s="26">
        <f>IF(O46&lt;&gt;"",
    COUNTIFS(MATCH_INPUT!$K$6:$K$9,O46),
0)</f>
        <v>0</v>
      </c>
      <c r="T46" s="26">
        <f>IF(O46&lt;&gt;"",
    COUNTIFS(MATCH_INPUT!$F$6:$F$9, O46, MATCH_INPUT!$K$6:$K$9, "Draw") +
    COUNTIFS(MATCH_INPUT!$J$6:$J$9, O46, MATCH_INPUT!$K$6:$K$9, "Draw"),
0)</f>
        <v>0</v>
      </c>
      <c r="U46" s="26">
        <f>IF(O46&lt;&gt;"",
    COUNTIFS(MATCH_INPUT!$F$6:$F$9, O46, MATCH_INPUT!$K$6:$K$9, "&lt;&gt;"&amp;O46, MATCH_INPUT!$K$6:$K$9, "&lt;&gt;Draw", MATCH_INPUT!$K$6:$K$9, "&lt;&gt;""") +
    COUNTIFS(MATCH_INPUT!$J$6:$J$9, O46, MATCH_INPUT!$K$6:$K$9, "&lt;&gt;"&amp;O46, MATCH_INPUT!$K$6:$K$9, "&lt;&gt;Draw", MATCH_INPUT!$K$6:$K$9, "&lt;&gt;"""),
0)</f>
        <v>0</v>
      </c>
      <c r="V46" s="27"/>
      <c r="W46" s="27"/>
      <c r="X46" s="28"/>
      <c r="Y46" s="26">
        <f t="shared" si="152"/>
        <v>7</v>
      </c>
      <c r="Z46" s="29" t="str">
        <f t="shared" si="13"/>
        <v>↓</v>
      </c>
      <c r="AA46" s="19"/>
      <c r="AB46" s="23">
        <f t="shared" si="14"/>
        <v>0</v>
      </c>
      <c r="AC46" s="20">
        <f t="shared" si="15"/>
        <v>0</v>
      </c>
      <c r="AD46" s="20">
        <f t="shared" si="16"/>
        <v>0</v>
      </c>
      <c r="AE46" s="20">
        <f>IF(AA46&lt;&gt;"",
    COUNTIFS(MATCH_INPUT!$K$10:$K$13,AA46),
0)</f>
        <v>0</v>
      </c>
      <c r="AF46" s="20">
        <f>IF(AA46&lt;&gt;"",
    COUNTIFS(MATCH_INPUT!$F$10:$F$13, AA46, MATCH_INPUT!$K$10:$K$13, "Draw") +
    COUNTIFS(MATCH_INPUT!$J$10:$J$13, AA46, MATCH_INPUT!$K$10:$K$13, "Draw"),
0)</f>
        <v>0</v>
      </c>
      <c r="AG46" s="20">
        <f>IF(AA46&lt;&gt;"",
    COUNTIFS(MATCH_INPUT!$F$10:$F$13, AA46, MATCH_INPUT!$K$10:$K$13, "&lt;&gt;"&amp;AA46, MATCH_INPUT!$K$10:$K$13, "&lt;&gt;Draw", MATCH_INPUT!$K$10:$K$13, "&lt;&gt;""") +
    COUNTIFS(MATCH_INPUT!$J$10:$J$13, AA46, MATCH_INPUT!$K$10:$K$13, "&lt;&gt;"&amp;AA46, MATCH_INPUT!$K$10:$K$13, "&lt;&gt;Draw", MATCH_INPUT!$K$10:$K$13, "&lt;&gt;"""),
0)</f>
        <v>0</v>
      </c>
      <c r="AH46" s="21"/>
      <c r="AI46" s="21"/>
      <c r="AJ46" s="30"/>
      <c r="AK46" s="23">
        <f t="shared" si="153"/>
        <v>8</v>
      </c>
      <c r="AL46" s="24" t="str">
        <f t="shared" si="18"/>
        <v>↓</v>
      </c>
      <c r="AM46" s="25"/>
      <c r="AN46" s="26">
        <f t="shared" si="19"/>
        <v>0</v>
      </c>
      <c r="AO46" s="26">
        <f t="shared" si="20"/>
        <v>0</v>
      </c>
      <c r="AP46" s="26">
        <f t="shared" si="21"/>
        <v>0</v>
      </c>
      <c r="AQ46" s="26">
        <f>IF(AM46&lt;&gt;"",
    COUNTIFS(MATCH_INPUT!$K$14:$K$17,AM46),
0)</f>
        <v>0</v>
      </c>
      <c r="AR46" s="26">
        <f>IF(AM46&lt;&gt;"",
    COUNTIFS(MATCH_INPUT!$F$14:$F$17, AM46, MATCH_INPUT!$K$14:$K$17, "Draw") +
    COUNTIFS(MATCH_INPUT!$J$14:$J$17, AM46, MATCH_INPUT!$K$14:$K$17, "Draw"),
0)</f>
        <v>0</v>
      </c>
      <c r="AS46" s="26">
        <f>IF(AM46&lt;&gt;"",
    COUNTIFS(MATCH_INPUT!$F$14:$F$17, AM46, MATCH_INPUT!$K$14:$K$17, "&lt;&gt;"&amp;AM46, MATCH_INPUT!$K$14:$K$17, "&lt;&gt;Draw", MATCH_INPUT!$K$14:$K$17, "&lt;&gt;""") +
    COUNTIFS(MATCH_INPUT!$J$14:$J$17, AM46, MATCH_INPUT!$K$14:$K$17, "&lt;&gt;"&amp;AM46, MATCH_INPUT!$K$14:$K$17, "&lt;&gt;Draw", MATCH_INPUT!$K$14:$K$17, "&lt;&gt;"""),
0)</f>
        <v>0</v>
      </c>
      <c r="AT46" s="27"/>
      <c r="AU46" s="27"/>
      <c r="AV46" s="28"/>
      <c r="AW46" s="26">
        <f t="shared" si="154"/>
        <v>10</v>
      </c>
      <c r="AX46" s="29" t="str">
        <f t="shared" si="23"/>
        <v>↓</v>
      </c>
      <c r="AY46" s="19"/>
      <c r="AZ46" s="23">
        <f t="shared" si="24"/>
        <v>0</v>
      </c>
      <c r="BA46" s="20">
        <f t="shared" si="25"/>
        <v>0</v>
      </c>
      <c r="BB46" s="20">
        <f>SUM(BC46*2) + (BD46*1) + SUMIFS(MATCH_INPUT!$G$18:$G$21, MATCH_INPUT!$F$18:$F$21, AY46) + SUMIFS(MATCH_INPUT!$I$18:$I$21, MATCH_INPUT!$J$18:$J$21, AY46)
</f>
        <v>0</v>
      </c>
      <c r="BC46" s="20">
        <f>IF(AY46&lt;&gt;"",
    COUNTIFS(MATCH_INPUT!$K$18:$K$21,AY46),
0)</f>
        <v>0</v>
      </c>
      <c r="BD46" s="20">
        <f>IF(AY46&lt;&gt;"",
    COUNTIFS(MATCH_INPUT!$F$18:$F$21, AY46, MATCH_INPUT!$K$18:$K$21, "Draw") +
    COUNTIFS(MATCH_INPUT!$J$18:$J$21, AY46, MATCH_INPUT!$K$18:$K$21, "Draw"),
0)</f>
        <v>0</v>
      </c>
      <c r="BE46" s="20">
        <f>IF(AY46&lt;&gt;"",
    COUNTIFS(MATCH_INPUT!$F$18:$F$21, AY46, MATCH_INPUT!$K$18:$K$21, "&lt;&gt;"&amp;AY46, MATCH_INPUT!$K$18:$K$21, "&lt;&gt;Draw", MATCH_INPUT!$K$18:$K$21, "&lt;&gt;""") +
    COUNTIFS(MATCH_INPUT!$J$18:$J$21, AY46, MATCH_INPUT!$K$18:$K$21, "&lt;&gt;"&amp;AY46, MATCH_INPUT!$K$18:$K$21, "&lt;&gt;Draw", MATCH_INPUT!$K$18:$K$21, "&lt;&gt;"""),
0)</f>
        <v>0</v>
      </c>
      <c r="BF46" s="21" t="str">
        <f t="array" ref="BF46">IFERROR(INDEX(Form_Response!E:E, MATCH(1, (Form_Response!C:C='MATCH DATES'!$B$6)*(Form_Response!D:D=B46), 0)), "")
</f>
        <v/>
      </c>
      <c r="BG46" s="21">
        <f t="array" ref="BG46">IFERROR(IF(INDEX(Form_Response!F:F, MATCH(1, (Form_Response!C:C='MATCH DATES'!$B$6)*(Form_Response!D:D=B46), 0))="Yes", 1, 0), 0)
</f>
        <v>0</v>
      </c>
      <c r="BH46" s="30" t="str">
        <f t="array" ref="BH46">IFERROR(INDEX(Form_Response!G:G, MATCH(1, (Form_Response!C:C='MATCH DATES'!$B$6)*(Form_Response!D:D=B46), 0)), "")
</f>
        <v/>
      </c>
      <c r="BI46" s="23">
        <f t="shared" si="155"/>
        <v>11</v>
      </c>
      <c r="BJ46" s="24" t="str">
        <f t="shared" si="27"/>
        <v>↓</v>
      </c>
      <c r="BK46" s="25" t="s">
        <v>138</v>
      </c>
      <c r="BL46" s="26">
        <f t="shared" si="28"/>
        <v>9</v>
      </c>
      <c r="BM46" s="26">
        <f t="shared" si="29"/>
        <v>4</v>
      </c>
      <c r="BN46" s="26">
        <f>SUM(BO46*2) + (BP46*1) + SUMIFS(MATCH_INPUT!$G$22:$G$25, MATCH_INPUT!$F$22:$F$25, BK46) + SUMIFS(MATCH_INPUT!$I$22:$I$25, MATCH_INPUT!$J$22:$J$25, BK46)
</f>
        <v>5</v>
      </c>
      <c r="BO46" s="26">
        <f>IF(BK46&lt;&gt;"",
    COUNTIFS(MATCH_INPUT!$K$22:$K$25,BK46),
0)</f>
        <v>1</v>
      </c>
      <c r="BP46" s="26">
        <f>IF(BK46&lt;&gt;"",
    COUNTIFS(MATCH_INPUT!$F$22:$F$25, BK46, MATCH_INPUT!$K$22:$K$25, "Draw") +
    COUNTIFS(MATCH_INPUT!$J$22:$J$25, BK46, MATCH_INPUT!$K$22:$K$25, "Draw"),
0)</f>
        <v>0</v>
      </c>
      <c r="BQ46" s="26">
        <f>IF(BK46&lt;&gt;"",
    COUNTIFS(MATCH_INPUT!$F$22:$F$25, BK46, MATCH_INPUT!$K$22:$K$25, "&lt;&gt;"&amp;BK46, MATCH_INPUT!$K$22:$K$25, "&lt;&gt;Draw", MATCH_INPUT!$K$22:$K$25, "&lt;&gt;""") +
    COUNTIFS(MATCH_INPUT!$J$22:$J$25, BK46, MATCH_INPUT!$K$22:$K$25, "&lt;&gt;"&amp;BK46, MATCH_INPUT!$K$22:$K$25, "&lt;&gt;Draw", MATCH_INPUT!$K$22:$K$25, "&lt;&gt;"""),
0)</f>
        <v>1</v>
      </c>
      <c r="BR46" s="27"/>
      <c r="BS46" s="27"/>
      <c r="BT46" s="28"/>
      <c r="BU46" s="26">
        <f t="shared" si="156"/>
        <v>8</v>
      </c>
      <c r="BV46" s="29" t="str">
        <f t="shared" si="31"/>
        <v>↑</v>
      </c>
      <c r="BW46" s="35"/>
      <c r="BX46" s="23">
        <f t="shared" si="32"/>
        <v>9</v>
      </c>
      <c r="BY46" s="20">
        <f t="shared" si="33"/>
        <v>0</v>
      </c>
      <c r="BZ46" s="20">
        <f>SUM(CA46*2)+(CB46*1) + SUMIFS(MATCH_INPUT!$G$26:$G$29, MATCH_INPUT!$F$26:$F$29, BW46) + SUMIFS(MATCH_INPUT!$I$26:$I$29, MATCH_INPUT!$J$26:$J$29, BW46)
</f>
        <v>0</v>
      </c>
      <c r="CA46" s="20">
        <f>IF(BW46&lt;&gt;"",
    COUNTIFS(MATCH_INPUT!$K$26:$K$29,BW46),
0)</f>
        <v>0</v>
      </c>
      <c r="CB46" s="20">
        <f>IF(BW46&lt;&gt;"",
    COUNTIFS(MATCH_INPUT!$F$26:$F$29, BW46, MATCH_INPUT!$K$26:$K$29, "Draw") +
    COUNTIFS(MATCH_INPUT!$J$26:$J$29, BW46, MATCH_INPUT!$K$26:$K$29, "Draw"),
0)</f>
        <v>0</v>
      </c>
      <c r="CC46" s="20">
        <f>IF(BW46&lt;&gt;"",
    COUNTIFS(MATCH_INPUT!$F$26:$F$29, BW46, MATCH_INPUT!$K$26:$K$29, "&lt;&gt;"&amp;BW46, MATCH_INPUT!$K$26:$K$29, "&lt;&gt;Draw", MATCH_INPUT!$K$26:$K$29, "&lt;&gt;""") +
    COUNTIFS(MATCH_INPUT!$J$26:$J$29, BW46, MATCH_INPUT!$K$26:$K$29, "&lt;&gt;"&amp;BW46, MATCH_INPUT!$K$26:$K$29, "&lt;&gt;Draw", MATCH_INPUT!$K$26:$K$29, "&lt;&gt;"""),
0)</f>
        <v>0</v>
      </c>
      <c r="CD46" s="21"/>
      <c r="CE46" s="21"/>
      <c r="CF46" s="30"/>
      <c r="CG46" s="23">
        <f t="shared" si="157"/>
        <v>9</v>
      </c>
      <c r="CH46" s="24" t="str">
        <f t="shared" si="35"/>
        <v>↓</v>
      </c>
      <c r="CI46" s="25" t="s">
        <v>140</v>
      </c>
      <c r="CJ46" s="26">
        <f t="shared" si="36"/>
        <v>14</v>
      </c>
      <c r="CK46" s="26">
        <f t="shared" si="37"/>
        <v>2</v>
      </c>
      <c r="CL46" s="26">
        <f>SUM(CM46*2)+(CN46*1) + SUMIFS(MATCH_INPUT!$G$30:$G$33, MATCH_INPUT!$F$30:$F$33, CI46) + SUMIFS(MATCH_INPUT!$I$30:$I$33, MATCH_INPUT!$J$30:$J$33, CI46)
</f>
        <v>3</v>
      </c>
      <c r="CM46" s="26">
        <f>IF(CI46&lt;&gt;"",
    COUNTIFS(MATCH_INPUT!$K$30:$K$33,CI46),
0)</f>
        <v>1</v>
      </c>
      <c r="CN46" s="26">
        <f>IF(CI46&lt;&gt;"",
    COUNTIFS(MATCH_INPUT!$F$30:$F$33, CI46, MATCH_INPUT!$K$30:$K$33, "Draw") +
    COUNTIFS(MATCH_INPUT!$J$30:$J$33, CI46, MATCH_INPUT!$K$30:$K$33, "Draw"),
0)</f>
        <v>0</v>
      </c>
      <c r="CO46" s="26">
        <f>IF(CI46&lt;&gt;"",
    COUNTIFS(MATCH_INPUT!$F$30:$F$33, CI46, MATCH_INPUT!$K$30:$K$33, "&lt;&gt;"&amp;CI46, MATCH_INPUT!$K$30:$K$33, "&lt;&gt;Draw", MATCH_INPUT!$K$30:$K$33, "&lt;&gt;""") +
    COUNTIFS(MATCH_INPUT!$J$30:$J$33, CI46, MATCH_INPUT!$K$30:$K$33, "&lt;&gt;"&amp;CI46, MATCH_INPUT!$K$30:$K$33, "&lt;&gt;Draw", MATCH_INPUT!$K$30:$K$33, "&lt;&gt;"""),
0)</f>
        <v>1</v>
      </c>
      <c r="CP46" s="27" t="str">
        <f t="array" ref="CP46">IFERROR(INDEX(Form_Response!E:E, MATCH(1, (Form_Response!C:C='MATCH DATES'!$B$9)*(Form_Response!D:D=B46), 0)), "")
</f>
        <v/>
      </c>
      <c r="CQ46" s="27">
        <f t="array" ref="CQ46">IFERROR(IF(INDEX(Form_Response!F:F, MATCH(1, (Form_Response!C:C='MATCH DATES'!$B$9)*(Form_Response!D:D=B46), 0))="Yes", 1, 0), 0)
</f>
        <v>0</v>
      </c>
      <c r="CR46" s="28" t="str">
        <f t="array" ref="CR46">IFERROR(INDEX(Form_Response!G:G, MATCH(1, (Form_Response!C:C='MATCH DATES'!$B$9)*(Form_Response!D:D=B46), 0)), "")
</f>
        <v/>
      </c>
      <c r="CS46" s="31">
        <f t="shared" si="158"/>
        <v>8</v>
      </c>
      <c r="CT46" s="31" t="str">
        <f t="shared" si="39"/>
        <v>↑</v>
      </c>
      <c r="CU46" s="32">
        <f t="shared" si="40"/>
        <v>8</v>
      </c>
      <c r="CV46" s="32" t="str">
        <f t="shared" ref="CV46:CW46" si="177">A46</f>
        <v/>
      </c>
      <c r="CW46" s="33" t="str">
        <f t="shared" si="177"/>
        <v>🔄 (Yan Carlos)</v>
      </c>
      <c r="CX46" s="33">
        <f t="shared" si="42"/>
        <v>14</v>
      </c>
      <c r="CY46" s="32">
        <f>SUM(
  IF(AND('MATCH DATES'!$A$2 &lt;= TODAY(), NOW() &gt;= 'MATCH DATES'!$A$2 + TIME(22, 0, 0)), E46, 0),
  IF(AND('MATCH DATES'!$A$3 &lt;= TODAY(), NOW() &gt;= 'MATCH DATES'!$A$3 + TIME(22, 0, 0)), Q46, 0),
  IF(AND('MATCH DATES'!$A$4 &lt;= TODAY(), NOW() &gt;= 'MATCH DATES'!$A$4 + TIME(22, 0, 0)), AC46, 0),
  IF(AND('MATCH DATES'!$A$5 &lt;= TODAY(), NOW() &gt;= 'MATCH DATES'!$A$5 + TIME(22, 0, 0)), AO46, 0),
  IF(AND('MATCH DATES'!$A$6 &lt;= TODAY(), NOW() &gt;= 'MATCH DATES'!$A$6 + TIME(22, 0, 0)), BA46, 0),
  IF(AND('MATCH DATES'!$A$7 &lt;= TODAY(), NOW() &gt;= 'MATCH DATES'!$A$7 + TIME(22, 0, 0)), BM46, 0),
  IF(AND('MATCH DATES'!$A$8 &lt;= TODAY(), NOW() &gt;= 'MATCH DATES'!$A$8 + TIME(22, 0, 0)), BY46, 0),
  IF(AND('MATCH DATES'!$A$9 &lt;= TODAY(), NOW() &gt;= 'MATCH DATES'!$A$9 + TIME(22, 0, 0)), CK46, 0)
)
</f>
        <v>6</v>
      </c>
      <c r="CZ46" s="33">
        <f t="shared" ref="CZ46:DA46" si="178">SUM(G46,S46,AE46,AQ46,BC46,BO46,CA46,CM46)</f>
        <v>2</v>
      </c>
      <c r="DA46" s="33">
        <f t="shared" si="178"/>
        <v>0</v>
      </c>
      <c r="DB46" s="33">
        <f>SUM(
  IF(AND('MATCH DATES'!$A$2 &lt;= TODAY(), NOW() &gt;= 'MATCH DATES'!$A$2 + TIME(22, 0, 0)), I46, 0),
  IF(AND('MATCH DATES'!$A$3 &lt;= TODAY(), NOW() &gt;= 'MATCH DATES'!$A$3 + TIME(22, 0, 0)), U46, 0),
  IF(AND('MATCH DATES'!$A$4 &lt;= TODAY(), NOW() &gt;= 'MATCH DATES'!$A$4 + TIME(22, 0, 0)), AG46, 0),
  IF(AND('MATCH DATES'!$A$5 &lt;= TODAY(), NOW() &gt;= 'MATCH DATES'!$A$5 + TIME(22, 0, 0)), AS46, 0),
  IF(AND('MATCH DATES'!$A$6 &lt;= TODAY(), NOW() &gt;= 'MATCH DATES'!$A$6 + TIME(22, 0, 0)), BE46, 0),
  IF(AND('MATCH DATES'!$A$7 &lt;= TODAY(), NOW() &gt;= 'MATCH DATES'!$A$7 + TIME(22, 0, 0)), BQ46, 0),
  IF(AND('MATCH DATES'!$A$8 &lt;= TODAY(), NOW() &gt;= 'MATCH DATES'!$A$8 + TIME(22, 0, 0)), CC46, 0),
  IF(AND('MATCH DATES'!$A$9 &lt;= TODAY(), NOW() &gt;= 'MATCH DATES'!$A$9 + TIME(22, 0, 0)), CO46, 0)
)</f>
        <v>2</v>
      </c>
      <c r="DC46" s="33">
        <f t="shared" si="44"/>
        <v>0</v>
      </c>
      <c r="DD46" s="33">
        <f t="shared" ref="DD46:DE46" si="179">SUM(K46,W46,AI46,AU46,BG46,BS46,CE46,CQ46)</f>
        <v>0</v>
      </c>
      <c r="DE46" s="33">
        <f t="shared" si="179"/>
        <v>0</v>
      </c>
    </row>
    <row r="47" ht="24.75" customHeight="1">
      <c r="A47" s="31"/>
      <c r="B47" s="18" t="s">
        <v>185</v>
      </c>
      <c r="C47" s="35"/>
      <c r="D47" s="20">
        <f t="shared" si="4"/>
        <v>0</v>
      </c>
      <c r="E47" s="20">
        <f t="shared" si="5"/>
        <v>0</v>
      </c>
      <c r="F47" s="20">
        <f t="shared" si="6"/>
        <v>0</v>
      </c>
      <c r="G47" s="20">
        <f>IF(C47&lt;&gt;"",
    COUNTIFS(MATCH_INPUT!$K$2:$K$5,C47),
0)</f>
        <v>0</v>
      </c>
      <c r="H47" s="20">
        <f>IF(C47&lt;&gt;"",
    COUNTIFS(MATCH_INPUT!$F$2:$F$5, C47, MATCH_INPUT!$K$2:$K$5, "Draw") +
    COUNTIFS(MATCH_INPUT!$J$2:$J$5, C47, MATCH_INPUT!$K$2:$K$5, "Draw"),
0)</f>
        <v>0</v>
      </c>
      <c r="I47" s="20">
        <f>IF(C47&lt;&gt;"",
    COUNTIFS(MATCH_INPUT!$F$2:$F$5, C47, MATCH_INPUT!$K$2:$K$5, "&lt;&gt;"&amp;C47, MATCH_INPUT!$K$2:$K$5, "&lt;&gt;Draw", MATCH_INPUT!$K$2:$K$5, "&lt;&gt;""") +
    COUNTIFS(MATCH_INPUT!$J$2:$J$5, C47, MATCH_INPUT!$K$2:$K$5, "&lt;&gt;"&amp;C47, MATCH_INPUT!$K$2:$K$5, "&lt;&gt;Draw", MATCH_INPUT!$K$2:$K$5, "&lt;&gt;"""),
0)</f>
        <v>0</v>
      </c>
      <c r="J47" s="21"/>
      <c r="K47" s="21"/>
      <c r="L47" s="22"/>
      <c r="M47" s="23">
        <f t="shared" si="151"/>
        <v>4</v>
      </c>
      <c r="N47" s="24" t="str">
        <f t="shared" si="8"/>
        <v>↓</v>
      </c>
      <c r="O47" s="25"/>
      <c r="P47" s="26">
        <f t="shared" si="9"/>
        <v>0</v>
      </c>
      <c r="Q47" s="26">
        <f t="shared" si="10"/>
        <v>0</v>
      </c>
      <c r="R47" s="26">
        <f t="shared" si="11"/>
        <v>0</v>
      </c>
      <c r="S47" s="26">
        <f>IF(O47&lt;&gt;"",
    COUNTIFS(MATCH_INPUT!$K$6:$K$9,O47),
0)</f>
        <v>0</v>
      </c>
      <c r="T47" s="26">
        <f>IF(O47&lt;&gt;"",
    COUNTIFS(MATCH_INPUT!$F$6:$F$9, O47, MATCH_INPUT!$K$6:$K$9, "Draw") +
    COUNTIFS(MATCH_INPUT!$J$6:$J$9, O47, MATCH_INPUT!$K$6:$K$9, "Draw"),
0)</f>
        <v>0</v>
      </c>
      <c r="U47" s="26">
        <f>IF(O47&lt;&gt;"",
    COUNTIFS(MATCH_INPUT!$F$6:$F$9, O47, MATCH_INPUT!$K$6:$K$9, "&lt;&gt;"&amp;O47, MATCH_INPUT!$K$6:$K$9, "&lt;&gt;Draw", MATCH_INPUT!$K$6:$K$9, "&lt;&gt;""") +
    COUNTIFS(MATCH_INPUT!$J$6:$J$9, O47, MATCH_INPUT!$K$6:$K$9, "&lt;&gt;"&amp;O47, MATCH_INPUT!$K$6:$K$9, "&lt;&gt;Draw", MATCH_INPUT!$K$6:$K$9, "&lt;&gt;"""),
0)</f>
        <v>0</v>
      </c>
      <c r="V47" s="27"/>
      <c r="W47" s="27"/>
      <c r="X47" s="28"/>
      <c r="Y47" s="26">
        <f t="shared" si="152"/>
        <v>7</v>
      </c>
      <c r="Z47" s="29" t="str">
        <f t="shared" si="13"/>
        <v>↓</v>
      </c>
      <c r="AA47" s="19"/>
      <c r="AB47" s="23">
        <f t="shared" si="14"/>
        <v>0</v>
      </c>
      <c r="AC47" s="20">
        <f t="shared" si="15"/>
        <v>0</v>
      </c>
      <c r="AD47" s="20">
        <f t="shared" si="16"/>
        <v>0</v>
      </c>
      <c r="AE47" s="20">
        <f>IF(AA47&lt;&gt;"",
    COUNTIFS(MATCH_INPUT!$K$10:$K$13,AA47),
0)</f>
        <v>0</v>
      </c>
      <c r="AF47" s="20">
        <f>IF(AA47&lt;&gt;"",
    COUNTIFS(MATCH_INPUT!$F$10:$F$13, AA47, MATCH_INPUT!$K$10:$K$13, "Draw") +
    COUNTIFS(MATCH_INPUT!$J$10:$J$13, AA47, MATCH_INPUT!$K$10:$K$13, "Draw"),
0)</f>
        <v>0</v>
      </c>
      <c r="AG47" s="20">
        <f>IF(AA47&lt;&gt;"",
    COUNTIFS(MATCH_INPUT!$F$10:$F$13, AA47, MATCH_INPUT!$K$10:$K$13, "&lt;&gt;"&amp;AA47, MATCH_INPUT!$K$10:$K$13, "&lt;&gt;Draw", MATCH_INPUT!$K$10:$K$13, "&lt;&gt;""") +
    COUNTIFS(MATCH_INPUT!$J$10:$J$13, AA47, MATCH_INPUT!$K$10:$K$13, "&lt;&gt;"&amp;AA47, MATCH_INPUT!$K$10:$K$13, "&lt;&gt;Draw", MATCH_INPUT!$K$10:$K$13, "&lt;&gt;"""),
0)</f>
        <v>0</v>
      </c>
      <c r="AH47" s="21"/>
      <c r="AI47" s="21"/>
      <c r="AJ47" s="30"/>
      <c r="AK47" s="23">
        <f t="shared" si="153"/>
        <v>8</v>
      </c>
      <c r="AL47" s="24" t="str">
        <f t="shared" si="18"/>
        <v>↓</v>
      </c>
      <c r="AM47" s="25"/>
      <c r="AN47" s="26">
        <f t="shared" si="19"/>
        <v>0</v>
      </c>
      <c r="AO47" s="26">
        <f t="shared" si="20"/>
        <v>0</v>
      </c>
      <c r="AP47" s="26">
        <f t="shared" si="21"/>
        <v>0</v>
      </c>
      <c r="AQ47" s="26">
        <f>IF(AM47&lt;&gt;"",
    COUNTIFS(MATCH_INPUT!$K$14:$K$17,AM47),
0)</f>
        <v>0</v>
      </c>
      <c r="AR47" s="26">
        <f>IF(AM47&lt;&gt;"",
    COUNTIFS(MATCH_INPUT!$F$14:$F$17, AM47, MATCH_INPUT!$K$14:$K$17, "Draw") +
    COUNTIFS(MATCH_INPUT!$J$14:$J$17, AM47, MATCH_INPUT!$K$14:$K$17, "Draw"),
0)</f>
        <v>0</v>
      </c>
      <c r="AS47" s="26">
        <f>IF(AM47&lt;&gt;"",
    COUNTIFS(MATCH_INPUT!$F$14:$F$17, AM47, MATCH_INPUT!$K$14:$K$17, "&lt;&gt;"&amp;AM47, MATCH_INPUT!$K$14:$K$17, "&lt;&gt;Draw", MATCH_INPUT!$K$14:$K$17, "&lt;&gt;""") +
    COUNTIFS(MATCH_INPUT!$J$14:$J$17, AM47, MATCH_INPUT!$K$14:$K$17, "&lt;&gt;"&amp;AM47, MATCH_INPUT!$K$14:$K$17, "&lt;&gt;Draw", MATCH_INPUT!$K$14:$K$17, "&lt;&gt;"""),
0)</f>
        <v>0</v>
      </c>
      <c r="AT47" s="27"/>
      <c r="AU47" s="27"/>
      <c r="AV47" s="28"/>
      <c r="AW47" s="26">
        <f t="shared" si="154"/>
        <v>10</v>
      </c>
      <c r="AX47" s="29" t="str">
        <f t="shared" si="23"/>
        <v>↓</v>
      </c>
      <c r="AY47" s="19"/>
      <c r="AZ47" s="23">
        <f t="shared" si="24"/>
        <v>0</v>
      </c>
      <c r="BA47" s="20">
        <f t="shared" si="25"/>
        <v>0</v>
      </c>
      <c r="BB47" s="20">
        <f>SUM(BC47*2) + (BD47*1) + SUMIFS(MATCH_INPUT!$G$18:$G$21, MATCH_INPUT!$F$18:$F$21, AY47) + SUMIFS(MATCH_INPUT!$I$18:$I$21, MATCH_INPUT!$J$18:$J$21, AY47)
</f>
        <v>0</v>
      </c>
      <c r="BC47" s="20">
        <f>IF(AY47&lt;&gt;"",
    COUNTIFS(MATCH_INPUT!$K$18:$K$21,AY47),
0)</f>
        <v>0</v>
      </c>
      <c r="BD47" s="20">
        <f>IF(AY47&lt;&gt;"",
    COUNTIFS(MATCH_INPUT!$F$18:$F$21, AY47, MATCH_INPUT!$K$18:$K$21, "Draw") +
    COUNTIFS(MATCH_INPUT!$J$18:$J$21, AY47, MATCH_INPUT!$K$18:$K$21, "Draw"),
0)</f>
        <v>0</v>
      </c>
      <c r="BE47" s="20">
        <f>IF(AY47&lt;&gt;"",
    COUNTIFS(MATCH_INPUT!$F$18:$F$21, AY47, MATCH_INPUT!$K$18:$K$21, "&lt;&gt;"&amp;AY47, MATCH_INPUT!$K$18:$K$21, "&lt;&gt;Draw", MATCH_INPUT!$K$18:$K$21, "&lt;&gt;""") +
    COUNTIFS(MATCH_INPUT!$J$18:$J$21, AY47, MATCH_INPUT!$K$18:$K$21, "&lt;&gt;"&amp;AY47, MATCH_INPUT!$K$18:$K$21, "&lt;&gt;Draw", MATCH_INPUT!$K$18:$K$21, "&lt;&gt;"""),
0)</f>
        <v>0</v>
      </c>
      <c r="BF47" s="21" t="str">
        <f t="array" ref="BF47">IFERROR(INDEX(Form_Response!E:E, MATCH(1, (Form_Response!C:C='MATCH DATES'!$B$6)*(Form_Response!D:D=B47), 0)), "")
</f>
        <v/>
      </c>
      <c r="BG47" s="21">
        <f t="array" ref="BG47">IFERROR(IF(INDEX(Form_Response!F:F, MATCH(1, (Form_Response!C:C='MATCH DATES'!$B$6)*(Form_Response!D:D=B47), 0))="Yes", 1, 0), 0)
</f>
        <v>0</v>
      </c>
      <c r="BH47" s="30" t="str">
        <f t="array" ref="BH47">IFERROR(INDEX(Form_Response!G:G, MATCH(1, (Form_Response!C:C='MATCH DATES'!$B$6)*(Form_Response!D:D=B47), 0)), "")
</f>
        <v/>
      </c>
      <c r="BI47" s="23">
        <f t="shared" si="155"/>
        <v>11</v>
      </c>
      <c r="BJ47" s="24" t="str">
        <f t="shared" si="27"/>
        <v>↓</v>
      </c>
      <c r="BK47" s="25" t="s">
        <v>141</v>
      </c>
      <c r="BL47" s="26">
        <f t="shared" si="28"/>
        <v>5</v>
      </c>
      <c r="BM47" s="26">
        <f t="shared" si="29"/>
        <v>4</v>
      </c>
      <c r="BN47" s="26">
        <f>SUM(BO47*2) + (BP47*1) + SUMIFS(MATCH_INPUT!$G$22:$G$25, MATCH_INPUT!$F$22:$F$25, BK47) + SUMIFS(MATCH_INPUT!$I$22:$I$25, MATCH_INPUT!$J$22:$J$25, BK47)
</f>
        <v>1</v>
      </c>
      <c r="BO47" s="26">
        <f>IF(BK47&lt;&gt;"",
    COUNTIFS(MATCH_INPUT!$K$22:$K$25,BK47),
0)</f>
        <v>0</v>
      </c>
      <c r="BP47" s="26">
        <f>IF(BK47&lt;&gt;"",
    COUNTIFS(MATCH_INPUT!$F$22:$F$25, BK47, MATCH_INPUT!$K$22:$K$25, "Draw") +
    COUNTIFS(MATCH_INPUT!$J$22:$J$25, BK47, MATCH_INPUT!$K$22:$K$25, "Draw"),
0)</f>
        <v>0</v>
      </c>
      <c r="BQ47" s="26">
        <f>IF(BK47&lt;&gt;"",
    COUNTIFS(MATCH_INPUT!$F$22:$F$25, BK47, MATCH_INPUT!$K$22:$K$25, "&lt;&gt;"&amp;BK47, MATCH_INPUT!$K$22:$K$25, "&lt;&gt;Draw", MATCH_INPUT!$K$22:$K$25, "&lt;&gt;""") +
    COUNTIFS(MATCH_INPUT!$J$22:$J$25, BK47, MATCH_INPUT!$K$22:$K$25, "&lt;&gt;"&amp;BK47, MATCH_INPUT!$K$22:$K$25, "&lt;&gt;Draw", MATCH_INPUT!$K$22:$K$25, "&lt;&gt;"""),
0)</f>
        <v>2</v>
      </c>
      <c r="BR47" s="27"/>
      <c r="BS47" s="27"/>
      <c r="BT47" s="28"/>
      <c r="BU47" s="26">
        <f t="shared" si="156"/>
        <v>9</v>
      </c>
      <c r="BV47" s="29" t="str">
        <f t="shared" si="31"/>
        <v>↑</v>
      </c>
      <c r="BW47" s="35"/>
      <c r="BX47" s="23">
        <f t="shared" si="32"/>
        <v>5</v>
      </c>
      <c r="BY47" s="20">
        <f t="shared" si="33"/>
        <v>0</v>
      </c>
      <c r="BZ47" s="20">
        <f>SUM(CA47*2)+(CB47*1) + SUMIFS(MATCH_INPUT!$G$26:$G$29, MATCH_INPUT!$F$26:$F$29, BW47) + SUMIFS(MATCH_INPUT!$I$26:$I$29, MATCH_INPUT!$J$26:$J$29, BW47)
</f>
        <v>0</v>
      </c>
      <c r="CA47" s="20">
        <f>IF(BW47&lt;&gt;"",
    COUNTIFS(MATCH_INPUT!$K$26:$K$29,BW47),
0)</f>
        <v>0</v>
      </c>
      <c r="CB47" s="20">
        <f>IF(BW47&lt;&gt;"",
    COUNTIFS(MATCH_INPUT!$F$26:$F$29, BW47, MATCH_INPUT!$K$26:$K$29, "Draw") +
    COUNTIFS(MATCH_INPUT!$J$26:$J$29, BW47, MATCH_INPUT!$K$26:$K$29, "Draw"),
0)</f>
        <v>0</v>
      </c>
      <c r="CC47" s="20">
        <f>IF(BW47&lt;&gt;"",
    COUNTIFS(MATCH_INPUT!$F$26:$F$29, BW47, MATCH_INPUT!$K$26:$K$29, "&lt;&gt;"&amp;BW47, MATCH_INPUT!$K$26:$K$29, "&lt;&gt;Draw", MATCH_INPUT!$K$26:$K$29, "&lt;&gt;""") +
    COUNTIFS(MATCH_INPUT!$J$26:$J$29, BW47, MATCH_INPUT!$K$26:$K$29, "&lt;&gt;"&amp;BW47, MATCH_INPUT!$K$26:$K$29, "&lt;&gt;Draw", MATCH_INPUT!$K$26:$K$29, "&lt;&gt;"""),
0)</f>
        <v>0</v>
      </c>
      <c r="CD47" s="21"/>
      <c r="CE47" s="21"/>
      <c r="CF47" s="30"/>
      <c r="CG47" s="23">
        <f t="shared" si="157"/>
        <v>10</v>
      </c>
      <c r="CH47" s="24" t="str">
        <f t="shared" si="35"/>
        <v>↓</v>
      </c>
      <c r="CI47" s="25"/>
      <c r="CJ47" s="26">
        <f t="shared" si="36"/>
        <v>5</v>
      </c>
      <c r="CK47" s="26">
        <f t="shared" si="37"/>
        <v>0</v>
      </c>
      <c r="CL47" s="26">
        <f>SUM(CM47*2)+(CN47*1) + SUMIFS(MATCH_INPUT!$G$30:$G$33, MATCH_INPUT!$F$30:$F$33, CI47) + SUMIFS(MATCH_INPUT!$I$30:$I$33, MATCH_INPUT!$J$30:$J$33, CI47)
</f>
        <v>0</v>
      </c>
      <c r="CM47" s="26">
        <f>IF(CI47&lt;&gt;"",
    COUNTIFS(MATCH_INPUT!$K$30:$K$33,CI47),
0)</f>
        <v>0</v>
      </c>
      <c r="CN47" s="26">
        <f>IF(CI47&lt;&gt;"",
    COUNTIFS(MATCH_INPUT!$F$30:$F$33, CI47, MATCH_INPUT!$K$30:$K$33, "Draw") +
    COUNTIFS(MATCH_INPUT!$J$30:$J$33, CI47, MATCH_INPUT!$K$30:$K$33, "Draw"),
0)</f>
        <v>0</v>
      </c>
      <c r="CO47" s="26">
        <f>IF(CI47&lt;&gt;"",
    COUNTIFS(MATCH_INPUT!$F$30:$F$33, CI47, MATCH_INPUT!$K$30:$K$33, "&lt;&gt;"&amp;CI47, MATCH_INPUT!$K$30:$K$33, "&lt;&gt;Draw", MATCH_INPUT!$K$30:$K$33, "&lt;&gt;""") +
    COUNTIFS(MATCH_INPUT!$J$30:$J$33, CI47, MATCH_INPUT!$K$30:$K$33, "&lt;&gt;"&amp;CI47, MATCH_INPUT!$K$30:$K$33, "&lt;&gt;Draw", MATCH_INPUT!$K$30:$K$33, "&lt;&gt;"""),
0)</f>
        <v>0</v>
      </c>
      <c r="CP47" s="27" t="str">
        <f t="array" ref="CP47">IFERROR(INDEX(Form_Response!E:E, MATCH(1, (Form_Response!C:C='MATCH DATES'!$B$9)*(Form_Response!D:D=B47), 0)), "")
</f>
        <v/>
      </c>
      <c r="CQ47" s="27">
        <f t="array" ref="CQ47">IFERROR(IF(INDEX(Form_Response!F:F, MATCH(1, (Form_Response!C:C='MATCH DATES'!$B$9)*(Form_Response!D:D=B47), 0))="Yes", 1, 0), 0)
</f>
        <v>0</v>
      </c>
      <c r="CR47" s="28" t="str">
        <f t="array" ref="CR47">IFERROR(INDEX(Form_Response!G:G, MATCH(1, (Form_Response!C:C='MATCH DATES'!$B$9)*(Form_Response!D:D=B47), 0)), "")
</f>
        <v/>
      </c>
      <c r="CS47" s="31">
        <f t="shared" si="158"/>
        <v>12</v>
      </c>
      <c r="CT47" s="31" t="str">
        <f t="shared" si="39"/>
        <v>↓</v>
      </c>
      <c r="CU47" s="32">
        <f t="shared" si="40"/>
        <v>1</v>
      </c>
      <c r="CV47" s="32" t="str">
        <f t="shared" ref="CV47:CW47" si="180">A47</f>
        <v/>
      </c>
      <c r="CW47" s="33" t="str">
        <f t="shared" si="180"/>
        <v>🔄 (Chato)</v>
      </c>
      <c r="CX47" s="33">
        <f t="shared" si="42"/>
        <v>5</v>
      </c>
      <c r="CY47" s="32">
        <f>SUM(
  IF(AND('MATCH DATES'!$A$2 &lt;= TODAY(), NOW() &gt;= 'MATCH DATES'!$A$2 + TIME(22, 0, 0)), E47, 0),
  IF(AND('MATCH DATES'!$A$3 &lt;= TODAY(), NOW() &gt;= 'MATCH DATES'!$A$3 + TIME(22, 0, 0)), Q47, 0),
  IF(AND('MATCH DATES'!$A$4 &lt;= TODAY(), NOW() &gt;= 'MATCH DATES'!$A$4 + TIME(22, 0, 0)), AC47, 0),
  IF(AND('MATCH DATES'!$A$5 &lt;= TODAY(), NOW() &gt;= 'MATCH DATES'!$A$5 + TIME(22, 0, 0)), AO47, 0),
  IF(AND('MATCH DATES'!$A$6 &lt;= TODAY(), NOW() &gt;= 'MATCH DATES'!$A$6 + TIME(22, 0, 0)), BA47, 0),
  IF(AND('MATCH DATES'!$A$7 &lt;= TODAY(), NOW() &gt;= 'MATCH DATES'!$A$7 + TIME(22, 0, 0)), BM47, 0),
  IF(AND('MATCH DATES'!$A$8 &lt;= TODAY(), NOW() &gt;= 'MATCH DATES'!$A$8 + TIME(22, 0, 0)), BY47, 0),
  IF(AND('MATCH DATES'!$A$9 &lt;= TODAY(), NOW() &gt;= 'MATCH DATES'!$A$9 + TIME(22, 0, 0)), CK47, 0)
)
</f>
        <v>4</v>
      </c>
      <c r="CZ47" s="33">
        <f t="shared" ref="CZ47:DA47" si="181">SUM(G47,S47,AE47,AQ47,BC47,BO47,CA47,CM47)</f>
        <v>0</v>
      </c>
      <c r="DA47" s="33">
        <f t="shared" si="181"/>
        <v>0</v>
      </c>
      <c r="DB47" s="33">
        <f>SUM(
  IF(AND('MATCH DATES'!$A$2 &lt;= TODAY(), NOW() &gt;= 'MATCH DATES'!$A$2 + TIME(22, 0, 0)), I47, 0),
  IF(AND('MATCH DATES'!$A$3 &lt;= TODAY(), NOW() &gt;= 'MATCH DATES'!$A$3 + TIME(22, 0, 0)), U47, 0),
  IF(AND('MATCH DATES'!$A$4 &lt;= TODAY(), NOW() &gt;= 'MATCH DATES'!$A$4 + TIME(22, 0, 0)), AG47, 0),
  IF(AND('MATCH DATES'!$A$5 &lt;= TODAY(), NOW() &gt;= 'MATCH DATES'!$A$5 + TIME(22, 0, 0)), AS47, 0),
  IF(AND('MATCH DATES'!$A$6 &lt;= TODAY(), NOW() &gt;= 'MATCH DATES'!$A$6 + TIME(22, 0, 0)), BE47, 0),
  IF(AND('MATCH DATES'!$A$7 &lt;= TODAY(), NOW() &gt;= 'MATCH DATES'!$A$7 + TIME(22, 0, 0)), BQ47, 0),
  IF(AND('MATCH DATES'!$A$8 &lt;= TODAY(), NOW() &gt;= 'MATCH DATES'!$A$8 + TIME(22, 0, 0)), CC47, 0),
  IF(AND('MATCH DATES'!$A$9 &lt;= TODAY(), NOW() &gt;= 'MATCH DATES'!$A$9 + TIME(22, 0, 0)), CO47, 0)
)</f>
        <v>2</v>
      </c>
      <c r="DC47" s="33">
        <f t="shared" si="44"/>
        <v>0</v>
      </c>
      <c r="DD47" s="33">
        <f t="shared" ref="DD47:DE47" si="182">SUM(K47,W47,AI47,AU47,BG47,BS47,CE47,CQ47)</f>
        <v>0</v>
      </c>
      <c r="DE47" s="33">
        <f t="shared" si="182"/>
        <v>0</v>
      </c>
    </row>
    <row r="48" ht="24.75" customHeight="1">
      <c r="A48" s="17"/>
      <c r="B48" s="18" t="s">
        <v>186</v>
      </c>
      <c r="C48" s="35"/>
      <c r="D48" s="20">
        <f t="shared" si="4"/>
        <v>0</v>
      </c>
      <c r="E48" s="20">
        <f t="shared" si="5"/>
        <v>0</v>
      </c>
      <c r="F48" s="20">
        <f t="shared" si="6"/>
        <v>0</v>
      </c>
      <c r="G48" s="20">
        <f>IF(C48&lt;&gt;"",
    COUNTIFS(MATCH_INPUT!$K$2:$K$5,C48),
0)</f>
        <v>0</v>
      </c>
      <c r="H48" s="20">
        <f>IF(C48&lt;&gt;"",
    COUNTIFS(MATCH_INPUT!$F$2:$F$5, C48, MATCH_INPUT!$K$2:$K$5, "Draw") +
    COUNTIFS(MATCH_INPUT!$J$2:$J$5, C48, MATCH_INPUT!$K$2:$K$5, "Draw"),
0)</f>
        <v>0</v>
      </c>
      <c r="I48" s="20">
        <f>IF(C48&lt;&gt;"",
    COUNTIFS(MATCH_INPUT!$F$2:$F$5, C48, MATCH_INPUT!$K$2:$K$5, "&lt;&gt;"&amp;C48, MATCH_INPUT!$K$2:$K$5, "&lt;&gt;Draw", MATCH_INPUT!$K$2:$K$5, "&lt;&gt;""") +
    COUNTIFS(MATCH_INPUT!$J$2:$J$5, C48, MATCH_INPUT!$K$2:$K$5, "&lt;&gt;"&amp;C48, MATCH_INPUT!$K$2:$K$5, "&lt;&gt;Draw", MATCH_INPUT!$K$2:$K$5, "&lt;&gt;"""),
0)</f>
        <v>0</v>
      </c>
      <c r="J48" s="21"/>
      <c r="K48" s="21"/>
      <c r="L48" s="22"/>
      <c r="M48" s="23">
        <f t="shared" si="151"/>
        <v>4</v>
      </c>
      <c r="N48" s="24" t="str">
        <f t="shared" si="8"/>
        <v>↓</v>
      </c>
      <c r="O48" s="25"/>
      <c r="P48" s="26">
        <f t="shared" si="9"/>
        <v>0</v>
      </c>
      <c r="Q48" s="26">
        <f t="shared" si="10"/>
        <v>0</v>
      </c>
      <c r="R48" s="26">
        <f t="shared" si="11"/>
        <v>0</v>
      </c>
      <c r="S48" s="26">
        <f>IF(O48&lt;&gt;"",
    COUNTIFS(MATCH_INPUT!$K$6:$K$9,O48),
0)</f>
        <v>0</v>
      </c>
      <c r="T48" s="26">
        <f>IF(O48&lt;&gt;"",
    COUNTIFS(MATCH_INPUT!$F$6:$F$9, O48, MATCH_INPUT!$K$6:$K$9, "Draw") +
    COUNTIFS(MATCH_INPUT!$J$6:$J$9, O48, MATCH_INPUT!$K$6:$K$9, "Draw"),
0)</f>
        <v>0</v>
      </c>
      <c r="U48" s="26">
        <f>IF(O48&lt;&gt;"",
    COUNTIFS(MATCH_INPUT!$F$6:$F$9, O48, MATCH_INPUT!$K$6:$K$9, "&lt;&gt;"&amp;O48, MATCH_INPUT!$K$6:$K$9, "&lt;&gt;Draw", MATCH_INPUT!$K$6:$K$9, "&lt;&gt;""") +
    COUNTIFS(MATCH_INPUT!$J$6:$J$9, O48, MATCH_INPUT!$K$6:$K$9, "&lt;&gt;"&amp;O48, MATCH_INPUT!$K$6:$K$9, "&lt;&gt;Draw", MATCH_INPUT!$K$6:$K$9, "&lt;&gt;"""),
0)</f>
        <v>0</v>
      </c>
      <c r="V48" s="27"/>
      <c r="W48" s="27"/>
      <c r="X48" s="28"/>
      <c r="Y48" s="26">
        <f t="shared" si="152"/>
        <v>7</v>
      </c>
      <c r="Z48" s="29" t="str">
        <f t="shared" si="13"/>
        <v>↓</v>
      </c>
      <c r="AA48" s="19"/>
      <c r="AB48" s="23">
        <f t="shared" si="14"/>
        <v>0</v>
      </c>
      <c r="AC48" s="20">
        <f t="shared" si="15"/>
        <v>0</v>
      </c>
      <c r="AD48" s="20">
        <f t="shared" si="16"/>
        <v>0</v>
      </c>
      <c r="AE48" s="20">
        <f>IF(AA48&lt;&gt;"",
    COUNTIFS(MATCH_INPUT!$K$10:$K$13,AA48),
0)</f>
        <v>0</v>
      </c>
      <c r="AF48" s="20">
        <f>IF(AA48&lt;&gt;"",
    COUNTIFS(MATCH_INPUT!$F$10:$F$13, AA48, MATCH_INPUT!$K$10:$K$13, "Draw") +
    COUNTIFS(MATCH_INPUT!$J$10:$J$13, AA48, MATCH_INPUT!$K$10:$K$13, "Draw"),
0)</f>
        <v>0</v>
      </c>
      <c r="AG48" s="20">
        <f>IF(AA48&lt;&gt;"",
    COUNTIFS(MATCH_INPUT!$F$10:$F$13, AA48, MATCH_INPUT!$K$10:$K$13, "&lt;&gt;"&amp;AA48, MATCH_INPUT!$K$10:$K$13, "&lt;&gt;Draw", MATCH_INPUT!$K$10:$K$13, "&lt;&gt;""") +
    COUNTIFS(MATCH_INPUT!$J$10:$J$13, AA48, MATCH_INPUT!$K$10:$K$13, "&lt;&gt;"&amp;AA48, MATCH_INPUT!$K$10:$K$13, "&lt;&gt;Draw", MATCH_INPUT!$K$10:$K$13, "&lt;&gt;"""),
0)</f>
        <v>0</v>
      </c>
      <c r="AH48" s="21"/>
      <c r="AI48" s="21"/>
      <c r="AJ48" s="30"/>
      <c r="AK48" s="23">
        <f t="shared" si="153"/>
        <v>8</v>
      </c>
      <c r="AL48" s="24" t="str">
        <f t="shared" si="18"/>
        <v>↓</v>
      </c>
      <c r="AM48" s="25" t="s">
        <v>141</v>
      </c>
      <c r="AN48" s="26">
        <f t="shared" si="19"/>
        <v>4</v>
      </c>
      <c r="AO48" s="26">
        <f t="shared" si="20"/>
        <v>2</v>
      </c>
      <c r="AP48" s="26">
        <f t="shared" si="21"/>
        <v>2</v>
      </c>
      <c r="AQ48" s="26">
        <f>IF(AM48&lt;&gt;"",
    COUNTIFS(MATCH_INPUT!$K$14:$K$17,AM48),
0)</f>
        <v>1</v>
      </c>
      <c r="AR48" s="26">
        <f>IF(AM48&lt;&gt;"",
    COUNTIFS(MATCH_INPUT!$F$14:$F$17, AM48, MATCH_INPUT!$K$14:$K$17, "Draw") +
    COUNTIFS(MATCH_INPUT!$J$14:$J$17, AM48, MATCH_INPUT!$K$14:$K$17, "Draw"),
0)</f>
        <v>0</v>
      </c>
      <c r="AS48" s="26">
        <f>IF(AM48&lt;&gt;"",
    COUNTIFS(MATCH_INPUT!$F$14:$F$17, AM48, MATCH_INPUT!$K$14:$K$17, "&lt;&gt;"&amp;AM48, MATCH_INPUT!$K$14:$K$17, "&lt;&gt;Draw", MATCH_INPUT!$K$14:$K$17, "&lt;&gt;""") +
    COUNTIFS(MATCH_INPUT!$J$14:$J$17, AM48, MATCH_INPUT!$K$14:$K$17, "&lt;&gt;"&amp;AM48, MATCH_INPUT!$K$14:$K$17, "&lt;&gt;Draw", MATCH_INPUT!$K$14:$K$17, "&lt;&gt;"""),
0)</f>
        <v>1</v>
      </c>
      <c r="AT48" s="27">
        <v>1.0</v>
      </c>
      <c r="AU48" s="27"/>
      <c r="AV48" s="28"/>
      <c r="AW48" s="26">
        <f t="shared" si="154"/>
        <v>6</v>
      </c>
      <c r="AX48" s="29" t="str">
        <f t="shared" si="23"/>
        <v>↑</v>
      </c>
      <c r="AY48" s="19"/>
      <c r="AZ48" s="23">
        <f t="shared" si="24"/>
        <v>4</v>
      </c>
      <c r="BA48" s="20">
        <f t="shared" si="25"/>
        <v>0</v>
      </c>
      <c r="BB48" s="20">
        <f>SUM(BC48*2) + (BD48*1) + SUMIFS(MATCH_INPUT!$G$18:$G$21, MATCH_INPUT!$F$18:$F$21, AY48) + SUMIFS(MATCH_INPUT!$I$18:$I$21, MATCH_INPUT!$J$18:$J$21, AY48)
</f>
        <v>0</v>
      </c>
      <c r="BC48" s="20">
        <f>IF(AY48&lt;&gt;"",
    COUNTIFS(MATCH_INPUT!$K$18:$K$21,AY48),
0)</f>
        <v>0</v>
      </c>
      <c r="BD48" s="20">
        <f>IF(AY48&lt;&gt;"",
    COUNTIFS(MATCH_INPUT!$F$18:$F$21, AY48, MATCH_INPUT!$K$18:$K$21, "Draw") +
    COUNTIFS(MATCH_INPUT!$J$18:$J$21, AY48, MATCH_INPUT!$K$18:$K$21, "Draw"),
0)</f>
        <v>0</v>
      </c>
      <c r="BE48" s="20">
        <f>IF(AY48&lt;&gt;"",
    COUNTIFS(MATCH_INPUT!$F$18:$F$21, AY48, MATCH_INPUT!$K$18:$K$21, "&lt;&gt;"&amp;AY48, MATCH_INPUT!$K$18:$K$21, "&lt;&gt;Draw", MATCH_INPUT!$K$18:$K$21, "&lt;&gt;""") +
    COUNTIFS(MATCH_INPUT!$J$18:$J$21, AY48, MATCH_INPUT!$K$18:$K$21, "&lt;&gt;"&amp;AY48, MATCH_INPUT!$K$18:$K$21, "&lt;&gt;Draw", MATCH_INPUT!$K$18:$K$21, "&lt;&gt;"""),
0)</f>
        <v>0</v>
      </c>
      <c r="BF48" s="21" t="str">
        <f t="array" ref="BF48">IFERROR(INDEX(Form_Response!E:E, MATCH(1, (Form_Response!C:C='MATCH DATES'!$B$6)*(Form_Response!D:D=B48), 0)), "")
</f>
        <v/>
      </c>
      <c r="BG48" s="21">
        <f t="array" ref="BG48">IFERROR(IF(INDEX(Form_Response!F:F, MATCH(1, (Form_Response!C:C='MATCH DATES'!$B$6)*(Form_Response!D:D=B48), 0))="Yes", 1, 0), 0)
</f>
        <v>0</v>
      </c>
      <c r="BH48" s="30" t="str">
        <f t="array" ref="BH48">IFERROR(INDEX(Form_Response!G:G, MATCH(1, (Form_Response!C:C='MATCH DATES'!$B$6)*(Form_Response!D:D=B48), 0)), "")
</f>
        <v/>
      </c>
      <c r="BI48" s="23">
        <f t="shared" si="155"/>
        <v>7</v>
      </c>
      <c r="BJ48" s="24" t="str">
        <f t="shared" si="27"/>
        <v>↓</v>
      </c>
      <c r="BK48" s="34"/>
      <c r="BL48" s="26">
        <f t="shared" si="28"/>
        <v>4</v>
      </c>
      <c r="BM48" s="26">
        <f t="shared" si="29"/>
        <v>0</v>
      </c>
      <c r="BN48" s="26">
        <f>SUM(BO48*2) + (BP48*1) + SUMIFS(MATCH_INPUT!$G$22:$G$25, MATCH_INPUT!$F$22:$F$25, BK48) + SUMIFS(MATCH_INPUT!$I$22:$I$25, MATCH_INPUT!$J$22:$J$25, BK48)
</f>
        <v>0</v>
      </c>
      <c r="BO48" s="26">
        <f>IF(BK48&lt;&gt;"",
    COUNTIFS(MATCH_INPUT!$K$22:$K$25,BK48),
0)</f>
        <v>0</v>
      </c>
      <c r="BP48" s="26">
        <f>IF(BK48&lt;&gt;"",
    COUNTIFS(MATCH_INPUT!$F$22:$F$25, BK48, MATCH_INPUT!$K$22:$K$25, "Draw") +
    COUNTIFS(MATCH_INPUT!$J$22:$J$25, BK48, MATCH_INPUT!$K$22:$K$25, "Draw"),
0)</f>
        <v>0</v>
      </c>
      <c r="BQ48" s="26">
        <f>IF(BK48&lt;&gt;"",
    COUNTIFS(MATCH_INPUT!$F$22:$F$25, BK48, MATCH_INPUT!$K$22:$K$25, "&lt;&gt;"&amp;BK48, MATCH_INPUT!$K$22:$K$25, "&lt;&gt;Draw", MATCH_INPUT!$K$22:$K$25, "&lt;&gt;""") +
    COUNTIFS(MATCH_INPUT!$J$22:$J$25, BK48, MATCH_INPUT!$K$22:$K$25, "&lt;&gt;"&amp;BK48, MATCH_INPUT!$K$22:$K$25, "&lt;&gt;Draw", MATCH_INPUT!$K$22:$K$25, "&lt;&gt;"""),
0)</f>
        <v>0</v>
      </c>
      <c r="BR48" s="27"/>
      <c r="BS48" s="27"/>
      <c r="BT48" s="28"/>
      <c r="BU48" s="26">
        <f t="shared" si="156"/>
        <v>10</v>
      </c>
      <c r="BV48" s="29" t="str">
        <f t="shared" si="31"/>
        <v>↓</v>
      </c>
      <c r="BW48" s="35"/>
      <c r="BX48" s="23">
        <f t="shared" si="32"/>
        <v>4</v>
      </c>
      <c r="BY48" s="20">
        <f t="shared" si="33"/>
        <v>0</v>
      </c>
      <c r="BZ48" s="20">
        <f>SUM(CA48*2)+(CB48*1) + SUMIFS(MATCH_INPUT!$G$26:$G$29, MATCH_INPUT!$F$26:$F$29, BW48) + SUMIFS(MATCH_INPUT!$I$26:$I$29, MATCH_INPUT!$J$26:$J$29, BW48)
</f>
        <v>0</v>
      </c>
      <c r="CA48" s="20">
        <f>IF(BW48&lt;&gt;"",
    COUNTIFS(MATCH_INPUT!$K$26:$K$29,BW48),
0)</f>
        <v>0</v>
      </c>
      <c r="CB48" s="20">
        <f>IF(BW48&lt;&gt;"",
    COUNTIFS(MATCH_INPUT!$F$26:$F$29, BW48, MATCH_INPUT!$K$26:$K$29, "Draw") +
    COUNTIFS(MATCH_INPUT!$J$26:$J$29, BW48, MATCH_INPUT!$K$26:$K$29, "Draw"),
0)</f>
        <v>0</v>
      </c>
      <c r="CC48" s="20">
        <f>IF(BW48&lt;&gt;"",
    COUNTIFS(MATCH_INPUT!$F$26:$F$29, BW48, MATCH_INPUT!$K$26:$K$29, "&lt;&gt;"&amp;BW48, MATCH_INPUT!$K$26:$K$29, "&lt;&gt;Draw", MATCH_INPUT!$K$26:$K$29, "&lt;&gt;""") +
    COUNTIFS(MATCH_INPUT!$J$26:$J$29, BW48, MATCH_INPUT!$K$26:$K$29, "&lt;&gt;"&amp;BW48, MATCH_INPUT!$K$26:$K$29, "&lt;&gt;Draw", MATCH_INPUT!$K$26:$K$29, "&lt;&gt;"""),
0)</f>
        <v>0</v>
      </c>
      <c r="CD48" s="21"/>
      <c r="CE48" s="21"/>
      <c r="CF48" s="30"/>
      <c r="CG48" s="23">
        <f t="shared" si="157"/>
        <v>11</v>
      </c>
      <c r="CH48" s="24" t="str">
        <f t="shared" si="35"/>
        <v>↓</v>
      </c>
      <c r="CI48" s="25"/>
      <c r="CJ48" s="26">
        <f t="shared" si="36"/>
        <v>4</v>
      </c>
      <c r="CK48" s="26">
        <f t="shared" si="37"/>
        <v>0</v>
      </c>
      <c r="CL48" s="26">
        <f>SUM(CM48*2)+(CN48*1) + SUMIFS(MATCH_INPUT!$G$30:$G$33, MATCH_INPUT!$F$30:$F$33, CI48) + SUMIFS(MATCH_INPUT!$I$30:$I$33, MATCH_INPUT!$J$30:$J$33, CI48)
</f>
        <v>0</v>
      </c>
      <c r="CM48" s="26">
        <f>IF(CI48&lt;&gt;"",
    COUNTIFS(MATCH_INPUT!$K$30:$K$33,CI48),
0)</f>
        <v>0</v>
      </c>
      <c r="CN48" s="26">
        <f>IF(CI48&lt;&gt;"",
    COUNTIFS(MATCH_INPUT!$F$30:$F$33, CI48, MATCH_INPUT!$K$30:$K$33, "Draw") +
    COUNTIFS(MATCH_INPUT!$J$30:$J$33, CI48, MATCH_INPUT!$K$30:$K$33, "Draw"),
0)</f>
        <v>0</v>
      </c>
      <c r="CO48" s="26">
        <f>IF(CI48&lt;&gt;"",
    COUNTIFS(MATCH_INPUT!$F$30:$F$33, CI48, MATCH_INPUT!$K$30:$K$33, "&lt;&gt;"&amp;CI48, MATCH_INPUT!$K$30:$K$33, "&lt;&gt;Draw", MATCH_INPUT!$K$30:$K$33, "&lt;&gt;""") +
    COUNTIFS(MATCH_INPUT!$J$30:$J$33, CI48, MATCH_INPUT!$K$30:$K$33, "&lt;&gt;"&amp;CI48, MATCH_INPUT!$K$30:$K$33, "&lt;&gt;Draw", MATCH_INPUT!$K$30:$K$33, "&lt;&gt;"""),
0)</f>
        <v>0</v>
      </c>
      <c r="CP48" s="27" t="str">
        <f t="array" ref="CP48">IFERROR(INDEX(Form_Response!E:E, MATCH(1, (Form_Response!C:C='MATCH DATES'!$B$9)*(Form_Response!D:D=B48), 0)), "")
</f>
        <v/>
      </c>
      <c r="CQ48" s="27">
        <f t="array" ref="CQ48">IFERROR(IF(INDEX(Form_Response!F:F, MATCH(1, (Form_Response!C:C='MATCH DATES'!$B$9)*(Form_Response!D:D=B48), 0))="Yes", 1, 0), 0)
</f>
        <v>0</v>
      </c>
      <c r="CR48" s="28" t="str">
        <f t="array" ref="CR48">IFERROR(INDEX(Form_Response!G:G, MATCH(1, (Form_Response!C:C='MATCH DATES'!$B$9)*(Form_Response!D:D=B48), 0)), "")
</f>
        <v/>
      </c>
      <c r="CS48" s="31">
        <f t="shared" si="158"/>
        <v>13</v>
      </c>
      <c r="CT48" s="31" t="str">
        <f t="shared" si="39"/>
        <v>↓</v>
      </c>
      <c r="CU48" s="32">
        <f t="shared" si="40"/>
        <v>2</v>
      </c>
      <c r="CV48" s="32" t="str">
        <f t="shared" ref="CV48:CW48" si="183">A48</f>
        <v/>
      </c>
      <c r="CW48" s="33" t="str">
        <f t="shared" si="183"/>
        <v>🔄 (Chilas)</v>
      </c>
      <c r="CX48" s="33">
        <f t="shared" si="42"/>
        <v>4</v>
      </c>
      <c r="CY48" s="32">
        <f>SUM(
  IF(AND('MATCH DATES'!$A$2 &lt;= TODAY(), NOW() &gt;= 'MATCH DATES'!$A$2 + TIME(22, 0, 0)), E48, 0),
  IF(AND('MATCH DATES'!$A$3 &lt;= TODAY(), NOW() &gt;= 'MATCH DATES'!$A$3 + TIME(22, 0, 0)), Q48, 0),
  IF(AND('MATCH DATES'!$A$4 &lt;= TODAY(), NOW() &gt;= 'MATCH DATES'!$A$4 + TIME(22, 0, 0)), AC48, 0),
  IF(AND('MATCH DATES'!$A$5 &lt;= TODAY(), NOW() &gt;= 'MATCH DATES'!$A$5 + TIME(22, 0, 0)), AO48, 0),
  IF(AND('MATCH DATES'!$A$6 &lt;= TODAY(), NOW() &gt;= 'MATCH DATES'!$A$6 + TIME(22, 0, 0)), BA48, 0),
  IF(AND('MATCH DATES'!$A$7 &lt;= TODAY(), NOW() &gt;= 'MATCH DATES'!$A$7 + TIME(22, 0, 0)), BM48, 0),
  IF(AND('MATCH DATES'!$A$8 &lt;= TODAY(), NOW() &gt;= 'MATCH DATES'!$A$8 + TIME(22, 0, 0)), BY48, 0),
  IF(AND('MATCH DATES'!$A$9 &lt;= TODAY(), NOW() &gt;= 'MATCH DATES'!$A$9 + TIME(22, 0, 0)), CK48, 0)
)
</f>
        <v>2</v>
      </c>
      <c r="CZ48" s="33">
        <f t="shared" ref="CZ48:DA48" si="184">SUM(G48,S48,AE48,AQ48,BC48,BO48,CA48,CM48)</f>
        <v>1</v>
      </c>
      <c r="DA48" s="33">
        <f t="shared" si="184"/>
        <v>0</v>
      </c>
      <c r="DB48" s="33">
        <f>SUM(
  IF(AND('MATCH DATES'!$A$2 &lt;= TODAY(), NOW() &gt;= 'MATCH DATES'!$A$2 + TIME(22, 0, 0)), I48, 0),
  IF(AND('MATCH DATES'!$A$3 &lt;= TODAY(), NOW() &gt;= 'MATCH DATES'!$A$3 + TIME(22, 0, 0)), U48, 0),
  IF(AND('MATCH DATES'!$A$4 &lt;= TODAY(), NOW() &gt;= 'MATCH DATES'!$A$4 + TIME(22, 0, 0)), AG48, 0),
  IF(AND('MATCH DATES'!$A$5 &lt;= TODAY(), NOW() &gt;= 'MATCH DATES'!$A$5 + TIME(22, 0, 0)), AS48, 0),
  IF(AND('MATCH DATES'!$A$6 &lt;= TODAY(), NOW() &gt;= 'MATCH DATES'!$A$6 + TIME(22, 0, 0)), BE48, 0),
  IF(AND('MATCH DATES'!$A$7 &lt;= TODAY(), NOW() &gt;= 'MATCH DATES'!$A$7 + TIME(22, 0, 0)), BQ48, 0),
  IF(AND('MATCH DATES'!$A$8 &lt;= TODAY(), NOW() &gt;= 'MATCH DATES'!$A$8 + TIME(22, 0, 0)), CC48, 0),
  IF(AND('MATCH DATES'!$A$9 &lt;= TODAY(), NOW() &gt;= 'MATCH DATES'!$A$9 + TIME(22, 0, 0)), CO48, 0)
)</f>
        <v>1</v>
      </c>
      <c r="DC48" s="33">
        <f t="shared" si="44"/>
        <v>1</v>
      </c>
      <c r="DD48" s="33">
        <f t="shared" ref="DD48:DE48" si="185">SUM(K48,W48,AI48,AU48,BG48,BS48,CE48,CQ48)</f>
        <v>0</v>
      </c>
      <c r="DE48" s="33">
        <f t="shared" si="185"/>
        <v>0</v>
      </c>
    </row>
    <row r="49" ht="24.75" customHeight="1">
      <c r="A49" s="17"/>
      <c r="B49" s="18" t="s">
        <v>187</v>
      </c>
      <c r="C49" s="37"/>
      <c r="D49" s="20">
        <f t="shared" si="4"/>
        <v>0</v>
      </c>
      <c r="E49" s="20">
        <f t="shared" si="5"/>
        <v>0</v>
      </c>
      <c r="F49" s="20">
        <f t="shared" si="6"/>
        <v>0</v>
      </c>
      <c r="G49" s="20">
        <f>IF(C49&lt;&gt;"",
    COUNTIFS(MATCH_INPUT!$K$2:$K$5,C49),
0)</f>
        <v>0</v>
      </c>
      <c r="H49" s="20">
        <f>IF(C49&lt;&gt;"",
    COUNTIFS(MATCH_INPUT!$F$2:$F$5, C49, MATCH_INPUT!$K$2:$K$5, "Draw") +
    COUNTIFS(MATCH_INPUT!$J$2:$J$5, C49, MATCH_INPUT!$K$2:$K$5, "Draw"),
0)</f>
        <v>0</v>
      </c>
      <c r="I49" s="20">
        <f>IF(C49&lt;&gt;"",
    COUNTIFS(MATCH_INPUT!$F$2:$F$5, C49, MATCH_INPUT!$K$2:$K$5, "&lt;&gt;"&amp;C49, MATCH_INPUT!$K$2:$K$5, "&lt;&gt;Draw", MATCH_INPUT!$K$2:$K$5, "&lt;&gt;""") +
    COUNTIFS(MATCH_INPUT!$J$2:$J$5, C49, MATCH_INPUT!$K$2:$K$5, "&lt;&gt;"&amp;C49, MATCH_INPUT!$K$2:$K$5, "&lt;&gt;Draw", MATCH_INPUT!$K$2:$K$5, "&lt;&gt;"""),
0)</f>
        <v>0</v>
      </c>
      <c r="J49" s="21"/>
      <c r="K49" s="21"/>
      <c r="L49" s="22"/>
      <c r="M49" s="23">
        <f t="shared" si="151"/>
        <v>4</v>
      </c>
      <c r="N49" s="24" t="str">
        <f t="shared" si="8"/>
        <v>↓</v>
      </c>
      <c r="O49" s="25"/>
      <c r="P49" s="26">
        <f t="shared" si="9"/>
        <v>0</v>
      </c>
      <c r="Q49" s="26">
        <f t="shared" si="10"/>
        <v>0</v>
      </c>
      <c r="R49" s="26">
        <f t="shared" si="11"/>
        <v>0</v>
      </c>
      <c r="S49" s="26">
        <f>IF(O49&lt;&gt;"",
    COUNTIFS(MATCH_INPUT!$K$6:$K$9,O49),
0)</f>
        <v>0</v>
      </c>
      <c r="T49" s="26">
        <f>IF(O49&lt;&gt;"",
    COUNTIFS(MATCH_INPUT!$F$6:$F$9, O49, MATCH_INPUT!$K$6:$K$9, "Draw") +
    COUNTIFS(MATCH_INPUT!$J$6:$J$9, O49, MATCH_INPUT!$K$6:$K$9, "Draw"),
0)</f>
        <v>0</v>
      </c>
      <c r="U49" s="26">
        <f>IF(O49&lt;&gt;"",
    COUNTIFS(MATCH_INPUT!$F$6:$F$9, O49, MATCH_INPUT!$K$6:$K$9, "&lt;&gt;"&amp;O49, MATCH_INPUT!$K$6:$K$9, "&lt;&gt;Draw", MATCH_INPUT!$K$6:$K$9, "&lt;&gt;""") +
    COUNTIFS(MATCH_INPUT!$J$6:$J$9, O49, MATCH_INPUT!$K$6:$K$9, "&lt;&gt;"&amp;O49, MATCH_INPUT!$K$6:$K$9, "&lt;&gt;Draw", MATCH_INPUT!$K$6:$K$9, "&lt;&gt;"""),
0)</f>
        <v>0</v>
      </c>
      <c r="V49" s="27"/>
      <c r="W49" s="27"/>
      <c r="X49" s="28"/>
      <c r="Y49" s="26">
        <f t="shared" si="152"/>
        <v>7</v>
      </c>
      <c r="Z49" s="29" t="str">
        <f t="shared" si="13"/>
        <v>↓</v>
      </c>
      <c r="AA49" s="19" t="s">
        <v>139</v>
      </c>
      <c r="AB49" s="23">
        <f t="shared" si="14"/>
        <v>4</v>
      </c>
      <c r="AC49" s="20">
        <f t="shared" si="15"/>
        <v>2</v>
      </c>
      <c r="AD49" s="20">
        <f t="shared" si="16"/>
        <v>2</v>
      </c>
      <c r="AE49" s="20">
        <f>IF(AA49&lt;&gt;"",
    COUNTIFS(MATCH_INPUT!$K$10:$K$13,AA49),
0)</f>
        <v>1</v>
      </c>
      <c r="AF49" s="20">
        <f>IF(AA49&lt;&gt;"",
    COUNTIFS(MATCH_INPUT!$F$10:$F$13, AA49, MATCH_INPUT!$K$10:$K$13, "Draw") +
    COUNTIFS(MATCH_INPUT!$J$10:$J$13, AA49, MATCH_INPUT!$K$10:$K$13, "Draw"),
0)</f>
        <v>0</v>
      </c>
      <c r="AG49" s="20">
        <f>IF(AA49&lt;&gt;"",
    COUNTIFS(MATCH_INPUT!$F$10:$F$13, AA49, MATCH_INPUT!$K$10:$K$13, "&lt;&gt;"&amp;AA49, MATCH_INPUT!$K$10:$K$13, "&lt;&gt;Draw", MATCH_INPUT!$K$10:$K$13, "&lt;&gt;""") +
    COUNTIFS(MATCH_INPUT!$J$10:$J$13, AA49, MATCH_INPUT!$K$10:$K$13, "&lt;&gt;"&amp;AA49, MATCH_INPUT!$K$10:$K$13, "&lt;&gt;Draw", MATCH_INPUT!$K$10:$K$13, "&lt;&gt;"""),
0)</f>
        <v>1</v>
      </c>
      <c r="AH49" s="21"/>
      <c r="AI49" s="21"/>
      <c r="AJ49" s="30"/>
      <c r="AK49" s="23">
        <f t="shared" si="153"/>
        <v>5</v>
      </c>
      <c r="AL49" s="24" t="str">
        <f t="shared" si="18"/>
        <v>↑</v>
      </c>
      <c r="AM49" s="25"/>
      <c r="AN49" s="26">
        <f t="shared" si="19"/>
        <v>4</v>
      </c>
      <c r="AO49" s="26">
        <f t="shared" si="20"/>
        <v>0</v>
      </c>
      <c r="AP49" s="26">
        <f t="shared" si="21"/>
        <v>0</v>
      </c>
      <c r="AQ49" s="26">
        <f>IF(AM49&lt;&gt;"",
    COUNTIFS(MATCH_INPUT!$K$14:$K$17,AM49),
0)</f>
        <v>0</v>
      </c>
      <c r="AR49" s="26">
        <f>IF(AM49&lt;&gt;"",
    COUNTIFS(MATCH_INPUT!$F$14:$F$17, AM49, MATCH_INPUT!$K$14:$K$17, "Draw") +
    COUNTIFS(MATCH_INPUT!$J$14:$J$17, AM49, MATCH_INPUT!$K$14:$K$17, "Draw"),
0)</f>
        <v>0</v>
      </c>
      <c r="AS49" s="26">
        <f>IF(AM49&lt;&gt;"",
    COUNTIFS(MATCH_INPUT!$F$14:$F$17, AM49, MATCH_INPUT!$K$14:$K$17, "&lt;&gt;"&amp;AM49, MATCH_INPUT!$K$14:$K$17, "&lt;&gt;Draw", MATCH_INPUT!$K$14:$K$17, "&lt;&gt;""") +
    COUNTIFS(MATCH_INPUT!$J$14:$J$17, AM49, MATCH_INPUT!$K$14:$K$17, "&lt;&gt;"&amp;AM49, MATCH_INPUT!$K$14:$K$17, "&lt;&gt;Draw", MATCH_INPUT!$K$14:$K$17, "&lt;&gt;"""),
0)</f>
        <v>0</v>
      </c>
      <c r="AT49" s="27"/>
      <c r="AU49" s="27"/>
      <c r="AV49" s="28"/>
      <c r="AW49" s="26">
        <f t="shared" si="154"/>
        <v>6</v>
      </c>
      <c r="AX49" s="29" t="str">
        <f t="shared" si="23"/>
        <v>↓</v>
      </c>
      <c r="AY49" s="19"/>
      <c r="AZ49" s="23">
        <f t="shared" si="24"/>
        <v>4</v>
      </c>
      <c r="BA49" s="20">
        <f t="shared" si="25"/>
        <v>0</v>
      </c>
      <c r="BB49" s="20">
        <f>SUM(BC49*2) + (BD49*1) + SUMIFS(MATCH_INPUT!$G$18:$G$21, MATCH_INPUT!$F$18:$F$21, AY49) + SUMIFS(MATCH_INPUT!$I$18:$I$21, MATCH_INPUT!$J$18:$J$21, AY49)
</f>
        <v>0</v>
      </c>
      <c r="BC49" s="20">
        <f>IF(AY49&lt;&gt;"",
    COUNTIFS(MATCH_INPUT!$K$18:$K$21,AY49),
0)</f>
        <v>0</v>
      </c>
      <c r="BD49" s="20">
        <f>IF(AY49&lt;&gt;"",
    COUNTIFS(MATCH_INPUT!$F$18:$F$21, AY49, MATCH_INPUT!$K$18:$K$21, "Draw") +
    COUNTIFS(MATCH_INPUT!$J$18:$J$21, AY49, MATCH_INPUT!$K$18:$K$21, "Draw"),
0)</f>
        <v>0</v>
      </c>
      <c r="BE49" s="20">
        <f>IF(AY49&lt;&gt;"",
    COUNTIFS(MATCH_INPUT!$F$18:$F$21, AY49, MATCH_INPUT!$K$18:$K$21, "&lt;&gt;"&amp;AY49, MATCH_INPUT!$K$18:$K$21, "&lt;&gt;Draw", MATCH_INPUT!$K$18:$K$21, "&lt;&gt;""") +
    COUNTIFS(MATCH_INPUT!$J$18:$J$21, AY49, MATCH_INPUT!$K$18:$K$21, "&lt;&gt;"&amp;AY49, MATCH_INPUT!$K$18:$K$21, "&lt;&gt;Draw", MATCH_INPUT!$K$18:$K$21, "&lt;&gt;"""),
0)</f>
        <v>0</v>
      </c>
      <c r="BF49" s="21" t="str">
        <f t="array" ref="BF49">IFERROR(INDEX(Form_Response!E:E, MATCH(1, (Form_Response!C:C='MATCH DATES'!$B$6)*(Form_Response!D:D=B49), 0)), "")
</f>
        <v/>
      </c>
      <c r="BG49" s="21">
        <f t="array" ref="BG49">IFERROR(IF(INDEX(Form_Response!F:F, MATCH(1, (Form_Response!C:C='MATCH DATES'!$B$6)*(Form_Response!D:D=B49), 0))="Yes", 1, 0), 0)
</f>
        <v>0</v>
      </c>
      <c r="BH49" s="30" t="str">
        <f t="array" ref="BH49">IFERROR(INDEX(Form_Response!G:G, MATCH(1, (Form_Response!C:C='MATCH DATES'!$B$6)*(Form_Response!D:D=B49), 0)), "")
</f>
        <v/>
      </c>
      <c r="BI49" s="23">
        <f t="shared" si="155"/>
        <v>7</v>
      </c>
      <c r="BJ49" s="24" t="str">
        <f t="shared" si="27"/>
        <v>↓</v>
      </c>
      <c r="BK49" s="38"/>
      <c r="BL49" s="26">
        <f t="shared" si="28"/>
        <v>4</v>
      </c>
      <c r="BM49" s="26">
        <f t="shared" si="29"/>
        <v>0</v>
      </c>
      <c r="BN49" s="26">
        <f>SUM(BO49*2) + (BP49*1) + SUMIFS(MATCH_INPUT!$G$22:$G$25, MATCH_INPUT!$F$22:$F$25, BK49) + SUMIFS(MATCH_INPUT!$I$22:$I$25, MATCH_INPUT!$J$22:$J$25, BK49)
</f>
        <v>0</v>
      </c>
      <c r="BO49" s="26">
        <f>IF(BK49&lt;&gt;"",
    COUNTIFS(MATCH_INPUT!$K$22:$K$25,BK49),
0)</f>
        <v>0</v>
      </c>
      <c r="BP49" s="26">
        <f>IF(BK49&lt;&gt;"",
    COUNTIFS(MATCH_INPUT!$F$22:$F$25, BK49, MATCH_INPUT!$K$22:$K$25, "Draw") +
    COUNTIFS(MATCH_INPUT!$J$22:$J$25, BK49, MATCH_INPUT!$K$22:$K$25, "Draw"),
0)</f>
        <v>0</v>
      </c>
      <c r="BQ49" s="26">
        <f>IF(BK49&lt;&gt;"",
    COUNTIFS(MATCH_INPUT!$F$22:$F$25, BK49, MATCH_INPUT!$K$22:$K$25, "&lt;&gt;"&amp;BK49, MATCH_INPUT!$K$22:$K$25, "&lt;&gt;Draw", MATCH_INPUT!$K$22:$K$25, "&lt;&gt;""") +
    COUNTIFS(MATCH_INPUT!$J$22:$J$25, BK49, MATCH_INPUT!$K$22:$K$25, "&lt;&gt;"&amp;BK49, MATCH_INPUT!$K$22:$K$25, "&lt;&gt;Draw", MATCH_INPUT!$K$22:$K$25, "&lt;&gt;"""),
0)</f>
        <v>0</v>
      </c>
      <c r="BR49" s="27"/>
      <c r="BS49" s="27"/>
      <c r="BT49" s="28"/>
      <c r="BU49" s="26">
        <f t="shared" si="156"/>
        <v>10</v>
      </c>
      <c r="BV49" s="29" t="str">
        <f t="shared" si="31"/>
        <v>↓</v>
      </c>
      <c r="BW49" s="37"/>
      <c r="BX49" s="23">
        <f t="shared" si="32"/>
        <v>4</v>
      </c>
      <c r="BY49" s="20">
        <f t="shared" si="33"/>
        <v>0</v>
      </c>
      <c r="BZ49" s="20">
        <f>SUM(CA49*2)+(CB49*1) + SUMIFS(MATCH_INPUT!$G$26:$G$29, MATCH_INPUT!$F$26:$F$29, BW49) + SUMIFS(MATCH_INPUT!$I$26:$I$29, MATCH_INPUT!$J$26:$J$29, BW49)
</f>
        <v>0</v>
      </c>
      <c r="CA49" s="20">
        <f>IF(BW49&lt;&gt;"",
    COUNTIFS(MATCH_INPUT!$K$26:$K$29,BW49),
0)</f>
        <v>0</v>
      </c>
      <c r="CB49" s="20">
        <f>IF(BW49&lt;&gt;"",
    COUNTIFS(MATCH_INPUT!$F$26:$F$29, BW49, MATCH_INPUT!$K$26:$K$29, "Draw") +
    COUNTIFS(MATCH_INPUT!$J$26:$J$29, BW49, MATCH_INPUT!$K$26:$K$29, "Draw"),
0)</f>
        <v>0</v>
      </c>
      <c r="CC49" s="20">
        <f>IF(BW49&lt;&gt;"",
    COUNTIFS(MATCH_INPUT!$F$26:$F$29, BW49, MATCH_INPUT!$K$26:$K$29, "&lt;&gt;"&amp;BW49, MATCH_INPUT!$K$26:$K$29, "&lt;&gt;Draw", MATCH_INPUT!$K$26:$K$29, "&lt;&gt;""") +
    COUNTIFS(MATCH_INPUT!$J$26:$J$29, BW49, MATCH_INPUT!$K$26:$K$29, "&lt;&gt;"&amp;BW49, MATCH_INPUT!$K$26:$K$29, "&lt;&gt;Draw", MATCH_INPUT!$K$26:$K$29, "&lt;&gt;"""),
0)</f>
        <v>0</v>
      </c>
      <c r="CD49" s="21"/>
      <c r="CE49" s="21"/>
      <c r="CF49" s="30"/>
      <c r="CG49" s="23">
        <f t="shared" si="157"/>
        <v>11</v>
      </c>
      <c r="CH49" s="24" t="str">
        <f t="shared" si="35"/>
        <v>↓</v>
      </c>
      <c r="CI49" s="25"/>
      <c r="CJ49" s="26">
        <f t="shared" si="36"/>
        <v>4</v>
      </c>
      <c r="CK49" s="26">
        <f t="shared" si="37"/>
        <v>0</v>
      </c>
      <c r="CL49" s="26">
        <f>SUM(CM49*2)+(CN49*1) + SUMIFS(MATCH_INPUT!$G$30:$G$33, MATCH_INPUT!$F$30:$F$33, CI49) + SUMIFS(MATCH_INPUT!$I$30:$I$33, MATCH_INPUT!$J$30:$J$33, CI49)
</f>
        <v>0</v>
      </c>
      <c r="CM49" s="26">
        <f>IF(CI49&lt;&gt;"",
    COUNTIFS(MATCH_INPUT!$K$30:$K$33,CI49),
0)</f>
        <v>0</v>
      </c>
      <c r="CN49" s="26">
        <f>IF(CI49&lt;&gt;"",
    COUNTIFS(MATCH_INPUT!$F$30:$F$33, CI49, MATCH_INPUT!$K$30:$K$33, "Draw") +
    COUNTIFS(MATCH_INPUT!$J$30:$J$33, CI49, MATCH_INPUT!$K$30:$K$33, "Draw"),
0)</f>
        <v>0</v>
      </c>
      <c r="CO49" s="26">
        <f>IF(CI49&lt;&gt;"",
    COUNTIFS(MATCH_INPUT!$F$30:$F$33, CI49, MATCH_INPUT!$K$30:$K$33, "&lt;&gt;"&amp;CI49, MATCH_INPUT!$K$30:$K$33, "&lt;&gt;Draw", MATCH_INPUT!$K$30:$K$33, "&lt;&gt;""") +
    COUNTIFS(MATCH_INPUT!$J$30:$J$33, CI49, MATCH_INPUT!$K$30:$K$33, "&lt;&gt;"&amp;CI49, MATCH_INPUT!$K$30:$K$33, "&lt;&gt;Draw", MATCH_INPUT!$K$30:$K$33, "&lt;&gt;"""),
0)</f>
        <v>0</v>
      </c>
      <c r="CP49" s="27" t="str">
        <f t="array" ref="CP49">IFERROR(INDEX(Form_Response!E:E, MATCH(1, (Form_Response!C:C='MATCH DATES'!$B$9)*(Form_Response!D:D=B49), 0)), "")
</f>
        <v/>
      </c>
      <c r="CQ49" s="27">
        <f t="array" ref="CQ49">IFERROR(IF(INDEX(Form_Response!F:F, MATCH(1, (Form_Response!C:C='MATCH DATES'!$B$9)*(Form_Response!D:D=B49), 0))="Yes", 1, 0), 0)
</f>
        <v>0</v>
      </c>
      <c r="CR49" s="28" t="str">
        <f t="array" ref="CR49">IFERROR(INDEX(Form_Response!G:G, MATCH(1, (Form_Response!C:C='MATCH DATES'!$B$9)*(Form_Response!D:D=B49), 0)), "")
</f>
        <v/>
      </c>
      <c r="CS49" s="31">
        <f t="shared" si="158"/>
        <v>13</v>
      </c>
      <c r="CT49" s="31" t="str">
        <f t="shared" si="39"/>
        <v>↓</v>
      </c>
      <c r="CU49" s="32">
        <f t="shared" si="40"/>
        <v>2</v>
      </c>
      <c r="CV49" s="32" t="str">
        <f t="shared" ref="CV49:CW49" si="186">A49</f>
        <v/>
      </c>
      <c r="CW49" s="33" t="str">
        <f t="shared" si="186"/>
        <v>🔄 (Netto)</v>
      </c>
      <c r="CX49" s="33">
        <f t="shared" si="42"/>
        <v>4</v>
      </c>
      <c r="CY49" s="32">
        <f>SUM(
  IF(AND('MATCH DATES'!$A$2 &lt;= TODAY(), NOW() &gt;= 'MATCH DATES'!$A$2 + TIME(22, 0, 0)), E49, 0),
  IF(AND('MATCH DATES'!$A$3 &lt;= TODAY(), NOW() &gt;= 'MATCH DATES'!$A$3 + TIME(22, 0, 0)), Q49, 0),
  IF(AND('MATCH DATES'!$A$4 &lt;= TODAY(), NOW() &gt;= 'MATCH DATES'!$A$4 + TIME(22, 0, 0)), AC49, 0),
  IF(AND('MATCH DATES'!$A$5 &lt;= TODAY(), NOW() &gt;= 'MATCH DATES'!$A$5 + TIME(22, 0, 0)), AO49, 0),
  IF(AND('MATCH DATES'!$A$6 &lt;= TODAY(), NOW() &gt;= 'MATCH DATES'!$A$6 + TIME(22, 0, 0)), BA49, 0),
  IF(AND('MATCH DATES'!$A$7 &lt;= TODAY(), NOW() &gt;= 'MATCH DATES'!$A$7 + TIME(22, 0, 0)), BM49, 0),
  IF(AND('MATCH DATES'!$A$8 &lt;= TODAY(), NOW() &gt;= 'MATCH DATES'!$A$8 + TIME(22, 0, 0)), BY49, 0),
  IF(AND('MATCH DATES'!$A$9 &lt;= TODAY(), NOW() &gt;= 'MATCH DATES'!$A$9 + TIME(22, 0, 0)), CK49, 0)
)
</f>
        <v>2</v>
      </c>
      <c r="CZ49" s="33">
        <f t="shared" ref="CZ49:DA49" si="187">SUM(G49,S49,AE49,AQ49,BC49,BO49,CA49,CM49)</f>
        <v>1</v>
      </c>
      <c r="DA49" s="33">
        <f t="shared" si="187"/>
        <v>0</v>
      </c>
      <c r="DB49" s="33">
        <f>SUM(
  IF(AND('MATCH DATES'!$A$2 &lt;= TODAY(), NOW() &gt;= 'MATCH DATES'!$A$2 + TIME(22, 0, 0)), I49, 0),
  IF(AND('MATCH DATES'!$A$3 &lt;= TODAY(), NOW() &gt;= 'MATCH DATES'!$A$3 + TIME(22, 0, 0)), U49, 0),
  IF(AND('MATCH DATES'!$A$4 &lt;= TODAY(), NOW() &gt;= 'MATCH DATES'!$A$4 + TIME(22, 0, 0)), AG49, 0),
  IF(AND('MATCH DATES'!$A$5 &lt;= TODAY(), NOW() &gt;= 'MATCH DATES'!$A$5 + TIME(22, 0, 0)), AS49, 0),
  IF(AND('MATCH DATES'!$A$6 &lt;= TODAY(), NOW() &gt;= 'MATCH DATES'!$A$6 + TIME(22, 0, 0)), BE49, 0),
  IF(AND('MATCH DATES'!$A$7 &lt;= TODAY(), NOW() &gt;= 'MATCH DATES'!$A$7 + TIME(22, 0, 0)), BQ49, 0),
  IF(AND('MATCH DATES'!$A$8 &lt;= TODAY(), NOW() &gt;= 'MATCH DATES'!$A$8 + TIME(22, 0, 0)), CC49, 0),
  IF(AND('MATCH DATES'!$A$9 &lt;= TODAY(), NOW() &gt;= 'MATCH DATES'!$A$9 + TIME(22, 0, 0)), CO49, 0)
)</f>
        <v>1</v>
      </c>
      <c r="DC49" s="33">
        <f t="shared" si="44"/>
        <v>0</v>
      </c>
      <c r="DD49" s="33">
        <f t="shared" ref="DD49:DE49" si="188">SUM(K49,W49,AI49,AU49,BG49,BS49,CE49,CQ49)</f>
        <v>0</v>
      </c>
      <c r="DE49" s="33">
        <f t="shared" si="188"/>
        <v>0</v>
      </c>
    </row>
    <row r="50" ht="24.75" customHeight="1">
      <c r="A50" s="17"/>
      <c r="B50" s="18" t="s">
        <v>188</v>
      </c>
      <c r="C50" s="35"/>
      <c r="D50" s="20">
        <f t="shared" si="4"/>
        <v>0</v>
      </c>
      <c r="E50" s="20">
        <f t="shared" si="5"/>
        <v>0</v>
      </c>
      <c r="F50" s="20">
        <f t="shared" si="6"/>
        <v>0</v>
      </c>
      <c r="G50" s="20">
        <f>IF(C50&lt;&gt;"",
    COUNTIFS(MATCH_INPUT!$K$2:$K$5,C50),
0)</f>
        <v>0</v>
      </c>
      <c r="H50" s="20">
        <f>IF(C50&lt;&gt;"",
    COUNTIFS(MATCH_INPUT!$F$2:$F$5, C50, MATCH_INPUT!$K$2:$K$5, "Draw") +
    COUNTIFS(MATCH_INPUT!$J$2:$J$5, C50, MATCH_INPUT!$K$2:$K$5, "Draw"),
0)</f>
        <v>0</v>
      </c>
      <c r="I50" s="20">
        <f>IF(C50&lt;&gt;"",
    COUNTIFS(MATCH_INPUT!$F$2:$F$5, C50, MATCH_INPUT!$K$2:$K$5, "&lt;&gt;"&amp;C50, MATCH_INPUT!$K$2:$K$5, "&lt;&gt;Draw", MATCH_INPUT!$K$2:$K$5, "&lt;&gt;""") +
    COUNTIFS(MATCH_INPUT!$J$2:$J$5, C50, MATCH_INPUT!$K$2:$K$5, "&lt;&gt;"&amp;C50, MATCH_INPUT!$K$2:$K$5, "&lt;&gt;Draw", MATCH_INPUT!$K$2:$K$5, "&lt;&gt;"""),
0)</f>
        <v>0</v>
      </c>
      <c r="J50" s="21"/>
      <c r="K50" s="21"/>
      <c r="L50" s="22"/>
      <c r="M50" s="23">
        <f t="shared" si="151"/>
        <v>4</v>
      </c>
      <c r="N50" s="24" t="str">
        <f t="shared" si="8"/>
        <v>↓</v>
      </c>
      <c r="O50" s="25" t="s">
        <v>138</v>
      </c>
      <c r="P50" s="26">
        <f t="shared" si="9"/>
        <v>2</v>
      </c>
      <c r="Q50" s="26">
        <f t="shared" si="10"/>
        <v>2</v>
      </c>
      <c r="R50" s="26">
        <f t="shared" si="11"/>
        <v>0</v>
      </c>
      <c r="S50" s="26">
        <f>IF(O50&lt;&gt;"",
    COUNTIFS(MATCH_INPUT!$K$6:$K$9,O50),
0)</f>
        <v>0</v>
      </c>
      <c r="T50" s="26">
        <f>IF(O50&lt;&gt;"",
    COUNTIFS(MATCH_INPUT!$F$6:$F$9, O50, MATCH_INPUT!$K$6:$K$9, "Draw") +
    COUNTIFS(MATCH_INPUT!$J$6:$J$9, O50, MATCH_INPUT!$K$6:$K$9, "Draw"),
0)</f>
        <v>0</v>
      </c>
      <c r="U50" s="26">
        <f>IF(O50&lt;&gt;"",
    COUNTIFS(MATCH_INPUT!$F$6:$F$9, O50, MATCH_INPUT!$K$6:$K$9, "&lt;&gt;"&amp;O50, MATCH_INPUT!$K$6:$K$9, "&lt;&gt;Draw", MATCH_INPUT!$K$6:$K$9, "&lt;&gt;""") +
    COUNTIFS(MATCH_INPUT!$J$6:$J$9, O50, MATCH_INPUT!$K$6:$K$9, "&lt;&gt;"&amp;O50, MATCH_INPUT!$K$6:$K$9, "&lt;&gt;Draw", MATCH_INPUT!$K$6:$K$9, "&lt;&gt;"""),
0)</f>
        <v>2</v>
      </c>
      <c r="V50" s="27"/>
      <c r="W50" s="27"/>
      <c r="X50" s="28"/>
      <c r="Y50" s="26">
        <f t="shared" si="152"/>
        <v>6</v>
      </c>
      <c r="Z50" s="29" t="str">
        <f t="shared" si="13"/>
        <v>↓</v>
      </c>
      <c r="AA50" s="19" t="s">
        <v>138</v>
      </c>
      <c r="AB50" s="23">
        <f t="shared" si="14"/>
        <v>4</v>
      </c>
      <c r="AC50" s="20">
        <f t="shared" si="15"/>
        <v>2</v>
      </c>
      <c r="AD50" s="20">
        <f t="shared" si="16"/>
        <v>0</v>
      </c>
      <c r="AE50" s="20">
        <f>IF(AA50&lt;&gt;"",
    COUNTIFS(MATCH_INPUT!$K$10:$K$13,AA50),
0)</f>
        <v>0</v>
      </c>
      <c r="AF50" s="20">
        <f>IF(AA50&lt;&gt;"",
    COUNTIFS(MATCH_INPUT!$F$10:$F$13, AA50, MATCH_INPUT!$K$10:$K$13, "Draw") +
    COUNTIFS(MATCH_INPUT!$J$10:$J$13, AA50, MATCH_INPUT!$K$10:$K$13, "Draw"),
0)</f>
        <v>0</v>
      </c>
      <c r="AG50" s="20">
        <f>IF(AA50&lt;&gt;"",
    COUNTIFS(MATCH_INPUT!$F$10:$F$13, AA50, MATCH_INPUT!$K$10:$K$13, "&lt;&gt;"&amp;AA50, MATCH_INPUT!$K$10:$K$13, "&lt;&gt;Draw", MATCH_INPUT!$K$10:$K$13, "&lt;&gt;""") +
    COUNTIFS(MATCH_INPUT!$J$10:$J$13, AA50, MATCH_INPUT!$K$10:$K$13, "&lt;&gt;"&amp;AA50, MATCH_INPUT!$K$10:$K$13, "&lt;&gt;Draw", MATCH_INPUT!$K$10:$K$13, "&lt;&gt;"""),
0)</f>
        <v>2</v>
      </c>
      <c r="AH50" s="21"/>
      <c r="AI50" s="21"/>
      <c r="AJ50" s="30"/>
      <c r="AK50" s="23">
        <f t="shared" si="153"/>
        <v>5</v>
      </c>
      <c r="AL50" s="24" t="str">
        <f t="shared" si="18"/>
        <v>↑</v>
      </c>
      <c r="AM50" s="25"/>
      <c r="AN50" s="26">
        <f t="shared" si="19"/>
        <v>4</v>
      </c>
      <c r="AO50" s="26">
        <f t="shared" si="20"/>
        <v>0</v>
      </c>
      <c r="AP50" s="26">
        <f t="shared" si="21"/>
        <v>0</v>
      </c>
      <c r="AQ50" s="26">
        <f>IF(AM50&lt;&gt;"",
    COUNTIFS(MATCH_INPUT!$K$14:$K$17,AM50),
0)</f>
        <v>0</v>
      </c>
      <c r="AR50" s="26">
        <f>IF(AM50&lt;&gt;"",
    COUNTIFS(MATCH_INPUT!$F$14:$F$17, AM50, MATCH_INPUT!$K$14:$K$17, "Draw") +
    COUNTIFS(MATCH_INPUT!$J$14:$J$17, AM50, MATCH_INPUT!$K$14:$K$17, "Draw"),
0)</f>
        <v>0</v>
      </c>
      <c r="AS50" s="26">
        <f>IF(AM50&lt;&gt;"",
    COUNTIFS(MATCH_INPUT!$F$14:$F$17, AM50, MATCH_INPUT!$K$14:$K$17, "&lt;&gt;"&amp;AM50, MATCH_INPUT!$K$14:$K$17, "&lt;&gt;Draw", MATCH_INPUT!$K$14:$K$17, "&lt;&gt;""") +
    COUNTIFS(MATCH_INPUT!$J$14:$J$17, AM50, MATCH_INPUT!$K$14:$K$17, "&lt;&gt;"&amp;AM50, MATCH_INPUT!$K$14:$K$17, "&lt;&gt;Draw", MATCH_INPUT!$K$14:$K$17, "&lt;&gt;"""),
0)</f>
        <v>0</v>
      </c>
      <c r="AT50" s="27"/>
      <c r="AU50" s="27"/>
      <c r="AV50" s="28"/>
      <c r="AW50" s="26">
        <f t="shared" si="154"/>
        <v>6</v>
      </c>
      <c r="AX50" s="29" t="str">
        <f t="shared" si="23"/>
        <v>↓</v>
      </c>
      <c r="AY50" s="19"/>
      <c r="AZ50" s="23">
        <f t="shared" si="24"/>
        <v>4</v>
      </c>
      <c r="BA50" s="20">
        <f t="shared" si="25"/>
        <v>0</v>
      </c>
      <c r="BB50" s="20">
        <f>SUM(BC50*2) + (BD50*1) + SUMIFS(MATCH_INPUT!$G$18:$G$21, MATCH_INPUT!$F$18:$F$21, AY50) + SUMIFS(MATCH_INPUT!$I$18:$I$21, MATCH_INPUT!$J$18:$J$21, AY50)
</f>
        <v>0</v>
      </c>
      <c r="BC50" s="20">
        <f>IF(AY50&lt;&gt;"",
    COUNTIFS(MATCH_INPUT!$K$18:$K$21,AY50),
0)</f>
        <v>0</v>
      </c>
      <c r="BD50" s="20">
        <f>IF(AY50&lt;&gt;"",
    COUNTIFS(MATCH_INPUT!$F$18:$F$21, AY50, MATCH_INPUT!$K$18:$K$21, "Draw") +
    COUNTIFS(MATCH_INPUT!$J$18:$J$21, AY50, MATCH_INPUT!$K$18:$K$21, "Draw"),
0)</f>
        <v>0</v>
      </c>
      <c r="BE50" s="20">
        <f>IF(AY50&lt;&gt;"",
    COUNTIFS(MATCH_INPUT!$F$18:$F$21, AY50, MATCH_INPUT!$K$18:$K$21, "&lt;&gt;"&amp;AY50, MATCH_INPUT!$K$18:$K$21, "&lt;&gt;Draw", MATCH_INPUT!$K$18:$K$21, "&lt;&gt;""") +
    COUNTIFS(MATCH_INPUT!$J$18:$J$21, AY50, MATCH_INPUT!$K$18:$K$21, "&lt;&gt;"&amp;AY50, MATCH_INPUT!$K$18:$K$21, "&lt;&gt;Draw", MATCH_INPUT!$K$18:$K$21, "&lt;&gt;"""),
0)</f>
        <v>0</v>
      </c>
      <c r="BF50" s="21" t="str">
        <f t="array" ref="BF50">IFERROR(INDEX(Form_Response!E:E, MATCH(1, (Form_Response!C:C='MATCH DATES'!$B$6)*(Form_Response!D:D=B50), 0)), "")
</f>
        <v/>
      </c>
      <c r="BG50" s="21">
        <f t="array" ref="BG50">IFERROR(IF(INDEX(Form_Response!F:F, MATCH(1, (Form_Response!C:C='MATCH DATES'!$B$6)*(Form_Response!D:D=B50), 0))="Yes", 1, 0), 0)
</f>
        <v>0</v>
      </c>
      <c r="BH50" s="30" t="str">
        <f t="array" ref="BH50">IFERROR(INDEX(Form_Response!G:G, MATCH(1, (Form_Response!C:C='MATCH DATES'!$B$6)*(Form_Response!D:D=B50), 0)), "")
</f>
        <v/>
      </c>
      <c r="BI50" s="23">
        <f t="shared" si="155"/>
        <v>7</v>
      </c>
      <c r="BJ50" s="24" t="str">
        <f t="shared" si="27"/>
        <v>↓</v>
      </c>
      <c r="BK50" s="34"/>
      <c r="BL50" s="26">
        <f t="shared" si="28"/>
        <v>4</v>
      </c>
      <c r="BM50" s="26">
        <f t="shared" si="29"/>
        <v>0</v>
      </c>
      <c r="BN50" s="26">
        <f>SUM(BO50*2) + (BP50*1) + SUMIFS(MATCH_INPUT!$G$22:$G$25, MATCH_INPUT!$F$22:$F$25, BK50) + SUMIFS(MATCH_INPUT!$I$22:$I$25, MATCH_INPUT!$J$22:$J$25, BK50)
</f>
        <v>0</v>
      </c>
      <c r="BO50" s="26">
        <f>IF(BK50&lt;&gt;"",
    COUNTIFS(MATCH_INPUT!$K$22:$K$25,BK50),
0)</f>
        <v>0</v>
      </c>
      <c r="BP50" s="26">
        <f>IF(BK50&lt;&gt;"",
    COUNTIFS(MATCH_INPUT!$F$22:$F$25, BK50, MATCH_INPUT!$K$22:$K$25, "Draw") +
    COUNTIFS(MATCH_INPUT!$J$22:$J$25, BK50, MATCH_INPUT!$K$22:$K$25, "Draw"),
0)</f>
        <v>0</v>
      </c>
      <c r="BQ50" s="26">
        <f>IF(BK50&lt;&gt;"",
    COUNTIFS(MATCH_INPUT!$F$22:$F$25, BK50, MATCH_INPUT!$K$22:$K$25, "&lt;&gt;"&amp;BK50, MATCH_INPUT!$K$22:$K$25, "&lt;&gt;Draw", MATCH_INPUT!$K$22:$K$25, "&lt;&gt;""") +
    COUNTIFS(MATCH_INPUT!$J$22:$J$25, BK50, MATCH_INPUT!$K$22:$K$25, "&lt;&gt;"&amp;BK50, MATCH_INPUT!$K$22:$K$25, "&lt;&gt;Draw", MATCH_INPUT!$K$22:$K$25, "&lt;&gt;"""),
0)</f>
        <v>0</v>
      </c>
      <c r="BR50" s="27"/>
      <c r="BS50" s="27"/>
      <c r="BT50" s="28"/>
      <c r="BU50" s="26">
        <f t="shared" si="156"/>
        <v>10</v>
      </c>
      <c r="BV50" s="29" t="str">
        <f t="shared" si="31"/>
        <v>↓</v>
      </c>
      <c r="BW50" s="35"/>
      <c r="BX50" s="23">
        <f t="shared" si="32"/>
        <v>4</v>
      </c>
      <c r="BY50" s="20">
        <f t="shared" si="33"/>
        <v>0</v>
      </c>
      <c r="BZ50" s="20">
        <f>SUM(CA50*2)+(CB50*1) + SUMIFS(MATCH_INPUT!$G$26:$G$29, MATCH_INPUT!$F$26:$F$29, BW50) + SUMIFS(MATCH_INPUT!$I$26:$I$29, MATCH_INPUT!$J$26:$J$29, BW50)
</f>
        <v>0</v>
      </c>
      <c r="CA50" s="20">
        <f>IF(BW50&lt;&gt;"",
    COUNTIFS(MATCH_INPUT!$K$26:$K$29,BW50),
0)</f>
        <v>0</v>
      </c>
      <c r="CB50" s="20">
        <f>IF(BW50&lt;&gt;"",
    COUNTIFS(MATCH_INPUT!$F$26:$F$29, BW50, MATCH_INPUT!$K$26:$K$29, "Draw") +
    COUNTIFS(MATCH_INPUT!$J$26:$J$29, BW50, MATCH_INPUT!$K$26:$K$29, "Draw"),
0)</f>
        <v>0</v>
      </c>
      <c r="CC50" s="20">
        <f>IF(BW50&lt;&gt;"",
    COUNTIFS(MATCH_INPUT!$F$26:$F$29, BW50, MATCH_INPUT!$K$26:$K$29, "&lt;&gt;"&amp;BW50, MATCH_INPUT!$K$26:$K$29, "&lt;&gt;Draw", MATCH_INPUT!$K$26:$K$29, "&lt;&gt;""") +
    COUNTIFS(MATCH_INPUT!$J$26:$J$29, BW50, MATCH_INPUT!$K$26:$K$29, "&lt;&gt;"&amp;BW50, MATCH_INPUT!$K$26:$K$29, "&lt;&gt;Draw", MATCH_INPUT!$K$26:$K$29, "&lt;&gt;"""),
0)</f>
        <v>0</v>
      </c>
      <c r="CD50" s="21"/>
      <c r="CE50" s="21"/>
      <c r="CF50" s="30"/>
      <c r="CG50" s="23">
        <f t="shared" si="157"/>
        <v>11</v>
      </c>
      <c r="CH50" s="24" t="str">
        <f t="shared" si="35"/>
        <v>↓</v>
      </c>
      <c r="CI50" s="25"/>
      <c r="CJ50" s="26">
        <f t="shared" si="36"/>
        <v>4</v>
      </c>
      <c r="CK50" s="26">
        <f t="shared" si="37"/>
        <v>0</v>
      </c>
      <c r="CL50" s="26">
        <f>SUM(CM50*2)+(CN50*1) + SUMIFS(MATCH_INPUT!$G$30:$G$33, MATCH_INPUT!$F$30:$F$33, CI50) + SUMIFS(MATCH_INPUT!$I$30:$I$33, MATCH_INPUT!$J$30:$J$33, CI50)
</f>
        <v>0</v>
      </c>
      <c r="CM50" s="26">
        <f>IF(CI50&lt;&gt;"",
    COUNTIFS(MATCH_INPUT!$K$30:$K$33,CI50),
0)</f>
        <v>0</v>
      </c>
      <c r="CN50" s="26">
        <f>IF(CI50&lt;&gt;"",
    COUNTIFS(MATCH_INPUT!$F$30:$F$33, CI50, MATCH_INPUT!$K$30:$K$33, "Draw") +
    COUNTIFS(MATCH_INPUT!$J$30:$J$33, CI50, MATCH_INPUT!$K$30:$K$33, "Draw"),
0)</f>
        <v>0</v>
      </c>
      <c r="CO50" s="26">
        <f>IF(CI50&lt;&gt;"",
    COUNTIFS(MATCH_INPUT!$F$30:$F$33, CI50, MATCH_INPUT!$K$30:$K$33, "&lt;&gt;"&amp;CI50, MATCH_INPUT!$K$30:$K$33, "&lt;&gt;Draw", MATCH_INPUT!$K$30:$K$33, "&lt;&gt;""") +
    COUNTIFS(MATCH_INPUT!$J$30:$J$33, CI50, MATCH_INPUT!$K$30:$K$33, "&lt;&gt;"&amp;CI50, MATCH_INPUT!$K$30:$K$33, "&lt;&gt;Draw", MATCH_INPUT!$K$30:$K$33, "&lt;&gt;"""),
0)</f>
        <v>0</v>
      </c>
      <c r="CP50" s="27" t="str">
        <f t="array" ref="CP50">IFERROR(INDEX(Form_Response!E:E, MATCH(1, (Form_Response!C:C='MATCH DATES'!$B$9)*(Form_Response!D:D=B50), 0)), "")
</f>
        <v/>
      </c>
      <c r="CQ50" s="27">
        <f t="array" ref="CQ50">IFERROR(IF(INDEX(Form_Response!F:F, MATCH(1, (Form_Response!C:C='MATCH DATES'!$B$9)*(Form_Response!D:D=B50), 0))="Yes", 1, 0), 0)
</f>
        <v>0</v>
      </c>
      <c r="CR50" s="28" t="str">
        <f t="array" ref="CR50">IFERROR(INDEX(Form_Response!G:G, MATCH(1, (Form_Response!C:C='MATCH DATES'!$B$9)*(Form_Response!D:D=B50), 0)), "")
</f>
        <v/>
      </c>
      <c r="CS50" s="31">
        <f t="shared" si="158"/>
        <v>13</v>
      </c>
      <c r="CT50" s="31" t="str">
        <f t="shared" si="39"/>
        <v>↓</v>
      </c>
      <c r="CU50" s="32">
        <f t="shared" si="40"/>
        <v>0</v>
      </c>
      <c r="CV50" s="32" t="str">
        <f t="shared" ref="CV50:CW50" si="189">A50</f>
        <v/>
      </c>
      <c r="CW50" s="33" t="str">
        <f t="shared" si="189"/>
        <v>🔄 (Saúl)</v>
      </c>
      <c r="CX50" s="33">
        <f t="shared" si="42"/>
        <v>4</v>
      </c>
      <c r="CY50" s="32">
        <f>SUM(
  IF(AND('MATCH DATES'!$A$2 &lt;= TODAY(), NOW() &gt;= 'MATCH DATES'!$A$2 + TIME(22, 0, 0)), E50, 0),
  IF(AND('MATCH DATES'!$A$3 &lt;= TODAY(), NOW() &gt;= 'MATCH DATES'!$A$3 + TIME(22, 0, 0)), Q50, 0),
  IF(AND('MATCH DATES'!$A$4 &lt;= TODAY(), NOW() &gt;= 'MATCH DATES'!$A$4 + TIME(22, 0, 0)), AC50, 0),
  IF(AND('MATCH DATES'!$A$5 &lt;= TODAY(), NOW() &gt;= 'MATCH DATES'!$A$5 + TIME(22, 0, 0)), AO50, 0),
  IF(AND('MATCH DATES'!$A$6 &lt;= TODAY(), NOW() &gt;= 'MATCH DATES'!$A$6 + TIME(22, 0, 0)), BA50, 0),
  IF(AND('MATCH DATES'!$A$7 &lt;= TODAY(), NOW() &gt;= 'MATCH DATES'!$A$7 + TIME(22, 0, 0)), BM50, 0),
  IF(AND('MATCH DATES'!$A$8 &lt;= TODAY(), NOW() &gt;= 'MATCH DATES'!$A$8 + TIME(22, 0, 0)), BY50, 0),
  IF(AND('MATCH DATES'!$A$9 &lt;= TODAY(), NOW() &gt;= 'MATCH DATES'!$A$9 + TIME(22, 0, 0)), CK50, 0)
)
</f>
        <v>4</v>
      </c>
      <c r="CZ50" s="33">
        <f t="shared" ref="CZ50:DA50" si="190">SUM(G50,S50,AE50,AQ50,BC50,BO50,CA50,CM50)</f>
        <v>0</v>
      </c>
      <c r="DA50" s="33">
        <f t="shared" si="190"/>
        <v>0</v>
      </c>
      <c r="DB50" s="33">
        <f>SUM(
  IF(AND('MATCH DATES'!$A$2 &lt;= TODAY(), NOW() &gt;= 'MATCH DATES'!$A$2 + TIME(22, 0, 0)), I50, 0),
  IF(AND('MATCH DATES'!$A$3 &lt;= TODAY(), NOW() &gt;= 'MATCH DATES'!$A$3 + TIME(22, 0, 0)), U50, 0),
  IF(AND('MATCH DATES'!$A$4 &lt;= TODAY(), NOW() &gt;= 'MATCH DATES'!$A$4 + TIME(22, 0, 0)), AG50, 0),
  IF(AND('MATCH DATES'!$A$5 &lt;= TODAY(), NOW() &gt;= 'MATCH DATES'!$A$5 + TIME(22, 0, 0)), AS50, 0),
  IF(AND('MATCH DATES'!$A$6 &lt;= TODAY(), NOW() &gt;= 'MATCH DATES'!$A$6 + TIME(22, 0, 0)), BE50, 0),
  IF(AND('MATCH DATES'!$A$7 &lt;= TODAY(), NOW() &gt;= 'MATCH DATES'!$A$7 + TIME(22, 0, 0)), BQ50, 0),
  IF(AND('MATCH DATES'!$A$8 &lt;= TODAY(), NOW() &gt;= 'MATCH DATES'!$A$8 + TIME(22, 0, 0)), CC50, 0),
  IF(AND('MATCH DATES'!$A$9 &lt;= TODAY(), NOW() &gt;= 'MATCH DATES'!$A$9 + TIME(22, 0, 0)), CO50, 0)
)</f>
        <v>4</v>
      </c>
      <c r="DC50" s="33">
        <f t="shared" si="44"/>
        <v>0</v>
      </c>
      <c r="DD50" s="33">
        <f t="shared" ref="DD50:DE50" si="191">SUM(K50,W50,AI50,AU50,BG50,BS50,CE50,CQ50)</f>
        <v>0</v>
      </c>
      <c r="DE50" s="33">
        <f t="shared" si="191"/>
        <v>0</v>
      </c>
    </row>
    <row r="51" ht="24.75" customHeight="1">
      <c r="A51" s="17"/>
      <c r="B51" s="18" t="s">
        <v>189</v>
      </c>
      <c r="C51" s="35"/>
      <c r="D51" s="20">
        <f t="shared" si="4"/>
        <v>0</v>
      </c>
      <c r="E51" s="20">
        <f t="shared" si="5"/>
        <v>0</v>
      </c>
      <c r="F51" s="20">
        <f t="shared" si="6"/>
        <v>0</v>
      </c>
      <c r="G51" s="20">
        <f>IF(C51&lt;&gt;"",
    COUNTIFS(MATCH_INPUT!$K$2:$K$5,C51),
0)</f>
        <v>0</v>
      </c>
      <c r="H51" s="20">
        <f>IF(C51&lt;&gt;"",
    COUNTIFS(MATCH_INPUT!$F$2:$F$5, C51, MATCH_INPUT!$K$2:$K$5, "Draw") +
    COUNTIFS(MATCH_INPUT!$J$2:$J$5, C51, MATCH_INPUT!$K$2:$K$5, "Draw"),
0)</f>
        <v>0</v>
      </c>
      <c r="I51" s="20">
        <f>IF(C51&lt;&gt;"",
    COUNTIFS(MATCH_INPUT!$F$2:$F$5, C51, MATCH_INPUT!$K$2:$K$5, "&lt;&gt;"&amp;C51, MATCH_INPUT!$K$2:$K$5, "&lt;&gt;Draw", MATCH_INPUT!$K$2:$K$5, "&lt;&gt;""") +
    COUNTIFS(MATCH_INPUT!$J$2:$J$5, C51, MATCH_INPUT!$K$2:$K$5, "&lt;&gt;"&amp;C51, MATCH_INPUT!$K$2:$K$5, "&lt;&gt;Draw", MATCH_INPUT!$K$2:$K$5, "&lt;&gt;"""),
0)</f>
        <v>0</v>
      </c>
      <c r="J51" s="21"/>
      <c r="K51" s="21"/>
      <c r="L51" s="22"/>
      <c r="M51" s="23">
        <f t="shared" si="151"/>
        <v>4</v>
      </c>
      <c r="N51" s="24" t="str">
        <f t="shared" si="8"/>
        <v>↓</v>
      </c>
      <c r="O51" s="25" t="s">
        <v>140</v>
      </c>
      <c r="P51" s="26">
        <f t="shared" si="9"/>
        <v>3</v>
      </c>
      <c r="Q51" s="26">
        <f t="shared" si="10"/>
        <v>2</v>
      </c>
      <c r="R51" s="26">
        <f t="shared" si="11"/>
        <v>1</v>
      </c>
      <c r="S51" s="26">
        <f>IF(O51&lt;&gt;"",
    COUNTIFS(MATCH_INPUT!$K$6:$K$9,O51),
0)</f>
        <v>0</v>
      </c>
      <c r="T51" s="26">
        <f>IF(O51&lt;&gt;"",
    COUNTIFS(MATCH_INPUT!$F$6:$F$9, O51, MATCH_INPUT!$K$6:$K$9, "Draw") +
    COUNTIFS(MATCH_INPUT!$J$6:$J$9, O51, MATCH_INPUT!$K$6:$K$9, "Draw"),
0)</f>
        <v>1</v>
      </c>
      <c r="U51" s="26">
        <f>IF(O51&lt;&gt;"",
    COUNTIFS(MATCH_INPUT!$F$6:$F$9, O51, MATCH_INPUT!$K$6:$K$9, "&lt;&gt;"&amp;O51, MATCH_INPUT!$K$6:$K$9, "&lt;&gt;Draw", MATCH_INPUT!$K$6:$K$9, "&lt;&gt;""") +
    COUNTIFS(MATCH_INPUT!$J$6:$J$9, O51, MATCH_INPUT!$K$6:$K$9, "&lt;&gt;"&amp;O51, MATCH_INPUT!$K$6:$K$9, "&lt;&gt;Draw", MATCH_INPUT!$K$6:$K$9, "&lt;&gt;"""),
0)</f>
        <v>1</v>
      </c>
      <c r="V51" s="27"/>
      <c r="W51" s="27"/>
      <c r="X51" s="28"/>
      <c r="Y51" s="26">
        <f t="shared" si="152"/>
        <v>5</v>
      </c>
      <c r="Z51" s="29" t="str">
        <f t="shared" si="13"/>
        <v>↓</v>
      </c>
      <c r="AA51" s="19"/>
      <c r="AB51" s="23">
        <f t="shared" si="14"/>
        <v>3</v>
      </c>
      <c r="AC51" s="20">
        <f t="shared" si="15"/>
        <v>0</v>
      </c>
      <c r="AD51" s="20">
        <f t="shared" si="16"/>
        <v>0</v>
      </c>
      <c r="AE51" s="20">
        <f>IF(AA51&lt;&gt;"",
    COUNTIFS(MATCH_INPUT!$K$10:$K$13,AA51),
0)</f>
        <v>0</v>
      </c>
      <c r="AF51" s="20">
        <f>IF(AA51&lt;&gt;"",
    COUNTIFS(MATCH_INPUT!$F$10:$F$13, AA51, MATCH_INPUT!$K$10:$K$13, "Draw") +
    COUNTIFS(MATCH_INPUT!$J$10:$J$13, AA51, MATCH_INPUT!$K$10:$K$13, "Draw"),
0)</f>
        <v>0</v>
      </c>
      <c r="AG51" s="20">
        <f>IF(AA51&lt;&gt;"",
    COUNTIFS(MATCH_INPUT!$F$10:$F$13, AA51, MATCH_INPUT!$K$10:$K$13, "&lt;&gt;"&amp;AA51, MATCH_INPUT!$K$10:$K$13, "&lt;&gt;Draw", MATCH_INPUT!$K$10:$K$13, "&lt;&gt;""") +
    COUNTIFS(MATCH_INPUT!$J$10:$J$13, AA51, MATCH_INPUT!$K$10:$K$13, "&lt;&gt;"&amp;AA51, MATCH_INPUT!$K$10:$K$13, "&lt;&gt;Draw", MATCH_INPUT!$K$10:$K$13, "&lt;&gt;"""),
0)</f>
        <v>0</v>
      </c>
      <c r="AH51" s="21"/>
      <c r="AI51" s="21"/>
      <c r="AJ51" s="30"/>
      <c r="AK51" s="23">
        <f t="shared" si="153"/>
        <v>7</v>
      </c>
      <c r="AL51" s="24" t="str">
        <f t="shared" si="18"/>
        <v>↓</v>
      </c>
      <c r="AM51" s="25"/>
      <c r="AN51" s="26">
        <f t="shared" si="19"/>
        <v>3</v>
      </c>
      <c r="AO51" s="26">
        <f t="shared" si="20"/>
        <v>0</v>
      </c>
      <c r="AP51" s="26">
        <f t="shared" si="21"/>
        <v>0</v>
      </c>
      <c r="AQ51" s="26">
        <f>IF(AM51&lt;&gt;"",
    COUNTIFS(MATCH_INPUT!$K$14:$K$17,AM51),
0)</f>
        <v>0</v>
      </c>
      <c r="AR51" s="26">
        <f>IF(AM51&lt;&gt;"",
    COUNTIFS(MATCH_INPUT!$F$14:$F$17, AM51, MATCH_INPUT!$K$14:$K$17, "Draw") +
    COUNTIFS(MATCH_INPUT!$J$14:$J$17, AM51, MATCH_INPUT!$K$14:$K$17, "Draw"),
0)</f>
        <v>0</v>
      </c>
      <c r="AS51" s="26">
        <f>IF(AM51&lt;&gt;"",
    COUNTIFS(MATCH_INPUT!$F$14:$F$17, AM51, MATCH_INPUT!$K$14:$K$17, "&lt;&gt;"&amp;AM51, MATCH_INPUT!$K$14:$K$17, "&lt;&gt;Draw", MATCH_INPUT!$K$14:$K$17, "&lt;&gt;""") +
    COUNTIFS(MATCH_INPUT!$J$14:$J$17, AM51, MATCH_INPUT!$K$14:$K$17, "&lt;&gt;"&amp;AM51, MATCH_INPUT!$K$14:$K$17, "&lt;&gt;Draw", MATCH_INPUT!$K$14:$K$17, "&lt;&gt;"""),
0)</f>
        <v>0</v>
      </c>
      <c r="AT51" s="27"/>
      <c r="AU51" s="27"/>
      <c r="AV51" s="28"/>
      <c r="AW51" s="26">
        <f t="shared" si="154"/>
        <v>9</v>
      </c>
      <c r="AX51" s="29" t="str">
        <f t="shared" si="23"/>
        <v>↓</v>
      </c>
      <c r="AY51" s="19"/>
      <c r="AZ51" s="23">
        <f t="shared" si="24"/>
        <v>3</v>
      </c>
      <c r="BA51" s="20">
        <f t="shared" si="25"/>
        <v>0</v>
      </c>
      <c r="BB51" s="20">
        <f>SUM(BC51*2) + (BD51*1) + SUMIFS(MATCH_INPUT!$G$18:$G$21, MATCH_INPUT!$F$18:$F$21, AY51) + SUMIFS(MATCH_INPUT!$I$18:$I$21, MATCH_INPUT!$J$18:$J$21, AY51)
</f>
        <v>0</v>
      </c>
      <c r="BC51" s="20">
        <f>IF(AY51&lt;&gt;"",
    COUNTIFS(MATCH_INPUT!$K$18:$K$21,AY51),
0)</f>
        <v>0</v>
      </c>
      <c r="BD51" s="20">
        <f>IF(AY51&lt;&gt;"",
    COUNTIFS(MATCH_INPUT!$F$18:$F$21, AY51, MATCH_INPUT!$K$18:$K$21, "Draw") +
    COUNTIFS(MATCH_INPUT!$J$18:$J$21, AY51, MATCH_INPUT!$K$18:$K$21, "Draw"),
0)</f>
        <v>0</v>
      </c>
      <c r="BE51" s="20">
        <f>IF(AY51&lt;&gt;"",
    COUNTIFS(MATCH_INPUT!$F$18:$F$21, AY51, MATCH_INPUT!$K$18:$K$21, "&lt;&gt;"&amp;AY51, MATCH_INPUT!$K$18:$K$21, "&lt;&gt;Draw", MATCH_INPUT!$K$18:$K$21, "&lt;&gt;""") +
    COUNTIFS(MATCH_INPUT!$J$18:$J$21, AY51, MATCH_INPUT!$K$18:$K$21, "&lt;&gt;"&amp;AY51, MATCH_INPUT!$K$18:$K$21, "&lt;&gt;Draw", MATCH_INPUT!$K$18:$K$21, "&lt;&gt;"""),
0)</f>
        <v>0</v>
      </c>
      <c r="BF51" s="21" t="str">
        <f t="array" ref="BF51">IFERROR(INDEX(Form_Response!E:E, MATCH(1, (Form_Response!C:C='MATCH DATES'!$B$6)*(Form_Response!D:D=B51), 0)), "")
</f>
        <v/>
      </c>
      <c r="BG51" s="21">
        <f t="array" ref="BG51">IFERROR(IF(INDEX(Form_Response!F:F, MATCH(1, (Form_Response!C:C='MATCH DATES'!$B$6)*(Form_Response!D:D=B51), 0))="Yes", 1, 0), 0)
</f>
        <v>0</v>
      </c>
      <c r="BH51" s="30" t="str">
        <f t="array" ref="BH51">IFERROR(INDEX(Form_Response!G:G, MATCH(1, (Form_Response!C:C='MATCH DATES'!$B$6)*(Form_Response!D:D=B51), 0)), "")
</f>
        <v/>
      </c>
      <c r="BI51" s="23">
        <f t="shared" si="155"/>
        <v>10</v>
      </c>
      <c r="BJ51" s="24" t="str">
        <f t="shared" si="27"/>
        <v>↓</v>
      </c>
      <c r="BK51" s="34"/>
      <c r="BL51" s="26">
        <f t="shared" si="28"/>
        <v>3</v>
      </c>
      <c r="BM51" s="26">
        <f t="shared" si="29"/>
        <v>0</v>
      </c>
      <c r="BN51" s="26">
        <f>SUM(BO51*2) + (BP51*1) + SUMIFS(MATCH_INPUT!$G$22:$G$25, MATCH_INPUT!$F$22:$F$25, BK51) + SUMIFS(MATCH_INPUT!$I$22:$I$25, MATCH_INPUT!$J$22:$J$25, BK51)
</f>
        <v>0</v>
      </c>
      <c r="BO51" s="26">
        <f>IF(BK51&lt;&gt;"",
    COUNTIFS(MATCH_INPUT!$K$22:$K$25,BK51),
0)</f>
        <v>0</v>
      </c>
      <c r="BP51" s="26">
        <f>IF(BK51&lt;&gt;"",
    COUNTIFS(MATCH_INPUT!$F$22:$F$25, BK51, MATCH_INPUT!$K$22:$K$25, "Draw") +
    COUNTIFS(MATCH_INPUT!$J$22:$J$25, BK51, MATCH_INPUT!$K$22:$K$25, "Draw"),
0)</f>
        <v>0</v>
      </c>
      <c r="BQ51" s="26">
        <f>IF(BK51&lt;&gt;"",
    COUNTIFS(MATCH_INPUT!$F$22:$F$25, BK51, MATCH_INPUT!$K$22:$K$25, "&lt;&gt;"&amp;BK51, MATCH_INPUT!$K$22:$K$25, "&lt;&gt;Draw", MATCH_INPUT!$K$22:$K$25, "&lt;&gt;""") +
    COUNTIFS(MATCH_INPUT!$J$22:$J$25, BK51, MATCH_INPUT!$K$22:$K$25, "&lt;&gt;"&amp;BK51, MATCH_INPUT!$K$22:$K$25, "&lt;&gt;Draw", MATCH_INPUT!$K$22:$K$25, "&lt;&gt;"""),
0)</f>
        <v>0</v>
      </c>
      <c r="BR51" s="27"/>
      <c r="BS51" s="27"/>
      <c r="BT51" s="28"/>
      <c r="BU51" s="26">
        <f t="shared" si="156"/>
        <v>13</v>
      </c>
      <c r="BV51" s="29" t="str">
        <f t="shared" si="31"/>
        <v>↓</v>
      </c>
      <c r="BW51" s="35"/>
      <c r="BX51" s="23">
        <f t="shared" si="32"/>
        <v>3</v>
      </c>
      <c r="BY51" s="20">
        <f t="shared" si="33"/>
        <v>0</v>
      </c>
      <c r="BZ51" s="20">
        <f>SUM(CA51*2)+(CB51*1) + SUMIFS(MATCH_INPUT!$G$26:$G$29, MATCH_INPUT!$F$26:$F$29, BW51) + SUMIFS(MATCH_INPUT!$I$26:$I$29, MATCH_INPUT!$J$26:$J$29, BW51)
</f>
        <v>0</v>
      </c>
      <c r="CA51" s="20">
        <f>IF(BW51&lt;&gt;"",
    COUNTIFS(MATCH_INPUT!$K$26:$K$29,BW51),
0)</f>
        <v>0</v>
      </c>
      <c r="CB51" s="20">
        <f>IF(BW51&lt;&gt;"",
    COUNTIFS(MATCH_INPUT!$F$26:$F$29, BW51, MATCH_INPUT!$K$26:$K$29, "Draw") +
    COUNTIFS(MATCH_INPUT!$J$26:$J$29, BW51, MATCH_INPUT!$K$26:$K$29, "Draw"),
0)</f>
        <v>0</v>
      </c>
      <c r="CC51" s="20">
        <f>IF(BW51&lt;&gt;"",
    COUNTIFS(MATCH_INPUT!$F$26:$F$29, BW51, MATCH_INPUT!$K$26:$K$29, "&lt;&gt;"&amp;BW51, MATCH_INPUT!$K$26:$K$29, "&lt;&gt;Draw", MATCH_INPUT!$K$26:$K$29, "&lt;&gt;""") +
    COUNTIFS(MATCH_INPUT!$J$26:$J$29, BW51, MATCH_INPUT!$K$26:$K$29, "&lt;&gt;"&amp;BW51, MATCH_INPUT!$K$26:$K$29, "&lt;&gt;Draw", MATCH_INPUT!$K$26:$K$29, "&lt;&gt;"""),
0)</f>
        <v>0</v>
      </c>
      <c r="CD51" s="21"/>
      <c r="CE51" s="21"/>
      <c r="CF51" s="30"/>
      <c r="CG51" s="23">
        <f t="shared" si="157"/>
        <v>14</v>
      </c>
      <c r="CH51" s="24" t="str">
        <f t="shared" si="35"/>
        <v>↓</v>
      </c>
      <c r="CI51" s="25"/>
      <c r="CJ51" s="26">
        <f t="shared" si="36"/>
        <v>3</v>
      </c>
      <c r="CK51" s="26">
        <f t="shared" si="37"/>
        <v>0</v>
      </c>
      <c r="CL51" s="26">
        <f>SUM(CM51*2)+(CN51*1) + SUMIFS(MATCH_INPUT!$G$30:$G$33, MATCH_INPUT!$F$30:$F$33, CI51) + SUMIFS(MATCH_INPUT!$I$30:$I$33, MATCH_INPUT!$J$30:$J$33, CI51)
</f>
        <v>0</v>
      </c>
      <c r="CM51" s="26">
        <f>IF(CI51&lt;&gt;"",
    COUNTIFS(MATCH_INPUT!$K$30:$K$33,CI51),
0)</f>
        <v>0</v>
      </c>
      <c r="CN51" s="26">
        <f>IF(CI51&lt;&gt;"",
    COUNTIFS(MATCH_INPUT!$F$30:$F$33, CI51, MATCH_INPUT!$K$30:$K$33, "Draw") +
    COUNTIFS(MATCH_INPUT!$J$30:$J$33, CI51, MATCH_INPUT!$K$30:$K$33, "Draw"),
0)</f>
        <v>0</v>
      </c>
      <c r="CO51" s="26">
        <f>IF(CI51&lt;&gt;"",
    COUNTIFS(MATCH_INPUT!$F$30:$F$33, CI51, MATCH_INPUT!$K$30:$K$33, "&lt;&gt;"&amp;CI51, MATCH_INPUT!$K$30:$K$33, "&lt;&gt;Draw", MATCH_INPUT!$K$30:$K$33, "&lt;&gt;""") +
    COUNTIFS(MATCH_INPUT!$J$30:$J$33, CI51, MATCH_INPUT!$K$30:$K$33, "&lt;&gt;"&amp;CI51, MATCH_INPUT!$K$30:$K$33, "&lt;&gt;Draw", MATCH_INPUT!$K$30:$K$33, "&lt;&gt;"""),
0)</f>
        <v>0</v>
      </c>
      <c r="CP51" s="27" t="str">
        <f t="array" ref="CP51">IFERROR(INDEX(Form_Response!E:E, MATCH(1, (Form_Response!C:C='MATCH DATES'!$B$9)*(Form_Response!D:D=B51), 0)), "")
</f>
        <v/>
      </c>
      <c r="CQ51" s="27">
        <f t="array" ref="CQ51">IFERROR(IF(INDEX(Form_Response!F:F, MATCH(1, (Form_Response!C:C='MATCH DATES'!$B$9)*(Form_Response!D:D=B51), 0))="Yes", 1, 0), 0)
</f>
        <v>0</v>
      </c>
      <c r="CR51" s="28" t="str">
        <f t="array" ref="CR51">IFERROR(INDEX(Form_Response!G:G, MATCH(1, (Form_Response!C:C='MATCH DATES'!$B$9)*(Form_Response!D:D=B51), 0)), "")
</f>
        <v/>
      </c>
      <c r="CS51" s="31">
        <f t="shared" si="158"/>
        <v>16</v>
      </c>
      <c r="CT51" s="31" t="str">
        <f t="shared" si="39"/>
        <v>↓</v>
      </c>
      <c r="CU51" s="32">
        <f t="shared" si="40"/>
        <v>1</v>
      </c>
      <c r="CV51" s="32" t="str">
        <f t="shared" ref="CV51:CW51" si="192">A51</f>
        <v/>
      </c>
      <c r="CW51" s="33" t="str">
        <f t="shared" si="192"/>
        <v>🔄 (Guille)</v>
      </c>
      <c r="CX51" s="33">
        <f t="shared" si="42"/>
        <v>3</v>
      </c>
      <c r="CY51" s="32">
        <f>SUM(
  IF(AND('MATCH DATES'!$A$2 &lt;= TODAY(), NOW() &gt;= 'MATCH DATES'!$A$2 + TIME(22, 0, 0)), E51, 0),
  IF(AND('MATCH DATES'!$A$3 &lt;= TODAY(), NOW() &gt;= 'MATCH DATES'!$A$3 + TIME(22, 0, 0)), Q51, 0),
  IF(AND('MATCH DATES'!$A$4 &lt;= TODAY(), NOW() &gt;= 'MATCH DATES'!$A$4 + TIME(22, 0, 0)), AC51, 0),
  IF(AND('MATCH DATES'!$A$5 &lt;= TODAY(), NOW() &gt;= 'MATCH DATES'!$A$5 + TIME(22, 0, 0)), AO51, 0),
  IF(AND('MATCH DATES'!$A$6 &lt;= TODAY(), NOW() &gt;= 'MATCH DATES'!$A$6 + TIME(22, 0, 0)), BA51, 0),
  IF(AND('MATCH DATES'!$A$7 &lt;= TODAY(), NOW() &gt;= 'MATCH DATES'!$A$7 + TIME(22, 0, 0)), BM51, 0),
  IF(AND('MATCH DATES'!$A$8 &lt;= TODAY(), NOW() &gt;= 'MATCH DATES'!$A$8 + TIME(22, 0, 0)), BY51, 0),
  IF(AND('MATCH DATES'!$A$9 &lt;= TODAY(), NOW() &gt;= 'MATCH DATES'!$A$9 + TIME(22, 0, 0)), CK51, 0)
)
</f>
        <v>2</v>
      </c>
      <c r="CZ51" s="33">
        <f t="shared" ref="CZ51:DA51" si="193">SUM(G51,S51,AE51,AQ51,BC51,BO51,CA51,CM51)</f>
        <v>0</v>
      </c>
      <c r="DA51" s="33">
        <f t="shared" si="193"/>
        <v>1</v>
      </c>
      <c r="DB51" s="33">
        <f>SUM(
  IF(AND('MATCH DATES'!$A$2 &lt;= TODAY(), NOW() &gt;= 'MATCH DATES'!$A$2 + TIME(22, 0, 0)), I51, 0),
  IF(AND('MATCH DATES'!$A$3 &lt;= TODAY(), NOW() &gt;= 'MATCH DATES'!$A$3 + TIME(22, 0, 0)), U51, 0),
  IF(AND('MATCH DATES'!$A$4 &lt;= TODAY(), NOW() &gt;= 'MATCH DATES'!$A$4 + TIME(22, 0, 0)), AG51, 0),
  IF(AND('MATCH DATES'!$A$5 &lt;= TODAY(), NOW() &gt;= 'MATCH DATES'!$A$5 + TIME(22, 0, 0)), AS51, 0),
  IF(AND('MATCH DATES'!$A$6 &lt;= TODAY(), NOW() &gt;= 'MATCH DATES'!$A$6 + TIME(22, 0, 0)), BE51, 0),
  IF(AND('MATCH DATES'!$A$7 &lt;= TODAY(), NOW() &gt;= 'MATCH DATES'!$A$7 + TIME(22, 0, 0)), BQ51, 0),
  IF(AND('MATCH DATES'!$A$8 &lt;= TODAY(), NOW() &gt;= 'MATCH DATES'!$A$8 + TIME(22, 0, 0)), CC51, 0),
  IF(AND('MATCH DATES'!$A$9 &lt;= TODAY(), NOW() &gt;= 'MATCH DATES'!$A$9 + TIME(22, 0, 0)), CO51, 0)
)</f>
        <v>1</v>
      </c>
      <c r="DC51" s="33">
        <f t="shared" si="44"/>
        <v>0</v>
      </c>
      <c r="DD51" s="33">
        <f t="shared" ref="DD51:DE51" si="194">SUM(K51,W51,AI51,AU51,BG51,BS51,CE51,CQ51)</f>
        <v>0</v>
      </c>
      <c r="DE51" s="33">
        <f t="shared" si="194"/>
        <v>0</v>
      </c>
    </row>
    <row r="52" ht="24.75" customHeight="1">
      <c r="A52" s="31"/>
      <c r="B52" s="18" t="s">
        <v>190</v>
      </c>
      <c r="C52" s="35"/>
      <c r="D52" s="20">
        <f t="shared" si="4"/>
        <v>0</v>
      </c>
      <c r="E52" s="20">
        <f t="shared" si="5"/>
        <v>0</v>
      </c>
      <c r="F52" s="20">
        <f t="shared" si="6"/>
        <v>0</v>
      </c>
      <c r="G52" s="20">
        <f>IF(C52&lt;&gt;"",
    COUNTIFS(MATCH_INPUT!$K$2:$K$5,C52),
0)</f>
        <v>0</v>
      </c>
      <c r="H52" s="20">
        <f>IF(C52&lt;&gt;"",
    COUNTIFS(MATCH_INPUT!$F$2:$F$5, C52, MATCH_INPUT!$K$2:$K$5, "Draw") +
    COUNTIFS(MATCH_INPUT!$J$2:$J$5, C52, MATCH_INPUT!$K$2:$K$5, "Draw"),
0)</f>
        <v>0</v>
      </c>
      <c r="I52" s="20">
        <f>IF(C52&lt;&gt;"",
    COUNTIFS(MATCH_INPUT!$F$2:$F$5, C52, MATCH_INPUT!$K$2:$K$5, "&lt;&gt;"&amp;C52, MATCH_INPUT!$K$2:$K$5, "&lt;&gt;Draw", MATCH_INPUT!$K$2:$K$5, "&lt;&gt;""") +
    COUNTIFS(MATCH_INPUT!$J$2:$J$5, C52, MATCH_INPUT!$K$2:$K$5, "&lt;&gt;"&amp;C52, MATCH_INPUT!$K$2:$K$5, "&lt;&gt;Draw", MATCH_INPUT!$K$2:$K$5, "&lt;&gt;"""),
0)</f>
        <v>0</v>
      </c>
      <c r="J52" s="21"/>
      <c r="K52" s="21"/>
      <c r="L52" s="22"/>
      <c r="M52" s="23">
        <f t="shared" si="151"/>
        <v>4</v>
      </c>
      <c r="N52" s="24" t="str">
        <f t="shared" si="8"/>
        <v>↓</v>
      </c>
      <c r="O52" s="25"/>
      <c r="P52" s="26">
        <f t="shared" si="9"/>
        <v>0</v>
      </c>
      <c r="Q52" s="26">
        <f t="shared" si="10"/>
        <v>0</v>
      </c>
      <c r="R52" s="26">
        <f t="shared" si="11"/>
        <v>0</v>
      </c>
      <c r="S52" s="26">
        <f>IF(O52&lt;&gt;"",
    COUNTIFS(MATCH_INPUT!$K$6:$K$9,O52),
0)</f>
        <v>0</v>
      </c>
      <c r="T52" s="26">
        <f>IF(O52&lt;&gt;"",
    COUNTIFS(MATCH_INPUT!$F$6:$F$9, O52, MATCH_INPUT!$K$6:$K$9, "Draw") +
    COUNTIFS(MATCH_INPUT!$J$6:$J$9, O52, MATCH_INPUT!$K$6:$K$9, "Draw"),
0)</f>
        <v>0</v>
      </c>
      <c r="U52" s="26">
        <f>IF(O52&lt;&gt;"",
    COUNTIFS(MATCH_INPUT!$F$6:$F$9, O52, MATCH_INPUT!$K$6:$K$9, "&lt;&gt;"&amp;O52, MATCH_INPUT!$K$6:$K$9, "&lt;&gt;Draw", MATCH_INPUT!$K$6:$K$9, "&lt;&gt;""") +
    COUNTIFS(MATCH_INPUT!$J$6:$J$9, O52, MATCH_INPUT!$K$6:$K$9, "&lt;&gt;"&amp;O52, MATCH_INPUT!$K$6:$K$9, "&lt;&gt;Draw", MATCH_INPUT!$K$6:$K$9, "&lt;&gt;"""),
0)</f>
        <v>0</v>
      </c>
      <c r="V52" s="27"/>
      <c r="W52" s="27"/>
      <c r="X52" s="28"/>
      <c r="Y52" s="26">
        <f t="shared" si="152"/>
        <v>7</v>
      </c>
      <c r="Z52" s="29" t="str">
        <f t="shared" si="13"/>
        <v>↓</v>
      </c>
      <c r="AA52" s="19"/>
      <c r="AB52" s="23">
        <f t="shared" si="14"/>
        <v>0</v>
      </c>
      <c r="AC52" s="20">
        <f t="shared" si="15"/>
        <v>0</v>
      </c>
      <c r="AD52" s="20">
        <f t="shared" si="16"/>
        <v>0</v>
      </c>
      <c r="AE52" s="20">
        <f>IF(AA52&lt;&gt;"",
    COUNTIFS(MATCH_INPUT!$K$10:$K$13,AA52),
0)</f>
        <v>0</v>
      </c>
      <c r="AF52" s="20">
        <f>IF(AA52&lt;&gt;"",
    COUNTIFS(MATCH_INPUT!$F$10:$F$13, AA52, MATCH_INPUT!$K$10:$K$13, "Draw") +
    COUNTIFS(MATCH_INPUT!$J$10:$J$13, AA52, MATCH_INPUT!$K$10:$K$13, "Draw"),
0)</f>
        <v>0</v>
      </c>
      <c r="AG52" s="20">
        <f>IF(AA52&lt;&gt;"",
    COUNTIFS(MATCH_INPUT!$F$10:$F$13, AA52, MATCH_INPUT!$K$10:$K$13, "&lt;&gt;"&amp;AA52, MATCH_INPUT!$K$10:$K$13, "&lt;&gt;Draw", MATCH_INPUT!$K$10:$K$13, "&lt;&gt;""") +
    COUNTIFS(MATCH_INPUT!$J$10:$J$13, AA52, MATCH_INPUT!$K$10:$K$13, "&lt;&gt;"&amp;AA52, MATCH_INPUT!$K$10:$K$13, "&lt;&gt;Draw", MATCH_INPUT!$K$10:$K$13, "&lt;&gt;"""),
0)</f>
        <v>0</v>
      </c>
      <c r="AH52" s="21"/>
      <c r="AI52" s="21"/>
      <c r="AJ52" s="30"/>
      <c r="AK52" s="23">
        <f t="shared" si="153"/>
        <v>8</v>
      </c>
      <c r="AL52" s="24" t="str">
        <f t="shared" si="18"/>
        <v>↓</v>
      </c>
      <c r="AM52" s="25"/>
      <c r="AN52" s="26">
        <f t="shared" si="19"/>
        <v>0</v>
      </c>
      <c r="AO52" s="26">
        <f t="shared" si="20"/>
        <v>0</v>
      </c>
      <c r="AP52" s="26">
        <f t="shared" si="21"/>
        <v>0</v>
      </c>
      <c r="AQ52" s="26">
        <f>IF(AM52&lt;&gt;"",
    COUNTIFS(MATCH_INPUT!$K$14:$K$17,AM52),
0)</f>
        <v>0</v>
      </c>
      <c r="AR52" s="26">
        <f>IF(AM52&lt;&gt;"",
    COUNTIFS(MATCH_INPUT!$F$14:$F$17, AM52, MATCH_INPUT!$K$14:$K$17, "Draw") +
    COUNTIFS(MATCH_INPUT!$J$14:$J$17, AM52, MATCH_INPUT!$K$14:$K$17, "Draw"),
0)</f>
        <v>0</v>
      </c>
      <c r="AS52" s="26">
        <f>IF(AM52&lt;&gt;"",
    COUNTIFS(MATCH_INPUT!$F$14:$F$17, AM52, MATCH_INPUT!$K$14:$K$17, "&lt;&gt;"&amp;AM52, MATCH_INPUT!$K$14:$K$17, "&lt;&gt;Draw", MATCH_INPUT!$K$14:$K$17, "&lt;&gt;""") +
    COUNTIFS(MATCH_INPUT!$J$14:$J$17, AM52, MATCH_INPUT!$K$14:$K$17, "&lt;&gt;"&amp;AM52, MATCH_INPUT!$K$14:$K$17, "&lt;&gt;Draw", MATCH_INPUT!$K$14:$K$17, "&lt;&gt;"""),
0)</f>
        <v>0</v>
      </c>
      <c r="AT52" s="27"/>
      <c r="AU52" s="27"/>
      <c r="AV52" s="28"/>
      <c r="AW52" s="26">
        <f t="shared" si="154"/>
        <v>10</v>
      </c>
      <c r="AX52" s="29" t="str">
        <f t="shared" si="23"/>
        <v>↓</v>
      </c>
      <c r="AY52" s="19"/>
      <c r="AZ52" s="23">
        <f t="shared" si="24"/>
        <v>0</v>
      </c>
      <c r="BA52" s="20">
        <f t="shared" si="25"/>
        <v>0</v>
      </c>
      <c r="BB52" s="20">
        <f>SUM(BC52*2) + (BD52*1) + SUMIFS(MATCH_INPUT!$G$18:$G$21, MATCH_INPUT!$F$18:$F$21, AY52) + SUMIFS(MATCH_INPUT!$I$18:$I$21, MATCH_INPUT!$J$18:$J$21, AY52)
</f>
        <v>0</v>
      </c>
      <c r="BC52" s="20">
        <f>IF(AY52&lt;&gt;"",
    COUNTIFS(MATCH_INPUT!$K$18:$K$21,AY52),
0)</f>
        <v>0</v>
      </c>
      <c r="BD52" s="20">
        <f>IF(AY52&lt;&gt;"",
    COUNTIFS(MATCH_INPUT!$F$18:$F$21, AY52, MATCH_INPUT!$K$18:$K$21, "Draw") +
    COUNTIFS(MATCH_INPUT!$J$18:$J$21, AY52, MATCH_INPUT!$K$18:$K$21, "Draw"),
0)</f>
        <v>0</v>
      </c>
      <c r="BE52" s="20">
        <f>IF(AY52&lt;&gt;"",
    COUNTIFS(MATCH_INPUT!$F$18:$F$21, AY52, MATCH_INPUT!$K$18:$K$21, "&lt;&gt;"&amp;AY52, MATCH_INPUT!$K$18:$K$21, "&lt;&gt;Draw", MATCH_INPUT!$K$18:$K$21, "&lt;&gt;""") +
    COUNTIFS(MATCH_INPUT!$J$18:$J$21, AY52, MATCH_INPUT!$K$18:$K$21, "&lt;&gt;"&amp;AY52, MATCH_INPUT!$K$18:$K$21, "&lt;&gt;Draw", MATCH_INPUT!$K$18:$K$21, "&lt;&gt;"""),
0)</f>
        <v>0</v>
      </c>
      <c r="BF52" s="21" t="str">
        <f t="array" ref="BF52">IFERROR(INDEX(Form_Response!E:E, MATCH(1, (Form_Response!C:C='MATCH DATES'!$B$6)*(Form_Response!D:D=B52), 0)), "")
</f>
        <v/>
      </c>
      <c r="BG52" s="21">
        <f t="array" ref="BG52">IFERROR(IF(INDEX(Form_Response!F:F, MATCH(1, (Form_Response!C:C='MATCH DATES'!$B$6)*(Form_Response!D:D=B52), 0))="Yes", 1, 0), 0)
</f>
        <v>0</v>
      </c>
      <c r="BH52" s="30" t="str">
        <f t="array" ref="BH52">IFERROR(INDEX(Form_Response!G:G, MATCH(1, (Form_Response!C:C='MATCH DATES'!$B$6)*(Form_Response!D:D=B52), 0)), "")
</f>
        <v/>
      </c>
      <c r="BI52" s="23">
        <f t="shared" si="155"/>
        <v>11</v>
      </c>
      <c r="BJ52" s="24" t="str">
        <f t="shared" si="27"/>
        <v>↓</v>
      </c>
      <c r="BK52" s="34"/>
      <c r="BL52" s="26">
        <f t="shared" si="28"/>
        <v>0</v>
      </c>
      <c r="BM52" s="26">
        <f t="shared" si="29"/>
        <v>0</v>
      </c>
      <c r="BN52" s="26">
        <f>SUM(BO52*2) + (BP52*1) + SUMIFS(MATCH_INPUT!$G$22:$G$25, MATCH_INPUT!$F$22:$F$25, BK52) + SUMIFS(MATCH_INPUT!$I$22:$I$25, MATCH_INPUT!$J$22:$J$25, BK52)
</f>
        <v>0</v>
      </c>
      <c r="BO52" s="26">
        <f>IF(BK52&lt;&gt;"",
    COUNTIFS(MATCH_INPUT!$K$22:$K$25,BK52),
0)</f>
        <v>0</v>
      </c>
      <c r="BP52" s="26">
        <f>IF(BK52&lt;&gt;"",
    COUNTIFS(MATCH_INPUT!$F$22:$F$25, BK52, MATCH_INPUT!$K$22:$K$25, "Draw") +
    COUNTIFS(MATCH_INPUT!$J$22:$J$25, BK52, MATCH_INPUT!$K$22:$K$25, "Draw"),
0)</f>
        <v>0</v>
      </c>
      <c r="BQ52" s="26">
        <f>IF(BK52&lt;&gt;"",
    COUNTIFS(MATCH_INPUT!$F$22:$F$25, BK52, MATCH_INPUT!$K$22:$K$25, "&lt;&gt;"&amp;BK52, MATCH_INPUT!$K$22:$K$25, "&lt;&gt;Draw", MATCH_INPUT!$K$22:$K$25, "&lt;&gt;""") +
    COUNTIFS(MATCH_INPUT!$J$22:$J$25, BK52, MATCH_INPUT!$K$22:$K$25, "&lt;&gt;"&amp;BK52, MATCH_INPUT!$K$22:$K$25, "&lt;&gt;Draw", MATCH_INPUT!$K$22:$K$25, "&lt;&gt;"""),
0)</f>
        <v>0</v>
      </c>
      <c r="BR52" s="27"/>
      <c r="BS52" s="27"/>
      <c r="BT52" s="28"/>
      <c r="BU52" s="26">
        <f t="shared" si="156"/>
        <v>14</v>
      </c>
      <c r="BV52" s="29" t="str">
        <f t="shared" si="31"/>
        <v>↓</v>
      </c>
      <c r="BW52" s="19" t="s">
        <v>138</v>
      </c>
      <c r="BX52" s="23">
        <f t="shared" si="32"/>
        <v>11</v>
      </c>
      <c r="BY52" s="20">
        <f t="shared" si="33"/>
        <v>2</v>
      </c>
      <c r="BZ52" s="20">
        <f>SUM(CA52*2)+(CB52*1) + SUMIFS(MATCH_INPUT!$G$26:$G$29, MATCH_INPUT!$F$26:$F$29, BW52) + SUMIFS(MATCH_INPUT!$I$26:$I$29, MATCH_INPUT!$J$26:$J$29, BW52)
</f>
        <v>9</v>
      </c>
      <c r="CA52" s="20">
        <f>IF(BW52&lt;&gt;"",
    COUNTIFS(MATCH_INPUT!$K$26:$K$29,BW52),
0)</f>
        <v>2</v>
      </c>
      <c r="CB52" s="20">
        <f>IF(BW52&lt;&gt;"",
    COUNTIFS(MATCH_INPUT!$F$26:$F$29, BW52, MATCH_INPUT!$K$26:$K$29, "Draw") +
    COUNTIFS(MATCH_INPUT!$J$26:$J$29, BW52, MATCH_INPUT!$K$26:$K$29, "Draw"),
0)</f>
        <v>0</v>
      </c>
      <c r="CC52" s="20">
        <f>IF(BW52&lt;&gt;"",
    COUNTIFS(MATCH_INPUT!$F$26:$F$29, BW52, MATCH_INPUT!$K$26:$K$29, "&lt;&gt;"&amp;BW52, MATCH_INPUT!$K$26:$K$29, "&lt;&gt;Draw", MATCH_INPUT!$K$26:$K$29, "&lt;&gt;""") +
    COUNTIFS(MATCH_INPUT!$J$26:$J$29, BW52, MATCH_INPUT!$K$26:$K$29, "&lt;&gt;"&amp;BW52, MATCH_INPUT!$K$26:$K$29, "&lt;&gt;Draw", MATCH_INPUT!$K$26:$K$29, "&lt;&gt;"""),
0)</f>
        <v>0</v>
      </c>
      <c r="CD52" s="21"/>
      <c r="CE52" s="21"/>
      <c r="CF52" s="30"/>
      <c r="CG52" s="23">
        <f t="shared" si="157"/>
        <v>8</v>
      </c>
      <c r="CH52" s="24" t="str">
        <f t="shared" si="35"/>
        <v>↑</v>
      </c>
      <c r="CI52" s="25"/>
      <c r="CJ52" s="26">
        <f t="shared" si="36"/>
        <v>11</v>
      </c>
      <c r="CK52" s="26">
        <f t="shared" si="37"/>
        <v>0</v>
      </c>
      <c r="CL52" s="26">
        <f>SUM(CM52*2)+(CN52*1) + SUMIFS(MATCH_INPUT!$G$30:$G$33, MATCH_INPUT!$F$30:$F$33, CI52) + SUMIFS(MATCH_INPUT!$I$30:$I$33, MATCH_INPUT!$J$30:$J$33, CI52)
</f>
        <v>0</v>
      </c>
      <c r="CM52" s="26">
        <f>IF(CI52&lt;&gt;"",
    COUNTIFS(MATCH_INPUT!$K$30:$K$33,CI52),
0)</f>
        <v>0</v>
      </c>
      <c r="CN52" s="26">
        <f>IF(CI52&lt;&gt;"",
    COUNTIFS(MATCH_INPUT!$F$30:$F$33, CI52, MATCH_INPUT!$K$30:$K$33, "Draw") +
    COUNTIFS(MATCH_INPUT!$J$30:$J$33, CI52, MATCH_INPUT!$K$30:$K$33, "Draw"),
0)</f>
        <v>0</v>
      </c>
      <c r="CO52" s="26">
        <f>IF(CI52&lt;&gt;"",
    COUNTIFS(MATCH_INPUT!$F$30:$F$33, CI52, MATCH_INPUT!$K$30:$K$33, "&lt;&gt;"&amp;CI52, MATCH_INPUT!$K$30:$K$33, "&lt;&gt;Draw", MATCH_INPUT!$K$30:$K$33, "&lt;&gt;""") +
    COUNTIFS(MATCH_INPUT!$J$30:$J$33, CI52, MATCH_INPUT!$K$30:$K$33, "&lt;&gt;"&amp;CI52, MATCH_INPUT!$K$30:$K$33, "&lt;&gt;Draw", MATCH_INPUT!$K$30:$K$33, "&lt;&gt;"""),
0)</f>
        <v>0</v>
      </c>
      <c r="CP52" s="27" t="str">
        <f t="array" ref="CP52">IFERROR(INDEX(Form_Response!E:E, MATCH(1, (Form_Response!C:C='MATCH DATES'!$B$9)*(Form_Response!D:D=B52), 0)), "")
</f>
        <v/>
      </c>
      <c r="CQ52" s="27">
        <f t="array" ref="CQ52">IFERROR(IF(INDEX(Form_Response!F:F, MATCH(1, (Form_Response!C:C='MATCH DATES'!$B$9)*(Form_Response!D:D=B52), 0))="Yes", 1, 0), 0)
</f>
        <v>0</v>
      </c>
      <c r="CR52" s="28" t="str">
        <f t="array" ref="CR52">IFERROR(INDEX(Form_Response!G:G, MATCH(1, (Form_Response!C:C='MATCH DATES'!$B$9)*(Form_Response!D:D=B52), 0)), "")
</f>
        <v/>
      </c>
      <c r="CS52" s="31">
        <f t="shared" si="158"/>
        <v>11</v>
      </c>
      <c r="CT52" s="31" t="str">
        <f t="shared" si="39"/>
        <v>↓</v>
      </c>
      <c r="CU52" s="32">
        <f t="shared" si="40"/>
        <v>9</v>
      </c>
      <c r="CV52" s="32" t="str">
        <f t="shared" ref="CV52:CW52" si="195">A52</f>
        <v/>
      </c>
      <c r="CW52" s="33" t="str">
        <f t="shared" si="195"/>
        <v>🔄 (Estavillo)</v>
      </c>
      <c r="CX52" s="33">
        <f t="shared" si="42"/>
        <v>11</v>
      </c>
      <c r="CY52" s="32">
        <f>SUM(
  IF(AND('MATCH DATES'!$A$2 &lt;= TODAY(), NOW() &gt;= 'MATCH DATES'!$A$2 + TIME(22, 0, 0)), E52, 0),
  IF(AND('MATCH DATES'!$A$3 &lt;= TODAY(), NOW() &gt;= 'MATCH DATES'!$A$3 + TIME(22, 0, 0)), Q52, 0),
  IF(AND('MATCH DATES'!$A$4 &lt;= TODAY(), NOW() &gt;= 'MATCH DATES'!$A$4 + TIME(22, 0, 0)), AC52, 0),
  IF(AND('MATCH DATES'!$A$5 &lt;= TODAY(), NOW() &gt;= 'MATCH DATES'!$A$5 + TIME(22, 0, 0)), AO52, 0),
  IF(AND('MATCH DATES'!$A$6 &lt;= TODAY(), NOW() &gt;= 'MATCH DATES'!$A$6 + TIME(22, 0, 0)), BA52, 0),
  IF(AND('MATCH DATES'!$A$7 &lt;= TODAY(), NOW() &gt;= 'MATCH DATES'!$A$7 + TIME(22, 0, 0)), BM52, 0),
  IF(AND('MATCH DATES'!$A$8 &lt;= TODAY(), NOW() &gt;= 'MATCH DATES'!$A$8 + TIME(22, 0, 0)), BY52, 0),
  IF(AND('MATCH DATES'!$A$9 &lt;= TODAY(), NOW() &gt;= 'MATCH DATES'!$A$9 + TIME(22, 0, 0)), CK52, 0)
)
</f>
        <v>2</v>
      </c>
      <c r="CZ52" s="33">
        <f t="shared" ref="CZ52:DA52" si="196">SUM(G52,S52,AE52,AQ52,BC52,BO52,CA52,CM52)</f>
        <v>2</v>
      </c>
      <c r="DA52" s="33">
        <f t="shared" si="196"/>
        <v>0</v>
      </c>
      <c r="DB52" s="33">
        <f>SUM(
  IF(AND('MATCH DATES'!$A$2 &lt;= TODAY(), NOW() &gt;= 'MATCH DATES'!$A$2 + TIME(22, 0, 0)), I52, 0),
  IF(AND('MATCH DATES'!$A$3 &lt;= TODAY(), NOW() &gt;= 'MATCH DATES'!$A$3 + TIME(22, 0, 0)), U52, 0),
  IF(AND('MATCH DATES'!$A$4 &lt;= TODAY(), NOW() &gt;= 'MATCH DATES'!$A$4 + TIME(22, 0, 0)), AG52, 0),
  IF(AND('MATCH DATES'!$A$5 &lt;= TODAY(), NOW() &gt;= 'MATCH DATES'!$A$5 + TIME(22, 0, 0)), AS52, 0),
  IF(AND('MATCH DATES'!$A$6 &lt;= TODAY(), NOW() &gt;= 'MATCH DATES'!$A$6 + TIME(22, 0, 0)), BE52, 0),
  IF(AND('MATCH DATES'!$A$7 &lt;= TODAY(), NOW() &gt;= 'MATCH DATES'!$A$7 + TIME(22, 0, 0)), BQ52, 0),
  IF(AND('MATCH DATES'!$A$8 &lt;= TODAY(), NOW() &gt;= 'MATCH DATES'!$A$8 + TIME(22, 0, 0)), CC52, 0),
  IF(AND('MATCH DATES'!$A$9 &lt;= TODAY(), NOW() &gt;= 'MATCH DATES'!$A$9 + TIME(22, 0, 0)), CO52, 0)
)</f>
        <v>0</v>
      </c>
      <c r="DC52" s="33">
        <f t="shared" si="44"/>
        <v>0</v>
      </c>
      <c r="DD52" s="33">
        <f t="shared" ref="DD52:DE52" si="197">SUM(K52,W52,AI52,AU52,BG52,BS52,CE52,CQ52)</f>
        <v>0</v>
      </c>
      <c r="DE52" s="33">
        <f t="shared" si="197"/>
        <v>0</v>
      </c>
    </row>
    <row r="53" ht="24.75" customHeight="1">
      <c r="A53" s="31"/>
      <c r="B53" s="18" t="s">
        <v>191</v>
      </c>
      <c r="C53" s="35"/>
      <c r="D53" s="20">
        <f t="shared" si="4"/>
        <v>0</v>
      </c>
      <c r="E53" s="20">
        <f t="shared" si="5"/>
        <v>0</v>
      </c>
      <c r="F53" s="20">
        <f t="shared" si="6"/>
        <v>0</v>
      </c>
      <c r="G53" s="20">
        <f>IF(C53&lt;&gt;"",
    COUNTIFS(MATCH_INPUT!$K$2:$K$5,C53),
0)</f>
        <v>0</v>
      </c>
      <c r="H53" s="20">
        <f>IF(C53&lt;&gt;"",
    COUNTIFS(MATCH_INPUT!$F$2:$F$5, C53, MATCH_INPUT!$K$2:$K$5, "Draw") +
    COUNTIFS(MATCH_INPUT!$J$2:$J$5, C53, MATCH_INPUT!$K$2:$K$5, "Draw"),
0)</f>
        <v>0</v>
      </c>
      <c r="I53" s="20">
        <f>IF(C53&lt;&gt;"",
    COUNTIFS(MATCH_INPUT!$F$2:$F$5, C53, MATCH_INPUT!$K$2:$K$5, "&lt;&gt;"&amp;C53, MATCH_INPUT!$K$2:$K$5, "&lt;&gt;Draw", MATCH_INPUT!$K$2:$K$5, "&lt;&gt;""") +
    COUNTIFS(MATCH_INPUT!$J$2:$J$5, C53, MATCH_INPUT!$K$2:$K$5, "&lt;&gt;"&amp;C53, MATCH_INPUT!$K$2:$K$5, "&lt;&gt;Draw", MATCH_INPUT!$K$2:$K$5, "&lt;&gt;"""),
0)</f>
        <v>0</v>
      </c>
      <c r="J53" s="21"/>
      <c r="K53" s="21"/>
      <c r="L53" s="22"/>
      <c r="M53" s="23">
        <f t="shared" si="151"/>
        <v>4</v>
      </c>
      <c r="N53" s="24" t="str">
        <f t="shared" si="8"/>
        <v>↓</v>
      </c>
      <c r="O53" s="25"/>
      <c r="P53" s="26">
        <f t="shared" si="9"/>
        <v>0</v>
      </c>
      <c r="Q53" s="26">
        <f t="shared" si="10"/>
        <v>0</v>
      </c>
      <c r="R53" s="26">
        <f t="shared" si="11"/>
        <v>0</v>
      </c>
      <c r="S53" s="26">
        <f>IF(O53&lt;&gt;"",
    COUNTIFS(MATCH_INPUT!$K$6:$K$9,O53),
0)</f>
        <v>0</v>
      </c>
      <c r="T53" s="26">
        <f>IF(O53&lt;&gt;"",
    COUNTIFS(MATCH_INPUT!$F$6:$F$9, O53, MATCH_INPUT!$K$6:$K$9, "Draw") +
    COUNTIFS(MATCH_INPUT!$J$6:$J$9, O53, MATCH_INPUT!$K$6:$K$9, "Draw"),
0)</f>
        <v>0</v>
      </c>
      <c r="U53" s="26">
        <f>IF(O53&lt;&gt;"",
    COUNTIFS(MATCH_INPUT!$F$6:$F$9, O53, MATCH_INPUT!$K$6:$K$9, "&lt;&gt;"&amp;O53, MATCH_INPUT!$K$6:$K$9, "&lt;&gt;Draw", MATCH_INPUT!$K$6:$K$9, "&lt;&gt;""") +
    COUNTIFS(MATCH_INPUT!$J$6:$J$9, O53, MATCH_INPUT!$K$6:$K$9, "&lt;&gt;"&amp;O53, MATCH_INPUT!$K$6:$K$9, "&lt;&gt;Draw", MATCH_INPUT!$K$6:$K$9, "&lt;&gt;"""),
0)</f>
        <v>0</v>
      </c>
      <c r="V53" s="27"/>
      <c r="W53" s="27"/>
      <c r="X53" s="28"/>
      <c r="Y53" s="26">
        <f t="shared" si="152"/>
        <v>7</v>
      </c>
      <c r="Z53" s="29" t="str">
        <f t="shared" si="13"/>
        <v>↓</v>
      </c>
      <c r="AA53" s="19"/>
      <c r="AB53" s="23">
        <f t="shared" si="14"/>
        <v>0</v>
      </c>
      <c r="AC53" s="20">
        <f t="shared" si="15"/>
        <v>0</v>
      </c>
      <c r="AD53" s="20">
        <f t="shared" si="16"/>
        <v>0</v>
      </c>
      <c r="AE53" s="20">
        <f>IF(AA53&lt;&gt;"",
    COUNTIFS(MATCH_INPUT!$K$10:$K$13,AA53),
0)</f>
        <v>0</v>
      </c>
      <c r="AF53" s="20">
        <f>IF(AA53&lt;&gt;"",
    COUNTIFS(MATCH_INPUT!$F$10:$F$13, AA53, MATCH_INPUT!$K$10:$K$13, "Draw") +
    COUNTIFS(MATCH_INPUT!$J$10:$J$13, AA53, MATCH_INPUT!$K$10:$K$13, "Draw"),
0)</f>
        <v>0</v>
      </c>
      <c r="AG53" s="20">
        <f>IF(AA53&lt;&gt;"",
    COUNTIFS(MATCH_INPUT!$F$10:$F$13, AA53, MATCH_INPUT!$K$10:$K$13, "&lt;&gt;"&amp;AA53, MATCH_INPUT!$K$10:$K$13, "&lt;&gt;Draw", MATCH_INPUT!$K$10:$K$13, "&lt;&gt;""") +
    COUNTIFS(MATCH_INPUT!$J$10:$J$13, AA53, MATCH_INPUT!$K$10:$K$13, "&lt;&gt;"&amp;AA53, MATCH_INPUT!$K$10:$K$13, "&lt;&gt;Draw", MATCH_INPUT!$K$10:$K$13, "&lt;&gt;"""),
0)</f>
        <v>0</v>
      </c>
      <c r="AH53" s="21"/>
      <c r="AI53" s="21"/>
      <c r="AJ53" s="30"/>
      <c r="AK53" s="23">
        <f t="shared" si="153"/>
        <v>8</v>
      </c>
      <c r="AL53" s="24" t="str">
        <f t="shared" si="18"/>
        <v>↓</v>
      </c>
      <c r="AM53" s="25"/>
      <c r="AN53" s="26">
        <f t="shared" si="19"/>
        <v>0</v>
      </c>
      <c r="AO53" s="26">
        <f t="shared" si="20"/>
        <v>0</v>
      </c>
      <c r="AP53" s="26">
        <f t="shared" si="21"/>
        <v>0</v>
      </c>
      <c r="AQ53" s="26">
        <f>IF(AM53&lt;&gt;"",
    COUNTIFS(MATCH_INPUT!$K$14:$K$17,AM53),
0)</f>
        <v>0</v>
      </c>
      <c r="AR53" s="26">
        <f>IF(AM53&lt;&gt;"",
    COUNTIFS(MATCH_INPUT!$F$14:$F$17, AM53, MATCH_INPUT!$K$14:$K$17, "Draw") +
    COUNTIFS(MATCH_INPUT!$J$14:$J$17, AM53, MATCH_INPUT!$K$14:$K$17, "Draw"),
0)</f>
        <v>0</v>
      </c>
      <c r="AS53" s="26">
        <f>IF(AM53&lt;&gt;"",
    COUNTIFS(MATCH_INPUT!$F$14:$F$17, AM53, MATCH_INPUT!$K$14:$K$17, "&lt;&gt;"&amp;AM53, MATCH_INPUT!$K$14:$K$17, "&lt;&gt;Draw", MATCH_INPUT!$K$14:$K$17, "&lt;&gt;""") +
    COUNTIFS(MATCH_INPUT!$J$14:$J$17, AM53, MATCH_INPUT!$K$14:$K$17, "&lt;&gt;"&amp;AM53, MATCH_INPUT!$K$14:$K$17, "&lt;&gt;Draw", MATCH_INPUT!$K$14:$K$17, "&lt;&gt;"""),
0)</f>
        <v>0</v>
      </c>
      <c r="AT53" s="27"/>
      <c r="AU53" s="27"/>
      <c r="AV53" s="28"/>
      <c r="AW53" s="26">
        <f t="shared" si="154"/>
        <v>10</v>
      </c>
      <c r="AX53" s="29" t="str">
        <f t="shared" si="23"/>
        <v>↓</v>
      </c>
      <c r="AY53" s="19"/>
      <c r="AZ53" s="23">
        <f t="shared" si="24"/>
        <v>0</v>
      </c>
      <c r="BA53" s="20">
        <f t="shared" si="25"/>
        <v>0</v>
      </c>
      <c r="BB53" s="20">
        <f>SUM(BC53*2) + (BD53*1) + SUMIFS(MATCH_INPUT!$G$18:$G$21, MATCH_INPUT!$F$18:$F$21, AY53) + SUMIFS(MATCH_INPUT!$I$18:$I$21, MATCH_INPUT!$J$18:$J$21, AY53)
</f>
        <v>0</v>
      </c>
      <c r="BC53" s="20">
        <f>IF(AY53&lt;&gt;"",
    COUNTIFS(MATCH_INPUT!$K$18:$K$21,AY53),
0)</f>
        <v>0</v>
      </c>
      <c r="BD53" s="20">
        <f>IF(AY53&lt;&gt;"",
    COUNTIFS(MATCH_INPUT!$F$18:$F$21, AY53, MATCH_INPUT!$K$18:$K$21, "Draw") +
    COUNTIFS(MATCH_INPUT!$J$18:$J$21, AY53, MATCH_INPUT!$K$18:$K$21, "Draw"),
0)</f>
        <v>0</v>
      </c>
      <c r="BE53" s="20">
        <f>IF(AY53&lt;&gt;"",
    COUNTIFS(MATCH_INPUT!$F$18:$F$21, AY53, MATCH_INPUT!$K$18:$K$21, "&lt;&gt;"&amp;AY53, MATCH_INPUT!$K$18:$K$21, "&lt;&gt;Draw", MATCH_INPUT!$K$18:$K$21, "&lt;&gt;""") +
    COUNTIFS(MATCH_INPUT!$J$18:$J$21, AY53, MATCH_INPUT!$K$18:$K$21, "&lt;&gt;"&amp;AY53, MATCH_INPUT!$K$18:$K$21, "&lt;&gt;Draw", MATCH_INPUT!$K$18:$K$21, "&lt;&gt;"""),
0)</f>
        <v>0</v>
      </c>
      <c r="BF53" s="21" t="str">
        <f t="array" ref="BF53">IFERROR(INDEX(Form_Response!E:E, MATCH(1, (Form_Response!C:C='MATCH DATES'!$B$6)*(Form_Response!D:D=B53), 0)), "")
</f>
        <v/>
      </c>
      <c r="BG53" s="21">
        <f t="array" ref="BG53">IFERROR(IF(INDEX(Form_Response!F:F, MATCH(1, (Form_Response!C:C='MATCH DATES'!$B$6)*(Form_Response!D:D=B53), 0))="Yes", 1, 0), 0)
</f>
        <v>0</v>
      </c>
      <c r="BH53" s="30" t="str">
        <f t="array" ref="BH53">IFERROR(INDEX(Form_Response!G:G, MATCH(1, (Form_Response!C:C='MATCH DATES'!$B$6)*(Form_Response!D:D=B53), 0)), "")
</f>
        <v/>
      </c>
      <c r="BI53" s="23">
        <f t="shared" si="155"/>
        <v>11</v>
      </c>
      <c r="BJ53" s="24" t="str">
        <f t="shared" si="27"/>
        <v>↓</v>
      </c>
      <c r="BK53" s="34"/>
      <c r="BL53" s="26">
        <f t="shared" si="28"/>
        <v>0</v>
      </c>
      <c r="BM53" s="26">
        <f t="shared" si="29"/>
        <v>0</v>
      </c>
      <c r="BN53" s="26">
        <f>SUM(BO53*2) + (BP53*1) + SUMIFS(MATCH_INPUT!$G$22:$G$25, MATCH_INPUT!$F$22:$F$25, BK53) + SUMIFS(MATCH_INPUT!$I$22:$I$25, MATCH_INPUT!$J$22:$J$25, BK53)
</f>
        <v>0</v>
      </c>
      <c r="BO53" s="26">
        <f>IF(BK53&lt;&gt;"",
    COUNTIFS(MATCH_INPUT!$K$22:$K$25,BK53),
0)</f>
        <v>0</v>
      </c>
      <c r="BP53" s="26">
        <f>IF(BK53&lt;&gt;"",
    COUNTIFS(MATCH_INPUT!$F$22:$F$25, BK53, MATCH_INPUT!$K$22:$K$25, "Draw") +
    COUNTIFS(MATCH_INPUT!$J$22:$J$25, BK53, MATCH_INPUT!$K$22:$K$25, "Draw"),
0)</f>
        <v>0</v>
      </c>
      <c r="BQ53" s="26">
        <f>IF(BK53&lt;&gt;"",
    COUNTIFS(MATCH_INPUT!$F$22:$F$25, BK53, MATCH_INPUT!$K$22:$K$25, "&lt;&gt;"&amp;BK53, MATCH_INPUT!$K$22:$K$25, "&lt;&gt;Draw", MATCH_INPUT!$K$22:$K$25, "&lt;&gt;""") +
    COUNTIFS(MATCH_INPUT!$J$22:$J$25, BK53, MATCH_INPUT!$K$22:$K$25, "&lt;&gt;"&amp;BK53, MATCH_INPUT!$K$22:$K$25, "&lt;&gt;Draw", MATCH_INPUT!$K$22:$K$25, "&lt;&gt;"""),
0)</f>
        <v>0</v>
      </c>
      <c r="BR53" s="27"/>
      <c r="BS53" s="27"/>
      <c r="BT53" s="28"/>
      <c r="BU53" s="26">
        <f t="shared" si="156"/>
        <v>14</v>
      </c>
      <c r="BV53" s="29" t="str">
        <f t="shared" si="31"/>
        <v>↓</v>
      </c>
      <c r="BW53" s="35"/>
      <c r="BX53" s="23">
        <f t="shared" si="32"/>
        <v>0</v>
      </c>
      <c r="BY53" s="20">
        <f t="shared" si="33"/>
        <v>0</v>
      </c>
      <c r="BZ53" s="20">
        <f>SUM(CA53*2)+(CB53*1) + SUMIFS(MATCH_INPUT!$G$26:$G$29, MATCH_INPUT!$F$26:$F$29, BW53) + SUMIFS(MATCH_INPUT!$I$26:$I$29, MATCH_INPUT!$J$26:$J$29, BW53)
</f>
        <v>0</v>
      </c>
      <c r="CA53" s="20">
        <f>IF(BW53&lt;&gt;"",
    COUNTIFS(MATCH_INPUT!$K$26:$K$29,BW53),
0)</f>
        <v>0</v>
      </c>
      <c r="CB53" s="20">
        <f>IF(BW53&lt;&gt;"",
    COUNTIFS(MATCH_INPUT!$F$26:$F$29, BW53, MATCH_INPUT!$K$26:$K$29, "Draw") +
    COUNTIFS(MATCH_INPUT!$J$26:$J$29, BW53, MATCH_INPUT!$K$26:$K$29, "Draw"),
0)</f>
        <v>0</v>
      </c>
      <c r="CC53" s="20">
        <f>IF(BW53&lt;&gt;"",
    COUNTIFS(MATCH_INPUT!$F$26:$F$29, BW53, MATCH_INPUT!$K$26:$K$29, "&lt;&gt;"&amp;BW53, MATCH_INPUT!$K$26:$K$29, "&lt;&gt;Draw", MATCH_INPUT!$K$26:$K$29, "&lt;&gt;""") +
    COUNTIFS(MATCH_INPUT!$J$26:$J$29, BW53, MATCH_INPUT!$K$26:$K$29, "&lt;&gt;"&amp;BW53, MATCH_INPUT!$K$26:$K$29, "&lt;&gt;Draw", MATCH_INPUT!$K$26:$K$29, "&lt;&gt;"""),
0)</f>
        <v>0</v>
      </c>
      <c r="CD53" s="21"/>
      <c r="CE53" s="21"/>
      <c r="CF53" s="30"/>
      <c r="CG53" s="23">
        <f t="shared" si="157"/>
        <v>15</v>
      </c>
      <c r="CH53" s="24" t="str">
        <f t="shared" si="35"/>
        <v>↓</v>
      </c>
      <c r="CI53" s="25" t="s">
        <v>141</v>
      </c>
      <c r="CJ53" s="26">
        <f t="shared" si="36"/>
        <v>12</v>
      </c>
      <c r="CK53" s="26">
        <f t="shared" si="37"/>
        <v>2</v>
      </c>
      <c r="CL53" s="26">
        <f>SUM(CM53*2)+(CN53*1) + SUMIFS(MATCH_INPUT!$G$30:$G$33, MATCH_INPUT!$F$30:$F$33, CI53) + SUMIFS(MATCH_INPUT!$I$30:$I$33, MATCH_INPUT!$J$30:$J$33, CI53)
</f>
        <v>10</v>
      </c>
      <c r="CM53" s="26">
        <f>IF(CI53&lt;&gt;"",
    COUNTIFS(MATCH_INPUT!$K$30:$K$33,CI53),
0)</f>
        <v>2</v>
      </c>
      <c r="CN53" s="26">
        <f>IF(CI53&lt;&gt;"",
    COUNTIFS(MATCH_INPUT!$F$30:$F$33, CI53, MATCH_INPUT!$K$30:$K$33, "Draw") +
    COUNTIFS(MATCH_INPUT!$J$30:$J$33, CI53, MATCH_INPUT!$K$30:$K$33, "Draw"),
0)</f>
        <v>0</v>
      </c>
      <c r="CO53" s="26">
        <f>IF(CI53&lt;&gt;"",
    COUNTIFS(MATCH_INPUT!$F$30:$F$33, CI53, MATCH_INPUT!$K$30:$K$33, "&lt;&gt;"&amp;CI53, MATCH_INPUT!$K$30:$K$33, "&lt;&gt;Draw", MATCH_INPUT!$K$30:$K$33, "&lt;&gt;""") +
    COUNTIFS(MATCH_INPUT!$J$30:$J$33, CI53, MATCH_INPUT!$K$30:$K$33, "&lt;&gt;"&amp;CI53, MATCH_INPUT!$K$30:$K$33, "&lt;&gt;Draw", MATCH_INPUT!$K$30:$K$33, "&lt;&gt;"""),
0)</f>
        <v>0</v>
      </c>
      <c r="CP53" s="27" t="str">
        <f t="array" ref="CP53">IFERROR(INDEX(Form_Response!E:E, MATCH(1, (Form_Response!C:C='MATCH DATES'!$B$9)*(Form_Response!D:D=B53), 0)), "")
</f>
        <v/>
      </c>
      <c r="CQ53" s="27">
        <f t="array" ref="CQ53">IFERROR(IF(INDEX(Form_Response!F:F, MATCH(1, (Form_Response!C:C='MATCH DATES'!$B$9)*(Form_Response!D:D=B53), 0))="Yes", 1, 0), 0)
</f>
        <v>0</v>
      </c>
      <c r="CR53" s="28" t="str">
        <f t="array" ref="CR53">IFERROR(INDEX(Form_Response!G:G, MATCH(1, (Form_Response!C:C='MATCH DATES'!$B$9)*(Form_Response!D:D=B53), 0)), "")
</f>
        <v/>
      </c>
      <c r="CS53" s="31">
        <f t="shared" si="158"/>
        <v>9</v>
      </c>
      <c r="CT53" s="31" t="str">
        <f t="shared" si="39"/>
        <v>↑</v>
      </c>
      <c r="CU53" s="32">
        <f t="shared" si="40"/>
        <v>10</v>
      </c>
      <c r="CV53" s="32" t="str">
        <f t="shared" ref="CV53:CW53" si="198">A53</f>
        <v/>
      </c>
      <c r="CW53" s="33" t="str">
        <f t="shared" si="198"/>
        <v>🔄 (Jhony S)</v>
      </c>
      <c r="CX53" s="33">
        <f t="shared" si="42"/>
        <v>12</v>
      </c>
      <c r="CY53" s="32">
        <f>SUM(
  IF(AND('MATCH DATES'!$A$2 &lt;= TODAY(), NOW() &gt;= 'MATCH DATES'!$A$2 + TIME(22, 0, 0)), E53, 0),
  IF(AND('MATCH DATES'!$A$3 &lt;= TODAY(), NOW() &gt;= 'MATCH DATES'!$A$3 + TIME(22, 0, 0)), Q53, 0),
  IF(AND('MATCH DATES'!$A$4 &lt;= TODAY(), NOW() &gt;= 'MATCH DATES'!$A$4 + TIME(22, 0, 0)), AC53, 0),
  IF(AND('MATCH DATES'!$A$5 &lt;= TODAY(), NOW() &gt;= 'MATCH DATES'!$A$5 + TIME(22, 0, 0)), AO53, 0),
  IF(AND('MATCH DATES'!$A$6 &lt;= TODAY(), NOW() &gt;= 'MATCH DATES'!$A$6 + TIME(22, 0, 0)), BA53, 0),
  IF(AND('MATCH DATES'!$A$7 &lt;= TODAY(), NOW() &gt;= 'MATCH DATES'!$A$7 + TIME(22, 0, 0)), BM53, 0),
  IF(AND('MATCH DATES'!$A$8 &lt;= TODAY(), NOW() &gt;= 'MATCH DATES'!$A$8 + TIME(22, 0, 0)), BY53, 0),
  IF(AND('MATCH DATES'!$A$9 &lt;= TODAY(), NOW() &gt;= 'MATCH DATES'!$A$9 + TIME(22, 0, 0)), CK53, 0)
)
</f>
        <v>2</v>
      </c>
      <c r="CZ53" s="33">
        <f t="shared" ref="CZ53:DA53" si="199">SUM(G53,S53,AE53,AQ53,BC53,BO53,CA53,CM53)</f>
        <v>2</v>
      </c>
      <c r="DA53" s="33">
        <f t="shared" si="199"/>
        <v>0</v>
      </c>
      <c r="DB53" s="33">
        <f>SUM(
  IF(AND('MATCH DATES'!$A$2 &lt;= TODAY(), NOW() &gt;= 'MATCH DATES'!$A$2 + TIME(22, 0, 0)), I53, 0),
  IF(AND('MATCH DATES'!$A$3 &lt;= TODAY(), NOW() &gt;= 'MATCH DATES'!$A$3 + TIME(22, 0, 0)), U53, 0),
  IF(AND('MATCH DATES'!$A$4 &lt;= TODAY(), NOW() &gt;= 'MATCH DATES'!$A$4 + TIME(22, 0, 0)), AG53, 0),
  IF(AND('MATCH DATES'!$A$5 &lt;= TODAY(), NOW() &gt;= 'MATCH DATES'!$A$5 + TIME(22, 0, 0)), AS53, 0),
  IF(AND('MATCH DATES'!$A$6 &lt;= TODAY(), NOW() &gt;= 'MATCH DATES'!$A$6 + TIME(22, 0, 0)), BE53, 0),
  IF(AND('MATCH DATES'!$A$7 &lt;= TODAY(), NOW() &gt;= 'MATCH DATES'!$A$7 + TIME(22, 0, 0)), BQ53, 0),
  IF(AND('MATCH DATES'!$A$8 &lt;= TODAY(), NOW() &gt;= 'MATCH DATES'!$A$8 + TIME(22, 0, 0)), CC53, 0),
  IF(AND('MATCH DATES'!$A$9 &lt;= TODAY(), NOW() &gt;= 'MATCH DATES'!$A$9 + TIME(22, 0, 0)), CO53, 0)
)</f>
        <v>0</v>
      </c>
      <c r="DC53" s="33">
        <f t="shared" si="44"/>
        <v>0</v>
      </c>
      <c r="DD53" s="33">
        <f t="shared" ref="DD53:DE53" si="200">SUM(K53,W53,AI53,AU53,BG53,BS53,CE53,CQ53)</f>
        <v>0</v>
      </c>
      <c r="DE53" s="33">
        <f t="shared" si="200"/>
        <v>0</v>
      </c>
    </row>
    <row r="54" ht="24.75" customHeight="1">
      <c r="A54" s="31"/>
      <c r="B54" s="18" t="s">
        <v>192</v>
      </c>
      <c r="C54" s="35"/>
      <c r="D54" s="20">
        <f t="shared" si="4"/>
        <v>0</v>
      </c>
      <c r="E54" s="20">
        <f t="shared" si="5"/>
        <v>0</v>
      </c>
      <c r="F54" s="20">
        <f t="shared" si="6"/>
        <v>0</v>
      </c>
      <c r="G54" s="20">
        <f>IF(C54&lt;&gt;"",
    COUNTIFS(MATCH_INPUT!$K$2:$K$5,C54),
0)</f>
        <v>0</v>
      </c>
      <c r="H54" s="20">
        <f>IF(C54&lt;&gt;"",
    COUNTIFS(MATCH_INPUT!$F$2:$F$5, C54, MATCH_INPUT!$K$2:$K$5, "Draw") +
    COUNTIFS(MATCH_INPUT!$J$2:$J$5, C54, MATCH_INPUT!$K$2:$K$5, "Draw"),
0)</f>
        <v>0</v>
      </c>
      <c r="I54" s="20">
        <f>IF(C54&lt;&gt;"",
    COUNTIFS(MATCH_INPUT!$F$2:$F$5, C54, MATCH_INPUT!$K$2:$K$5, "&lt;&gt;"&amp;C54, MATCH_INPUT!$K$2:$K$5, "&lt;&gt;Draw", MATCH_INPUT!$K$2:$K$5, "&lt;&gt;""") +
    COUNTIFS(MATCH_INPUT!$J$2:$J$5, C54, MATCH_INPUT!$K$2:$K$5, "&lt;&gt;"&amp;C54, MATCH_INPUT!$K$2:$K$5, "&lt;&gt;Draw", MATCH_INPUT!$K$2:$K$5, "&lt;&gt;"""),
0)</f>
        <v>0</v>
      </c>
      <c r="J54" s="21"/>
      <c r="K54" s="21"/>
      <c r="L54" s="22"/>
      <c r="M54" s="23">
        <f t="shared" si="151"/>
        <v>4</v>
      </c>
      <c r="N54" s="24" t="str">
        <f t="shared" si="8"/>
        <v>↓</v>
      </c>
      <c r="O54" s="25"/>
      <c r="P54" s="26">
        <f t="shared" si="9"/>
        <v>0</v>
      </c>
      <c r="Q54" s="26">
        <f t="shared" si="10"/>
        <v>0</v>
      </c>
      <c r="R54" s="26">
        <f t="shared" si="11"/>
        <v>0</v>
      </c>
      <c r="S54" s="26">
        <f>IF(O54&lt;&gt;"",
    COUNTIFS(MATCH_INPUT!$K$6:$K$9,O54),
0)</f>
        <v>0</v>
      </c>
      <c r="T54" s="26">
        <f>IF(O54&lt;&gt;"",
    COUNTIFS(MATCH_INPUT!$F$6:$F$9, O54, MATCH_INPUT!$K$6:$K$9, "Draw") +
    COUNTIFS(MATCH_INPUT!$J$6:$J$9, O54, MATCH_INPUT!$K$6:$K$9, "Draw"),
0)</f>
        <v>0</v>
      </c>
      <c r="U54" s="26">
        <f>IF(O54&lt;&gt;"",
    COUNTIFS(MATCH_INPUT!$F$6:$F$9, O54, MATCH_INPUT!$K$6:$K$9, "&lt;&gt;"&amp;O54, MATCH_INPUT!$K$6:$K$9, "&lt;&gt;Draw", MATCH_INPUT!$K$6:$K$9, "&lt;&gt;""") +
    COUNTIFS(MATCH_INPUT!$J$6:$J$9, O54, MATCH_INPUT!$K$6:$K$9, "&lt;&gt;"&amp;O54, MATCH_INPUT!$K$6:$K$9, "&lt;&gt;Draw", MATCH_INPUT!$K$6:$K$9, "&lt;&gt;"""),
0)</f>
        <v>0</v>
      </c>
      <c r="V54" s="27"/>
      <c r="W54" s="27"/>
      <c r="X54" s="28"/>
      <c r="Y54" s="26">
        <f t="shared" si="152"/>
        <v>7</v>
      </c>
      <c r="Z54" s="29" t="str">
        <f t="shared" si="13"/>
        <v>↓</v>
      </c>
      <c r="AA54" s="19"/>
      <c r="AB54" s="23">
        <f t="shared" si="14"/>
        <v>0</v>
      </c>
      <c r="AC54" s="20">
        <f t="shared" si="15"/>
        <v>0</v>
      </c>
      <c r="AD54" s="20">
        <f t="shared" si="16"/>
        <v>0</v>
      </c>
      <c r="AE54" s="20">
        <f>IF(AA54&lt;&gt;"",
    COUNTIFS(MATCH_INPUT!$K$10:$K$13,AA54),
0)</f>
        <v>0</v>
      </c>
      <c r="AF54" s="20">
        <f>IF(AA54&lt;&gt;"",
    COUNTIFS(MATCH_INPUT!$F$10:$F$13, AA54, MATCH_INPUT!$K$10:$K$13, "Draw") +
    COUNTIFS(MATCH_INPUT!$J$10:$J$13, AA54, MATCH_INPUT!$K$10:$K$13, "Draw"),
0)</f>
        <v>0</v>
      </c>
      <c r="AG54" s="20">
        <f>IF(AA54&lt;&gt;"",
    COUNTIFS(MATCH_INPUT!$F$10:$F$13, AA54, MATCH_INPUT!$K$10:$K$13, "&lt;&gt;"&amp;AA54, MATCH_INPUT!$K$10:$K$13, "&lt;&gt;Draw", MATCH_INPUT!$K$10:$K$13, "&lt;&gt;""") +
    COUNTIFS(MATCH_INPUT!$J$10:$J$13, AA54, MATCH_INPUT!$K$10:$K$13, "&lt;&gt;"&amp;AA54, MATCH_INPUT!$K$10:$K$13, "&lt;&gt;Draw", MATCH_INPUT!$K$10:$K$13, "&lt;&gt;"""),
0)</f>
        <v>0</v>
      </c>
      <c r="AH54" s="21"/>
      <c r="AI54" s="21"/>
      <c r="AJ54" s="30"/>
      <c r="AK54" s="23">
        <f t="shared" si="153"/>
        <v>8</v>
      </c>
      <c r="AL54" s="24" t="str">
        <f t="shared" si="18"/>
        <v>↓</v>
      </c>
      <c r="AM54" s="25"/>
      <c r="AN54" s="26">
        <f t="shared" si="19"/>
        <v>0</v>
      </c>
      <c r="AO54" s="26">
        <f t="shared" si="20"/>
        <v>0</v>
      </c>
      <c r="AP54" s="26">
        <f t="shared" si="21"/>
        <v>0</v>
      </c>
      <c r="AQ54" s="26">
        <f>IF(AM54&lt;&gt;"",
    COUNTIFS(MATCH_INPUT!$K$14:$K$17,AM54),
0)</f>
        <v>0</v>
      </c>
      <c r="AR54" s="26">
        <f>IF(AM54&lt;&gt;"",
    COUNTIFS(MATCH_INPUT!$F$14:$F$17, AM54, MATCH_INPUT!$K$14:$K$17, "Draw") +
    COUNTIFS(MATCH_INPUT!$J$14:$J$17, AM54, MATCH_INPUT!$K$14:$K$17, "Draw"),
0)</f>
        <v>0</v>
      </c>
      <c r="AS54" s="26">
        <f>IF(AM54&lt;&gt;"",
    COUNTIFS(MATCH_INPUT!$F$14:$F$17, AM54, MATCH_INPUT!$K$14:$K$17, "&lt;&gt;"&amp;AM54, MATCH_INPUT!$K$14:$K$17, "&lt;&gt;Draw", MATCH_INPUT!$K$14:$K$17, "&lt;&gt;""") +
    COUNTIFS(MATCH_INPUT!$J$14:$J$17, AM54, MATCH_INPUT!$K$14:$K$17, "&lt;&gt;"&amp;AM54, MATCH_INPUT!$K$14:$K$17, "&lt;&gt;Draw", MATCH_INPUT!$K$14:$K$17, "&lt;&gt;"""),
0)</f>
        <v>0</v>
      </c>
      <c r="AT54" s="27"/>
      <c r="AU54" s="27"/>
      <c r="AV54" s="28"/>
      <c r="AW54" s="26">
        <f t="shared" si="154"/>
        <v>10</v>
      </c>
      <c r="AX54" s="29" t="str">
        <f t="shared" si="23"/>
        <v>↓</v>
      </c>
      <c r="AY54" s="19"/>
      <c r="AZ54" s="23">
        <f t="shared" si="24"/>
        <v>0</v>
      </c>
      <c r="BA54" s="20">
        <f t="shared" si="25"/>
        <v>0</v>
      </c>
      <c r="BB54" s="20">
        <f>SUM(BC54*2) + (BD54*1) + SUMIFS(MATCH_INPUT!$G$18:$G$21, MATCH_INPUT!$F$18:$F$21, AY54) + SUMIFS(MATCH_INPUT!$I$18:$I$21, MATCH_INPUT!$J$18:$J$21, AY54)
</f>
        <v>0</v>
      </c>
      <c r="BC54" s="20">
        <f>IF(AY54&lt;&gt;"",
    COUNTIFS(MATCH_INPUT!$K$18:$K$21,AY54),
0)</f>
        <v>0</v>
      </c>
      <c r="BD54" s="20">
        <f>IF(AY54&lt;&gt;"",
    COUNTIFS(MATCH_INPUT!$F$18:$F$21, AY54, MATCH_INPUT!$K$18:$K$21, "Draw") +
    COUNTIFS(MATCH_INPUT!$J$18:$J$21, AY54, MATCH_INPUT!$K$18:$K$21, "Draw"),
0)</f>
        <v>0</v>
      </c>
      <c r="BE54" s="20">
        <f>IF(AY54&lt;&gt;"",
    COUNTIFS(MATCH_INPUT!$F$18:$F$21, AY54, MATCH_INPUT!$K$18:$K$21, "&lt;&gt;"&amp;AY54, MATCH_INPUT!$K$18:$K$21, "&lt;&gt;Draw", MATCH_INPUT!$K$18:$K$21, "&lt;&gt;""") +
    COUNTIFS(MATCH_INPUT!$J$18:$J$21, AY54, MATCH_INPUT!$K$18:$K$21, "&lt;&gt;"&amp;AY54, MATCH_INPUT!$K$18:$K$21, "&lt;&gt;Draw", MATCH_INPUT!$K$18:$K$21, "&lt;&gt;"""),
0)</f>
        <v>0</v>
      </c>
      <c r="BF54" s="21" t="str">
        <f t="array" ref="BF54">IFERROR(INDEX(Form_Response!E:E, MATCH(1, (Form_Response!C:C='MATCH DATES'!$B$6)*(Form_Response!D:D=B54), 0)), "")
</f>
        <v/>
      </c>
      <c r="BG54" s="21">
        <f t="array" ref="BG54">IFERROR(IF(INDEX(Form_Response!F:F, MATCH(1, (Form_Response!C:C='MATCH DATES'!$B$6)*(Form_Response!D:D=B54), 0))="Yes", 1, 0), 0)
</f>
        <v>0</v>
      </c>
      <c r="BH54" s="30" t="str">
        <f t="array" ref="BH54">IFERROR(INDEX(Form_Response!G:G, MATCH(1, (Form_Response!C:C='MATCH DATES'!$B$6)*(Form_Response!D:D=B54), 0)), "")
</f>
        <v/>
      </c>
      <c r="BI54" s="23">
        <f t="shared" si="155"/>
        <v>11</v>
      </c>
      <c r="BJ54" s="24" t="str">
        <f t="shared" si="27"/>
        <v>↓</v>
      </c>
      <c r="BK54" s="34"/>
      <c r="BL54" s="26">
        <f t="shared" si="28"/>
        <v>0</v>
      </c>
      <c r="BM54" s="26">
        <f t="shared" si="29"/>
        <v>0</v>
      </c>
      <c r="BN54" s="26">
        <f>SUM(BO54*2) + (BP54*1) + SUMIFS(MATCH_INPUT!$G$22:$G$25, MATCH_INPUT!$F$22:$F$25, BK54) + SUMIFS(MATCH_INPUT!$I$22:$I$25, MATCH_INPUT!$J$22:$J$25, BK54)
</f>
        <v>0</v>
      </c>
      <c r="BO54" s="26">
        <f>IF(BK54&lt;&gt;"",
    COUNTIFS(MATCH_INPUT!$K$22:$K$25,BK54),
0)</f>
        <v>0</v>
      </c>
      <c r="BP54" s="26">
        <f>IF(BK54&lt;&gt;"",
    COUNTIFS(MATCH_INPUT!$F$22:$F$25, BK54, MATCH_INPUT!$K$22:$K$25, "Draw") +
    COUNTIFS(MATCH_INPUT!$J$22:$J$25, BK54, MATCH_INPUT!$K$22:$K$25, "Draw"),
0)</f>
        <v>0</v>
      </c>
      <c r="BQ54" s="26">
        <f>IF(BK54&lt;&gt;"",
    COUNTIFS(MATCH_INPUT!$F$22:$F$25, BK54, MATCH_INPUT!$K$22:$K$25, "&lt;&gt;"&amp;BK54, MATCH_INPUT!$K$22:$K$25, "&lt;&gt;Draw", MATCH_INPUT!$K$22:$K$25, "&lt;&gt;""") +
    COUNTIFS(MATCH_INPUT!$J$22:$J$25, BK54, MATCH_INPUT!$K$22:$K$25, "&lt;&gt;"&amp;BK54, MATCH_INPUT!$K$22:$K$25, "&lt;&gt;Draw", MATCH_INPUT!$K$22:$K$25, "&lt;&gt;"""),
0)</f>
        <v>0</v>
      </c>
      <c r="BR54" s="27"/>
      <c r="BS54" s="27"/>
      <c r="BT54" s="28"/>
      <c r="BU54" s="26">
        <f t="shared" si="156"/>
        <v>14</v>
      </c>
      <c r="BV54" s="29" t="str">
        <f t="shared" si="31"/>
        <v>↓</v>
      </c>
      <c r="BW54" s="35"/>
      <c r="BX54" s="23">
        <f t="shared" si="32"/>
        <v>0</v>
      </c>
      <c r="BY54" s="20">
        <f t="shared" si="33"/>
        <v>0</v>
      </c>
      <c r="BZ54" s="20">
        <f>SUM(CA54*2)+(CB54*1) + SUMIFS(MATCH_INPUT!$G$26:$G$29, MATCH_INPUT!$F$26:$F$29, BW54) + SUMIFS(MATCH_INPUT!$I$26:$I$29, MATCH_INPUT!$J$26:$J$29, BW54)
</f>
        <v>0</v>
      </c>
      <c r="CA54" s="20">
        <f>IF(BW54&lt;&gt;"",
    COUNTIFS(MATCH_INPUT!$K$26:$K$29,BW54),
0)</f>
        <v>0</v>
      </c>
      <c r="CB54" s="20">
        <f>IF(BW54&lt;&gt;"",
    COUNTIFS(MATCH_INPUT!$F$26:$F$29, BW54, MATCH_INPUT!$K$26:$K$29, "Draw") +
    COUNTIFS(MATCH_INPUT!$J$26:$J$29, BW54, MATCH_INPUT!$K$26:$K$29, "Draw"),
0)</f>
        <v>0</v>
      </c>
      <c r="CC54" s="20">
        <f>IF(BW54&lt;&gt;"",
    COUNTIFS(MATCH_INPUT!$F$26:$F$29, BW54, MATCH_INPUT!$K$26:$K$29, "&lt;&gt;"&amp;BW54, MATCH_INPUT!$K$26:$K$29, "&lt;&gt;Draw", MATCH_INPUT!$K$26:$K$29, "&lt;&gt;""") +
    COUNTIFS(MATCH_INPUT!$J$26:$J$29, BW54, MATCH_INPUT!$K$26:$K$29, "&lt;&gt;"&amp;BW54, MATCH_INPUT!$K$26:$K$29, "&lt;&gt;Draw", MATCH_INPUT!$K$26:$K$29, "&lt;&gt;"""),
0)</f>
        <v>0</v>
      </c>
      <c r="CD54" s="21"/>
      <c r="CE54" s="21"/>
      <c r="CF54" s="30"/>
      <c r="CG54" s="23">
        <f t="shared" si="157"/>
        <v>15</v>
      </c>
      <c r="CH54" s="24" t="str">
        <f t="shared" si="35"/>
        <v>↓</v>
      </c>
      <c r="CI54" s="25" t="s">
        <v>141</v>
      </c>
      <c r="CJ54" s="26">
        <f t="shared" si="36"/>
        <v>12</v>
      </c>
      <c r="CK54" s="26">
        <f t="shared" si="37"/>
        <v>2</v>
      </c>
      <c r="CL54" s="26">
        <f>SUM(CM54*2)+(CN54*1) + SUMIFS(MATCH_INPUT!$G$30:$G$33, MATCH_INPUT!$F$30:$F$33, CI54) + SUMIFS(MATCH_INPUT!$I$30:$I$33, MATCH_INPUT!$J$30:$J$33, CI54)
</f>
        <v>10</v>
      </c>
      <c r="CM54" s="26">
        <f>IF(CI54&lt;&gt;"",
    COUNTIFS(MATCH_INPUT!$K$30:$K$33,CI54),
0)</f>
        <v>2</v>
      </c>
      <c r="CN54" s="26">
        <f>IF(CI54&lt;&gt;"",
    COUNTIFS(MATCH_INPUT!$F$30:$F$33, CI54, MATCH_INPUT!$K$30:$K$33, "Draw") +
    COUNTIFS(MATCH_INPUT!$J$30:$J$33, CI54, MATCH_INPUT!$K$30:$K$33, "Draw"),
0)</f>
        <v>0</v>
      </c>
      <c r="CO54" s="26">
        <f>IF(CI54&lt;&gt;"",
    COUNTIFS(MATCH_INPUT!$F$30:$F$33, CI54, MATCH_INPUT!$K$30:$K$33, "&lt;&gt;"&amp;CI54, MATCH_INPUT!$K$30:$K$33, "&lt;&gt;Draw", MATCH_INPUT!$K$30:$K$33, "&lt;&gt;""") +
    COUNTIFS(MATCH_INPUT!$J$30:$J$33, CI54, MATCH_INPUT!$K$30:$K$33, "&lt;&gt;"&amp;CI54, MATCH_INPUT!$K$30:$K$33, "&lt;&gt;Draw", MATCH_INPUT!$K$30:$K$33, "&lt;&gt;"""),
0)</f>
        <v>0</v>
      </c>
      <c r="CP54" s="27" t="str">
        <f t="array" ref="CP54">IFERROR(INDEX(Form_Response!E:E, MATCH(1, (Form_Response!C:C='MATCH DATES'!$B$9)*(Form_Response!D:D=B54), 0)), "")
</f>
        <v/>
      </c>
      <c r="CQ54" s="27">
        <f t="array" ref="CQ54">IFERROR(IF(INDEX(Form_Response!F:F, MATCH(1, (Form_Response!C:C='MATCH DATES'!$B$9)*(Form_Response!D:D=B54), 0))="Yes", 1, 0), 0)
</f>
        <v>0</v>
      </c>
      <c r="CR54" s="28" t="str">
        <f t="array" ref="CR54">IFERROR(INDEX(Form_Response!G:G, MATCH(1, (Form_Response!C:C='MATCH DATES'!$B$9)*(Form_Response!D:D=B54), 0)), "")
</f>
        <v/>
      </c>
      <c r="CS54" s="31">
        <f t="shared" si="158"/>
        <v>9</v>
      </c>
      <c r="CT54" s="31" t="str">
        <f t="shared" si="39"/>
        <v>↑</v>
      </c>
      <c r="CU54" s="32">
        <f t="shared" si="40"/>
        <v>10</v>
      </c>
      <c r="CV54" s="32" t="str">
        <f t="shared" ref="CV54:CW54" si="201">A54</f>
        <v/>
      </c>
      <c r="CW54" s="33" t="str">
        <f t="shared" si="201"/>
        <v>🔄 (Victor)</v>
      </c>
      <c r="CX54" s="33">
        <f t="shared" si="42"/>
        <v>12</v>
      </c>
      <c r="CY54" s="32">
        <f>SUM(
  IF(AND('MATCH DATES'!$A$2 &lt;= TODAY(), NOW() &gt;= 'MATCH DATES'!$A$2 + TIME(22, 0, 0)), E54, 0),
  IF(AND('MATCH DATES'!$A$3 &lt;= TODAY(), NOW() &gt;= 'MATCH DATES'!$A$3 + TIME(22, 0, 0)), Q54, 0),
  IF(AND('MATCH DATES'!$A$4 &lt;= TODAY(), NOW() &gt;= 'MATCH DATES'!$A$4 + TIME(22, 0, 0)), AC54, 0),
  IF(AND('MATCH DATES'!$A$5 &lt;= TODAY(), NOW() &gt;= 'MATCH DATES'!$A$5 + TIME(22, 0, 0)), AO54, 0),
  IF(AND('MATCH DATES'!$A$6 &lt;= TODAY(), NOW() &gt;= 'MATCH DATES'!$A$6 + TIME(22, 0, 0)), BA54, 0),
  IF(AND('MATCH DATES'!$A$7 &lt;= TODAY(), NOW() &gt;= 'MATCH DATES'!$A$7 + TIME(22, 0, 0)), BM54, 0),
  IF(AND('MATCH DATES'!$A$8 &lt;= TODAY(), NOW() &gt;= 'MATCH DATES'!$A$8 + TIME(22, 0, 0)), BY54, 0),
  IF(AND('MATCH DATES'!$A$9 &lt;= TODAY(), NOW() &gt;= 'MATCH DATES'!$A$9 + TIME(22, 0, 0)), CK54, 0)
)
</f>
        <v>2</v>
      </c>
      <c r="CZ54" s="33">
        <f t="shared" ref="CZ54:DA54" si="202">SUM(G54,S54,AE54,AQ54,BC54,BO54,CA54,CM54)</f>
        <v>2</v>
      </c>
      <c r="DA54" s="33">
        <f t="shared" si="202"/>
        <v>0</v>
      </c>
      <c r="DB54" s="33">
        <f>SUM(
  IF(AND('MATCH DATES'!$A$2 &lt;= TODAY(), NOW() &gt;= 'MATCH DATES'!$A$2 + TIME(22, 0, 0)), I54, 0),
  IF(AND('MATCH DATES'!$A$3 &lt;= TODAY(), NOW() &gt;= 'MATCH DATES'!$A$3 + TIME(22, 0, 0)), U54, 0),
  IF(AND('MATCH DATES'!$A$4 &lt;= TODAY(), NOW() &gt;= 'MATCH DATES'!$A$4 + TIME(22, 0, 0)), AG54, 0),
  IF(AND('MATCH DATES'!$A$5 &lt;= TODAY(), NOW() &gt;= 'MATCH DATES'!$A$5 + TIME(22, 0, 0)), AS54, 0),
  IF(AND('MATCH DATES'!$A$6 &lt;= TODAY(), NOW() &gt;= 'MATCH DATES'!$A$6 + TIME(22, 0, 0)), BE54, 0),
  IF(AND('MATCH DATES'!$A$7 &lt;= TODAY(), NOW() &gt;= 'MATCH DATES'!$A$7 + TIME(22, 0, 0)), BQ54, 0),
  IF(AND('MATCH DATES'!$A$8 &lt;= TODAY(), NOW() &gt;= 'MATCH DATES'!$A$8 + TIME(22, 0, 0)), CC54, 0),
  IF(AND('MATCH DATES'!$A$9 &lt;= TODAY(), NOW() &gt;= 'MATCH DATES'!$A$9 + TIME(22, 0, 0)), CO54, 0)
)</f>
        <v>0</v>
      </c>
      <c r="DC54" s="33">
        <f t="shared" si="44"/>
        <v>0</v>
      </c>
      <c r="DD54" s="33">
        <f t="shared" ref="DD54:DE54" si="203">SUM(K54,W54,AI54,AU54,BG54,BS54,CE54,CQ54)</f>
        <v>0</v>
      </c>
      <c r="DE54" s="33">
        <f t="shared" si="203"/>
        <v>0</v>
      </c>
    </row>
    <row r="55" ht="24.75" customHeight="1">
      <c r="A55" s="31"/>
      <c r="B55" s="18" t="s">
        <v>193</v>
      </c>
      <c r="C55" s="35"/>
      <c r="D55" s="20">
        <f t="shared" si="4"/>
        <v>0</v>
      </c>
      <c r="E55" s="20">
        <f t="shared" si="5"/>
        <v>0</v>
      </c>
      <c r="F55" s="20">
        <f t="shared" si="6"/>
        <v>0</v>
      </c>
      <c r="G55" s="20">
        <f>IF(C55&lt;&gt;"",
    COUNTIFS(MATCH_INPUT!$K$2:$K$5,C55),
0)</f>
        <v>0</v>
      </c>
      <c r="H55" s="20">
        <f>IF(C55&lt;&gt;"",
    COUNTIFS(MATCH_INPUT!$F$2:$F$5, C55, MATCH_INPUT!$K$2:$K$5, "Draw") +
    COUNTIFS(MATCH_INPUT!$J$2:$J$5, C55, MATCH_INPUT!$K$2:$K$5, "Draw"),
0)</f>
        <v>0</v>
      </c>
      <c r="I55" s="20">
        <f>IF(C55&lt;&gt;"",
    COUNTIFS(MATCH_INPUT!$F$2:$F$5, C55, MATCH_INPUT!$K$2:$K$5, "&lt;&gt;"&amp;C55, MATCH_INPUT!$K$2:$K$5, "&lt;&gt;Draw", MATCH_INPUT!$K$2:$K$5, "&lt;&gt;""") +
    COUNTIFS(MATCH_INPUT!$J$2:$J$5, C55, MATCH_INPUT!$K$2:$K$5, "&lt;&gt;"&amp;C55, MATCH_INPUT!$K$2:$K$5, "&lt;&gt;Draw", MATCH_INPUT!$K$2:$K$5, "&lt;&gt;"""),
0)</f>
        <v>0</v>
      </c>
      <c r="J55" s="21"/>
      <c r="K55" s="21"/>
      <c r="L55" s="22"/>
      <c r="M55" s="23">
        <f t="shared" si="151"/>
        <v>4</v>
      </c>
      <c r="N55" s="24" t="str">
        <f t="shared" si="8"/>
        <v>↓</v>
      </c>
      <c r="O55" s="25"/>
      <c r="P55" s="26">
        <f t="shared" si="9"/>
        <v>0</v>
      </c>
      <c r="Q55" s="26">
        <f t="shared" si="10"/>
        <v>0</v>
      </c>
      <c r="R55" s="26">
        <f t="shared" si="11"/>
        <v>0</v>
      </c>
      <c r="S55" s="26">
        <f>IF(O55&lt;&gt;"",
    COUNTIFS(MATCH_INPUT!$K$6:$K$9,O55),
0)</f>
        <v>0</v>
      </c>
      <c r="T55" s="26">
        <f>IF(O55&lt;&gt;"",
    COUNTIFS(MATCH_INPUT!$F$6:$F$9, O55, MATCH_INPUT!$K$6:$K$9, "Draw") +
    COUNTIFS(MATCH_INPUT!$J$6:$J$9, O55, MATCH_INPUT!$K$6:$K$9, "Draw"),
0)</f>
        <v>0</v>
      </c>
      <c r="U55" s="26">
        <f>IF(O55&lt;&gt;"",
    COUNTIFS(MATCH_INPUT!$F$6:$F$9, O55, MATCH_INPUT!$K$6:$K$9, "&lt;&gt;"&amp;O55, MATCH_INPUT!$K$6:$K$9, "&lt;&gt;Draw", MATCH_INPUT!$K$6:$K$9, "&lt;&gt;""") +
    COUNTIFS(MATCH_INPUT!$J$6:$J$9, O55, MATCH_INPUT!$K$6:$K$9, "&lt;&gt;"&amp;O55, MATCH_INPUT!$K$6:$K$9, "&lt;&gt;Draw", MATCH_INPUT!$K$6:$K$9, "&lt;&gt;"""),
0)</f>
        <v>0</v>
      </c>
      <c r="V55" s="27"/>
      <c r="W55" s="27"/>
      <c r="X55" s="28"/>
      <c r="Y55" s="26">
        <f t="shared" si="152"/>
        <v>7</v>
      </c>
      <c r="Z55" s="29" t="str">
        <f t="shared" si="13"/>
        <v>↓</v>
      </c>
      <c r="AA55" s="19"/>
      <c r="AB55" s="23">
        <f t="shared" si="14"/>
        <v>0</v>
      </c>
      <c r="AC55" s="20">
        <f t="shared" si="15"/>
        <v>0</v>
      </c>
      <c r="AD55" s="20">
        <f t="shared" si="16"/>
        <v>0</v>
      </c>
      <c r="AE55" s="20">
        <f>IF(AA55&lt;&gt;"",
    COUNTIFS(MATCH_INPUT!$K$10:$K$13,AA55),
0)</f>
        <v>0</v>
      </c>
      <c r="AF55" s="20">
        <f>IF(AA55&lt;&gt;"",
    COUNTIFS(MATCH_INPUT!$F$10:$F$13, AA55, MATCH_INPUT!$K$10:$K$13, "Draw") +
    COUNTIFS(MATCH_INPUT!$J$10:$J$13, AA55, MATCH_INPUT!$K$10:$K$13, "Draw"),
0)</f>
        <v>0</v>
      </c>
      <c r="AG55" s="20">
        <f>IF(AA55&lt;&gt;"",
    COUNTIFS(MATCH_INPUT!$F$10:$F$13, AA55, MATCH_INPUT!$K$10:$K$13, "&lt;&gt;"&amp;AA55, MATCH_INPUT!$K$10:$K$13, "&lt;&gt;Draw", MATCH_INPUT!$K$10:$K$13, "&lt;&gt;""") +
    COUNTIFS(MATCH_INPUT!$J$10:$J$13, AA55, MATCH_INPUT!$K$10:$K$13, "&lt;&gt;"&amp;AA55, MATCH_INPUT!$K$10:$K$13, "&lt;&gt;Draw", MATCH_INPUT!$K$10:$K$13, "&lt;&gt;"""),
0)</f>
        <v>0</v>
      </c>
      <c r="AH55" s="21"/>
      <c r="AI55" s="21"/>
      <c r="AJ55" s="30"/>
      <c r="AK55" s="23">
        <f t="shared" si="153"/>
        <v>8</v>
      </c>
      <c r="AL55" s="24" t="str">
        <f t="shared" si="18"/>
        <v>↓</v>
      </c>
      <c r="AM55" s="25"/>
      <c r="AN55" s="26">
        <f t="shared" si="19"/>
        <v>0</v>
      </c>
      <c r="AO55" s="26">
        <f t="shared" si="20"/>
        <v>0</v>
      </c>
      <c r="AP55" s="26">
        <f t="shared" si="21"/>
        <v>0</v>
      </c>
      <c r="AQ55" s="26">
        <f>IF(AM55&lt;&gt;"",
    COUNTIFS(MATCH_INPUT!$K$14:$K$17,AM55),
0)</f>
        <v>0</v>
      </c>
      <c r="AR55" s="26">
        <f>IF(AM55&lt;&gt;"",
    COUNTIFS(MATCH_INPUT!$F$14:$F$17, AM55, MATCH_INPUT!$K$14:$K$17, "Draw") +
    COUNTIFS(MATCH_INPUT!$J$14:$J$17, AM55, MATCH_INPUT!$K$14:$K$17, "Draw"),
0)</f>
        <v>0</v>
      </c>
      <c r="AS55" s="26">
        <f>IF(AM55&lt;&gt;"",
    COUNTIFS(MATCH_INPUT!$F$14:$F$17, AM55, MATCH_INPUT!$K$14:$K$17, "&lt;&gt;"&amp;AM55, MATCH_INPUT!$K$14:$K$17, "&lt;&gt;Draw", MATCH_INPUT!$K$14:$K$17, "&lt;&gt;""") +
    COUNTIFS(MATCH_INPUT!$J$14:$J$17, AM55, MATCH_INPUT!$K$14:$K$17, "&lt;&gt;"&amp;AM55, MATCH_INPUT!$K$14:$K$17, "&lt;&gt;Draw", MATCH_INPUT!$K$14:$K$17, "&lt;&gt;"""),
0)</f>
        <v>0</v>
      </c>
      <c r="AT55" s="27"/>
      <c r="AU55" s="27"/>
      <c r="AV55" s="28"/>
      <c r="AW55" s="26">
        <f t="shared" si="154"/>
        <v>10</v>
      </c>
      <c r="AX55" s="29" t="str">
        <f t="shared" si="23"/>
        <v>↓</v>
      </c>
      <c r="AY55" s="19"/>
      <c r="AZ55" s="23">
        <f t="shared" si="24"/>
        <v>0</v>
      </c>
      <c r="BA55" s="20">
        <f t="shared" si="25"/>
        <v>0</v>
      </c>
      <c r="BB55" s="20">
        <f>SUM(BC55*2) + (BD55*1) + SUMIFS(MATCH_INPUT!$G$18:$G$21, MATCH_INPUT!$F$18:$F$21, AY55) + SUMIFS(MATCH_INPUT!$I$18:$I$21, MATCH_INPUT!$J$18:$J$21, AY55)
</f>
        <v>0</v>
      </c>
      <c r="BC55" s="20">
        <f>IF(AY55&lt;&gt;"",
    COUNTIFS(MATCH_INPUT!$K$18:$K$21,AY55),
0)</f>
        <v>0</v>
      </c>
      <c r="BD55" s="20">
        <f>IF(AY55&lt;&gt;"",
    COUNTIFS(MATCH_INPUT!$F$18:$F$21, AY55, MATCH_INPUT!$K$18:$K$21, "Draw") +
    COUNTIFS(MATCH_INPUT!$J$18:$J$21, AY55, MATCH_INPUT!$K$18:$K$21, "Draw"),
0)</f>
        <v>0</v>
      </c>
      <c r="BE55" s="20">
        <f>IF(AY55&lt;&gt;"",
    COUNTIFS(MATCH_INPUT!$F$18:$F$21, AY55, MATCH_INPUT!$K$18:$K$21, "&lt;&gt;"&amp;AY55, MATCH_INPUT!$K$18:$K$21, "&lt;&gt;Draw", MATCH_INPUT!$K$18:$K$21, "&lt;&gt;""") +
    COUNTIFS(MATCH_INPUT!$J$18:$J$21, AY55, MATCH_INPUT!$K$18:$K$21, "&lt;&gt;"&amp;AY55, MATCH_INPUT!$K$18:$K$21, "&lt;&gt;Draw", MATCH_INPUT!$K$18:$K$21, "&lt;&gt;"""),
0)</f>
        <v>0</v>
      </c>
      <c r="BF55" s="21" t="str">
        <f t="array" ref="BF55">IFERROR(INDEX(Form_Response!E:E, MATCH(1, (Form_Response!C:C='MATCH DATES'!$B$6)*(Form_Response!D:D=B55), 0)), "")
</f>
        <v/>
      </c>
      <c r="BG55" s="21">
        <f t="array" ref="BG55">IFERROR(IF(INDEX(Form_Response!F:F, MATCH(1, (Form_Response!C:C='MATCH DATES'!$B$6)*(Form_Response!D:D=B55), 0))="Yes", 1, 0), 0)
</f>
        <v>0</v>
      </c>
      <c r="BH55" s="30" t="str">
        <f t="array" ref="BH55">IFERROR(INDEX(Form_Response!G:G, MATCH(1, (Form_Response!C:C='MATCH DATES'!$B$6)*(Form_Response!D:D=B55), 0)), "")
</f>
        <v/>
      </c>
      <c r="BI55" s="23">
        <f t="shared" si="155"/>
        <v>11</v>
      </c>
      <c r="BJ55" s="24" t="str">
        <f t="shared" si="27"/>
        <v>↓</v>
      </c>
      <c r="BK55" s="34"/>
      <c r="BL55" s="26">
        <f t="shared" si="28"/>
        <v>0</v>
      </c>
      <c r="BM55" s="26">
        <f t="shared" si="29"/>
        <v>0</v>
      </c>
      <c r="BN55" s="26">
        <f>SUM(BO55*2) + (BP55*1) + SUMIFS(MATCH_INPUT!$G$22:$G$25, MATCH_INPUT!$F$22:$F$25, BK55) + SUMIFS(MATCH_INPUT!$I$22:$I$25, MATCH_INPUT!$J$22:$J$25, BK55)
</f>
        <v>0</v>
      </c>
      <c r="BO55" s="26">
        <f>IF(BK55&lt;&gt;"",
    COUNTIFS(MATCH_INPUT!$K$22:$K$25,BK55),
0)</f>
        <v>0</v>
      </c>
      <c r="BP55" s="26">
        <f>IF(BK55&lt;&gt;"",
    COUNTIFS(MATCH_INPUT!$F$22:$F$25, BK55, MATCH_INPUT!$K$22:$K$25, "Draw") +
    COUNTIFS(MATCH_INPUT!$J$22:$J$25, BK55, MATCH_INPUT!$K$22:$K$25, "Draw"),
0)</f>
        <v>0</v>
      </c>
      <c r="BQ55" s="26">
        <f>IF(BK55&lt;&gt;"",
    COUNTIFS(MATCH_INPUT!$F$22:$F$25, BK55, MATCH_INPUT!$K$22:$K$25, "&lt;&gt;"&amp;BK55, MATCH_INPUT!$K$22:$K$25, "&lt;&gt;Draw", MATCH_INPUT!$K$22:$K$25, "&lt;&gt;""") +
    COUNTIFS(MATCH_INPUT!$J$22:$J$25, BK55, MATCH_INPUT!$K$22:$K$25, "&lt;&gt;"&amp;BK55, MATCH_INPUT!$K$22:$K$25, "&lt;&gt;Draw", MATCH_INPUT!$K$22:$K$25, "&lt;&gt;"""),
0)</f>
        <v>0</v>
      </c>
      <c r="BR55" s="27"/>
      <c r="BS55" s="27"/>
      <c r="BT55" s="28"/>
      <c r="BU55" s="26">
        <f t="shared" si="156"/>
        <v>14</v>
      </c>
      <c r="BV55" s="29" t="str">
        <f t="shared" si="31"/>
        <v>↓</v>
      </c>
      <c r="BW55" s="35"/>
      <c r="BX55" s="23">
        <f t="shared" si="32"/>
        <v>0</v>
      </c>
      <c r="BY55" s="20">
        <f t="shared" si="33"/>
        <v>0</v>
      </c>
      <c r="BZ55" s="20">
        <f>SUM(CA55*2)+(CB55*1) + SUMIFS(MATCH_INPUT!$G$26:$G$29, MATCH_INPUT!$F$26:$F$29, BW55) + SUMIFS(MATCH_INPUT!$I$26:$I$29, MATCH_INPUT!$J$26:$J$29, BW55)
</f>
        <v>0</v>
      </c>
      <c r="CA55" s="20">
        <f>IF(BW55&lt;&gt;"",
    COUNTIFS(MATCH_INPUT!$K$26:$K$29,BW55),
0)</f>
        <v>0</v>
      </c>
      <c r="CB55" s="20">
        <f>IF(BW55&lt;&gt;"",
    COUNTIFS(MATCH_INPUT!$F$26:$F$29, BW55, MATCH_INPUT!$K$26:$K$29, "Draw") +
    COUNTIFS(MATCH_INPUT!$J$26:$J$29, BW55, MATCH_INPUT!$K$26:$K$29, "Draw"),
0)</f>
        <v>0</v>
      </c>
      <c r="CC55" s="20">
        <f>IF(BW55&lt;&gt;"",
    COUNTIFS(MATCH_INPUT!$F$26:$F$29, BW55, MATCH_INPUT!$K$26:$K$29, "&lt;&gt;"&amp;BW55, MATCH_INPUT!$K$26:$K$29, "&lt;&gt;Draw", MATCH_INPUT!$K$26:$K$29, "&lt;&gt;""") +
    COUNTIFS(MATCH_INPUT!$J$26:$J$29, BW55, MATCH_INPUT!$K$26:$K$29, "&lt;&gt;"&amp;BW55, MATCH_INPUT!$K$26:$K$29, "&lt;&gt;Draw", MATCH_INPUT!$K$26:$K$29, "&lt;&gt;"""),
0)</f>
        <v>0</v>
      </c>
      <c r="CD55" s="21"/>
      <c r="CE55" s="21"/>
      <c r="CF55" s="30"/>
      <c r="CG55" s="23">
        <f t="shared" si="157"/>
        <v>15</v>
      </c>
      <c r="CH55" s="24" t="str">
        <f t="shared" si="35"/>
        <v>↓</v>
      </c>
      <c r="CI55" s="25" t="s">
        <v>139</v>
      </c>
      <c r="CJ55" s="26">
        <f t="shared" si="36"/>
        <v>3</v>
      </c>
      <c r="CK55" s="26">
        <f t="shared" si="37"/>
        <v>2</v>
      </c>
      <c r="CL55" s="26">
        <f>SUM(CM55*2)+(CN55*1) + SUMIFS(MATCH_INPUT!$G$30:$G$33, MATCH_INPUT!$F$30:$F$33, CI55) + SUMIFS(MATCH_INPUT!$I$30:$I$33, MATCH_INPUT!$J$30:$J$33, CI55)
</f>
        <v>1</v>
      </c>
      <c r="CM55" s="26">
        <f>IF(CI55&lt;&gt;"",
    COUNTIFS(MATCH_INPUT!$K$30:$K$33,CI55),
0)</f>
        <v>0</v>
      </c>
      <c r="CN55" s="26">
        <f>IF(CI55&lt;&gt;"",
    COUNTIFS(MATCH_INPUT!$F$30:$F$33, CI55, MATCH_INPUT!$K$30:$K$33, "Draw") +
    COUNTIFS(MATCH_INPUT!$J$30:$J$33, CI55, MATCH_INPUT!$K$30:$K$33, "Draw"),
0)</f>
        <v>0</v>
      </c>
      <c r="CO55" s="26">
        <f>IF(CI55&lt;&gt;"",
    COUNTIFS(MATCH_INPUT!$F$30:$F$33, CI55, MATCH_INPUT!$K$30:$K$33, "&lt;&gt;"&amp;CI55, MATCH_INPUT!$K$30:$K$33, "&lt;&gt;Draw", MATCH_INPUT!$K$30:$K$33, "&lt;&gt;""") +
    COUNTIFS(MATCH_INPUT!$J$30:$J$33, CI55, MATCH_INPUT!$K$30:$K$33, "&lt;&gt;"&amp;CI55, MATCH_INPUT!$K$30:$K$33, "&lt;&gt;Draw", MATCH_INPUT!$K$30:$K$33, "&lt;&gt;"""),
0)</f>
        <v>2</v>
      </c>
      <c r="CP55" s="27" t="str">
        <f t="array" ref="CP55">IFERROR(INDEX(Form_Response!E:E, MATCH(1, (Form_Response!C:C='MATCH DATES'!$B$9)*(Form_Response!D:D=B55), 0)), "")
</f>
        <v/>
      </c>
      <c r="CQ55" s="27">
        <f t="array" ref="CQ55">IFERROR(IF(INDEX(Form_Response!F:F, MATCH(1, (Form_Response!C:C='MATCH DATES'!$B$9)*(Form_Response!D:D=B55), 0))="Yes", 1, 0), 0)
</f>
        <v>0</v>
      </c>
      <c r="CR55" s="28" t="str">
        <f t="array" ref="CR55">IFERROR(INDEX(Form_Response!G:G, MATCH(1, (Form_Response!C:C='MATCH DATES'!$B$9)*(Form_Response!D:D=B55), 0)), "")
</f>
        <v/>
      </c>
      <c r="CS55" s="31">
        <f t="shared" si="158"/>
        <v>16</v>
      </c>
      <c r="CT55" s="31" t="str">
        <f t="shared" si="39"/>
        <v>↓</v>
      </c>
      <c r="CU55" s="32">
        <f t="shared" si="40"/>
        <v>1</v>
      </c>
      <c r="CV55" s="32" t="str">
        <f t="shared" ref="CV55:CW55" si="204">A55</f>
        <v/>
      </c>
      <c r="CW55" s="33" t="str">
        <f t="shared" si="204"/>
        <v>🔄 (Nicolas)</v>
      </c>
      <c r="CX55" s="33">
        <f t="shared" si="42"/>
        <v>3</v>
      </c>
      <c r="CY55" s="32">
        <f>SUM(
  IF(AND('MATCH DATES'!$A$2 &lt;= TODAY(), NOW() &gt;= 'MATCH DATES'!$A$2 + TIME(22, 0, 0)), E55, 0),
  IF(AND('MATCH DATES'!$A$3 &lt;= TODAY(), NOW() &gt;= 'MATCH DATES'!$A$3 + TIME(22, 0, 0)), Q55, 0),
  IF(AND('MATCH DATES'!$A$4 &lt;= TODAY(), NOW() &gt;= 'MATCH DATES'!$A$4 + TIME(22, 0, 0)), AC55, 0),
  IF(AND('MATCH DATES'!$A$5 &lt;= TODAY(), NOW() &gt;= 'MATCH DATES'!$A$5 + TIME(22, 0, 0)), AO55, 0),
  IF(AND('MATCH DATES'!$A$6 &lt;= TODAY(), NOW() &gt;= 'MATCH DATES'!$A$6 + TIME(22, 0, 0)), BA55, 0),
  IF(AND('MATCH DATES'!$A$7 &lt;= TODAY(), NOW() &gt;= 'MATCH DATES'!$A$7 + TIME(22, 0, 0)), BM55, 0),
  IF(AND('MATCH DATES'!$A$8 &lt;= TODAY(), NOW() &gt;= 'MATCH DATES'!$A$8 + TIME(22, 0, 0)), BY55, 0),
  IF(AND('MATCH DATES'!$A$9 &lt;= TODAY(), NOW() &gt;= 'MATCH DATES'!$A$9 + TIME(22, 0, 0)), CK55, 0)
)
</f>
        <v>2</v>
      </c>
      <c r="CZ55" s="33">
        <f t="shared" ref="CZ55:DA55" si="205">SUM(G55,S55,AE55,AQ55,BC55,BO55,CA55,CM55)</f>
        <v>0</v>
      </c>
      <c r="DA55" s="33">
        <f t="shared" si="205"/>
        <v>0</v>
      </c>
      <c r="DB55" s="33">
        <f>SUM(
  IF(AND('MATCH DATES'!$A$2 &lt;= TODAY(), NOW() &gt;= 'MATCH DATES'!$A$2 + TIME(22, 0, 0)), I55, 0),
  IF(AND('MATCH DATES'!$A$3 &lt;= TODAY(), NOW() &gt;= 'MATCH DATES'!$A$3 + TIME(22, 0, 0)), U55, 0),
  IF(AND('MATCH DATES'!$A$4 &lt;= TODAY(), NOW() &gt;= 'MATCH DATES'!$A$4 + TIME(22, 0, 0)), AG55, 0),
  IF(AND('MATCH DATES'!$A$5 &lt;= TODAY(), NOW() &gt;= 'MATCH DATES'!$A$5 + TIME(22, 0, 0)), AS55, 0),
  IF(AND('MATCH DATES'!$A$6 &lt;= TODAY(), NOW() &gt;= 'MATCH DATES'!$A$6 + TIME(22, 0, 0)), BE55, 0),
  IF(AND('MATCH DATES'!$A$7 &lt;= TODAY(), NOW() &gt;= 'MATCH DATES'!$A$7 + TIME(22, 0, 0)), BQ55, 0),
  IF(AND('MATCH DATES'!$A$8 &lt;= TODAY(), NOW() &gt;= 'MATCH DATES'!$A$8 + TIME(22, 0, 0)), CC55, 0),
  IF(AND('MATCH DATES'!$A$9 &lt;= TODAY(), NOW() &gt;= 'MATCH DATES'!$A$9 + TIME(22, 0, 0)), CO55, 0)
)</f>
        <v>2</v>
      </c>
      <c r="DC55" s="33">
        <f t="shared" si="44"/>
        <v>0</v>
      </c>
      <c r="DD55" s="33">
        <f t="shared" ref="DD55:DE55" si="206">SUM(K55,W55,AI55,AU55,BG55,BS55,CE55,CQ55)</f>
        <v>0</v>
      </c>
      <c r="DE55" s="33">
        <f t="shared" si="206"/>
        <v>0</v>
      </c>
    </row>
    <row r="56" ht="24.75" customHeight="1">
      <c r="A56" s="31"/>
      <c r="B56" s="39"/>
      <c r="C56" s="35"/>
      <c r="D56" s="20">
        <f t="shared" si="4"/>
        <v>0</v>
      </c>
      <c r="E56" s="20">
        <f t="shared" si="5"/>
        <v>0</v>
      </c>
      <c r="F56" s="20">
        <f t="shared" si="6"/>
        <v>0</v>
      </c>
      <c r="G56" s="20">
        <f>IF(C56&lt;&gt;"",
    COUNTIFS(MATCH_INPUT!$K$2:$K$5,C56),
0)</f>
        <v>0</v>
      </c>
      <c r="H56" s="20">
        <f>IF(C56&lt;&gt;"",
    COUNTIFS(MATCH_INPUT!$F$2:$F$5, C56, MATCH_INPUT!$K$2:$K$5, "Draw") +
    COUNTIFS(MATCH_INPUT!$J$2:$J$5, C56, MATCH_INPUT!$K$2:$K$5, "Draw"),
0)</f>
        <v>0</v>
      </c>
      <c r="I56" s="20">
        <f>IF(C56&lt;&gt;"",
    COUNTIFS(MATCH_INPUT!$F$2:$F$5, C56, MATCH_INPUT!$K$2:$K$5, "&lt;&gt;"&amp;C56, MATCH_INPUT!$K$2:$K$5, "&lt;&gt;Draw", MATCH_INPUT!$K$2:$K$5, "&lt;&gt;""") +
    COUNTIFS(MATCH_INPUT!$J$2:$J$5, C56, MATCH_INPUT!$K$2:$K$5, "&lt;&gt;"&amp;C56, MATCH_INPUT!$K$2:$K$5, "&lt;&gt;Draw", MATCH_INPUT!$K$2:$K$5, "&lt;&gt;"""),
0)</f>
        <v>0</v>
      </c>
      <c r="J56" s="21"/>
      <c r="K56" s="21"/>
      <c r="L56" s="22"/>
      <c r="M56" s="23">
        <f t="shared" si="151"/>
        <v>4</v>
      </c>
      <c r="N56" s="24" t="str">
        <f t="shared" si="8"/>
        <v>↓</v>
      </c>
      <c r="O56" s="25"/>
      <c r="P56" s="26">
        <f t="shared" si="9"/>
        <v>0</v>
      </c>
      <c r="Q56" s="26">
        <f t="shared" si="10"/>
        <v>0</v>
      </c>
      <c r="R56" s="26">
        <f t="shared" si="11"/>
        <v>0</v>
      </c>
      <c r="S56" s="26">
        <f>IF(O56&lt;&gt;"",
    COUNTIFS(MATCH_INPUT!$K$6:$K$9,O56),
0)</f>
        <v>0</v>
      </c>
      <c r="T56" s="26">
        <f>IF(O56&lt;&gt;"",
    COUNTIFS(MATCH_INPUT!$F$6:$F$9, O56, MATCH_INPUT!$K$6:$K$9, "Draw") +
    COUNTIFS(MATCH_INPUT!$J$6:$J$9, O56, MATCH_INPUT!$K$6:$K$9, "Draw"),
0)</f>
        <v>0</v>
      </c>
      <c r="U56" s="26">
        <f>IF(O56&lt;&gt;"",
    COUNTIFS(MATCH_INPUT!$F$6:$F$9, O56, MATCH_INPUT!$K$6:$K$9, "&lt;&gt;"&amp;O56, MATCH_INPUT!$K$6:$K$9, "&lt;&gt;Draw", MATCH_INPUT!$K$6:$K$9, "&lt;&gt;""") +
    COUNTIFS(MATCH_INPUT!$J$6:$J$9, O56, MATCH_INPUT!$K$6:$K$9, "&lt;&gt;"&amp;O56, MATCH_INPUT!$K$6:$K$9, "&lt;&gt;Draw", MATCH_INPUT!$K$6:$K$9, "&lt;&gt;"""),
0)</f>
        <v>0</v>
      </c>
      <c r="V56" s="27"/>
      <c r="W56" s="27"/>
      <c r="X56" s="28"/>
      <c r="Y56" s="26">
        <f t="shared" si="152"/>
        <v>7</v>
      </c>
      <c r="Z56" s="29" t="str">
        <f t="shared" si="13"/>
        <v>↓</v>
      </c>
      <c r="AA56" s="19"/>
      <c r="AB56" s="23">
        <f t="shared" si="14"/>
        <v>0</v>
      </c>
      <c r="AC56" s="20">
        <f t="shared" si="15"/>
        <v>0</v>
      </c>
      <c r="AD56" s="20">
        <f t="shared" si="16"/>
        <v>0</v>
      </c>
      <c r="AE56" s="20">
        <f>IF(AA56&lt;&gt;"",
    COUNTIFS(MATCH_INPUT!$K$10:$K$13,AA56),
0)</f>
        <v>0</v>
      </c>
      <c r="AF56" s="20">
        <f>IF(AA56&lt;&gt;"",
    COUNTIFS(MATCH_INPUT!$F$10:$F$13, AA56, MATCH_INPUT!$K$10:$K$13, "Draw") +
    COUNTIFS(MATCH_INPUT!$J$10:$J$13, AA56, MATCH_INPUT!$K$10:$K$13, "Draw"),
0)</f>
        <v>0</v>
      </c>
      <c r="AG56" s="20">
        <f>IF(AA56&lt;&gt;"",
    COUNTIFS(MATCH_INPUT!$F$10:$F$13, AA56, MATCH_INPUT!$K$10:$K$13, "&lt;&gt;"&amp;AA56, MATCH_INPUT!$K$10:$K$13, "&lt;&gt;Draw", MATCH_INPUT!$K$10:$K$13, "&lt;&gt;""") +
    COUNTIFS(MATCH_INPUT!$J$10:$J$13, AA56, MATCH_INPUT!$K$10:$K$13, "&lt;&gt;"&amp;AA56, MATCH_INPUT!$K$10:$K$13, "&lt;&gt;Draw", MATCH_INPUT!$K$10:$K$13, "&lt;&gt;"""),
0)</f>
        <v>0</v>
      </c>
      <c r="AH56" s="21"/>
      <c r="AI56" s="21"/>
      <c r="AJ56" s="30"/>
      <c r="AK56" s="23">
        <f t="shared" si="153"/>
        <v>8</v>
      </c>
      <c r="AL56" s="24" t="str">
        <f t="shared" si="18"/>
        <v>↓</v>
      </c>
      <c r="AM56" s="25"/>
      <c r="AN56" s="26">
        <f t="shared" si="19"/>
        <v>0</v>
      </c>
      <c r="AO56" s="26">
        <f t="shared" si="20"/>
        <v>0</v>
      </c>
      <c r="AP56" s="26">
        <f t="shared" si="21"/>
        <v>0</v>
      </c>
      <c r="AQ56" s="26">
        <f>IF(AM56&lt;&gt;"",
    COUNTIFS(MATCH_INPUT!$K$14:$K$17,AM56),
0)</f>
        <v>0</v>
      </c>
      <c r="AR56" s="26">
        <f>IF(AM56&lt;&gt;"",
    COUNTIFS(MATCH_INPUT!$F$14:$F$17, AM56, MATCH_INPUT!$K$14:$K$17, "Draw") +
    COUNTIFS(MATCH_INPUT!$J$14:$J$17, AM56, MATCH_INPUT!$K$14:$K$17, "Draw"),
0)</f>
        <v>0</v>
      </c>
      <c r="AS56" s="26">
        <f>IF(AM56&lt;&gt;"",
    COUNTIFS(MATCH_INPUT!$F$14:$F$17, AM56, MATCH_INPUT!$K$14:$K$17, "&lt;&gt;"&amp;AM56, MATCH_INPUT!$K$14:$K$17, "&lt;&gt;Draw", MATCH_INPUT!$K$14:$K$17, "&lt;&gt;""") +
    COUNTIFS(MATCH_INPUT!$J$14:$J$17, AM56, MATCH_INPUT!$K$14:$K$17, "&lt;&gt;"&amp;AM56, MATCH_INPUT!$K$14:$K$17, "&lt;&gt;Draw", MATCH_INPUT!$K$14:$K$17, "&lt;&gt;"""),
0)</f>
        <v>0</v>
      </c>
      <c r="AT56" s="27"/>
      <c r="AU56" s="27"/>
      <c r="AV56" s="28"/>
      <c r="AW56" s="26">
        <f t="shared" si="154"/>
        <v>10</v>
      </c>
      <c r="AX56" s="29" t="str">
        <f t="shared" si="23"/>
        <v>↓</v>
      </c>
      <c r="AY56" s="19"/>
      <c r="AZ56" s="23">
        <f t="shared" si="24"/>
        <v>0</v>
      </c>
      <c r="BA56" s="20">
        <f t="shared" si="25"/>
        <v>0</v>
      </c>
      <c r="BB56" s="20">
        <f>SUM(BC56*2) + (BD56*1) + SUMIFS(MATCH_INPUT!$G$18:$G$21, MATCH_INPUT!$F$18:$F$21, AY56) + SUMIFS(MATCH_INPUT!$I$18:$I$21, MATCH_INPUT!$J$18:$J$21, AY56)
</f>
        <v>0</v>
      </c>
      <c r="BC56" s="20">
        <f>IF(AY56&lt;&gt;"",
    COUNTIFS(MATCH_INPUT!$K$18:$K$21,AY56),
0)</f>
        <v>0</v>
      </c>
      <c r="BD56" s="20">
        <f>IF(AY56&lt;&gt;"",
    COUNTIFS(MATCH_INPUT!$F$18:$F$21, AY56, MATCH_INPUT!$K$18:$K$21, "Draw") +
    COUNTIFS(MATCH_INPUT!$J$18:$J$21, AY56, MATCH_INPUT!$K$18:$K$21, "Draw"),
0)</f>
        <v>0</v>
      </c>
      <c r="BE56" s="20">
        <f>IF(AY56&lt;&gt;"",
    COUNTIFS(MATCH_INPUT!$F$18:$F$21, AY56, MATCH_INPUT!$K$18:$K$21, "&lt;&gt;"&amp;AY56, MATCH_INPUT!$K$18:$K$21, "&lt;&gt;Draw", MATCH_INPUT!$K$18:$K$21, "&lt;&gt;""") +
    COUNTIFS(MATCH_INPUT!$J$18:$J$21, AY56, MATCH_INPUT!$K$18:$K$21, "&lt;&gt;"&amp;AY56, MATCH_INPUT!$K$18:$K$21, "&lt;&gt;Draw", MATCH_INPUT!$K$18:$K$21, "&lt;&gt;"""),
0)</f>
        <v>0</v>
      </c>
      <c r="BF56" s="21" t="str">
        <f t="array" ref="BF56">IFERROR(INDEX(Form_Response!E:E, MATCH(1, (Form_Response!C:C='MATCH DATES'!$B$6)*(Form_Response!D:D=B56), 0)), "")
</f>
        <v/>
      </c>
      <c r="BG56" s="21">
        <f t="array" ref="BG56">IFERROR(IF(INDEX(Form_Response!F:F, MATCH(1, (Form_Response!C:C='MATCH DATES'!$B$6)*(Form_Response!D:D=B56), 0))="Yes", 1, 0), 0)
</f>
        <v>0</v>
      </c>
      <c r="BH56" s="30" t="str">
        <f t="array" ref="BH56">IFERROR(INDEX(Form_Response!G:G, MATCH(1, (Form_Response!C:C='MATCH DATES'!$B$6)*(Form_Response!D:D=B56), 0)), "")
</f>
        <v/>
      </c>
      <c r="BI56" s="23">
        <f t="shared" si="155"/>
        <v>11</v>
      </c>
      <c r="BJ56" s="24" t="str">
        <f t="shared" si="27"/>
        <v>↓</v>
      </c>
      <c r="BK56" s="34"/>
      <c r="BL56" s="26">
        <f t="shared" si="28"/>
        <v>0</v>
      </c>
      <c r="BM56" s="26">
        <f t="shared" si="29"/>
        <v>0</v>
      </c>
      <c r="BN56" s="26">
        <f>SUM(BO56*2) + (BP56*1) + SUMIFS(MATCH_INPUT!$G$22:$G$25, MATCH_INPUT!$F$22:$F$25, BK56) + SUMIFS(MATCH_INPUT!$I$22:$I$25, MATCH_INPUT!$J$22:$J$25, BK56)
</f>
        <v>0</v>
      </c>
      <c r="BO56" s="26">
        <f>IF(BK56&lt;&gt;"",
    COUNTIFS(MATCH_INPUT!$K$22:$K$25,BK56),
0)</f>
        <v>0</v>
      </c>
      <c r="BP56" s="26">
        <f>IF(BK56&lt;&gt;"",
    COUNTIFS(MATCH_INPUT!$F$22:$F$25, BK56, MATCH_INPUT!$K$22:$K$25, "Draw") +
    COUNTIFS(MATCH_INPUT!$J$22:$J$25, BK56, MATCH_INPUT!$K$22:$K$25, "Draw"),
0)</f>
        <v>0</v>
      </c>
      <c r="BQ56" s="26">
        <f>IF(BK56&lt;&gt;"",
    COUNTIFS(MATCH_INPUT!$F$22:$F$25, BK56, MATCH_INPUT!$K$22:$K$25, "&lt;&gt;"&amp;BK56, MATCH_INPUT!$K$22:$K$25, "&lt;&gt;Draw", MATCH_INPUT!$K$22:$K$25, "&lt;&gt;""") +
    COUNTIFS(MATCH_INPUT!$J$22:$J$25, BK56, MATCH_INPUT!$K$22:$K$25, "&lt;&gt;"&amp;BK56, MATCH_INPUT!$K$22:$K$25, "&lt;&gt;Draw", MATCH_INPUT!$K$22:$K$25, "&lt;&gt;"""),
0)</f>
        <v>0</v>
      </c>
      <c r="BR56" s="27"/>
      <c r="BS56" s="27"/>
      <c r="BT56" s="28"/>
      <c r="BU56" s="26">
        <f t="shared" si="156"/>
        <v>14</v>
      </c>
      <c r="BV56" s="29" t="str">
        <f t="shared" si="31"/>
        <v>↓</v>
      </c>
      <c r="BW56" s="35"/>
      <c r="BX56" s="23">
        <f t="shared" si="32"/>
        <v>0</v>
      </c>
      <c r="BY56" s="20">
        <f t="shared" si="33"/>
        <v>0</v>
      </c>
      <c r="BZ56" s="20">
        <f>SUM(CA56*2)+(CB56*1) + SUMIFS(MATCH_INPUT!$G$26:$G$29, MATCH_INPUT!$F$26:$F$29, BW56) + SUMIFS(MATCH_INPUT!$I$26:$I$29, MATCH_INPUT!$J$26:$J$29, BW56)
</f>
        <v>0</v>
      </c>
      <c r="CA56" s="20">
        <f>IF(BW56&lt;&gt;"",
    COUNTIFS(MATCH_INPUT!$K$26:$K$29,BW56),
0)</f>
        <v>0</v>
      </c>
      <c r="CB56" s="20">
        <f>IF(BW56&lt;&gt;"",
    COUNTIFS(MATCH_INPUT!$F$26:$F$29, BW56, MATCH_INPUT!$K$26:$K$29, "Draw") +
    COUNTIFS(MATCH_INPUT!$J$26:$J$29, BW56, MATCH_INPUT!$K$26:$K$29, "Draw"),
0)</f>
        <v>0</v>
      </c>
      <c r="CC56" s="20">
        <f>IF(BW56&lt;&gt;"",
    COUNTIFS(MATCH_INPUT!$F$26:$F$29, BW56, MATCH_INPUT!$K$26:$K$29, "&lt;&gt;"&amp;BW56, MATCH_INPUT!$K$26:$K$29, "&lt;&gt;Draw", MATCH_INPUT!$K$26:$K$29, "&lt;&gt;""") +
    COUNTIFS(MATCH_INPUT!$J$26:$J$29, BW56, MATCH_INPUT!$K$26:$K$29, "&lt;&gt;"&amp;BW56, MATCH_INPUT!$K$26:$K$29, "&lt;&gt;Draw", MATCH_INPUT!$K$26:$K$29, "&lt;&gt;"""),
0)</f>
        <v>0</v>
      </c>
      <c r="CD56" s="21"/>
      <c r="CE56" s="21"/>
      <c r="CF56" s="30"/>
      <c r="CG56" s="23">
        <f t="shared" si="157"/>
        <v>15</v>
      </c>
      <c r="CH56" s="24" t="str">
        <f t="shared" si="35"/>
        <v>↓</v>
      </c>
      <c r="CI56" s="25"/>
      <c r="CJ56" s="26">
        <f t="shared" si="36"/>
        <v>0</v>
      </c>
      <c r="CK56" s="26">
        <f t="shared" si="37"/>
        <v>0</v>
      </c>
      <c r="CL56" s="26">
        <f>SUM(CM56*2)+(CN56*1) + SUMIFS(MATCH_INPUT!$G$30:$G$33, MATCH_INPUT!$F$30:$F$33, CI56) + SUMIFS(MATCH_INPUT!$I$30:$I$33, MATCH_INPUT!$J$30:$J$33, CI56)
</f>
        <v>0</v>
      </c>
      <c r="CM56" s="26">
        <f>IF(CI56&lt;&gt;"",
    COUNTIFS(MATCH_INPUT!$K$30:$K$33,CI56),
0)</f>
        <v>0</v>
      </c>
      <c r="CN56" s="26">
        <f>IF(CI56&lt;&gt;"",
    COUNTIFS(MATCH_INPUT!$F$30:$F$33, CI56, MATCH_INPUT!$K$30:$K$33, "Draw") +
    COUNTIFS(MATCH_INPUT!$J$30:$J$33, CI56, MATCH_INPUT!$K$30:$K$33, "Draw"),
0)</f>
        <v>0</v>
      </c>
      <c r="CO56" s="26">
        <f>IF(CI56&lt;&gt;"",
    COUNTIFS(MATCH_INPUT!$F$30:$F$33, CI56, MATCH_INPUT!$K$30:$K$33, "&lt;&gt;"&amp;CI56, MATCH_INPUT!$K$30:$K$33, "&lt;&gt;Draw", MATCH_INPUT!$K$30:$K$33, "&lt;&gt;""") +
    COUNTIFS(MATCH_INPUT!$J$30:$J$33, CI56, MATCH_INPUT!$K$30:$K$33, "&lt;&gt;"&amp;CI56, MATCH_INPUT!$K$30:$K$33, "&lt;&gt;Draw", MATCH_INPUT!$K$30:$K$33, "&lt;&gt;"""),
0)</f>
        <v>0</v>
      </c>
      <c r="CP56" s="27" t="str">
        <f t="array" ref="CP56">IFERROR(INDEX(Form_Response!E:E, MATCH(1, (Form_Response!C:C='MATCH DATES'!$B$9)*(Form_Response!D:D=B56), 0)), "")
</f>
        <v/>
      </c>
      <c r="CQ56" s="27">
        <f t="array" ref="CQ56">IFERROR(IF(INDEX(Form_Response!F:F, MATCH(1, (Form_Response!C:C='MATCH DATES'!$B$9)*(Form_Response!D:D=B56), 0))="Yes", 1, 0), 0)
</f>
        <v>0</v>
      </c>
      <c r="CR56" s="28" t="str">
        <f t="array" ref="CR56">IFERROR(INDEX(Form_Response!G:G, MATCH(1, (Form_Response!C:C='MATCH DATES'!$B$9)*(Form_Response!D:D=B56), 0)), "")
</f>
        <v/>
      </c>
      <c r="CS56" s="31">
        <f t="shared" si="158"/>
        <v>18</v>
      </c>
      <c r="CT56" s="31" t="str">
        <f t="shared" si="39"/>
        <v>↓</v>
      </c>
      <c r="CU56" s="32">
        <f t="shared" si="40"/>
        <v>0</v>
      </c>
      <c r="CV56" s="32" t="str">
        <f t="shared" ref="CV56:CW56" si="207">A56</f>
        <v/>
      </c>
      <c r="CW56" s="33" t="str">
        <f t="shared" si="207"/>
        <v/>
      </c>
      <c r="CX56" s="33">
        <f t="shared" si="42"/>
        <v>0</v>
      </c>
      <c r="CY56" s="32">
        <f>SUM(
  IF(AND('MATCH DATES'!$A$2 &lt;= TODAY(), NOW() &gt;= 'MATCH DATES'!$A$2 + TIME(22, 0, 0)), E56, 0),
  IF(AND('MATCH DATES'!$A$3 &lt;= TODAY(), NOW() &gt;= 'MATCH DATES'!$A$3 + TIME(22, 0, 0)), Q56, 0),
  IF(AND('MATCH DATES'!$A$4 &lt;= TODAY(), NOW() &gt;= 'MATCH DATES'!$A$4 + TIME(22, 0, 0)), AC56, 0),
  IF(AND('MATCH DATES'!$A$5 &lt;= TODAY(), NOW() &gt;= 'MATCH DATES'!$A$5 + TIME(22, 0, 0)), AO56, 0),
  IF(AND('MATCH DATES'!$A$6 &lt;= TODAY(), NOW() &gt;= 'MATCH DATES'!$A$6 + TIME(22, 0, 0)), BA56, 0),
  IF(AND('MATCH DATES'!$A$7 &lt;= TODAY(), NOW() &gt;= 'MATCH DATES'!$A$7 + TIME(22, 0, 0)), BM56, 0),
  IF(AND('MATCH DATES'!$A$8 &lt;= TODAY(), NOW() &gt;= 'MATCH DATES'!$A$8 + TIME(22, 0, 0)), BY56, 0),
  IF(AND('MATCH DATES'!$A$9 &lt;= TODAY(), NOW() &gt;= 'MATCH DATES'!$A$9 + TIME(22, 0, 0)), CK56, 0)
)
</f>
        <v>0</v>
      </c>
      <c r="CZ56" s="33">
        <f t="shared" ref="CZ56:DA56" si="208">SUM(G56,S56,AE56,AQ56,BC56,BO56,CA56,CM56)</f>
        <v>0</v>
      </c>
      <c r="DA56" s="33">
        <f t="shared" si="208"/>
        <v>0</v>
      </c>
      <c r="DB56" s="33">
        <f>SUM(
  IF(AND('MATCH DATES'!$A$2 &lt;= TODAY(), NOW() &gt;= 'MATCH DATES'!$A$2 + TIME(22, 0, 0)), I56, 0),
  IF(AND('MATCH DATES'!$A$3 &lt;= TODAY(), NOW() &gt;= 'MATCH DATES'!$A$3 + TIME(22, 0, 0)), U56, 0),
  IF(AND('MATCH DATES'!$A$4 &lt;= TODAY(), NOW() &gt;= 'MATCH DATES'!$A$4 + TIME(22, 0, 0)), AG56, 0),
  IF(AND('MATCH DATES'!$A$5 &lt;= TODAY(), NOW() &gt;= 'MATCH DATES'!$A$5 + TIME(22, 0, 0)), AS56, 0),
  IF(AND('MATCH DATES'!$A$6 &lt;= TODAY(), NOW() &gt;= 'MATCH DATES'!$A$6 + TIME(22, 0, 0)), BE56, 0),
  IF(AND('MATCH DATES'!$A$7 &lt;= TODAY(), NOW() &gt;= 'MATCH DATES'!$A$7 + TIME(22, 0, 0)), BQ56, 0),
  IF(AND('MATCH DATES'!$A$8 &lt;= TODAY(), NOW() &gt;= 'MATCH DATES'!$A$8 + TIME(22, 0, 0)), CC56, 0),
  IF(AND('MATCH DATES'!$A$9 &lt;= TODAY(), NOW() &gt;= 'MATCH DATES'!$A$9 + TIME(22, 0, 0)), CO56, 0)
)</f>
        <v>0</v>
      </c>
      <c r="DC56" s="33">
        <f t="shared" si="44"/>
        <v>0</v>
      </c>
      <c r="DD56" s="33">
        <f t="shared" ref="DD56:DE56" si="209">SUM(K56,W56,AI56,AU56,BG56,BS56,CE56,CQ56)</f>
        <v>0</v>
      </c>
      <c r="DE56" s="33">
        <f t="shared" si="209"/>
        <v>0</v>
      </c>
    </row>
    <row r="57" ht="24.75" customHeight="1">
      <c r="A57" s="31"/>
      <c r="B57" s="39"/>
      <c r="C57" s="35"/>
      <c r="D57" s="20">
        <f t="shared" si="4"/>
        <v>0</v>
      </c>
      <c r="E57" s="20">
        <f t="shared" si="5"/>
        <v>0</v>
      </c>
      <c r="F57" s="20">
        <f t="shared" si="6"/>
        <v>0</v>
      </c>
      <c r="G57" s="20">
        <f>IF(C57&lt;&gt;"",
    COUNTIFS(MATCH_INPUT!$K$2:$K$5,C57),
0)</f>
        <v>0</v>
      </c>
      <c r="H57" s="20">
        <f>IF(C57&lt;&gt;"",
    COUNTIFS(MATCH_INPUT!$F$2:$F$5, C57, MATCH_INPUT!$K$2:$K$5, "Draw") +
    COUNTIFS(MATCH_INPUT!$J$2:$J$5, C57, MATCH_INPUT!$K$2:$K$5, "Draw"),
0)</f>
        <v>0</v>
      </c>
      <c r="I57" s="20">
        <f>IF(C57&lt;&gt;"",
    COUNTIFS(MATCH_INPUT!$F$2:$F$5, C57, MATCH_INPUT!$K$2:$K$5, "&lt;&gt;"&amp;C57, MATCH_INPUT!$K$2:$K$5, "&lt;&gt;Draw", MATCH_INPUT!$K$2:$K$5, "&lt;&gt;""") +
    COUNTIFS(MATCH_INPUT!$J$2:$J$5, C57, MATCH_INPUT!$K$2:$K$5, "&lt;&gt;"&amp;C57, MATCH_INPUT!$K$2:$K$5, "&lt;&gt;Draw", MATCH_INPUT!$K$2:$K$5, "&lt;&gt;"""),
0)</f>
        <v>0</v>
      </c>
      <c r="J57" s="21"/>
      <c r="K57" s="21"/>
      <c r="L57" s="22"/>
      <c r="M57" s="23">
        <f t="shared" si="151"/>
        <v>4</v>
      </c>
      <c r="N57" s="24" t="str">
        <f t="shared" si="8"/>
        <v>↓</v>
      </c>
      <c r="O57" s="25"/>
      <c r="P57" s="26">
        <f t="shared" si="9"/>
        <v>0</v>
      </c>
      <c r="Q57" s="26">
        <f t="shared" si="10"/>
        <v>0</v>
      </c>
      <c r="R57" s="26">
        <f t="shared" si="11"/>
        <v>0</v>
      </c>
      <c r="S57" s="26">
        <f>IF(O57&lt;&gt;"",
    COUNTIFS(MATCH_INPUT!$K$6:$K$9,O57),
0)</f>
        <v>0</v>
      </c>
      <c r="T57" s="26">
        <f>IF(O57&lt;&gt;"",
    COUNTIFS(MATCH_INPUT!$F$6:$F$9, O57, MATCH_INPUT!$K$6:$K$9, "Draw") +
    COUNTIFS(MATCH_INPUT!$J$6:$J$9, O57, MATCH_INPUT!$K$6:$K$9, "Draw"),
0)</f>
        <v>0</v>
      </c>
      <c r="U57" s="26">
        <f>IF(O57&lt;&gt;"",
    COUNTIFS(MATCH_INPUT!$F$6:$F$9, O57, MATCH_INPUT!$K$6:$K$9, "&lt;&gt;"&amp;O57, MATCH_INPUT!$K$6:$K$9, "&lt;&gt;Draw", MATCH_INPUT!$K$6:$K$9, "&lt;&gt;""") +
    COUNTIFS(MATCH_INPUT!$J$6:$J$9, O57, MATCH_INPUT!$K$6:$K$9, "&lt;&gt;"&amp;O57, MATCH_INPUT!$K$6:$K$9, "&lt;&gt;Draw", MATCH_INPUT!$K$6:$K$9, "&lt;&gt;"""),
0)</f>
        <v>0</v>
      </c>
      <c r="V57" s="27"/>
      <c r="W57" s="27"/>
      <c r="X57" s="28"/>
      <c r="Y57" s="26">
        <f t="shared" si="152"/>
        <v>7</v>
      </c>
      <c r="Z57" s="29" t="str">
        <f t="shared" si="13"/>
        <v>↓</v>
      </c>
      <c r="AA57" s="19"/>
      <c r="AB57" s="23">
        <f t="shared" si="14"/>
        <v>0</v>
      </c>
      <c r="AC57" s="20">
        <f t="shared" si="15"/>
        <v>0</v>
      </c>
      <c r="AD57" s="20">
        <f t="shared" si="16"/>
        <v>0</v>
      </c>
      <c r="AE57" s="20">
        <f>IF(AA57&lt;&gt;"",
    COUNTIFS(MATCH_INPUT!$K$10:$K$13,AA57),
0)</f>
        <v>0</v>
      </c>
      <c r="AF57" s="20">
        <f>IF(AA57&lt;&gt;"",
    COUNTIFS(MATCH_INPUT!$F$10:$F$13, AA57, MATCH_INPUT!$K$10:$K$13, "Draw") +
    COUNTIFS(MATCH_INPUT!$J$10:$J$13, AA57, MATCH_INPUT!$K$10:$K$13, "Draw"),
0)</f>
        <v>0</v>
      </c>
      <c r="AG57" s="20">
        <f>IF(AA57&lt;&gt;"",
    COUNTIFS(MATCH_INPUT!$F$10:$F$13, AA57, MATCH_INPUT!$K$10:$K$13, "&lt;&gt;"&amp;AA57, MATCH_INPUT!$K$10:$K$13, "&lt;&gt;Draw", MATCH_INPUT!$K$10:$K$13, "&lt;&gt;""") +
    COUNTIFS(MATCH_INPUT!$J$10:$J$13, AA57, MATCH_INPUT!$K$10:$K$13, "&lt;&gt;"&amp;AA57, MATCH_INPUT!$K$10:$K$13, "&lt;&gt;Draw", MATCH_INPUT!$K$10:$K$13, "&lt;&gt;"""),
0)</f>
        <v>0</v>
      </c>
      <c r="AH57" s="21"/>
      <c r="AI57" s="21"/>
      <c r="AJ57" s="30"/>
      <c r="AK57" s="23">
        <f t="shared" si="153"/>
        <v>8</v>
      </c>
      <c r="AL57" s="24" t="str">
        <f t="shared" si="18"/>
        <v>↓</v>
      </c>
      <c r="AM57" s="25"/>
      <c r="AN57" s="26">
        <f t="shared" si="19"/>
        <v>0</v>
      </c>
      <c r="AO57" s="26">
        <f t="shared" si="20"/>
        <v>0</v>
      </c>
      <c r="AP57" s="26">
        <f t="shared" si="21"/>
        <v>0</v>
      </c>
      <c r="AQ57" s="26">
        <f>IF(AM57&lt;&gt;"",
    COUNTIFS(MATCH_INPUT!$K$14:$K$17,AM57),
0)</f>
        <v>0</v>
      </c>
      <c r="AR57" s="26">
        <f>IF(AM57&lt;&gt;"",
    COUNTIFS(MATCH_INPUT!$F$14:$F$17, AM57, MATCH_INPUT!$K$14:$K$17, "Draw") +
    COUNTIFS(MATCH_INPUT!$J$14:$J$17, AM57, MATCH_INPUT!$K$14:$K$17, "Draw"),
0)</f>
        <v>0</v>
      </c>
      <c r="AS57" s="26">
        <f>IF(AM57&lt;&gt;"",
    COUNTIFS(MATCH_INPUT!$F$14:$F$17, AM57, MATCH_INPUT!$K$14:$K$17, "&lt;&gt;"&amp;AM57, MATCH_INPUT!$K$14:$K$17, "&lt;&gt;Draw", MATCH_INPUT!$K$14:$K$17, "&lt;&gt;""") +
    COUNTIFS(MATCH_INPUT!$J$14:$J$17, AM57, MATCH_INPUT!$K$14:$K$17, "&lt;&gt;"&amp;AM57, MATCH_INPUT!$K$14:$K$17, "&lt;&gt;Draw", MATCH_INPUT!$K$14:$K$17, "&lt;&gt;"""),
0)</f>
        <v>0</v>
      </c>
      <c r="AT57" s="27"/>
      <c r="AU57" s="27"/>
      <c r="AV57" s="28"/>
      <c r="AW57" s="26">
        <f t="shared" si="154"/>
        <v>10</v>
      </c>
      <c r="AX57" s="29" t="str">
        <f t="shared" si="23"/>
        <v>↓</v>
      </c>
      <c r="AY57" s="19"/>
      <c r="AZ57" s="23">
        <f t="shared" si="24"/>
        <v>0</v>
      </c>
      <c r="BA57" s="20">
        <f t="shared" si="25"/>
        <v>0</v>
      </c>
      <c r="BB57" s="20">
        <f>SUM(BC57*2) + (BD57*1) + SUMIFS(MATCH_INPUT!$G$18:$G$21, MATCH_INPUT!$F$18:$F$21, AY57) + SUMIFS(MATCH_INPUT!$I$18:$I$21, MATCH_INPUT!$J$18:$J$21, AY57)
</f>
        <v>0</v>
      </c>
      <c r="BC57" s="20">
        <f>IF(AY57&lt;&gt;"",
    COUNTIFS(MATCH_INPUT!$K$18:$K$21,AY57),
0)</f>
        <v>0</v>
      </c>
      <c r="BD57" s="20">
        <f>IF(AY57&lt;&gt;"",
    COUNTIFS(MATCH_INPUT!$F$18:$F$21, AY57, MATCH_INPUT!$K$18:$K$21, "Draw") +
    COUNTIFS(MATCH_INPUT!$J$18:$J$21, AY57, MATCH_INPUT!$K$18:$K$21, "Draw"),
0)</f>
        <v>0</v>
      </c>
      <c r="BE57" s="20">
        <f>IF(AY57&lt;&gt;"",
    COUNTIFS(MATCH_INPUT!$F$18:$F$21, AY57, MATCH_INPUT!$K$18:$K$21, "&lt;&gt;"&amp;AY57, MATCH_INPUT!$K$18:$K$21, "&lt;&gt;Draw", MATCH_INPUT!$K$18:$K$21, "&lt;&gt;""") +
    COUNTIFS(MATCH_INPUT!$J$18:$J$21, AY57, MATCH_INPUT!$K$18:$K$21, "&lt;&gt;"&amp;AY57, MATCH_INPUT!$K$18:$K$21, "&lt;&gt;Draw", MATCH_INPUT!$K$18:$K$21, "&lt;&gt;"""),
0)</f>
        <v>0</v>
      </c>
      <c r="BF57" s="21" t="str">
        <f t="array" ref="BF57">IFERROR(INDEX(Form_Response!E:E, MATCH(1, (Form_Response!C:C='MATCH DATES'!$B$6)*(Form_Response!D:D=B57), 0)), "")
</f>
        <v/>
      </c>
      <c r="BG57" s="21">
        <f t="array" ref="BG57">IFERROR(IF(INDEX(Form_Response!F:F, MATCH(1, (Form_Response!C:C='MATCH DATES'!$B$6)*(Form_Response!D:D=B57), 0))="Yes", 1, 0), 0)
</f>
        <v>0</v>
      </c>
      <c r="BH57" s="30" t="str">
        <f t="array" ref="BH57">IFERROR(INDEX(Form_Response!G:G, MATCH(1, (Form_Response!C:C='MATCH DATES'!$B$6)*(Form_Response!D:D=B57), 0)), "")
</f>
        <v/>
      </c>
      <c r="BI57" s="23">
        <f t="shared" si="155"/>
        <v>11</v>
      </c>
      <c r="BJ57" s="24" t="str">
        <f t="shared" si="27"/>
        <v>↓</v>
      </c>
      <c r="BK57" s="34"/>
      <c r="BL57" s="26">
        <f t="shared" si="28"/>
        <v>0</v>
      </c>
      <c r="BM57" s="26">
        <f t="shared" si="29"/>
        <v>0</v>
      </c>
      <c r="BN57" s="26">
        <f>SUM(BO57*2) + (BP57*1) + SUMIFS(MATCH_INPUT!$G$22:$G$25, MATCH_INPUT!$F$22:$F$25, BK57) + SUMIFS(MATCH_INPUT!$I$22:$I$25, MATCH_INPUT!$J$22:$J$25, BK57)
</f>
        <v>0</v>
      </c>
      <c r="BO57" s="26">
        <f>IF(BK57&lt;&gt;"",
    COUNTIFS(MATCH_INPUT!$K$22:$K$25,BK57),
0)</f>
        <v>0</v>
      </c>
      <c r="BP57" s="26">
        <f>IF(BK57&lt;&gt;"",
    COUNTIFS(MATCH_INPUT!$F$22:$F$25, BK57, MATCH_INPUT!$K$22:$K$25, "Draw") +
    COUNTIFS(MATCH_INPUT!$J$22:$J$25, BK57, MATCH_INPUT!$K$22:$K$25, "Draw"),
0)</f>
        <v>0</v>
      </c>
      <c r="BQ57" s="26">
        <f>IF(BK57&lt;&gt;"",
    COUNTIFS(MATCH_INPUT!$F$22:$F$25, BK57, MATCH_INPUT!$K$22:$K$25, "&lt;&gt;"&amp;BK57, MATCH_INPUT!$K$22:$K$25, "&lt;&gt;Draw", MATCH_INPUT!$K$22:$K$25, "&lt;&gt;""") +
    COUNTIFS(MATCH_INPUT!$J$22:$J$25, BK57, MATCH_INPUT!$K$22:$K$25, "&lt;&gt;"&amp;BK57, MATCH_INPUT!$K$22:$K$25, "&lt;&gt;Draw", MATCH_INPUT!$K$22:$K$25, "&lt;&gt;"""),
0)</f>
        <v>0</v>
      </c>
      <c r="BR57" s="27"/>
      <c r="BS57" s="27"/>
      <c r="BT57" s="28"/>
      <c r="BU57" s="26">
        <f t="shared" si="156"/>
        <v>14</v>
      </c>
      <c r="BV57" s="29" t="str">
        <f t="shared" si="31"/>
        <v>↓</v>
      </c>
      <c r="BW57" s="35"/>
      <c r="BX57" s="23">
        <f t="shared" si="32"/>
        <v>0</v>
      </c>
      <c r="BY57" s="20">
        <f t="shared" si="33"/>
        <v>0</v>
      </c>
      <c r="BZ57" s="20">
        <f>SUM(CA57*2)+(CB57*1) + SUMIFS(MATCH_INPUT!$G$26:$G$29, MATCH_INPUT!$F$26:$F$29, BW57) + SUMIFS(MATCH_INPUT!$I$26:$I$29, MATCH_INPUT!$J$26:$J$29, BW57)
</f>
        <v>0</v>
      </c>
      <c r="CA57" s="20">
        <f>IF(BW57&lt;&gt;"",
    COUNTIFS(MATCH_INPUT!$K$26:$K$29,BW57),
0)</f>
        <v>0</v>
      </c>
      <c r="CB57" s="20">
        <f>IF(BW57&lt;&gt;"",
    COUNTIFS(MATCH_INPUT!$F$26:$F$29, BW57, MATCH_INPUT!$K$26:$K$29, "Draw") +
    COUNTIFS(MATCH_INPUT!$J$26:$J$29, BW57, MATCH_INPUT!$K$26:$K$29, "Draw"),
0)</f>
        <v>0</v>
      </c>
      <c r="CC57" s="20">
        <f>IF(BW57&lt;&gt;"",
    COUNTIFS(MATCH_INPUT!$F$26:$F$29, BW57, MATCH_INPUT!$K$26:$K$29, "&lt;&gt;"&amp;BW57, MATCH_INPUT!$K$26:$K$29, "&lt;&gt;Draw", MATCH_INPUT!$K$26:$K$29, "&lt;&gt;""") +
    COUNTIFS(MATCH_INPUT!$J$26:$J$29, BW57, MATCH_INPUT!$K$26:$K$29, "&lt;&gt;"&amp;BW57, MATCH_INPUT!$K$26:$K$29, "&lt;&gt;Draw", MATCH_INPUT!$K$26:$K$29, "&lt;&gt;"""),
0)</f>
        <v>0</v>
      </c>
      <c r="CD57" s="21"/>
      <c r="CE57" s="21"/>
      <c r="CF57" s="30"/>
      <c r="CG57" s="23">
        <f t="shared" si="157"/>
        <v>15</v>
      </c>
      <c r="CH57" s="24" t="str">
        <f t="shared" si="35"/>
        <v>↓</v>
      </c>
      <c r="CI57" s="25"/>
      <c r="CJ57" s="26">
        <f t="shared" si="36"/>
        <v>0</v>
      </c>
      <c r="CK57" s="26">
        <f t="shared" si="37"/>
        <v>0</v>
      </c>
      <c r="CL57" s="26">
        <f>SUM(CM57*2)+(CN57*1) + SUMIFS(MATCH_INPUT!$G$30:$G$33, MATCH_INPUT!$F$30:$F$33, CI57) + SUMIFS(MATCH_INPUT!$I$30:$I$33, MATCH_INPUT!$J$30:$J$33, CI57)
</f>
        <v>0</v>
      </c>
      <c r="CM57" s="26">
        <f>IF(CI57&lt;&gt;"",
    COUNTIFS(MATCH_INPUT!$K$30:$K$33,CI57),
0)</f>
        <v>0</v>
      </c>
      <c r="CN57" s="26">
        <f>IF(CI57&lt;&gt;"",
    COUNTIFS(MATCH_INPUT!$F$30:$F$33, CI57, MATCH_INPUT!$K$30:$K$33, "Draw") +
    COUNTIFS(MATCH_INPUT!$J$30:$J$33, CI57, MATCH_INPUT!$K$30:$K$33, "Draw"),
0)</f>
        <v>0</v>
      </c>
      <c r="CO57" s="26">
        <f>IF(CI57&lt;&gt;"",
    COUNTIFS(MATCH_INPUT!$F$30:$F$33, CI57, MATCH_INPUT!$K$30:$K$33, "&lt;&gt;"&amp;CI57, MATCH_INPUT!$K$30:$K$33, "&lt;&gt;Draw", MATCH_INPUT!$K$30:$K$33, "&lt;&gt;""") +
    COUNTIFS(MATCH_INPUT!$J$30:$J$33, CI57, MATCH_INPUT!$K$30:$K$33, "&lt;&gt;"&amp;CI57, MATCH_INPUT!$K$30:$K$33, "&lt;&gt;Draw", MATCH_INPUT!$K$30:$K$33, "&lt;&gt;"""),
0)</f>
        <v>0</v>
      </c>
      <c r="CP57" s="27" t="str">
        <f t="array" ref="CP57">IFERROR(INDEX(Form_Response!E:E, MATCH(1, (Form_Response!C:C='MATCH DATES'!$B$9)*(Form_Response!D:D=B57), 0)), "")
</f>
        <v/>
      </c>
      <c r="CQ57" s="27">
        <f t="array" ref="CQ57">IFERROR(IF(INDEX(Form_Response!F:F, MATCH(1, (Form_Response!C:C='MATCH DATES'!$B$9)*(Form_Response!D:D=B57), 0))="Yes", 1, 0), 0)
</f>
        <v>0</v>
      </c>
      <c r="CR57" s="28" t="str">
        <f t="array" ref="CR57">IFERROR(INDEX(Form_Response!G:G, MATCH(1, (Form_Response!C:C='MATCH DATES'!$B$9)*(Form_Response!D:D=B57), 0)), "")
</f>
        <v/>
      </c>
      <c r="CS57" s="31">
        <f t="shared" si="158"/>
        <v>18</v>
      </c>
      <c r="CT57" s="31" t="str">
        <f t="shared" si="39"/>
        <v>↓</v>
      </c>
      <c r="CU57" s="32">
        <f t="shared" si="40"/>
        <v>0</v>
      </c>
      <c r="CV57" s="32" t="str">
        <f t="shared" ref="CV57:CW57" si="210">A57</f>
        <v/>
      </c>
      <c r="CW57" s="33" t="str">
        <f t="shared" si="210"/>
        <v/>
      </c>
      <c r="CX57" s="33">
        <f t="shared" si="42"/>
        <v>0</v>
      </c>
      <c r="CY57" s="32">
        <f>SUM(
  IF(AND('MATCH DATES'!$A$2 &lt;= TODAY(), NOW() &gt;= 'MATCH DATES'!$A$2 + TIME(22, 0, 0)), E57, 0),
  IF(AND('MATCH DATES'!$A$3 &lt;= TODAY(), NOW() &gt;= 'MATCH DATES'!$A$3 + TIME(22, 0, 0)), Q57, 0),
  IF(AND('MATCH DATES'!$A$4 &lt;= TODAY(), NOW() &gt;= 'MATCH DATES'!$A$4 + TIME(22, 0, 0)), AC57, 0),
  IF(AND('MATCH DATES'!$A$5 &lt;= TODAY(), NOW() &gt;= 'MATCH DATES'!$A$5 + TIME(22, 0, 0)), AO57, 0),
  IF(AND('MATCH DATES'!$A$6 &lt;= TODAY(), NOW() &gt;= 'MATCH DATES'!$A$6 + TIME(22, 0, 0)), BA57, 0),
  IF(AND('MATCH DATES'!$A$7 &lt;= TODAY(), NOW() &gt;= 'MATCH DATES'!$A$7 + TIME(22, 0, 0)), BM57, 0),
  IF(AND('MATCH DATES'!$A$8 &lt;= TODAY(), NOW() &gt;= 'MATCH DATES'!$A$8 + TIME(22, 0, 0)), BY57, 0),
  IF(AND('MATCH DATES'!$A$9 &lt;= TODAY(), NOW() &gt;= 'MATCH DATES'!$A$9 + TIME(22, 0, 0)), CK57, 0)
)
</f>
        <v>0</v>
      </c>
      <c r="CZ57" s="33">
        <f t="shared" ref="CZ57:DA57" si="211">SUM(G57,S57,AE57,AQ57,BC57,BO57,CA57,CM57)</f>
        <v>0</v>
      </c>
      <c r="DA57" s="33">
        <f t="shared" si="211"/>
        <v>0</v>
      </c>
      <c r="DB57" s="33">
        <f>SUM(
  IF(AND('MATCH DATES'!$A$2 &lt;= TODAY(), NOW() &gt;= 'MATCH DATES'!$A$2 + TIME(22, 0, 0)), I57, 0),
  IF(AND('MATCH DATES'!$A$3 &lt;= TODAY(), NOW() &gt;= 'MATCH DATES'!$A$3 + TIME(22, 0, 0)), U57, 0),
  IF(AND('MATCH DATES'!$A$4 &lt;= TODAY(), NOW() &gt;= 'MATCH DATES'!$A$4 + TIME(22, 0, 0)), AG57, 0),
  IF(AND('MATCH DATES'!$A$5 &lt;= TODAY(), NOW() &gt;= 'MATCH DATES'!$A$5 + TIME(22, 0, 0)), AS57, 0),
  IF(AND('MATCH DATES'!$A$6 &lt;= TODAY(), NOW() &gt;= 'MATCH DATES'!$A$6 + TIME(22, 0, 0)), BE57, 0),
  IF(AND('MATCH DATES'!$A$7 &lt;= TODAY(), NOW() &gt;= 'MATCH DATES'!$A$7 + TIME(22, 0, 0)), BQ57, 0),
  IF(AND('MATCH DATES'!$A$8 &lt;= TODAY(), NOW() &gt;= 'MATCH DATES'!$A$8 + TIME(22, 0, 0)), CC57, 0),
  IF(AND('MATCH DATES'!$A$9 &lt;= TODAY(), NOW() &gt;= 'MATCH DATES'!$A$9 + TIME(22, 0, 0)), CO57, 0)
)</f>
        <v>0</v>
      </c>
      <c r="DC57" s="33">
        <f t="shared" si="44"/>
        <v>0</v>
      </c>
      <c r="DD57" s="33">
        <f t="shared" ref="DD57:DE57" si="212">SUM(K57,W57,AI57,AU57,BG57,BS57,CE57,CQ57)</f>
        <v>0</v>
      </c>
      <c r="DE57" s="33">
        <f t="shared" si="212"/>
        <v>0</v>
      </c>
    </row>
    <row r="58" ht="24.75" customHeight="1">
      <c r="A58" s="31"/>
      <c r="B58" s="39"/>
      <c r="C58" s="35"/>
      <c r="D58" s="20">
        <f t="shared" si="4"/>
        <v>0</v>
      </c>
      <c r="E58" s="20">
        <f t="shared" si="5"/>
        <v>0</v>
      </c>
      <c r="F58" s="20">
        <f t="shared" si="6"/>
        <v>0</v>
      </c>
      <c r="G58" s="20">
        <f>IF(C58&lt;&gt;"",
    COUNTIFS(MATCH_INPUT!$K$2:$K$5,C58),
0)</f>
        <v>0</v>
      </c>
      <c r="H58" s="20">
        <f>IF(C58&lt;&gt;"",
    COUNTIFS(MATCH_INPUT!$F$2:$F$5, C58, MATCH_INPUT!$K$2:$K$5, "Draw") +
    COUNTIFS(MATCH_INPUT!$J$2:$J$5, C58, MATCH_INPUT!$K$2:$K$5, "Draw"),
0)</f>
        <v>0</v>
      </c>
      <c r="I58" s="20">
        <f>IF(C58&lt;&gt;"",
    COUNTIFS(MATCH_INPUT!$F$2:$F$5, C58, MATCH_INPUT!$K$2:$K$5, "&lt;&gt;"&amp;C58, MATCH_INPUT!$K$2:$K$5, "&lt;&gt;Draw", MATCH_INPUT!$K$2:$K$5, "&lt;&gt;""") +
    COUNTIFS(MATCH_INPUT!$J$2:$J$5, C58, MATCH_INPUT!$K$2:$K$5, "&lt;&gt;"&amp;C58, MATCH_INPUT!$K$2:$K$5, "&lt;&gt;Draw", MATCH_INPUT!$K$2:$K$5, "&lt;&gt;"""),
0)</f>
        <v>0</v>
      </c>
      <c r="J58" s="21"/>
      <c r="K58" s="21"/>
      <c r="L58" s="22"/>
      <c r="M58" s="23">
        <f t="shared" si="151"/>
        <v>4</v>
      </c>
      <c r="N58" s="24" t="str">
        <f t="shared" si="8"/>
        <v>↓</v>
      </c>
      <c r="O58" s="25"/>
      <c r="P58" s="26">
        <f t="shared" si="9"/>
        <v>0</v>
      </c>
      <c r="Q58" s="26">
        <f t="shared" si="10"/>
        <v>0</v>
      </c>
      <c r="R58" s="26">
        <f t="shared" si="11"/>
        <v>0</v>
      </c>
      <c r="S58" s="26">
        <f>IF(O58&lt;&gt;"",
    COUNTIFS(MATCH_INPUT!$K$6:$K$9,O58),
0)</f>
        <v>0</v>
      </c>
      <c r="T58" s="26">
        <f>IF(O58&lt;&gt;"",
    COUNTIFS(MATCH_INPUT!$F$6:$F$9, O58, MATCH_INPUT!$K$6:$K$9, "Draw") +
    COUNTIFS(MATCH_INPUT!$J$6:$J$9, O58, MATCH_INPUT!$K$6:$K$9, "Draw"),
0)</f>
        <v>0</v>
      </c>
      <c r="U58" s="26">
        <f>IF(O58&lt;&gt;"",
    COUNTIFS(MATCH_INPUT!$F$6:$F$9, O58, MATCH_INPUT!$K$6:$K$9, "&lt;&gt;"&amp;O58, MATCH_INPUT!$K$6:$K$9, "&lt;&gt;Draw", MATCH_INPUT!$K$6:$K$9, "&lt;&gt;""") +
    COUNTIFS(MATCH_INPUT!$J$6:$J$9, O58, MATCH_INPUT!$K$6:$K$9, "&lt;&gt;"&amp;O58, MATCH_INPUT!$K$6:$K$9, "&lt;&gt;Draw", MATCH_INPUT!$K$6:$K$9, "&lt;&gt;"""),
0)</f>
        <v>0</v>
      </c>
      <c r="V58" s="27"/>
      <c r="W58" s="27"/>
      <c r="X58" s="28"/>
      <c r="Y58" s="26">
        <f t="shared" si="152"/>
        <v>7</v>
      </c>
      <c r="Z58" s="29" t="str">
        <f t="shared" si="13"/>
        <v>↓</v>
      </c>
      <c r="AA58" s="19"/>
      <c r="AB58" s="23">
        <f t="shared" si="14"/>
        <v>0</v>
      </c>
      <c r="AC58" s="20">
        <f t="shared" si="15"/>
        <v>0</v>
      </c>
      <c r="AD58" s="20">
        <f t="shared" si="16"/>
        <v>0</v>
      </c>
      <c r="AE58" s="20">
        <f>IF(AA58&lt;&gt;"",
    COUNTIFS(MATCH_INPUT!$K$10:$K$13,AA58),
0)</f>
        <v>0</v>
      </c>
      <c r="AF58" s="20">
        <f>IF(AA58&lt;&gt;"",
    COUNTIFS(MATCH_INPUT!$F$10:$F$13, AA58, MATCH_INPUT!$K$10:$K$13, "Draw") +
    COUNTIFS(MATCH_INPUT!$J$10:$J$13, AA58, MATCH_INPUT!$K$10:$K$13, "Draw"),
0)</f>
        <v>0</v>
      </c>
      <c r="AG58" s="20">
        <f>IF(AA58&lt;&gt;"",
    COUNTIFS(MATCH_INPUT!$F$10:$F$13, AA58, MATCH_INPUT!$K$10:$K$13, "&lt;&gt;"&amp;AA58, MATCH_INPUT!$K$10:$K$13, "&lt;&gt;Draw", MATCH_INPUT!$K$10:$K$13, "&lt;&gt;""") +
    COUNTIFS(MATCH_INPUT!$J$10:$J$13, AA58, MATCH_INPUT!$K$10:$K$13, "&lt;&gt;"&amp;AA58, MATCH_INPUT!$K$10:$K$13, "&lt;&gt;Draw", MATCH_INPUT!$K$10:$K$13, "&lt;&gt;"""),
0)</f>
        <v>0</v>
      </c>
      <c r="AH58" s="21"/>
      <c r="AI58" s="21"/>
      <c r="AJ58" s="30"/>
      <c r="AK58" s="23">
        <f t="shared" si="153"/>
        <v>8</v>
      </c>
      <c r="AL58" s="24" t="str">
        <f t="shared" si="18"/>
        <v>↓</v>
      </c>
      <c r="AM58" s="25"/>
      <c r="AN58" s="26">
        <f t="shared" si="19"/>
        <v>0</v>
      </c>
      <c r="AO58" s="26">
        <f t="shared" si="20"/>
        <v>0</v>
      </c>
      <c r="AP58" s="26">
        <f t="shared" si="21"/>
        <v>0</v>
      </c>
      <c r="AQ58" s="26">
        <f>IF(AM58&lt;&gt;"",
    COUNTIFS(MATCH_INPUT!$K$14:$K$17,AM58),
0)</f>
        <v>0</v>
      </c>
      <c r="AR58" s="26">
        <f>IF(AM58&lt;&gt;"",
    COUNTIFS(MATCH_INPUT!$F$14:$F$17, AM58, MATCH_INPUT!$K$14:$K$17, "Draw") +
    COUNTIFS(MATCH_INPUT!$J$14:$J$17, AM58, MATCH_INPUT!$K$14:$K$17, "Draw"),
0)</f>
        <v>0</v>
      </c>
      <c r="AS58" s="26">
        <f>IF(AM58&lt;&gt;"",
    COUNTIFS(MATCH_INPUT!$F$14:$F$17, AM58, MATCH_INPUT!$K$14:$K$17, "&lt;&gt;"&amp;AM58, MATCH_INPUT!$K$14:$K$17, "&lt;&gt;Draw", MATCH_INPUT!$K$14:$K$17, "&lt;&gt;""") +
    COUNTIFS(MATCH_INPUT!$J$14:$J$17, AM58, MATCH_INPUT!$K$14:$K$17, "&lt;&gt;"&amp;AM58, MATCH_INPUT!$K$14:$K$17, "&lt;&gt;Draw", MATCH_INPUT!$K$14:$K$17, "&lt;&gt;"""),
0)</f>
        <v>0</v>
      </c>
      <c r="AT58" s="27"/>
      <c r="AU58" s="27"/>
      <c r="AV58" s="28"/>
      <c r="AW58" s="26">
        <f t="shared" si="154"/>
        <v>10</v>
      </c>
      <c r="AX58" s="29" t="str">
        <f t="shared" si="23"/>
        <v>↓</v>
      </c>
      <c r="AY58" s="19"/>
      <c r="AZ58" s="23">
        <f t="shared" si="24"/>
        <v>0</v>
      </c>
      <c r="BA58" s="20">
        <f t="shared" si="25"/>
        <v>0</v>
      </c>
      <c r="BB58" s="20">
        <f>SUM(BC58*2) + (BD58*1) + SUMIFS(MATCH_INPUT!$G$18:$G$21, MATCH_INPUT!$F$18:$F$21, AY58) + SUMIFS(MATCH_INPUT!$I$18:$I$21, MATCH_INPUT!$J$18:$J$21, AY58)
</f>
        <v>0</v>
      </c>
      <c r="BC58" s="20">
        <f>IF(AY58&lt;&gt;"",
    COUNTIFS(MATCH_INPUT!$K$18:$K$21,AY58),
0)</f>
        <v>0</v>
      </c>
      <c r="BD58" s="20">
        <f>IF(AY58&lt;&gt;"",
    COUNTIFS(MATCH_INPUT!$F$18:$F$21, AY58, MATCH_INPUT!$K$18:$K$21, "Draw") +
    COUNTIFS(MATCH_INPUT!$J$18:$J$21, AY58, MATCH_INPUT!$K$18:$K$21, "Draw"),
0)</f>
        <v>0</v>
      </c>
      <c r="BE58" s="20">
        <f>IF(AY58&lt;&gt;"",
    COUNTIFS(MATCH_INPUT!$F$18:$F$21, AY58, MATCH_INPUT!$K$18:$K$21, "&lt;&gt;"&amp;AY58, MATCH_INPUT!$K$18:$K$21, "&lt;&gt;Draw", MATCH_INPUT!$K$18:$K$21, "&lt;&gt;""") +
    COUNTIFS(MATCH_INPUT!$J$18:$J$21, AY58, MATCH_INPUT!$K$18:$K$21, "&lt;&gt;"&amp;AY58, MATCH_INPUT!$K$18:$K$21, "&lt;&gt;Draw", MATCH_INPUT!$K$18:$K$21, "&lt;&gt;"""),
0)</f>
        <v>0</v>
      </c>
      <c r="BF58" s="21" t="str">
        <f t="array" ref="BF58">IFERROR(INDEX(Form_Response!E:E, MATCH(1, (Form_Response!C:C='MATCH DATES'!$B$6)*(Form_Response!D:D=B58), 0)), "")
</f>
        <v/>
      </c>
      <c r="BG58" s="21">
        <f t="array" ref="BG58">IFERROR(IF(INDEX(Form_Response!F:F, MATCH(1, (Form_Response!C:C='MATCH DATES'!$B$6)*(Form_Response!D:D=B58), 0))="Yes", 1, 0), 0)
</f>
        <v>0</v>
      </c>
      <c r="BH58" s="30" t="str">
        <f t="array" ref="BH58">IFERROR(INDEX(Form_Response!G:G, MATCH(1, (Form_Response!C:C='MATCH DATES'!$B$6)*(Form_Response!D:D=B58), 0)), "")
</f>
        <v/>
      </c>
      <c r="BI58" s="23">
        <f t="shared" si="155"/>
        <v>11</v>
      </c>
      <c r="BJ58" s="24" t="str">
        <f t="shared" si="27"/>
        <v>↓</v>
      </c>
      <c r="BK58" s="34"/>
      <c r="BL58" s="26">
        <f t="shared" si="28"/>
        <v>0</v>
      </c>
      <c r="BM58" s="26">
        <f t="shared" si="29"/>
        <v>0</v>
      </c>
      <c r="BN58" s="26">
        <f>SUM(BO58*2) + (BP58*1) + SUMIFS(MATCH_INPUT!$G$22:$G$25, MATCH_INPUT!$F$22:$F$25, BK58) + SUMIFS(MATCH_INPUT!$I$22:$I$25, MATCH_INPUT!$J$22:$J$25, BK58)
</f>
        <v>0</v>
      </c>
      <c r="BO58" s="26">
        <f>IF(BK58&lt;&gt;"",
    COUNTIFS(MATCH_INPUT!$K$22:$K$25,BK58),
0)</f>
        <v>0</v>
      </c>
      <c r="BP58" s="26">
        <f>IF(BK58&lt;&gt;"",
    COUNTIFS(MATCH_INPUT!$F$22:$F$25, BK58, MATCH_INPUT!$K$22:$K$25, "Draw") +
    COUNTIFS(MATCH_INPUT!$J$22:$J$25, BK58, MATCH_INPUT!$K$22:$K$25, "Draw"),
0)</f>
        <v>0</v>
      </c>
      <c r="BQ58" s="26">
        <f>IF(BK58&lt;&gt;"",
    COUNTIFS(MATCH_INPUT!$F$22:$F$25, BK58, MATCH_INPUT!$K$22:$K$25, "&lt;&gt;"&amp;BK58, MATCH_INPUT!$K$22:$K$25, "&lt;&gt;Draw", MATCH_INPUT!$K$22:$K$25, "&lt;&gt;""") +
    COUNTIFS(MATCH_INPUT!$J$22:$J$25, BK58, MATCH_INPUT!$K$22:$K$25, "&lt;&gt;"&amp;BK58, MATCH_INPUT!$K$22:$K$25, "&lt;&gt;Draw", MATCH_INPUT!$K$22:$K$25, "&lt;&gt;"""),
0)</f>
        <v>0</v>
      </c>
      <c r="BR58" s="27"/>
      <c r="BS58" s="27"/>
      <c r="BT58" s="28"/>
      <c r="BU58" s="26">
        <f t="shared" si="156"/>
        <v>14</v>
      </c>
      <c r="BV58" s="29" t="str">
        <f t="shared" si="31"/>
        <v>↓</v>
      </c>
      <c r="BW58" s="35"/>
      <c r="BX58" s="23">
        <f t="shared" si="32"/>
        <v>0</v>
      </c>
      <c r="BY58" s="20">
        <f t="shared" si="33"/>
        <v>0</v>
      </c>
      <c r="BZ58" s="20">
        <f>SUM(CA58*2)+(CB58*1) + SUMIFS(MATCH_INPUT!$G$26:$G$29, MATCH_INPUT!$F$26:$F$29, BW58) + SUMIFS(MATCH_INPUT!$I$26:$I$29, MATCH_INPUT!$J$26:$J$29, BW58)
</f>
        <v>0</v>
      </c>
      <c r="CA58" s="20">
        <f>IF(BW58&lt;&gt;"",
    COUNTIFS(MATCH_INPUT!$K$26:$K$29,BW58),
0)</f>
        <v>0</v>
      </c>
      <c r="CB58" s="20">
        <f>IF(BW58&lt;&gt;"",
    COUNTIFS(MATCH_INPUT!$F$26:$F$29, BW58, MATCH_INPUT!$K$26:$K$29, "Draw") +
    COUNTIFS(MATCH_INPUT!$J$26:$J$29, BW58, MATCH_INPUT!$K$26:$K$29, "Draw"),
0)</f>
        <v>0</v>
      </c>
      <c r="CC58" s="20">
        <f>IF(BW58&lt;&gt;"",
    COUNTIFS(MATCH_INPUT!$F$26:$F$29, BW58, MATCH_INPUT!$K$26:$K$29, "&lt;&gt;"&amp;BW58, MATCH_INPUT!$K$26:$K$29, "&lt;&gt;Draw", MATCH_INPUT!$K$26:$K$29, "&lt;&gt;""") +
    COUNTIFS(MATCH_INPUT!$J$26:$J$29, BW58, MATCH_INPUT!$K$26:$K$29, "&lt;&gt;"&amp;BW58, MATCH_INPUT!$K$26:$K$29, "&lt;&gt;Draw", MATCH_INPUT!$K$26:$K$29, "&lt;&gt;"""),
0)</f>
        <v>0</v>
      </c>
      <c r="CD58" s="21"/>
      <c r="CE58" s="21"/>
      <c r="CF58" s="30"/>
      <c r="CG58" s="23">
        <f t="shared" si="157"/>
        <v>15</v>
      </c>
      <c r="CH58" s="24" t="str">
        <f t="shared" si="35"/>
        <v>↓</v>
      </c>
      <c r="CI58" s="25"/>
      <c r="CJ58" s="26">
        <f t="shared" si="36"/>
        <v>0</v>
      </c>
      <c r="CK58" s="26">
        <f t="shared" si="37"/>
        <v>0</v>
      </c>
      <c r="CL58" s="26">
        <f>SUM(CM58*2)+(CN58*1) + SUMIFS(MATCH_INPUT!$G$30:$G$33, MATCH_INPUT!$F$30:$F$33, CI58) + SUMIFS(MATCH_INPUT!$I$30:$I$33, MATCH_INPUT!$J$30:$J$33, CI58)
</f>
        <v>0</v>
      </c>
      <c r="CM58" s="26">
        <f>IF(CI58&lt;&gt;"",
    COUNTIFS(MATCH_INPUT!$K$30:$K$33,CI58),
0)</f>
        <v>0</v>
      </c>
      <c r="CN58" s="26">
        <f>IF(CI58&lt;&gt;"",
    COUNTIFS(MATCH_INPUT!$F$30:$F$33, CI58, MATCH_INPUT!$K$30:$K$33, "Draw") +
    COUNTIFS(MATCH_INPUT!$J$30:$J$33, CI58, MATCH_INPUT!$K$30:$K$33, "Draw"),
0)</f>
        <v>0</v>
      </c>
      <c r="CO58" s="26">
        <f>IF(CI58&lt;&gt;"",
    COUNTIFS(MATCH_INPUT!$F$30:$F$33, CI58, MATCH_INPUT!$K$30:$K$33, "&lt;&gt;"&amp;CI58, MATCH_INPUT!$K$30:$K$33, "&lt;&gt;Draw", MATCH_INPUT!$K$30:$K$33, "&lt;&gt;""") +
    COUNTIFS(MATCH_INPUT!$J$30:$J$33, CI58, MATCH_INPUT!$K$30:$K$33, "&lt;&gt;"&amp;CI58, MATCH_INPUT!$K$30:$K$33, "&lt;&gt;Draw", MATCH_INPUT!$K$30:$K$33, "&lt;&gt;"""),
0)</f>
        <v>0</v>
      </c>
      <c r="CP58" s="27" t="str">
        <f t="array" ref="CP58">IFERROR(INDEX(Form_Response!E:E, MATCH(1, (Form_Response!C:C='MATCH DATES'!$B$9)*(Form_Response!D:D=B58), 0)), "")
</f>
        <v/>
      </c>
      <c r="CQ58" s="27">
        <f t="array" ref="CQ58">IFERROR(IF(INDEX(Form_Response!F:F, MATCH(1, (Form_Response!C:C='MATCH DATES'!$B$9)*(Form_Response!D:D=B58), 0))="Yes", 1, 0), 0)
</f>
        <v>0</v>
      </c>
      <c r="CR58" s="28" t="str">
        <f t="array" ref="CR58">IFERROR(INDEX(Form_Response!G:G, MATCH(1, (Form_Response!C:C='MATCH DATES'!$B$9)*(Form_Response!D:D=B58), 0)), "")
</f>
        <v/>
      </c>
      <c r="CS58" s="31">
        <f t="shared" si="158"/>
        <v>18</v>
      </c>
      <c r="CT58" s="31" t="str">
        <f t="shared" si="39"/>
        <v>↓</v>
      </c>
      <c r="CU58" s="32">
        <f t="shared" si="40"/>
        <v>0</v>
      </c>
      <c r="CV58" s="32" t="str">
        <f t="shared" ref="CV58:CW58" si="213">A58</f>
        <v/>
      </c>
      <c r="CW58" s="33" t="str">
        <f t="shared" si="213"/>
        <v/>
      </c>
      <c r="CX58" s="33">
        <f t="shared" si="42"/>
        <v>0</v>
      </c>
      <c r="CY58" s="32">
        <f>SUM(
  IF(AND('MATCH DATES'!$A$2 &lt;= TODAY(), NOW() &gt;= 'MATCH DATES'!$A$2 + TIME(22, 0, 0)), E58, 0),
  IF(AND('MATCH DATES'!$A$3 &lt;= TODAY(), NOW() &gt;= 'MATCH DATES'!$A$3 + TIME(22, 0, 0)), Q58, 0),
  IF(AND('MATCH DATES'!$A$4 &lt;= TODAY(), NOW() &gt;= 'MATCH DATES'!$A$4 + TIME(22, 0, 0)), AC58, 0),
  IF(AND('MATCH DATES'!$A$5 &lt;= TODAY(), NOW() &gt;= 'MATCH DATES'!$A$5 + TIME(22, 0, 0)), AO58, 0),
  IF(AND('MATCH DATES'!$A$6 &lt;= TODAY(), NOW() &gt;= 'MATCH DATES'!$A$6 + TIME(22, 0, 0)), BA58, 0),
  IF(AND('MATCH DATES'!$A$7 &lt;= TODAY(), NOW() &gt;= 'MATCH DATES'!$A$7 + TIME(22, 0, 0)), BM58, 0),
  IF(AND('MATCH DATES'!$A$8 &lt;= TODAY(), NOW() &gt;= 'MATCH DATES'!$A$8 + TIME(22, 0, 0)), BY58, 0),
  IF(AND('MATCH DATES'!$A$9 &lt;= TODAY(), NOW() &gt;= 'MATCH DATES'!$A$9 + TIME(22, 0, 0)), CK58, 0)
)
</f>
        <v>0</v>
      </c>
      <c r="CZ58" s="33">
        <f t="shared" ref="CZ58:DA58" si="214">SUM(G58,S58,AE58,AQ58,BC58,BO58,CA58,CM58)</f>
        <v>0</v>
      </c>
      <c r="DA58" s="33">
        <f t="shared" si="214"/>
        <v>0</v>
      </c>
      <c r="DB58" s="33">
        <f>SUM(
  IF(AND('MATCH DATES'!$A$2 &lt;= TODAY(), NOW() &gt;= 'MATCH DATES'!$A$2 + TIME(22, 0, 0)), I58, 0),
  IF(AND('MATCH DATES'!$A$3 &lt;= TODAY(), NOW() &gt;= 'MATCH DATES'!$A$3 + TIME(22, 0, 0)), U58, 0),
  IF(AND('MATCH DATES'!$A$4 &lt;= TODAY(), NOW() &gt;= 'MATCH DATES'!$A$4 + TIME(22, 0, 0)), AG58, 0),
  IF(AND('MATCH DATES'!$A$5 &lt;= TODAY(), NOW() &gt;= 'MATCH DATES'!$A$5 + TIME(22, 0, 0)), AS58, 0),
  IF(AND('MATCH DATES'!$A$6 &lt;= TODAY(), NOW() &gt;= 'MATCH DATES'!$A$6 + TIME(22, 0, 0)), BE58, 0),
  IF(AND('MATCH DATES'!$A$7 &lt;= TODAY(), NOW() &gt;= 'MATCH DATES'!$A$7 + TIME(22, 0, 0)), BQ58, 0),
  IF(AND('MATCH DATES'!$A$8 &lt;= TODAY(), NOW() &gt;= 'MATCH DATES'!$A$8 + TIME(22, 0, 0)), CC58, 0),
  IF(AND('MATCH DATES'!$A$9 &lt;= TODAY(), NOW() &gt;= 'MATCH DATES'!$A$9 + TIME(22, 0, 0)), CO58, 0)
)</f>
        <v>0</v>
      </c>
      <c r="DC58" s="33">
        <f t="shared" si="44"/>
        <v>0</v>
      </c>
      <c r="DD58" s="33">
        <f t="shared" ref="DD58:DE58" si="215">SUM(K58,W58,AI58,AU58,BG58,BS58,CE58,CQ58)</f>
        <v>0</v>
      </c>
      <c r="DE58" s="33">
        <f t="shared" si="215"/>
        <v>0</v>
      </c>
    </row>
    <row r="59" ht="24.75" customHeight="1">
      <c r="A59" s="31"/>
      <c r="B59" s="39"/>
      <c r="C59" s="35"/>
      <c r="D59" s="20">
        <f t="shared" si="4"/>
        <v>0</v>
      </c>
      <c r="E59" s="20">
        <f t="shared" si="5"/>
        <v>0</v>
      </c>
      <c r="F59" s="20">
        <f t="shared" si="6"/>
        <v>0</v>
      </c>
      <c r="G59" s="20">
        <f>IF(C59&lt;&gt;"",
    COUNTIFS(MATCH_INPUT!$K$2:$K$5,C59),
0)</f>
        <v>0</v>
      </c>
      <c r="H59" s="20">
        <f>IF(C59&lt;&gt;"",
    COUNTIFS(MATCH_INPUT!$F$2:$F$5, C59, MATCH_INPUT!$K$2:$K$5, "Draw") +
    COUNTIFS(MATCH_INPUT!$J$2:$J$5, C59, MATCH_INPUT!$K$2:$K$5, "Draw"),
0)</f>
        <v>0</v>
      </c>
      <c r="I59" s="20">
        <f>IF(C59&lt;&gt;"",
    COUNTIFS(MATCH_INPUT!$F$2:$F$5, C59, MATCH_INPUT!$K$2:$K$5, "&lt;&gt;"&amp;C59, MATCH_INPUT!$K$2:$K$5, "&lt;&gt;Draw", MATCH_INPUT!$K$2:$K$5, "&lt;&gt;""") +
    COUNTIFS(MATCH_INPUT!$J$2:$J$5, C59, MATCH_INPUT!$K$2:$K$5, "&lt;&gt;"&amp;C59, MATCH_INPUT!$K$2:$K$5, "&lt;&gt;Draw", MATCH_INPUT!$K$2:$K$5, "&lt;&gt;"""),
0)</f>
        <v>0</v>
      </c>
      <c r="J59" s="21"/>
      <c r="K59" s="21"/>
      <c r="L59" s="22"/>
      <c r="M59" s="23">
        <f t="shared" si="151"/>
        <v>4</v>
      </c>
      <c r="N59" s="24" t="str">
        <f t="shared" si="8"/>
        <v>↓</v>
      </c>
      <c r="O59" s="25"/>
      <c r="P59" s="26">
        <f t="shared" si="9"/>
        <v>0</v>
      </c>
      <c r="Q59" s="26">
        <f t="shared" si="10"/>
        <v>0</v>
      </c>
      <c r="R59" s="26">
        <f t="shared" si="11"/>
        <v>0</v>
      </c>
      <c r="S59" s="26">
        <f>IF(O59&lt;&gt;"",
    COUNTIFS(MATCH_INPUT!$K$6:$K$9,O59),
0)</f>
        <v>0</v>
      </c>
      <c r="T59" s="26">
        <f>IF(O59&lt;&gt;"",
    COUNTIFS(MATCH_INPUT!$F$6:$F$9, O59, MATCH_INPUT!$K$6:$K$9, "Draw") +
    COUNTIFS(MATCH_INPUT!$J$6:$J$9, O59, MATCH_INPUT!$K$6:$K$9, "Draw"),
0)</f>
        <v>0</v>
      </c>
      <c r="U59" s="26">
        <f>IF(O59&lt;&gt;"",
    COUNTIFS(MATCH_INPUT!$F$6:$F$9, O59, MATCH_INPUT!$K$6:$K$9, "&lt;&gt;"&amp;O59, MATCH_INPUT!$K$6:$K$9, "&lt;&gt;Draw", MATCH_INPUT!$K$6:$K$9, "&lt;&gt;""") +
    COUNTIFS(MATCH_INPUT!$J$6:$J$9, O59, MATCH_INPUT!$K$6:$K$9, "&lt;&gt;"&amp;O59, MATCH_INPUT!$K$6:$K$9, "&lt;&gt;Draw", MATCH_INPUT!$K$6:$K$9, "&lt;&gt;"""),
0)</f>
        <v>0</v>
      </c>
      <c r="V59" s="27"/>
      <c r="W59" s="27"/>
      <c r="X59" s="28"/>
      <c r="Y59" s="26">
        <f t="shared" si="152"/>
        <v>7</v>
      </c>
      <c r="Z59" s="29" t="str">
        <f t="shared" si="13"/>
        <v>↓</v>
      </c>
      <c r="AA59" s="19"/>
      <c r="AB59" s="23">
        <f t="shared" si="14"/>
        <v>0</v>
      </c>
      <c r="AC59" s="20">
        <f t="shared" si="15"/>
        <v>0</v>
      </c>
      <c r="AD59" s="20">
        <f t="shared" si="16"/>
        <v>0</v>
      </c>
      <c r="AE59" s="20">
        <f>IF(AA59&lt;&gt;"",
    COUNTIFS(MATCH_INPUT!$K$10:$K$13,AA59),
0)</f>
        <v>0</v>
      </c>
      <c r="AF59" s="20">
        <f>IF(AA59&lt;&gt;"",
    COUNTIFS(MATCH_INPUT!$F$10:$F$13, AA59, MATCH_INPUT!$K$10:$K$13, "Draw") +
    COUNTIFS(MATCH_INPUT!$J$10:$J$13, AA59, MATCH_INPUT!$K$10:$K$13, "Draw"),
0)</f>
        <v>0</v>
      </c>
      <c r="AG59" s="20">
        <f>IF(AA59&lt;&gt;"",
    COUNTIFS(MATCH_INPUT!$F$10:$F$13, AA59, MATCH_INPUT!$K$10:$K$13, "&lt;&gt;"&amp;AA59, MATCH_INPUT!$K$10:$K$13, "&lt;&gt;Draw", MATCH_INPUT!$K$10:$K$13, "&lt;&gt;""") +
    COUNTIFS(MATCH_INPUT!$J$10:$J$13, AA59, MATCH_INPUT!$K$10:$K$13, "&lt;&gt;"&amp;AA59, MATCH_INPUT!$K$10:$K$13, "&lt;&gt;Draw", MATCH_INPUT!$K$10:$K$13, "&lt;&gt;"""),
0)</f>
        <v>0</v>
      </c>
      <c r="AH59" s="21"/>
      <c r="AI59" s="21"/>
      <c r="AJ59" s="30"/>
      <c r="AK59" s="23">
        <f t="shared" si="153"/>
        <v>8</v>
      </c>
      <c r="AL59" s="24" t="str">
        <f t="shared" si="18"/>
        <v>↓</v>
      </c>
      <c r="AM59" s="25"/>
      <c r="AN59" s="26">
        <f t="shared" si="19"/>
        <v>0</v>
      </c>
      <c r="AO59" s="26">
        <f t="shared" si="20"/>
        <v>0</v>
      </c>
      <c r="AP59" s="26">
        <f t="shared" si="21"/>
        <v>0</v>
      </c>
      <c r="AQ59" s="26">
        <f>IF(AM59&lt;&gt;"",
    COUNTIFS(MATCH_INPUT!$K$14:$K$17,AM59),
0)</f>
        <v>0</v>
      </c>
      <c r="AR59" s="26">
        <f>IF(AM59&lt;&gt;"",
    COUNTIFS(MATCH_INPUT!$F$14:$F$17, AM59, MATCH_INPUT!$K$14:$K$17, "Draw") +
    COUNTIFS(MATCH_INPUT!$J$14:$J$17, AM59, MATCH_INPUT!$K$14:$K$17, "Draw"),
0)</f>
        <v>0</v>
      </c>
      <c r="AS59" s="26">
        <f>IF(AM59&lt;&gt;"",
    COUNTIFS(MATCH_INPUT!$F$14:$F$17, AM59, MATCH_INPUT!$K$14:$K$17, "&lt;&gt;"&amp;AM59, MATCH_INPUT!$K$14:$K$17, "&lt;&gt;Draw", MATCH_INPUT!$K$14:$K$17, "&lt;&gt;""") +
    COUNTIFS(MATCH_INPUT!$J$14:$J$17, AM59, MATCH_INPUT!$K$14:$K$17, "&lt;&gt;"&amp;AM59, MATCH_INPUT!$K$14:$K$17, "&lt;&gt;Draw", MATCH_INPUT!$K$14:$K$17, "&lt;&gt;"""),
0)</f>
        <v>0</v>
      </c>
      <c r="AT59" s="27"/>
      <c r="AU59" s="27"/>
      <c r="AV59" s="28"/>
      <c r="AW59" s="26">
        <f t="shared" si="154"/>
        <v>10</v>
      </c>
      <c r="AX59" s="29" t="str">
        <f t="shared" si="23"/>
        <v>↓</v>
      </c>
      <c r="AY59" s="19"/>
      <c r="AZ59" s="23">
        <f t="shared" si="24"/>
        <v>0</v>
      </c>
      <c r="BA59" s="20">
        <f t="shared" si="25"/>
        <v>0</v>
      </c>
      <c r="BB59" s="20">
        <f>SUM(BC59*2) + (BD59*1) + SUMIFS(MATCH_INPUT!$G$18:$G$21, MATCH_INPUT!$F$18:$F$21, AY59) + SUMIFS(MATCH_INPUT!$I$18:$I$21, MATCH_INPUT!$J$18:$J$21, AY59)
</f>
        <v>0</v>
      </c>
      <c r="BC59" s="20">
        <f>IF(AY59&lt;&gt;"",
    COUNTIFS(MATCH_INPUT!$K$18:$K$21,AY59),
0)</f>
        <v>0</v>
      </c>
      <c r="BD59" s="20">
        <f>IF(AY59&lt;&gt;"",
    COUNTIFS(MATCH_INPUT!$F$18:$F$21, AY59, MATCH_INPUT!$K$18:$K$21, "Draw") +
    COUNTIFS(MATCH_INPUT!$J$18:$J$21, AY59, MATCH_INPUT!$K$18:$K$21, "Draw"),
0)</f>
        <v>0</v>
      </c>
      <c r="BE59" s="20">
        <f>IF(AY59&lt;&gt;"",
    COUNTIFS(MATCH_INPUT!$F$18:$F$21, AY59, MATCH_INPUT!$K$18:$K$21, "&lt;&gt;"&amp;AY59, MATCH_INPUT!$K$18:$K$21, "&lt;&gt;Draw", MATCH_INPUT!$K$18:$K$21, "&lt;&gt;""") +
    COUNTIFS(MATCH_INPUT!$J$18:$J$21, AY59, MATCH_INPUT!$K$18:$K$21, "&lt;&gt;"&amp;AY59, MATCH_INPUT!$K$18:$K$21, "&lt;&gt;Draw", MATCH_INPUT!$K$18:$K$21, "&lt;&gt;"""),
0)</f>
        <v>0</v>
      </c>
      <c r="BF59" s="21" t="str">
        <f t="array" ref="BF59">IFERROR(INDEX(Form_Response!E:E, MATCH(1, (Form_Response!C:C='MATCH DATES'!$B$6)*(Form_Response!D:D=B59), 0)), "")
</f>
        <v/>
      </c>
      <c r="BG59" s="21">
        <f t="array" ref="BG59">IFERROR(IF(INDEX(Form_Response!F:F, MATCH(1, (Form_Response!C:C='MATCH DATES'!$B$6)*(Form_Response!D:D=B59), 0))="Yes", 1, 0), 0)
</f>
        <v>0</v>
      </c>
      <c r="BH59" s="30" t="str">
        <f t="array" ref="BH59">IFERROR(INDEX(Form_Response!G:G, MATCH(1, (Form_Response!C:C='MATCH DATES'!$B$6)*(Form_Response!D:D=B59), 0)), "")
</f>
        <v/>
      </c>
      <c r="BI59" s="23">
        <f t="shared" si="155"/>
        <v>11</v>
      </c>
      <c r="BJ59" s="24" t="str">
        <f t="shared" si="27"/>
        <v>↓</v>
      </c>
      <c r="BK59" s="34"/>
      <c r="BL59" s="26">
        <f t="shared" si="28"/>
        <v>0</v>
      </c>
      <c r="BM59" s="26">
        <f t="shared" si="29"/>
        <v>0</v>
      </c>
      <c r="BN59" s="26">
        <f>SUM(BO59*2) + (BP59*1) + SUMIFS(MATCH_INPUT!$G$22:$G$25, MATCH_INPUT!$F$22:$F$25, BK59) + SUMIFS(MATCH_INPUT!$I$22:$I$25, MATCH_INPUT!$J$22:$J$25, BK59)
</f>
        <v>0</v>
      </c>
      <c r="BO59" s="26">
        <f>IF(BK59&lt;&gt;"",
    COUNTIFS(MATCH_INPUT!$K$22:$K$25,BK59),
0)</f>
        <v>0</v>
      </c>
      <c r="BP59" s="26">
        <f>IF(BK59&lt;&gt;"",
    COUNTIFS(MATCH_INPUT!$F$22:$F$25, BK59, MATCH_INPUT!$K$22:$K$25, "Draw") +
    COUNTIFS(MATCH_INPUT!$J$22:$J$25, BK59, MATCH_INPUT!$K$22:$K$25, "Draw"),
0)</f>
        <v>0</v>
      </c>
      <c r="BQ59" s="26">
        <f>IF(BK59&lt;&gt;"",
    COUNTIFS(MATCH_INPUT!$F$22:$F$25, BK59, MATCH_INPUT!$K$22:$K$25, "&lt;&gt;"&amp;BK59, MATCH_INPUT!$K$22:$K$25, "&lt;&gt;Draw", MATCH_INPUT!$K$22:$K$25, "&lt;&gt;""") +
    COUNTIFS(MATCH_INPUT!$J$22:$J$25, BK59, MATCH_INPUT!$K$22:$K$25, "&lt;&gt;"&amp;BK59, MATCH_INPUT!$K$22:$K$25, "&lt;&gt;Draw", MATCH_INPUT!$K$22:$K$25, "&lt;&gt;"""),
0)</f>
        <v>0</v>
      </c>
      <c r="BR59" s="27"/>
      <c r="BS59" s="27"/>
      <c r="BT59" s="28"/>
      <c r="BU59" s="26">
        <f t="shared" si="156"/>
        <v>14</v>
      </c>
      <c r="BV59" s="29" t="str">
        <f t="shared" si="31"/>
        <v>↓</v>
      </c>
      <c r="BW59" s="35"/>
      <c r="BX59" s="23">
        <f t="shared" si="32"/>
        <v>0</v>
      </c>
      <c r="BY59" s="20">
        <f t="shared" si="33"/>
        <v>0</v>
      </c>
      <c r="BZ59" s="20">
        <f>SUM(CA59*2)+(CB59*1) + SUMIFS(MATCH_INPUT!$G$26:$G$29, MATCH_INPUT!$F$26:$F$29, BW59) + SUMIFS(MATCH_INPUT!$I$26:$I$29, MATCH_INPUT!$J$26:$J$29, BW59)
</f>
        <v>0</v>
      </c>
      <c r="CA59" s="20">
        <f>IF(BW59&lt;&gt;"",
    COUNTIFS(MATCH_INPUT!$K$26:$K$29,BW59),
0)</f>
        <v>0</v>
      </c>
      <c r="CB59" s="20">
        <f>IF(BW59&lt;&gt;"",
    COUNTIFS(MATCH_INPUT!$F$26:$F$29, BW59, MATCH_INPUT!$K$26:$K$29, "Draw") +
    COUNTIFS(MATCH_INPUT!$J$26:$J$29, BW59, MATCH_INPUT!$K$26:$K$29, "Draw"),
0)</f>
        <v>0</v>
      </c>
      <c r="CC59" s="20">
        <f>IF(BW59&lt;&gt;"",
    COUNTIFS(MATCH_INPUT!$F$26:$F$29, BW59, MATCH_INPUT!$K$26:$K$29, "&lt;&gt;"&amp;BW59, MATCH_INPUT!$K$26:$K$29, "&lt;&gt;Draw", MATCH_INPUT!$K$26:$K$29, "&lt;&gt;""") +
    COUNTIFS(MATCH_INPUT!$J$26:$J$29, BW59, MATCH_INPUT!$K$26:$K$29, "&lt;&gt;"&amp;BW59, MATCH_INPUT!$K$26:$K$29, "&lt;&gt;Draw", MATCH_INPUT!$K$26:$K$29, "&lt;&gt;"""),
0)</f>
        <v>0</v>
      </c>
      <c r="CD59" s="21"/>
      <c r="CE59" s="21"/>
      <c r="CF59" s="30"/>
      <c r="CG59" s="23">
        <f t="shared" si="157"/>
        <v>15</v>
      </c>
      <c r="CH59" s="24" t="str">
        <f t="shared" si="35"/>
        <v>↓</v>
      </c>
      <c r="CI59" s="25"/>
      <c r="CJ59" s="26">
        <f t="shared" si="36"/>
        <v>0</v>
      </c>
      <c r="CK59" s="26">
        <f t="shared" si="37"/>
        <v>0</v>
      </c>
      <c r="CL59" s="26">
        <f>SUM(CM59*2)+(CN59*1) + SUMIFS(MATCH_INPUT!$G$30:$G$33, MATCH_INPUT!$F$30:$F$33, CI59) + SUMIFS(MATCH_INPUT!$I$30:$I$33, MATCH_INPUT!$J$30:$J$33, CI59)
</f>
        <v>0</v>
      </c>
      <c r="CM59" s="26">
        <f>IF(CI59&lt;&gt;"",
    COUNTIFS(MATCH_INPUT!$K$30:$K$33,CI59),
0)</f>
        <v>0</v>
      </c>
      <c r="CN59" s="26">
        <f>IF(CI59&lt;&gt;"",
    COUNTIFS(MATCH_INPUT!$F$30:$F$33, CI59, MATCH_INPUT!$K$30:$K$33, "Draw") +
    COUNTIFS(MATCH_INPUT!$J$30:$J$33, CI59, MATCH_INPUT!$K$30:$K$33, "Draw"),
0)</f>
        <v>0</v>
      </c>
      <c r="CO59" s="26">
        <f>IF(CI59&lt;&gt;"",
    COUNTIFS(MATCH_INPUT!$F$30:$F$33, CI59, MATCH_INPUT!$K$30:$K$33, "&lt;&gt;"&amp;CI59, MATCH_INPUT!$K$30:$K$33, "&lt;&gt;Draw", MATCH_INPUT!$K$30:$K$33, "&lt;&gt;""") +
    COUNTIFS(MATCH_INPUT!$J$30:$J$33, CI59, MATCH_INPUT!$K$30:$K$33, "&lt;&gt;"&amp;CI59, MATCH_INPUT!$K$30:$K$33, "&lt;&gt;Draw", MATCH_INPUT!$K$30:$K$33, "&lt;&gt;"""),
0)</f>
        <v>0</v>
      </c>
      <c r="CP59" s="27" t="str">
        <f t="array" ref="CP59">IFERROR(INDEX(Form_Response!E:E, MATCH(1, (Form_Response!C:C='MATCH DATES'!$B$9)*(Form_Response!D:D=B59), 0)), "")
</f>
        <v/>
      </c>
      <c r="CQ59" s="27">
        <f t="array" ref="CQ59">IFERROR(IF(INDEX(Form_Response!F:F, MATCH(1, (Form_Response!C:C='MATCH DATES'!$B$9)*(Form_Response!D:D=B59), 0))="Yes", 1, 0), 0)
</f>
        <v>0</v>
      </c>
      <c r="CR59" s="28" t="str">
        <f t="array" ref="CR59">IFERROR(INDEX(Form_Response!G:G, MATCH(1, (Form_Response!C:C='MATCH DATES'!$B$9)*(Form_Response!D:D=B59), 0)), "")
</f>
        <v/>
      </c>
      <c r="CS59" s="31">
        <f t="shared" si="158"/>
        <v>18</v>
      </c>
      <c r="CT59" s="31" t="str">
        <f t="shared" si="39"/>
        <v>↓</v>
      </c>
      <c r="CU59" s="32">
        <f t="shared" si="40"/>
        <v>0</v>
      </c>
      <c r="CV59" s="32" t="str">
        <f t="shared" ref="CV59:CW59" si="216">A59</f>
        <v/>
      </c>
      <c r="CW59" s="33" t="str">
        <f t="shared" si="216"/>
        <v/>
      </c>
      <c r="CX59" s="33">
        <f t="shared" si="42"/>
        <v>0</v>
      </c>
      <c r="CY59" s="32">
        <f>SUM(
  IF(AND('MATCH DATES'!$A$2 &lt;= TODAY(), NOW() &gt;= 'MATCH DATES'!$A$2 + TIME(22, 0, 0)), E59, 0),
  IF(AND('MATCH DATES'!$A$3 &lt;= TODAY(), NOW() &gt;= 'MATCH DATES'!$A$3 + TIME(22, 0, 0)), Q59, 0),
  IF(AND('MATCH DATES'!$A$4 &lt;= TODAY(), NOW() &gt;= 'MATCH DATES'!$A$4 + TIME(22, 0, 0)), AC59, 0),
  IF(AND('MATCH DATES'!$A$5 &lt;= TODAY(), NOW() &gt;= 'MATCH DATES'!$A$5 + TIME(22, 0, 0)), AO59, 0),
  IF(AND('MATCH DATES'!$A$6 &lt;= TODAY(), NOW() &gt;= 'MATCH DATES'!$A$6 + TIME(22, 0, 0)), BA59, 0),
  IF(AND('MATCH DATES'!$A$7 &lt;= TODAY(), NOW() &gt;= 'MATCH DATES'!$A$7 + TIME(22, 0, 0)), BM59, 0),
  IF(AND('MATCH DATES'!$A$8 &lt;= TODAY(), NOW() &gt;= 'MATCH DATES'!$A$8 + TIME(22, 0, 0)), BY59, 0),
  IF(AND('MATCH DATES'!$A$9 &lt;= TODAY(), NOW() &gt;= 'MATCH DATES'!$A$9 + TIME(22, 0, 0)), CK59, 0)
)
</f>
        <v>0</v>
      </c>
      <c r="CZ59" s="33">
        <f t="shared" ref="CZ59:DA59" si="217">SUM(G59,S59,AE59,AQ59,BC59,BO59,CA59,CM59)</f>
        <v>0</v>
      </c>
      <c r="DA59" s="33">
        <f t="shared" si="217"/>
        <v>0</v>
      </c>
      <c r="DB59" s="33">
        <f>SUM(
  IF(AND('MATCH DATES'!$A$2 &lt;= TODAY(), NOW() &gt;= 'MATCH DATES'!$A$2 + TIME(22, 0, 0)), I59, 0),
  IF(AND('MATCH DATES'!$A$3 &lt;= TODAY(), NOW() &gt;= 'MATCH DATES'!$A$3 + TIME(22, 0, 0)), U59, 0),
  IF(AND('MATCH DATES'!$A$4 &lt;= TODAY(), NOW() &gt;= 'MATCH DATES'!$A$4 + TIME(22, 0, 0)), AG59, 0),
  IF(AND('MATCH DATES'!$A$5 &lt;= TODAY(), NOW() &gt;= 'MATCH DATES'!$A$5 + TIME(22, 0, 0)), AS59, 0),
  IF(AND('MATCH DATES'!$A$6 &lt;= TODAY(), NOW() &gt;= 'MATCH DATES'!$A$6 + TIME(22, 0, 0)), BE59, 0),
  IF(AND('MATCH DATES'!$A$7 &lt;= TODAY(), NOW() &gt;= 'MATCH DATES'!$A$7 + TIME(22, 0, 0)), BQ59, 0),
  IF(AND('MATCH DATES'!$A$8 &lt;= TODAY(), NOW() &gt;= 'MATCH DATES'!$A$8 + TIME(22, 0, 0)), CC59, 0),
  IF(AND('MATCH DATES'!$A$9 &lt;= TODAY(), NOW() &gt;= 'MATCH DATES'!$A$9 + TIME(22, 0, 0)), CO59, 0)
)</f>
        <v>0</v>
      </c>
      <c r="DC59" s="33">
        <f t="shared" si="44"/>
        <v>0</v>
      </c>
      <c r="DD59" s="33">
        <f t="shared" ref="DD59:DE59" si="218">SUM(K59,W59,AI59,AU59,BG59,BS59,CE59,CQ59)</f>
        <v>0</v>
      </c>
      <c r="DE59" s="33">
        <f t="shared" si="218"/>
        <v>0</v>
      </c>
    </row>
    <row r="60" ht="24.75" customHeight="1">
      <c r="A60" s="31"/>
      <c r="B60" s="39"/>
      <c r="C60" s="35"/>
      <c r="D60" s="20">
        <f t="shared" si="4"/>
        <v>0</v>
      </c>
      <c r="E60" s="20">
        <f t="shared" si="5"/>
        <v>0</v>
      </c>
      <c r="F60" s="20">
        <f t="shared" si="6"/>
        <v>0</v>
      </c>
      <c r="G60" s="20">
        <f>IF(C60&lt;&gt;"",
    COUNTIFS(MATCH_INPUT!$K$2:$K$5,C60),
0)</f>
        <v>0</v>
      </c>
      <c r="H60" s="20">
        <f>IF(C60&lt;&gt;"",
    COUNTIFS(MATCH_INPUT!$F$2:$F$5, C60, MATCH_INPUT!$K$2:$K$5, "Draw") +
    COUNTIFS(MATCH_INPUT!$J$2:$J$5, C60, MATCH_INPUT!$K$2:$K$5, "Draw"),
0)</f>
        <v>0</v>
      </c>
      <c r="I60" s="20">
        <f>IF(C60&lt;&gt;"",
    COUNTIFS(MATCH_INPUT!$F$2:$F$5, C60, MATCH_INPUT!$K$2:$K$5, "&lt;&gt;"&amp;C60, MATCH_INPUT!$K$2:$K$5, "&lt;&gt;Draw", MATCH_INPUT!$K$2:$K$5, "&lt;&gt;""") +
    COUNTIFS(MATCH_INPUT!$J$2:$J$5, C60, MATCH_INPUT!$K$2:$K$5, "&lt;&gt;"&amp;C60, MATCH_INPUT!$K$2:$K$5, "&lt;&gt;Draw", MATCH_INPUT!$K$2:$K$5, "&lt;&gt;"""),
0)</f>
        <v>0</v>
      </c>
      <c r="J60" s="21"/>
      <c r="K60" s="21"/>
      <c r="L60" s="22"/>
      <c r="M60" s="23">
        <f t="shared" si="151"/>
        <v>4</v>
      </c>
      <c r="N60" s="24" t="str">
        <f t="shared" si="8"/>
        <v>↓</v>
      </c>
      <c r="O60" s="25"/>
      <c r="P60" s="26">
        <f t="shared" si="9"/>
        <v>0</v>
      </c>
      <c r="Q60" s="26">
        <f t="shared" si="10"/>
        <v>0</v>
      </c>
      <c r="R60" s="26">
        <f t="shared" si="11"/>
        <v>0</v>
      </c>
      <c r="S60" s="26">
        <f>IF(O60&lt;&gt;"",
    COUNTIFS(MATCH_INPUT!$K$6:$K$9,O60),
0)</f>
        <v>0</v>
      </c>
      <c r="T60" s="26">
        <f>IF(O60&lt;&gt;"",
    COUNTIFS(MATCH_INPUT!$F$6:$F$9, O60, MATCH_INPUT!$K$6:$K$9, "Draw") +
    COUNTIFS(MATCH_INPUT!$J$6:$J$9, O60, MATCH_INPUT!$K$6:$K$9, "Draw"),
0)</f>
        <v>0</v>
      </c>
      <c r="U60" s="26">
        <f>IF(O60&lt;&gt;"",
    COUNTIFS(MATCH_INPUT!$F$6:$F$9, O60, MATCH_INPUT!$K$6:$K$9, "&lt;&gt;"&amp;O60, MATCH_INPUT!$K$6:$K$9, "&lt;&gt;Draw", MATCH_INPUT!$K$6:$K$9, "&lt;&gt;""") +
    COUNTIFS(MATCH_INPUT!$J$6:$J$9, O60, MATCH_INPUT!$K$6:$K$9, "&lt;&gt;"&amp;O60, MATCH_INPUT!$K$6:$K$9, "&lt;&gt;Draw", MATCH_INPUT!$K$6:$K$9, "&lt;&gt;"""),
0)</f>
        <v>0</v>
      </c>
      <c r="V60" s="27"/>
      <c r="W60" s="27"/>
      <c r="X60" s="28"/>
      <c r="Y60" s="26">
        <f t="shared" si="152"/>
        <v>7</v>
      </c>
      <c r="Z60" s="29" t="str">
        <f t="shared" si="13"/>
        <v>↓</v>
      </c>
      <c r="AA60" s="19"/>
      <c r="AB60" s="23">
        <f t="shared" si="14"/>
        <v>0</v>
      </c>
      <c r="AC60" s="20">
        <f t="shared" si="15"/>
        <v>0</v>
      </c>
      <c r="AD60" s="20">
        <f t="shared" si="16"/>
        <v>0</v>
      </c>
      <c r="AE60" s="20">
        <f>IF(AA60&lt;&gt;"",
    COUNTIFS(MATCH_INPUT!$K$10:$K$13,AA60),
0)</f>
        <v>0</v>
      </c>
      <c r="AF60" s="20">
        <f>IF(AA60&lt;&gt;"",
    COUNTIFS(MATCH_INPUT!$F$10:$F$13, AA60, MATCH_INPUT!$K$10:$K$13, "Draw") +
    COUNTIFS(MATCH_INPUT!$J$10:$J$13, AA60, MATCH_INPUT!$K$10:$K$13, "Draw"),
0)</f>
        <v>0</v>
      </c>
      <c r="AG60" s="20">
        <f>IF(AA60&lt;&gt;"",
    COUNTIFS(MATCH_INPUT!$F$10:$F$13, AA60, MATCH_INPUT!$K$10:$K$13, "&lt;&gt;"&amp;AA60, MATCH_INPUT!$K$10:$K$13, "&lt;&gt;Draw", MATCH_INPUT!$K$10:$K$13, "&lt;&gt;""") +
    COUNTIFS(MATCH_INPUT!$J$10:$J$13, AA60, MATCH_INPUT!$K$10:$K$13, "&lt;&gt;"&amp;AA60, MATCH_INPUT!$K$10:$K$13, "&lt;&gt;Draw", MATCH_INPUT!$K$10:$K$13, "&lt;&gt;"""),
0)</f>
        <v>0</v>
      </c>
      <c r="AH60" s="21"/>
      <c r="AI60" s="21"/>
      <c r="AJ60" s="30"/>
      <c r="AK60" s="23">
        <f t="shared" si="153"/>
        <v>8</v>
      </c>
      <c r="AL60" s="24" t="str">
        <f t="shared" si="18"/>
        <v>↓</v>
      </c>
      <c r="AM60" s="25"/>
      <c r="AN60" s="26">
        <f t="shared" si="19"/>
        <v>0</v>
      </c>
      <c r="AO60" s="26">
        <f t="shared" si="20"/>
        <v>0</v>
      </c>
      <c r="AP60" s="26">
        <f t="shared" si="21"/>
        <v>0</v>
      </c>
      <c r="AQ60" s="26">
        <f>IF(AM60&lt;&gt;"",
    COUNTIFS(MATCH_INPUT!$K$14:$K$17,AM60),
0)</f>
        <v>0</v>
      </c>
      <c r="AR60" s="26">
        <f>IF(AM60&lt;&gt;"",
    COUNTIFS(MATCH_INPUT!$F$14:$F$17, AM60, MATCH_INPUT!$K$14:$K$17, "Draw") +
    COUNTIFS(MATCH_INPUT!$J$14:$J$17, AM60, MATCH_INPUT!$K$14:$K$17, "Draw"),
0)</f>
        <v>0</v>
      </c>
      <c r="AS60" s="26">
        <f>IF(AM60&lt;&gt;"",
    COUNTIFS(MATCH_INPUT!$F$14:$F$17, AM60, MATCH_INPUT!$K$14:$K$17, "&lt;&gt;"&amp;AM60, MATCH_INPUT!$K$14:$K$17, "&lt;&gt;Draw", MATCH_INPUT!$K$14:$K$17, "&lt;&gt;""") +
    COUNTIFS(MATCH_INPUT!$J$14:$J$17, AM60, MATCH_INPUT!$K$14:$K$17, "&lt;&gt;"&amp;AM60, MATCH_INPUT!$K$14:$K$17, "&lt;&gt;Draw", MATCH_INPUT!$K$14:$K$17, "&lt;&gt;"""),
0)</f>
        <v>0</v>
      </c>
      <c r="AT60" s="27"/>
      <c r="AU60" s="27"/>
      <c r="AV60" s="28"/>
      <c r="AW60" s="26">
        <f t="shared" si="154"/>
        <v>10</v>
      </c>
      <c r="AX60" s="29" t="str">
        <f t="shared" si="23"/>
        <v>↓</v>
      </c>
      <c r="AY60" s="19"/>
      <c r="AZ60" s="23">
        <f t="shared" si="24"/>
        <v>0</v>
      </c>
      <c r="BA60" s="20">
        <f t="shared" si="25"/>
        <v>0</v>
      </c>
      <c r="BB60" s="20">
        <f>SUM(BC60*2) + (BD60*1) + SUMIFS(MATCH_INPUT!$G$18:$G$21, MATCH_INPUT!$F$18:$F$21, AY60) + SUMIFS(MATCH_INPUT!$I$18:$I$21, MATCH_INPUT!$J$18:$J$21, AY60)
</f>
        <v>0</v>
      </c>
      <c r="BC60" s="20">
        <f>IF(AY60&lt;&gt;"",
    COUNTIFS(MATCH_INPUT!$K$18:$K$21,AY60),
0)</f>
        <v>0</v>
      </c>
      <c r="BD60" s="20">
        <f>IF(AY60&lt;&gt;"",
    COUNTIFS(MATCH_INPUT!$F$18:$F$21, AY60, MATCH_INPUT!$K$18:$K$21, "Draw") +
    COUNTIFS(MATCH_INPUT!$J$18:$J$21, AY60, MATCH_INPUT!$K$18:$K$21, "Draw"),
0)</f>
        <v>0</v>
      </c>
      <c r="BE60" s="20">
        <f>IF(AY60&lt;&gt;"",
    COUNTIFS(MATCH_INPUT!$F$18:$F$21, AY60, MATCH_INPUT!$K$18:$K$21, "&lt;&gt;"&amp;AY60, MATCH_INPUT!$K$18:$K$21, "&lt;&gt;Draw", MATCH_INPUT!$K$18:$K$21, "&lt;&gt;""") +
    COUNTIFS(MATCH_INPUT!$J$18:$J$21, AY60, MATCH_INPUT!$K$18:$K$21, "&lt;&gt;"&amp;AY60, MATCH_INPUT!$K$18:$K$21, "&lt;&gt;Draw", MATCH_INPUT!$K$18:$K$21, "&lt;&gt;"""),
0)</f>
        <v>0</v>
      </c>
      <c r="BF60" s="21" t="str">
        <f t="array" ref="BF60">IFERROR(INDEX(Form_Response!E:E, MATCH(1, (Form_Response!C:C='MATCH DATES'!$B$6)*(Form_Response!D:D=B60), 0)), "")
</f>
        <v/>
      </c>
      <c r="BG60" s="21">
        <f t="array" ref="BG60">IFERROR(IF(INDEX(Form_Response!F:F, MATCH(1, (Form_Response!C:C='MATCH DATES'!$B$6)*(Form_Response!D:D=B60), 0))="Yes", 1, 0), 0)
</f>
        <v>0</v>
      </c>
      <c r="BH60" s="30" t="str">
        <f t="array" ref="BH60">IFERROR(INDEX(Form_Response!G:G, MATCH(1, (Form_Response!C:C='MATCH DATES'!$B$6)*(Form_Response!D:D=B60), 0)), "")
</f>
        <v/>
      </c>
      <c r="BI60" s="23">
        <f t="shared" si="155"/>
        <v>11</v>
      </c>
      <c r="BJ60" s="24" t="str">
        <f t="shared" si="27"/>
        <v>↓</v>
      </c>
      <c r="BK60" s="34"/>
      <c r="BL60" s="26">
        <f t="shared" si="28"/>
        <v>0</v>
      </c>
      <c r="BM60" s="26">
        <f t="shared" si="29"/>
        <v>0</v>
      </c>
      <c r="BN60" s="26">
        <f>SUM(BO60*2) + (BP60*1) + SUMIFS(MATCH_INPUT!$G$22:$G$25, MATCH_INPUT!$F$22:$F$25, BK60) + SUMIFS(MATCH_INPUT!$I$22:$I$25, MATCH_INPUT!$J$22:$J$25, BK60)
</f>
        <v>0</v>
      </c>
      <c r="BO60" s="26">
        <f>IF(BK60&lt;&gt;"",
    COUNTIFS(MATCH_INPUT!$K$22:$K$25,BK60),
0)</f>
        <v>0</v>
      </c>
      <c r="BP60" s="26">
        <f>IF(BK60&lt;&gt;"",
    COUNTIFS(MATCH_INPUT!$F$22:$F$25, BK60, MATCH_INPUT!$K$22:$K$25, "Draw") +
    COUNTIFS(MATCH_INPUT!$J$22:$J$25, BK60, MATCH_INPUT!$K$22:$K$25, "Draw"),
0)</f>
        <v>0</v>
      </c>
      <c r="BQ60" s="26">
        <f>IF(BK60&lt;&gt;"",
    COUNTIFS(MATCH_INPUT!$F$22:$F$25, BK60, MATCH_INPUT!$K$22:$K$25, "&lt;&gt;"&amp;BK60, MATCH_INPUT!$K$22:$K$25, "&lt;&gt;Draw", MATCH_INPUT!$K$22:$K$25, "&lt;&gt;""") +
    COUNTIFS(MATCH_INPUT!$J$22:$J$25, BK60, MATCH_INPUT!$K$22:$K$25, "&lt;&gt;"&amp;BK60, MATCH_INPUT!$K$22:$K$25, "&lt;&gt;Draw", MATCH_INPUT!$K$22:$K$25, "&lt;&gt;"""),
0)</f>
        <v>0</v>
      </c>
      <c r="BR60" s="27"/>
      <c r="BS60" s="27"/>
      <c r="BT60" s="28"/>
      <c r="BU60" s="26">
        <f t="shared" si="156"/>
        <v>14</v>
      </c>
      <c r="BV60" s="29" t="str">
        <f t="shared" si="31"/>
        <v>↓</v>
      </c>
      <c r="BW60" s="35"/>
      <c r="BX60" s="23">
        <f t="shared" si="32"/>
        <v>0</v>
      </c>
      <c r="BY60" s="20">
        <f t="shared" si="33"/>
        <v>0</v>
      </c>
      <c r="BZ60" s="20">
        <f>SUM(CA60*2)+(CB60*1) + SUMIFS(MATCH_INPUT!$G$26:$G$29, MATCH_INPUT!$F$26:$F$29, BW60) + SUMIFS(MATCH_INPUT!$I$26:$I$29, MATCH_INPUT!$J$26:$J$29, BW60)
</f>
        <v>0</v>
      </c>
      <c r="CA60" s="20">
        <f>IF(BW60&lt;&gt;"",
    COUNTIFS(MATCH_INPUT!$K$26:$K$29,BW60),
0)</f>
        <v>0</v>
      </c>
      <c r="CB60" s="20">
        <f>IF(BW60&lt;&gt;"",
    COUNTIFS(MATCH_INPUT!$F$26:$F$29, BW60, MATCH_INPUT!$K$26:$K$29, "Draw") +
    COUNTIFS(MATCH_INPUT!$J$26:$J$29, BW60, MATCH_INPUT!$K$26:$K$29, "Draw"),
0)</f>
        <v>0</v>
      </c>
      <c r="CC60" s="20">
        <f>IF(BW60&lt;&gt;"",
    COUNTIFS(MATCH_INPUT!$F$26:$F$29, BW60, MATCH_INPUT!$K$26:$K$29, "&lt;&gt;"&amp;BW60, MATCH_INPUT!$K$26:$K$29, "&lt;&gt;Draw", MATCH_INPUT!$K$26:$K$29, "&lt;&gt;""") +
    COUNTIFS(MATCH_INPUT!$J$26:$J$29, BW60, MATCH_INPUT!$K$26:$K$29, "&lt;&gt;"&amp;BW60, MATCH_INPUT!$K$26:$K$29, "&lt;&gt;Draw", MATCH_INPUT!$K$26:$K$29, "&lt;&gt;"""),
0)</f>
        <v>0</v>
      </c>
      <c r="CD60" s="21"/>
      <c r="CE60" s="21"/>
      <c r="CF60" s="30"/>
      <c r="CG60" s="23">
        <f t="shared" si="157"/>
        <v>15</v>
      </c>
      <c r="CH60" s="24" t="str">
        <f t="shared" si="35"/>
        <v>↓</v>
      </c>
      <c r="CI60" s="25"/>
      <c r="CJ60" s="26">
        <f t="shared" si="36"/>
        <v>0</v>
      </c>
      <c r="CK60" s="26">
        <f t="shared" si="37"/>
        <v>0</v>
      </c>
      <c r="CL60" s="26">
        <f>SUM(CM60*2)+(CN60*1) + SUMIFS(MATCH_INPUT!$G$30:$G$33, MATCH_INPUT!$F$30:$F$33, CI60) + SUMIFS(MATCH_INPUT!$I$30:$I$33, MATCH_INPUT!$J$30:$J$33, CI60)
</f>
        <v>0</v>
      </c>
      <c r="CM60" s="26">
        <f>IF(CI60&lt;&gt;"",
    COUNTIFS(MATCH_INPUT!$K$30:$K$33,CI60),
0)</f>
        <v>0</v>
      </c>
      <c r="CN60" s="26">
        <f>IF(CI60&lt;&gt;"",
    COUNTIFS(MATCH_INPUT!$F$30:$F$33, CI60, MATCH_INPUT!$K$30:$K$33, "Draw") +
    COUNTIFS(MATCH_INPUT!$J$30:$J$33, CI60, MATCH_INPUT!$K$30:$K$33, "Draw"),
0)</f>
        <v>0</v>
      </c>
      <c r="CO60" s="26">
        <f>IF(CI60&lt;&gt;"",
    COUNTIFS(MATCH_INPUT!$F$30:$F$33, CI60, MATCH_INPUT!$K$30:$K$33, "&lt;&gt;"&amp;CI60, MATCH_INPUT!$K$30:$K$33, "&lt;&gt;Draw", MATCH_INPUT!$K$30:$K$33, "&lt;&gt;""") +
    COUNTIFS(MATCH_INPUT!$J$30:$J$33, CI60, MATCH_INPUT!$K$30:$K$33, "&lt;&gt;"&amp;CI60, MATCH_INPUT!$K$30:$K$33, "&lt;&gt;Draw", MATCH_INPUT!$K$30:$K$33, "&lt;&gt;"""),
0)</f>
        <v>0</v>
      </c>
      <c r="CP60" s="27" t="str">
        <f t="array" ref="CP60">IFERROR(INDEX(Form_Response!E:E, MATCH(1, (Form_Response!C:C='MATCH DATES'!$B$9)*(Form_Response!D:D=B60), 0)), "")
</f>
        <v/>
      </c>
      <c r="CQ60" s="27">
        <f t="array" ref="CQ60">IFERROR(IF(INDEX(Form_Response!F:F, MATCH(1, (Form_Response!C:C='MATCH DATES'!$B$9)*(Form_Response!D:D=B60), 0))="Yes", 1, 0), 0)
</f>
        <v>0</v>
      </c>
      <c r="CR60" s="28" t="str">
        <f t="array" ref="CR60">IFERROR(INDEX(Form_Response!G:G, MATCH(1, (Form_Response!C:C='MATCH DATES'!$B$9)*(Form_Response!D:D=B60), 0)), "")
</f>
        <v/>
      </c>
      <c r="CS60" s="31">
        <f t="shared" si="158"/>
        <v>18</v>
      </c>
      <c r="CT60" s="31" t="str">
        <f t="shared" si="39"/>
        <v>↓</v>
      </c>
      <c r="CU60" s="32">
        <f t="shared" si="40"/>
        <v>0</v>
      </c>
      <c r="CV60" s="32" t="str">
        <f t="shared" ref="CV60:CW60" si="219">A60</f>
        <v/>
      </c>
      <c r="CW60" s="33" t="str">
        <f t="shared" si="219"/>
        <v/>
      </c>
      <c r="CX60" s="33">
        <f t="shared" si="42"/>
        <v>0</v>
      </c>
      <c r="CY60" s="32">
        <f>SUM(
  IF(AND('MATCH DATES'!$A$2 &lt;= TODAY(), NOW() &gt;= 'MATCH DATES'!$A$2 + TIME(22, 0, 0)), E60, 0),
  IF(AND('MATCH DATES'!$A$3 &lt;= TODAY(), NOW() &gt;= 'MATCH DATES'!$A$3 + TIME(22, 0, 0)), Q60, 0),
  IF(AND('MATCH DATES'!$A$4 &lt;= TODAY(), NOW() &gt;= 'MATCH DATES'!$A$4 + TIME(22, 0, 0)), AC60, 0),
  IF(AND('MATCH DATES'!$A$5 &lt;= TODAY(), NOW() &gt;= 'MATCH DATES'!$A$5 + TIME(22, 0, 0)), AO60, 0),
  IF(AND('MATCH DATES'!$A$6 &lt;= TODAY(), NOW() &gt;= 'MATCH DATES'!$A$6 + TIME(22, 0, 0)), BA60, 0),
  IF(AND('MATCH DATES'!$A$7 &lt;= TODAY(), NOW() &gt;= 'MATCH DATES'!$A$7 + TIME(22, 0, 0)), BM60, 0),
  IF(AND('MATCH DATES'!$A$8 &lt;= TODAY(), NOW() &gt;= 'MATCH DATES'!$A$8 + TIME(22, 0, 0)), BY60, 0),
  IF(AND('MATCH DATES'!$A$9 &lt;= TODAY(), NOW() &gt;= 'MATCH DATES'!$A$9 + TIME(22, 0, 0)), CK60, 0)
)
</f>
        <v>0</v>
      </c>
      <c r="CZ60" s="33">
        <f t="shared" ref="CZ60:DA60" si="220">SUM(G60,S60,AE60,AQ60,BC60,BO60,CA60,CM60)</f>
        <v>0</v>
      </c>
      <c r="DA60" s="33">
        <f t="shared" si="220"/>
        <v>0</v>
      </c>
      <c r="DB60" s="33">
        <f>SUM(
  IF(AND('MATCH DATES'!$A$2 &lt;= TODAY(), NOW() &gt;= 'MATCH DATES'!$A$2 + TIME(22, 0, 0)), I60, 0),
  IF(AND('MATCH DATES'!$A$3 &lt;= TODAY(), NOW() &gt;= 'MATCH DATES'!$A$3 + TIME(22, 0, 0)), U60, 0),
  IF(AND('MATCH DATES'!$A$4 &lt;= TODAY(), NOW() &gt;= 'MATCH DATES'!$A$4 + TIME(22, 0, 0)), AG60, 0),
  IF(AND('MATCH DATES'!$A$5 &lt;= TODAY(), NOW() &gt;= 'MATCH DATES'!$A$5 + TIME(22, 0, 0)), AS60, 0),
  IF(AND('MATCH DATES'!$A$6 &lt;= TODAY(), NOW() &gt;= 'MATCH DATES'!$A$6 + TIME(22, 0, 0)), BE60, 0),
  IF(AND('MATCH DATES'!$A$7 &lt;= TODAY(), NOW() &gt;= 'MATCH DATES'!$A$7 + TIME(22, 0, 0)), BQ60, 0),
  IF(AND('MATCH DATES'!$A$8 &lt;= TODAY(), NOW() &gt;= 'MATCH DATES'!$A$8 + TIME(22, 0, 0)), CC60, 0),
  IF(AND('MATCH DATES'!$A$9 &lt;= TODAY(), NOW() &gt;= 'MATCH DATES'!$A$9 + TIME(22, 0, 0)), CO60, 0)
)</f>
        <v>0</v>
      </c>
      <c r="DC60" s="33">
        <f t="shared" si="44"/>
        <v>0</v>
      </c>
      <c r="DD60" s="33">
        <f t="shared" ref="DD60:DE60" si="221">SUM(K60,W60,AI60,AU60,BG60,BS60,CE60,CQ60)</f>
        <v>0</v>
      </c>
      <c r="DE60" s="33">
        <f t="shared" si="221"/>
        <v>0</v>
      </c>
    </row>
    <row r="61" ht="24.75" customHeight="1">
      <c r="A61" s="31"/>
      <c r="B61" s="39"/>
      <c r="C61" s="35"/>
      <c r="D61" s="20">
        <f t="shared" si="4"/>
        <v>0</v>
      </c>
      <c r="E61" s="20">
        <f t="shared" si="5"/>
        <v>0</v>
      </c>
      <c r="F61" s="20">
        <f t="shared" si="6"/>
        <v>0</v>
      </c>
      <c r="G61" s="20">
        <f>IF(C61&lt;&gt;"",
    COUNTIFS(MATCH_INPUT!$K$2:$K$5,C61),
0)</f>
        <v>0</v>
      </c>
      <c r="H61" s="20">
        <f>IF(C61&lt;&gt;"",
    COUNTIFS(MATCH_INPUT!$F$2:$F$5, C61, MATCH_INPUT!$K$2:$K$5, "Draw") +
    COUNTIFS(MATCH_INPUT!$J$2:$J$5, C61, MATCH_INPUT!$K$2:$K$5, "Draw"),
0)</f>
        <v>0</v>
      </c>
      <c r="I61" s="20">
        <f>IF(C61&lt;&gt;"",
    COUNTIFS(MATCH_INPUT!$F$2:$F$5, C61, MATCH_INPUT!$K$2:$K$5, "&lt;&gt;"&amp;C61, MATCH_INPUT!$K$2:$K$5, "&lt;&gt;Draw", MATCH_INPUT!$K$2:$K$5, "&lt;&gt;""") +
    COUNTIFS(MATCH_INPUT!$J$2:$J$5, C61, MATCH_INPUT!$K$2:$K$5, "&lt;&gt;"&amp;C61, MATCH_INPUT!$K$2:$K$5, "&lt;&gt;Draw", MATCH_INPUT!$K$2:$K$5, "&lt;&gt;"""),
0)</f>
        <v>0</v>
      </c>
      <c r="J61" s="21"/>
      <c r="K61" s="21"/>
      <c r="L61" s="22"/>
      <c r="M61" s="23">
        <f t="shared" si="151"/>
        <v>4</v>
      </c>
      <c r="N61" s="24" t="str">
        <f t="shared" si="8"/>
        <v>↓</v>
      </c>
      <c r="O61" s="25"/>
      <c r="P61" s="26">
        <f t="shared" si="9"/>
        <v>0</v>
      </c>
      <c r="Q61" s="26">
        <f t="shared" si="10"/>
        <v>0</v>
      </c>
      <c r="R61" s="26">
        <f t="shared" si="11"/>
        <v>0</v>
      </c>
      <c r="S61" s="26">
        <f>IF(O61&lt;&gt;"",
    COUNTIFS(MATCH_INPUT!$K$6:$K$9,O61),
0)</f>
        <v>0</v>
      </c>
      <c r="T61" s="26">
        <f>IF(O61&lt;&gt;"",
    COUNTIFS(MATCH_INPUT!$F$6:$F$9, O61, MATCH_INPUT!$K$6:$K$9, "Draw") +
    COUNTIFS(MATCH_INPUT!$J$6:$J$9, O61, MATCH_INPUT!$K$6:$K$9, "Draw"),
0)</f>
        <v>0</v>
      </c>
      <c r="U61" s="26">
        <f>IF(O61&lt;&gt;"",
    COUNTIFS(MATCH_INPUT!$F$6:$F$9, O61, MATCH_INPUT!$K$6:$K$9, "&lt;&gt;"&amp;O61, MATCH_INPUT!$K$6:$K$9, "&lt;&gt;Draw", MATCH_INPUT!$K$6:$K$9, "&lt;&gt;""") +
    COUNTIFS(MATCH_INPUT!$J$6:$J$9, O61, MATCH_INPUT!$K$6:$K$9, "&lt;&gt;"&amp;O61, MATCH_INPUT!$K$6:$K$9, "&lt;&gt;Draw", MATCH_INPUT!$K$6:$K$9, "&lt;&gt;"""),
0)</f>
        <v>0</v>
      </c>
      <c r="V61" s="27"/>
      <c r="W61" s="27"/>
      <c r="X61" s="28"/>
      <c r="Y61" s="26">
        <f t="shared" si="152"/>
        <v>7</v>
      </c>
      <c r="Z61" s="29" t="str">
        <f t="shared" si="13"/>
        <v>↓</v>
      </c>
      <c r="AA61" s="19"/>
      <c r="AB61" s="23">
        <f t="shared" si="14"/>
        <v>0</v>
      </c>
      <c r="AC61" s="20">
        <f t="shared" si="15"/>
        <v>0</v>
      </c>
      <c r="AD61" s="20">
        <f t="shared" si="16"/>
        <v>0</v>
      </c>
      <c r="AE61" s="20">
        <f>IF(AA61&lt;&gt;"",
    COUNTIFS(MATCH_INPUT!$K$10:$K$13,AA61),
0)</f>
        <v>0</v>
      </c>
      <c r="AF61" s="20">
        <f>IF(AA61&lt;&gt;"",
    COUNTIFS(MATCH_INPUT!$F$10:$F$13, AA61, MATCH_INPUT!$K$10:$K$13, "Draw") +
    COUNTIFS(MATCH_INPUT!$J$10:$J$13, AA61, MATCH_INPUT!$K$10:$K$13, "Draw"),
0)</f>
        <v>0</v>
      </c>
      <c r="AG61" s="20">
        <f>IF(AA61&lt;&gt;"",
    COUNTIFS(MATCH_INPUT!$F$10:$F$13, AA61, MATCH_INPUT!$K$10:$K$13, "&lt;&gt;"&amp;AA61, MATCH_INPUT!$K$10:$K$13, "&lt;&gt;Draw", MATCH_INPUT!$K$10:$K$13, "&lt;&gt;""") +
    COUNTIFS(MATCH_INPUT!$J$10:$J$13, AA61, MATCH_INPUT!$K$10:$K$13, "&lt;&gt;"&amp;AA61, MATCH_INPUT!$K$10:$K$13, "&lt;&gt;Draw", MATCH_INPUT!$K$10:$K$13, "&lt;&gt;"""),
0)</f>
        <v>0</v>
      </c>
      <c r="AH61" s="21"/>
      <c r="AI61" s="21"/>
      <c r="AJ61" s="30"/>
      <c r="AK61" s="23">
        <f t="shared" si="153"/>
        <v>8</v>
      </c>
      <c r="AL61" s="24" t="str">
        <f t="shared" si="18"/>
        <v>↓</v>
      </c>
      <c r="AM61" s="25"/>
      <c r="AN61" s="26">
        <f t="shared" si="19"/>
        <v>0</v>
      </c>
      <c r="AO61" s="26">
        <f t="shared" si="20"/>
        <v>0</v>
      </c>
      <c r="AP61" s="26">
        <f t="shared" si="21"/>
        <v>0</v>
      </c>
      <c r="AQ61" s="26">
        <f>IF(AM61&lt;&gt;"",
    COUNTIFS(MATCH_INPUT!$K$14:$K$17,AM61),
0)</f>
        <v>0</v>
      </c>
      <c r="AR61" s="26">
        <f>IF(AM61&lt;&gt;"",
    COUNTIFS(MATCH_INPUT!$F$14:$F$17, AM61, MATCH_INPUT!$K$14:$K$17, "Draw") +
    COUNTIFS(MATCH_INPUT!$J$14:$J$17, AM61, MATCH_INPUT!$K$14:$K$17, "Draw"),
0)</f>
        <v>0</v>
      </c>
      <c r="AS61" s="26">
        <f>IF(AM61&lt;&gt;"",
    COUNTIFS(MATCH_INPUT!$F$14:$F$17, AM61, MATCH_INPUT!$K$14:$K$17, "&lt;&gt;"&amp;AM61, MATCH_INPUT!$K$14:$K$17, "&lt;&gt;Draw", MATCH_INPUT!$K$14:$K$17, "&lt;&gt;""") +
    COUNTIFS(MATCH_INPUT!$J$14:$J$17, AM61, MATCH_INPUT!$K$14:$K$17, "&lt;&gt;"&amp;AM61, MATCH_INPUT!$K$14:$K$17, "&lt;&gt;Draw", MATCH_INPUT!$K$14:$K$17, "&lt;&gt;"""),
0)</f>
        <v>0</v>
      </c>
      <c r="AT61" s="27"/>
      <c r="AU61" s="27"/>
      <c r="AV61" s="28"/>
      <c r="AW61" s="26">
        <f t="shared" si="154"/>
        <v>10</v>
      </c>
      <c r="AX61" s="29" t="str">
        <f t="shared" si="23"/>
        <v>↓</v>
      </c>
      <c r="AY61" s="19"/>
      <c r="AZ61" s="23">
        <f t="shared" si="24"/>
        <v>0</v>
      </c>
      <c r="BA61" s="20">
        <f t="shared" si="25"/>
        <v>0</v>
      </c>
      <c r="BB61" s="20">
        <f>SUM(BC61*2) + (BD61*1) + SUMIFS(MATCH_INPUT!$G$18:$G$21, MATCH_INPUT!$F$18:$F$21, AY61) + SUMIFS(MATCH_INPUT!$I$18:$I$21, MATCH_INPUT!$J$18:$J$21, AY61)
</f>
        <v>0</v>
      </c>
      <c r="BC61" s="20">
        <f>IF(AY61&lt;&gt;"",
    COUNTIFS(MATCH_INPUT!$K$18:$K$21,AY61),
0)</f>
        <v>0</v>
      </c>
      <c r="BD61" s="20">
        <f>IF(AY61&lt;&gt;"",
    COUNTIFS(MATCH_INPUT!$F$18:$F$21, AY61, MATCH_INPUT!$K$18:$K$21, "Draw") +
    COUNTIFS(MATCH_INPUT!$J$18:$J$21, AY61, MATCH_INPUT!$K$18:$K$21, "Draw"),
0)</f>
        <v>0</v>
      </c>
      <c r="BE61" s="20">
        <f>IF(AY61&lt;&gt;"",
    COUNTIFS(MATCH_INPUT!$F$18:$F$21, AY61, MATCH_INPUT!$K$18:$K$21, "&lt;&gt;"&amp;AY61, MATCH_INPUT!$K$18:$K$21, "&lt;&gt;Draw", MATCH_INPUT!$K$18:$K$21, "&lt;&gt;""") +
    COUNTIFS(MATCH_INPUT!$J$18:$J$21, AY61, MATCH_INPUT!$K$18:$K$21, "&lt;&gt;"&amp;AY61, MATCH_INPUT!$K$18:$K$21, "&lt;&gt;Draw", MATCH_INPUT!$K$18:$K$21, "&lt;&gt;"""),
0)</f>
        <v>0</v>
      </c>
      <c r="BF61" s="21" t="str">
        <f t="array" ref="BF61">IFERROR(INDEX(Form_Response!E:E, MATCH(1, (Form_Response!C:C='MATCH DATES'!$B$6)*(Form_Response!D:D=B61), 0)), "")
</f>
        <v/>
      </c>
      <c r="BG61" s="21">
        <f t="array" ref="BG61">IFERROR(IF(INDEX(Form_Response!F:F, MATCH(1, (Form_Response!C:C='MATCH DATES'!$B$6)*(Form_Response!D:D=B61), 0))="Yes", 1, 0), 0)
</f>
        <v>0</v>
      </c>
      <c r="BH61" s="30" t="str">
        <f t="array" ref="BH61">IFERROR(INDEX(Form_Response!G:G, MATCH(1, (Form_Response!C:C='MATCH DATES'!$B$6)*(Form_Response!D:D=B61), 0)), "")
</f>
        <v/>
      </c>
      <c r="BI61" s="23">
        <f t="shared" si="155"/>
        <v>11</v>
      </c>
      <c r="BJ61" s="24" t="str">
        <f t="shared" si="27"/>
        <v>↓</v>
      </c>
      <c r="BK61" s="34"/>
      <c r="BL61" s="26">
        <f t="shared" si="28"/>
        <v>0</v>
      </c>
      <c r="BM61" s="26">
        <f t="shared" si="29"/>
        <v>0</v>
      </c>
      <c r="BN61" s="26">
        <f>SUM(BO61*2) + (BP61*1) + SUMIFS(MATCH_INPUT!$G$22:$G$25, MATCH_INPUT!$F$22:$F$25, BK61) + SUMIFS(MATCH_INPUT!$I$22:$I$25, MATCH_INPUT!$J$22:$J$25, BK61)
</f>
        <v>0</v>
      </c>
      <c r="BO61" s="26">
        <f>IF(BK61&lt;&gt;"",
    COUNTIFS(MATCH_INPUT!$K$22:$K$25,BK61),
0)</f>
        <v>0</v>
      </c>
      <c r="BP61" s="26">
        <f>IF(BK61&lt;&gt;"",
    COUNTIFS(MATCH_INPUT!$F$22:$F$25, BK61, MATCH_INPUT!$K$22:$K$25, "Draw") +
    COUNTIFS(MATCH_INPUT!$J$22:$J$25, BK61, MATCH_INPUT!$K$22:$K$25, "Draw"),
0)</f>
        <v>0</v>
      </c>
      <c r="BQ61" s="26">
        <f>IF(BK61&lt;&gt;"",
    COUNTIFS(MATCH_INPUT!$F$22:$F$25, BK61, MATCH_INPUT!$K$22:$K$25, "&lt;&gt;"&amp;BK61, MATCH_INPUT!$K$22:$K$25, "&lt;&gt;Draw", MATCH_INPUT!$K$22:$K$25, "&lt;&gt;""") +
    COUNTIFS(MATCH_INPUT!$J$22:$J$25, BK61, MATCH_INPUT!$K$22:$K$25, "&lt;&gt;"&amp;BK61, MATCH_INPUT!$K$22:$K$25, "&lt;&gt;Draw", MATCH_INPUT!$K$22:$K$25, "&lt;&gt;"""),
0)</f>
        <v>0</v>
      </c>
      <c r="BR61" s="27"/>
      <c r="BS61" s="27"/>
      <c r="BT61" s="28"/>
      <c r="BU61" s="26">
        <f t="shared" si="156"/>
        <v>14</v>
      </c>
      <c r="BV61" s="29" t="str">
        <f t="shared" si="31"/>
        <v>↓</v>
      </c>
      <c r="BW61" s="35"/>
      <c r="BX61" s="23">
        <f t="shared" si="32"/>
        <v>0</v>
      </c>
      <c r="BY61" s="20">
        <f t="shared" si="33"/>
        <v>0</v>
      </c>
      <c r="BZ61" s="20">
        <f>SUM(CA61*2)+(CB61*1) + SUMIFS(MATCH_INPUT!$G$26:$G$29, MATCH_INPUT!$F$26:$F$29, BW61) + SUMIFS(MATCH_INPUT!$I$26:$I$29, MATCH_INPUT!$J$26:$J$29, BW61)
</f>
        <v>0</v>
      </c>
      <c r="CA61" s="20">
        <f>IF(BW61&lt;&gt;"",
    COUNTIFS(MATCH_INPUT!$K$26:$K$29,BW61),
0)</f>
        <v>0</v>
      </c>
      <c r="CB61" s="20">
        <f>IF(BW61&lt;&gt;"",
    COUNTIFS(MATCH_INPUT!$F$26:$F$29, BW61, MATCH_INPUT!$K$26:$K$29, "Draw") +
    COUNTIFS(MATCH_INPUT!$J$26:$J$29, BW61, MATCH_INPUT!$K$26:$K$29, "Draw"),
0)</f>
        <v>0</v>
      </c>
      <c r="CC61" s="20">
        <f>IF(BW61&lt;&gt;"",
    COUNTIFS(MATCH_INPUT!$F$26:$F$29, BW61, MATCH_INPUT!$K$26:$K$29, "&lt;&gt;"&amp;BW61, MATCH_INPUT!$K$26:$K$29, "&lt;&gt;Draw", MATCH_INPUT!$K$26:$K$29, "&lt;&gt;""") +
    COUNTIFS(MATCH_INPUT!$J$26:$J$29, BW61, MATCH_INPUT!$K$26:$K$29, "&lt;&gt;"&amp;BW61, MATCH_INPUT!$K$26:$K$29, "&lt;&gt;Draw", MATCH_INPUT!$K$26:$K$29, "&lt;&gt;"""),
0)</f>
        <v>0</v>
      </c>
      <c r="CD61" s="21"/>
      <c r="CE61" s="21"/>
      <c r="CF61" s="30"/>
      <c r="CG61" s="23">
        <f t="shared" si="157"/>
        <v>15</v>
      </c>
      <c r="CH61" s="24" t="str">
        <f t="shared" si="35"/>
        <v>↓</v>
      </c>
      <c r="CI61" s="25"/>
      <c r="CJ61" s="26">
        <f t="shared" si="36"/>
        <v>0</v>
      </c>
      <c r="CK61" s="26">
        <f t="shared" si="37"/>
        <v>0</v>
      </c>
      <c r="CL61" s="26">
        <f>SUM(CM61*2)+(CN61*1) + SUMIFS(MATCH_INPUT!$G$30:$G$33, MATCH_INPUT!$F$30:$F$33, CI61) + SUMIFS(MATCH_INPUT!$I$30:$I$33, MATCH_INPUT!$J$30:$J$33, CI61)
</f>
        <v>0</v>
      </c>
      <c r="CM61" s="26">
        <f>IF(CI61&lt;&gt;"",
    COUNTIFS(MATCH_INPUT!$K$30:$K$33,CI61),
0)</f>
        <v>0</v>
      </c>
      <c r="CN61" s="26">
        <f>IF(CI61&lt;&gt;"",
    COUNTIFS(MATCH_INPUT!$F$30:$F$33, CI61, MATCH_INPUT!$K$30:$K$33, "Draw") +
    COUNTIFS(MATCH_INPUT!$J$30:$J$33, CI61, MATCH_INPUT!$K$30:$K$33, "Draw"),
0)</f>
        <v>0</v>
      </c>
      <c r="CO61" s="26">
        <f>IF(CI61&lt;&gt;"",
    COUNTIFS(MATCH_INPUT!$F$30:$F$33, CI61, MATCH_INPUT!$K$30:$K$33, "&lt;&gt;"&amp;CI61, MATCH_INPUT!$K$30:$K$33, "&lt;&gt;Draw", MATCH_INPUT!$K$30:$K$33, "&lt;&gt;""") +
    COUNTIFS(MATCH_INPUT!$J$30:$J$33, CI61, MATCH_INPUT!$K$30:$K$33, "&lt;&gt;"&amp;CI61, MATCH_INPUT!$K$30:$K$33, "&lt;&gt;Draw", MATCH_INPUT!$K$30:$K$33, "&lt;&gt;"""),
0)</f>
        <v>0</v>
      </c>
      <c r="CP61" s="27" t="str">
        <f t="array" ref="CP61">IFERROR(INDEX(Form_Response!E:E, MATCH(1, (Form_Response!C:C='MATCH DATES'!$B$9)*(Form_Response!D:D=B61), 0)), "")
</f>
        <v/>
      </c>
      <c r="CQ61" s="27">
        <f t="array" ref="CQ61">IFERROR(IF(INDEX(Form_Response!F:F, MATCH(1, (Form_Response!C:C='MATCH DATES'!$B$9)*(Form_Response!D:D=B61), 0))="Yes", 1, 0), 0)
</f>
        <v>0</v>
      </c>
      <c r="CR61" s="28" t="str">
        <f t="array" ref="CR61">IFERROR(INDEX(Form_Response!G:G, MATCH(1, (Form_Response!C:C='MATCH DATES'!$B$9)*(Form_Response!D:D=B61), 0)), "")
</f>
        <v/>
      </c>
      <c r="CS61" s="31">
        <f t="shared" si="158"/>
        <v>18</v>
      </c>
      <c r="CT61" s="31" t="str">
        <f t="shared" si="39"/>
        <v>↓</v>
      </c>
      <c r="CU61" s="32">
        <f t="shared" si="40"/>
        <v>0</v>
      </c>
      <c r="CV61" s="32" t="str">
        <f t="shared" ref="CV61:CW61" si="222">A61</f>
        <v/>
      </c>
      <c r="CW61" s="33" t="str">
        <f t="shared" si="222"/>
        <v/>
      </c>
      <c r="CX61" s="33">
        <f t="shared" si="42"/>
        <v>0</v>
      </c>
      <c r="CY61" s="32">
        <f>SUM(
  IF(AND('MATCH DATES'!$A$2 &lt;= TODAY(), NOW() &gt;= 'MATCH DATES'!$A$2 + TIME(22, 0, 0)), E61, 0),
  IF(AND('MATCH DATES'!$A$3 &lt;= TODAY(), NOW() &gt;= 'MATCH DATES'!$A$3 + TIME(22, 0, 0)), Q61, 0),
  IF(AND('MATCH DATES'!$A$4 &lt;= TODAY(), NOW() &gt;= 'MATCH DATES'!$A$4 + TIME(22, 0, 0)), AC61, 0),
  IF(AND('MATCH DATES'!$A$5 &lt;= TODAY(), NOW() &gt;= 'MATCH DATES'!$A$5 + TIME(22, 0, 0)), AO61, 0),
  IF(AND('MATCH DATES'!$A$6 &lt;= TODAY(), NOW() &gt;= 'MATCH DATES'!$A$6 + TIME(22, 0, 0)), BA61, 0),
  IF(AND('MATCH DATES'!$A$7 &lt;= TODAY(), NOW() &gt;= 'MATCH DATES'!$A$7 + TIME(22, 0, 0)), BM61, 0),
  IF(AND('MATCH DATES'!$A$8 &lt;= TODAY(), NOW() &gt;= 'MATCH DATES'!$A$8 + TIME(22, 0, 0)), BY61, 0),
  IF(AND('MATCH DATES'!$A$9 &lt;= TODAY(), NOW() &gt;= 'MATCH DATES'!$A$9 + TIME(22, 0, 0)), CK61, 0)
)
</f>
        <v>0</v>
      </c>
      <c r="CZ61" s="33">
        <f t="shared" ref="CZ61:DA61" si="223">SUM(G61,S61,AE61,AQ61,BC61,BO61,CA61,CM61)</f>
        <v>0</v>
      </c>
      <c r="DA61" s="33">
        <f t="shared" si="223"/>
        <v>0</v>
      </c>
      <c r="DB61" s="33">
        <f>SUM(
  IF(AND('MATCH DATES'!$A$2 &lt;= TODAY(), NOW() &gt;= 'MATCH DATES'!$A$2 + TIME(22, 0, 0)), I61, 0),
  IF(AND('MATCH DATES'!$A$3 &lt;= TODAY(), NOW() &gt;= 'MATCH DATES'!$A$3 + TIME(22, 0, 0)), U61, 0),
  IF(AND('MATCH DATES'!$A$4 &lt;= TODAY(), NOW() &gt;= 'MATCH DATES'!$A$4 + TIME(22, 0, 0)), AG61, 0),
  IF(AND('MATCH DATES'!$A$5 &lt;= TODAY(), NOW() &gt;= 'MATCH DATES'!$A$5 + TIME(22, 0, 0)), AS61, 0),
  IF(AND('MATCH DATES'!$A$6 &lt;= TODAY(), NOW() &gt;= 'MATCH DATES'!$A$6 + TIME(22, 0, 0)), BE61, 0),
  IF(AND('MATCH DATES'!$A$7 &lt;= TODAY(), NOW() &gt;= 'MATCH DATES'!$A$7 + TIME(22, 0, 0)), BQ61, 0),
  IF(AND('MATCH DATES'!$A$8 &lt;= TODAY(), NOW() &gt;= 'MATCH DATES'!$A$8 + TIME(22, 0, 0)), CC61, 0),
  IF(AND('MATCH DATES'!$A$9 &lt;= TODAY(), NOW() &gt;= 'MATCH DATES'!$A$9 + TIME(22, 0, 0)), CO61, 0)
)</f>
        <v>0</v>
      </c>
      <c r="DC61" s="33">
        <f t="shared" si="44"/>
        <v>0</v>
      </c>
      <c r="DD61" s="33">
        <f t="shared" ref="DD61:DE61" si="224">SUM(K61,W61,AI61,AU61,BG61,BS61,CE61,CQ61)</f>
        <v>0</v>
      </c>
      <c r="DE61" s="33">
        <f t="shared" si="224"/>
        <v>0</v>
      </c>
    </row>
    <row r="62" ht="24.75" customHeight="1">
      <c r="A62" s="31"/>
      <c r="B62" s="39"/>
      <c r="C62" s="35"/>
      <c r="D62" s="20">
        <f t="shared" si="4"/>
        <v>0</v>
      </c>
      <c r="E62" s="20">
        <f t="shared" si="5"/>
        <v>0</v>
      </c>
      <c r="F62" s="20">
        <f t="shared" si="6"/>
        <v>0</v>
      </c>
      <c r="G62" s="20">
        <f>IF(C62&lt;&gt;"",
    COUNTIFS(MATCH_INPUT!$K$2:$K$5,C62),
0)</f>
        <v>0</v>
      </c>
      <c r="H62" s="20">
        <f>IF(C62&lt;&gt;"",
    COUNTIFS(MATCH_INPUT!$F$2:$F$5, C62, MATCH_INPUT!$K$2:$K$5, "Draw") +
    COUNTIFS(MATCH_INPUT!$J$2:$J$5, C62, MATCH_INPUT!$K$2:$K$5, "Draw"),
0)</f>
        <v>0</v>
      </c>
      <c r="I62" s="20">
        <f>IF(C62&lt;&gt;"",
    COUNTIFS(MATCH_INPUT!$F$2:$F$5, C62, MATCH_INPUT!$K$2:$K$5, "&lt;&gt;"&amp;C62, MATCH_INPUT!$K$2:$K$5, "&lt;&gt;Draw", MATCH_INPUT!$K$2:$K$5, "&lt;&gt;""") +
    COUNTIFS(MATCH_INPUT!$J$2:$J$5, C62, MATCH_INPUT!$K$2:$K$5, "&lt;&gt;"&amp;C62, MATCH_INPUT!$K$2:$K$5, "&lt;&gt;Draw", MATCH_INPUT!$K$2:$K$5, "&lt;&gt;"""),
0)</f>
        <v>0</v>
      </c>
      <c r="J62" s="21"/>
      <c r="K62" s="21"/>
      <c r="L62" s="22"/>
      <c r="M62" s="23">
        <f t="shared" si="151"/>
        <v>4</v>
      </c>
      <c r="N62" s="24" t="str">
        <f t="shared" si="8"/>
        <v>↓</v>
      </c>
      <c r="O62" s="25"/>
      <c r="P62" s="26">
        <f t="shared" si="9"/>
        <v>0</v>
      </c>
      <c r="Q62" s="26">
        <f t="shared" si="10"/>
        <v>0</v>
      </c>
      <c r="R62" s="26">
        <f t="shared" si="11"/>
        <v>0</v>
      </c>
      <c r="S62" s="26">
        <f>IF(O62&lt;&gt;"",
    COUNTIFS(MATCH_INPUT!$K$6:$K$9,O62),
0)</f>
        <v>0</v>
      </c>
      <c r="T62" s="26">
        <f>IF(O62&lt;&gt;"",
    COUNTIFS(MATCH_INPUT!$F$6:$F$9, O62, MATCH_INPUT!$K$6:$K$9, "Draw") +
    COUNTIFS(MATCH_INPUT!$J$6:$J$9, O62, MATCH_INPUT!$K$6:$K$9, "Draw"),
0)</f>
        <v>0</v>
      </c>
      <c r="U62" s="26">
        <f>IF(O62&lt;&gt;"",
    COUNTIFS(MATCH_INPUT!$F$6:$F$9, O62, MATCH_INPUT!$K$6:$K$9, "&lt;&gt;"&amp;O62, MATCH_INPUT!$K$6:$K$9, "&lt;&gt;Draw", MATCH_INPUT!$K$6:$K$9, "&lt;&gt;""") +
    COUNTIFS(MATCH_INPUT!$J$6:$J$9, O62, MATCH_INPUT!$K$6:$K$9, "&lt;&gt;"&amp;O62, MATCH_INPUT!$K$6:$K$9, "&lt;&gt;Draw", MATCH_INPUT!$K$6:$K$9, "&lt;&gt;"""),
0)</f>
        <v>0</v>
      </c>
      <c r="V62" s="27"/>
      <c r="W62" s="27"/>
      <c r="X62" s="28"/>
      <c r="Y62" s="26">
        <f t="shared" si="152"/>
        <v>7</v>
      </c>
      <c r="Z62" s="29" t="str">
        <f t="shared" si="13"/>
        <v>↓</v>
      </c>
      <c r="AA62" s="19"/>
      <c r="AB62" s="23">
        <f t="shared" si="14"/>
        <v>0</v>
      </c>
      <c r="AC62" s="20">
        <f t="shared" si="15"/>
        <v>0</v>
      </c>
      <c r="AD62" s="20">
        <f t="shared" si="16"/>
        <v>0</v>
      </c>
      <c r="AE62" s="20">
        <f>IF(AA62&lt;&gt;"",
    COUNTIFS(MATCH_INPUT!$K$10:$K$13,AA62),
0)</f>
        <v>0</v>
      </c>
      <c r="AF62" s="20">
        <f>IF(AA62&lt;&gt;"",
    COUNTIFS(MATCH_INPUT!$F$10:$F$13, AA62, MATCH_INPUT!$K$10:$K$13, "Draw") +
    COUNTIFS(MATCH_INPUT!$J$10:$J$13, AA62, MATCH_INPUT!$K$10:$K$13, "Draw"),
0)</f>
        <v>0</v>
      </c>
      <c r="AG62" s="20">
        <f>IF(AA62&lt;&gt;"",
    COUNTIFS(MATCH_INPUT!$F$10:$F$13, AA62, MATCH_INPUT!$K$10:$K$13, "&lt;&gt;"&amp;AA62, MATCH_INPUT!$K$10:$K$13, "&lt;&gt;Draw", MATCH_INPUT!$K$10:$K$13, "&lt;&gt;""") +
    COUNTIFS(MATCH_INPUT!$J$10:$J$13, AA62, MATCH_INPUT!$K$10:$K$13, "&lt;&gt;"&amp;AA62, MATCH_INPUT!$K$10:$K$13, "&lt;&gt;Draw", MATCH_INPUT!$K$10:$K$13, "&lt;&gt;"""),
0)</f>
        <v>0</v>
      </c>
      <c r="AH62" s="21"/>
      <c r="AI62" s="21"/>
      <c r="AJ62" s="30"/>
      <c r="AK62" s="23">
        <f t="shared" si="153"/>
        <v>8</v>
      </c>
      <c r="AL62" s="24" t="str">
        <f t="shared" si="18"/>
        <v>↓</v>
      </c>
      <c r="AM62" s="25"/>
      <c r="AN62" s="26">
        <f t="shared" si="19"/>
        <v>0</v>
      </c>
      <c r="AO62" s="26">
        <f t="shared" si="20"/>
        <v>0</v>
      </c>
      <c r="AP62" s="26">
        <f t="shared" si="21"/>
        <v>0</v>
      </c>
      <c r="AQ62" s="26">
        <f>IF(AM62&lt;&gt;"",
    COUNTIFS(MATCH_INPUT!$K$14:$K$17,AM62),
0)</f>
        <v>0</v>
      </c>
      <c r="AR62" s="26">
        <f>IF(AM62&lt;&gt;"",
    COUNTIFS(MATCH_INPUT!$F$14:$F$17, AM62, MATCH_INPUT!$K$14:$K$17, "Draw") +
    COUNTIFS(MATCH_INPUT!$J$14:$J$17, AM62, MATCH_INPUT!$K$14:$K$17, "Draw"),
0)</f>
        <v>0</v>
      </c>
      <c r="AS62" s="26">
        <f>IF(AM62&lt;&gt;"",
    COUNTIFS(MATCH_INPUT!$F$14:$F$17, AM62, MATCH_INPUT!$K$14:$K$17, "&lt;&gt;"&amp;AM62, MATCH_INPUT!$K$14:$K$17, "&lt;&gt;Draw", MATCH_INPUT!$K$14:$K$17, "&lt;&gt;""") +
    COUNTIFS(MATCH_INPUT!$J$14:$J$17, AM62, MATCH_INPUT!$K$14:$K$17, "&lt;&gt;"&amp;AM62, MATCH_INPUT!$K$14:$K$17, "&lt;&gt;Draw", MATCH_INPUT!$K$14:$K$17, "&lt;&gt;"""),
0)</f>
        <v>0</v>
      </c>
      <c r="AT62" s="27"/>
      <c r="AU62" s="27"/>
      <c r="AV62" s="28"/>
      <c r="AW62" s="26">
        <f t="shared" si="154"/>
        <v>10</v>
      </c>
      <c r="AX62" s="29" t="str">
        <f t="shared" si="23"/>
        <v>↓</v>
      </c>
      <c r="AY62" s="19"/>
      <c r="AZ62" s="23">
        <f t="shared" si="24"/>
        <v>0</v>
      </c>
      <c r="BA62" s="20">
        <f t="shared" si="25"/>
        <v>0</v>
      </c>
      <c r="BB62" s="20">
        <f>SUM(BC62*2) + (BD62*1) + SUMIFS(MATCH_INPUT!$G$18:$G$21, MATCH_INPUT!$F$18:$F$21, AY62) + SUMIFS(MATCH_INPUT!$I$18:$I$21, MATCH_INPUT!$J$18:$J$21, AY62)
</f>
        <v>0</v>
      </c>
      <c r="BC62" s="20">
        <f>IF(AY62&lt;&gt;"",
    COUNTIFS(MATCH_INPUT!$K$18:$K$21,AY62),
0)</f>
        <v>0</v>
      </c>
      <c r="BD62" s="20">
        <f>IF(AY62&lt;&gt;"",
    COUNTIFS(MATCH_INPUT!$F$18:$F$21, AY62, MATCH_INPUT!$K$18:$K$21, "Draw") +
    COUNTIFS(MATCH_INPUT!$J$18:$J$21, AY62, MATCH_INPUT!$K$18:$K$21, "Draw"),
0)</f>
        <v>0</v>
      </c>
      <c r="BE62" s="20">
        <f>IF(AY62&lt;&gt;"",
    COUNTIFS(MATCH_INPUT!$F$18:$F$21, AY62, MATCH_INPUT!$K$18:$K$21, "&lt;&gt;"&amp;AY62, MATCH_INPUT!$K$18:$K$21, "&lt;&gt;Draw", MATCH_INPUT!$K$18:$K$21, "&lt;&gt;""") +
    COUNTIFS(MATCH_INPUT!$J$18:$J$21, AY62, MATCH_INPUT!$K$18:$K$21, "&lt;&gt;"&amp;AY62, MATCH_INPUT!$K$18:$K$21, "&lt;&gt;Draw", MATCH_INPUT!$K$18:$K$21, "&lt;&gt;"""),
0)</f>
        <v>0</v>
      </c>
      <c r="BF62" s="21" t="str">
        <f t="array" ref="BF62">IFERROR(INDEX(Form_Response!E:E, MATCH(1, (Form_Response!C:C='MATCH DATES'!$B$6)*(Form_Response!D:D=B62), 0)), "")
</f>
        <v/>
      </c>
      <c r="BG62" s="21">
        <f t="array" ref="BG62">IFERROR(IF(INDEX(Form_Response!F:F, MATCH(1, (Form_Response!C:C='MATCH DATES'!$B$6)*(Form_Response!D:D=B62), 0))="Yes", 1, 0), 0)
</f>
        <v>0</v>
      </c>
      <c r="BH62" s="30" t="str">
        <f t="array" ref="BH62">IFERROR(INDEX(Form_Response!G:G, MATCH(1, (Form_Response!C:C='MATCH DATES'!$B$6)*(Form_Response!D:D=B62), 0)), "")
</f>
        <v/>
      </c>
      <c r="BI62" s="23">
        <f t="shared" si="155"/>
        <v>11</v>
      </c>
      <c r="BJ62" s="24" t="str">
        <f t="shared" si="27"/>
        <v>↓</v>
      </c>
      <c r="BK62" s="34"/>
      <c r="BL62" s="26">
        <f t="shared" si="28"/>
        <v>0</v>
      </c>
      <c r="BM62" s="26">
        <f t="shared" si="29"/>
        <v>0</v>
      </c>
      <c r="BN62" s="26">
        <f>SUM(BO62*2) + (BP62*1) + SUMIFS(MATCH_INPUT!$G$22:$G$25, MATCH_INPUT!$F$22:$F$25, BK62) + SUMIFS(MATCH_INPUT!$I$22:$I$25, MATCH_INPUT!$J$22:$J$25, BK62)
</f>
        <v>0</v>
      </c>
      <c r="BO62" s="26">
        <f>IF(BK62&lt;&gt;"",
    COUNTIFS(MATCH_INPUT!$K$22:$K$25,BK62),
0)</f>
        <v>0</v>
      </c>
      <c r="BP62" s="26">
        <f>IF(BK62&lt;&gt;"",
    COUNTIFS(MATCH_INPUT!$F$22:$F$25, BK62, MATCH_INPUT!$K$22:$K$25, "Draw") +
    COUNTIFS(MATCH_INPUT!$J$22:$J$25, BK62, MATCH_INPUT!$K$22:$K$25, "Draw"),
0)</f>
        <v>0</v>
      </c>
      <c r="BQ62" s="26">
        <f>IF(BK62&lt;&gt;"",
    COUNTIFS(MATCH_INPUT!$F$22:$F$25, BK62, MATCH_INPUT!$K$22:$K$25, "&lt;&gt;"&amp;BK62, MATCH_INPUT!$K$22:$K$25, "&lt;&gt;Draw", MATCH_INPUT!$K$22:$K$25, "&lt;&gt;""") +
    COUNTIFS(MATCH_INPUT!$J$22:$J$25, BK62, MATCH_INPUT!$K$22:$K$25, "&lt;&gt;"&amp;BK62, MATCH_INPUT!$K$22:$K$25, "&lt;&gt;Draw", MATCH_INPUT!$K$22:$K$25, "&lt;&gt;"""),
0)</f>
        <v>0</v>
      </c>
      <c r="BR62" s="27"/>
      <c r="BS62" s="27"/>
      <c r="BT62" s="28"/>
      <c r="BU62" s="26">
        <f t="shared" si="156"/>
        <v>14</v>
      </c>
      <c r="BV62" s="29" t="str">
        <f t="shared" si="31"/>
        <v>↓</v>
      </c>
      <c r="BW62" s="35"/>
      <c r="BX62" s="23">
        <f t="shared" si="32"/>
        <v>0</v>
      </c>
      <c r="BY62" s="20">
        <f t="shared" si="33"/>
        <v>0</v>
      </c>
      <c r="BZ62" s="20">
        <f>SUM(CA62*2)+(CB62*1) + SUMIFS(MATCH_INPUT!$G$26:$G$29, MATCH_INPUT!$F$26:$F$29, BW62) + SUMIFS(MATCH_INPUT!$I$26:$I$29, MATCH_INPUT!$J$26:$J$29, BW62)
</f>
        <v>0</v>
      </c>
      <c r="CA62" s="20">
        <f>IF(BW62&lt;&gt;"",
    COUNTIFS(MATCH_INPUT!$K$26:$K$29,BW62),
0)</f>
        <v>0</v>
      </c>
      <c r="CB62" s="20">
        <f>IF(BW62&lt;&gt;"",
    COUNTIFS(MATCH_INPUT!$F$26:$F$29, BW62, MATCH_INPUT!$K$26:$K$29, "Draw") +
    COUNTIFS(MATCH_INPUT!$J$26:$J$29, BW62, MATCH_INPUT!$K$26:$K$29, "Draw"),
0)</f>
        <v>0</v>
      </c>
      <c r="CC62" s="20">
        <f>IF(BW62&lt;&gt;"",
    COUNTIFS(MATCH_INPUT!$F$26:$F$29, BW62, MATCH_INPUT!$K$26:$K$29, "&lt;&gt;"&amp;BW62, MATCH_INPUT!$K$26:$K$29, "&lt;&gt;Draw", MATCH_INPUT!$K$26:$K$29, "&lt;&gt;""") +
    COUNTIFS(MATCH_INPUT!$J$26:$J$29, BW62, MATCH_INPUT!$K$26:$K$29, "&lt;&gt;"&amp;BW62, MATCH_INPUT!$K$26:$K$29, "&lt;&gt;Draw", MATCH_INPUT!$K$26:$K$29, "&lt;&gt;"""),
0)</f>
        <v>0</v>
      </c>
      <c r="CD62" s="21"/>
      <c r="CE62" s="21"/>
      <c r="CF62" s="30"/>
      <c r="CG62" s="23">
        <f t="shared" si="157"/>
        <v>15</v>
      </c>
      <c r="CH62" s="24" t="str">
        <f t="shared" si="35"/>
        <v>↓</v>
      </c>
      <c r="CI62" s="25"/>
      <c r="CJ62" s="26">
        <f t="shared" si="36"/>
        <v>0</v>
      </c>
      <c r="CK62" s="26">
        <f t="shared" si="37"/>
        <v>0</v>
      </c>
      <c r="CL62" s="26">
        <f>SUM(CM62*2)+(CN62*1) + SUMIFS(MATCH_INPUT!$G$30:$G$33, MATCH_INPUT!$F$30:$F$33, CI62) + SUMIFS(MATCH_INPUT!$I$30:$I$33, MATCH_INPUT!$J$30:$J$33, CI62)
</f>
        <v>0</v>
      </c>
      <c r="CM62" s="26">
        <f>IF(CI62&lt;&gt;"",
    COUNTIFS(MATCH_INPUT!$K$30:$K$33,CI62),
0)</f>
        <v>0</v>
      </c>
      <c r="CN62" s="26">
        <f>IF(CI62&lt;&gt;"",
    COUNTIFS(MATCH_INPUT!$F$30:$F$33, CI62, MATCH_INPUT!$K$30:$K$33, "Draw") +
    COUNTIFS(MATCH_INPUT!$J$30:$J$33, CI62, MATCH_INPUT!$K$30:$K$33, "Draw"),
0)</f>
        <v>0</v>
      </c>
      <c r="CO62" s="26">
        <f>IF(CI62&lt;&gt;"",
    COUNTIFS(MATCH_INPUT!$F$30:$F$33, CI62, MATCH_INPUT!$K$30:$K$33, "&lt;&gt;"&amp;CI62, MATCH_INPUT!$K$30:$K$33, "&lt;&gt;Draw", MATCH_INPUT!$K$30:$K$33, "&lt;&gt;""") +
    COUNTIFS(MATCH_INPUT!$J$30:$J$33, CI62, MATCH_INPUT!$K$30:$K$33, "&lt;&gt;"&amp;CI62, MATCH_INPUT!$K$30:$K$33, "&lt;&gt;Draw", MATCH_INPUT!$K$30:$K$33, "&lt;&gt;"""),
0)</f>
        <v>0</v>
      </c>
      <c r="CP62" s="27" t="str">
        <f t="array" ref="CP62">IFERROR(INDEX(Form_Response!E:E, MATCH(1, (Form_Response!C:C='MATCH DATES'!$B$9)*(Form_Response!D:D=B62), 0)), "")
</f>
        <v/>
      </c>
      <c r="CQ62" s="27">
        <f t="array" ref="CQ62">IFERROR(IF(INDEX(Form_Response!F:F, MATCH(1, (Form_Response!C:C='MATCH DATES'!$B$9)*(Form_Response!D:D=B62), 0))="Yes", 1, 0), 0)
</f>
        <v>0</v>
      </c>
      <c r="CR62" s="28" t="str">
        <f t="array" ref="CR62">IFERROR(INDEX(Form_Response!G:G, MATCH(1, (Form_Response!C:C='MATCH DATES'!$B$9)*(Form_Response!D:D=B62), 0)), "")
</f>
        <v/>
      </c>
      <c r="CS62" s="31">
        <f t="shared" si="158"/>
        <v>18</v>
      </c>
      <c r="CT62" s="31" t="str">
        <f t="shared" si="39"/>
        <v>↓</v>
      </c>
      <c r="CU62" s="32">
        <f t="shared" si="40"/>
        <v>0</v>
      </c>
      <c r="CV62" s="32" t="str">
        <f t="shared" ref="CV62:CW62" si="225">A62</f>
        <v/>
      </c>
      <c r="CW62" s="33" t="str">
        <f t="shared" si="225"/>
        <v/>
      </c>
      <c r="CX62" s="33">
        <f t="shared" si="42"/>
        <v>0</v>
      </c>
      <c r="CY62" s="32">
        <f>SUM(
  IF(AND('MATCH DATES'!$A$2 &lt;= TODAY(), NOW() &gt;= 'MATCH DATES'!$A$2 + TIME(22, 0, 0)), E62, 0),
  IF(AND('MATCH DATES'!$A$3 &lt;= TODAY(), NOW() &gt;= 'MATCH DATES'!$A$3 + TIME(22, 0, 0)), Q62, 0),
  IF(AND('MATCH DATES'!$A$4 &lt;= TODAY(), NOW() &gt;= 'MATCH DATES'!$A$4 + TIME(22, 0, 0)), AC62, 0),
  IF(AND('MATCH DATES'!$A$5 &lt;= TODAY(), NOW() &gt;= 'MATCH DATES'!$A$5 + TIME(22, 0, 0)), AO62, 0),
  IF(AND('MATCH DATES'!$A$6 &lt;= TODAY(), NOW() &gt;= 'MATCH DATES'!$A$6 + TIME(22, 0, 0)), BA62, 0),
  IF(AND('MATCH DATES'!$A$7 &lt;= TODAY(), NOW() &gt;= 'MATCH DATES'!$A$7 + TIME(22, 0, 0)), BM62, 0),
  IF(AND('MATCH DATES'!$A$8 &lt;= TODAY(), NOW() &gt;= 'MATCH DATES'!$A$8 + TIME(22, 0, 0)), BY62, 0),
  IF(AND('MATCH DATES'!$A$9 &lt;= TODAY(), NOW() &gt;= 'MATCH DATES'!$A$9 + TIME(22, 0, 0)), CK62, 0)
)
</f>
        <v>0</v>
      </c>
      <c r="CZ62" s="33">
        <f t="shared" ref="CZ62:DA62" si="226">SUM(G62,S62,AE62,AQ62,BC62,BO62,CA62,CM62)</f>
        <v>0</v>
      </c>
      <c r="DA62" s="33">
        <f t="shared" si="226"/>
        <v>0</v>
      </c>
      <c r="DB62" s="33">
        <f>SUM(
  IF(AND('MATCH DATES'!$A$2 &lt;= TODAY(), NOW() &gt;= 'MATCH DATES'!$A$2 + TIME(22, 0, 0)), I62, 0),
  IF(AND('MATCH DATES'!$A$3 &lt;= TODAY(), NOW() &gt;= 'MATCH DATES'!$A$3 + TIME(22, 0, 0)), U62, 0),
  IF(AND('MATCH DATES'!$A$4 &lt;= TODAY(), NOW() &gt;= 'MATCH DATES'!$A$4 + TIME(22, 0, 0)), AG62, 0),
  IF(AND('MATCH DATES'!$A$5 &lt;= TODAY(), NOW() &gt;= 'MATCH DATES'!$A$5 + TIME(22, 0, 0)), AS62, 0),
  IF(AND('MATCH DATES'!$A$6 &lt;= TODAY(), NOW() &gt;= 'MATCH DATES'!$A$6 + TIME(22, 0, 0)), BE62, 0),
  IF(AND('MATCH DATES'!$A$7 &lt;= TODAY(), NOW() &gt;= 'MATCH DATES'!$A$7 + TIME(22, 0, 0)), BQ62, 0),
  IF(AND('MATCH DATES'!$A$8 &lt;= TODAY(), NOW() &gt;= 'MATCH DATES'!$A$8 + TIME(22, 0, 0)), CC62, 0),
  IF(AND('MATCH DATES'!$A$9 &lt;= TODAY(), NOW() &gt;= 'MATCH DATES'!$A$9 + TIME(22, 0, 0)), CO62, 0)
)</f>
        <v>0</v>
      </c>
      <c r="DC62" s="33">
        <f t="shared" si="44"/>
        <v>0</v>
      </c>
      <c r="DD62" s="33">
        <f t="shared" ref="DD62:DE62" si="227">SUM(K62,W62,AI62,AU62,BG62,BS62,CE62,CQ62)</f>
        <v>0</v>
      </c>
      <c r="DE62" s="33">
        <f t="shared" si="227"/>
        <v>0</v>
      </c>
    </row>
    <row r="63" ht="24.75" customHeight="1">
      <c r="A63" s="31"/>
      <c r="B63" s="39"/>
      <c r="C63" s="35"/>
      <c r="D63" s="20">
        <f t="shared" si="4"/>
        <v>0</v>
      </c>
      <c r="E63" s="20">
        <f t="shared" si="5"/>
        <v>0</v>
      </c>
      <c r="F63" s="20">
        <f t="shared" si="6"/>
        <v>0</v>
      </c>
      <c r="G63" s="20">
        <f>IF(C63&lt;&gt;"",
    COUNTIFS(MATCH_INPUT!$K$2:$K$5,C63),
0)</f>
        <v>0</v>
      </c>
      <c r="H63" s="20">
        <f>IF(C63&lt;&gt;"",
    COUNTIFS(MATCH_INPUT!$F$2:$F$5, C63, MATCH_INPUT!$K$2:$K$5, "Draw") +
    COUNTIFS(MATCH_INPUT!$J$2:$J$5, C63, MATCH_INPUT!$K$2:$K$5, "Draw"),
0)</f>
        <v>0</v>
      </c>
      <c r="I63" s="20">
        <f>IF(C63&lt;&gt;"",
    COUNTIFS(MATCH_INPUT!$F$2:$F$5, C63, MATCH_INPUT!$K$2:$K$5, "&lt;&gt;"&amp;C63, MATCH_INPUT!$K$2:$K$5, "&lt;&gt;Draw", MATCH_INPUT!$K$2:$K$5, "&lt;&gt;""") +
    COUNTIFS(MATCH_INPUT!$J$2:$J$5, C63, MATCH_INPUT!$K$2:$K$5, "&lt;&gt;"&amp;C63, MATCH_INPUT!$K$2:$K$5, "&lt;&gt;Draw", MATCH_INPUT!$K$2:$K$5, "&lt;&gt;"""),
0)</f>
        <v>0</v>
      </c>
      <c r="J63" s="21"/>
      <c r="K63" s="21"/>
      <c r="L63" s="22"/>
      <c r="M63" s="23">
        <f t="shared" si="151"/>
        <v>4</v>
      </c>
      <c r="N63" s="24" t="str">
        <f t="shared" si="8"/>
        <v>↓</v>
      </c>
      <c r="O63" s="25"/>
      <c r="P63" s="26">
        <f t="shared" si="9"/>
        <v>0</v>
      </c>
      <c r="Q63" s="26">
        <f t="shared" si="10"/>
        <v>0</v>
      </c>
      <c r="R63" s="26">
        <f t="shared" si="11"/>
        <v>0</v>
      </c>
      <c r="S63" s="26">
        <f>IF(O63&lt;&gt;"",
    COUNTIFS(MATCH_INPUT!$K$6:$K$9,O63),
0)</f>
        <v>0</v>
      </c>
      <c r="T63" s="26">
        <f>IF(O63&lt;&gt;"",
    COUNTIFS(MATCH_INPUT!$F$6:$F$9, O63, MATCH_INPUT!$K$6:$K$9, "Draw") +
    COUNTIFS(MATCH_INPUT!$J$6:$J$9, O63, MATCH_INPUT!$K$6:$K$9, "Draw"),
0)</f>
        <v>0</v>
      </c>
      <c r="U63" s="26">
        <f>IF(O63&lt;&gt;"",
    COUNTIFS(MATCH_INPUT!$F$6:$F$9, O63, MATCH_INPUT!$K$6:$K$9, "&lt;&gt;"&amp;O63, MATCH_INPUT!$K$6:$K$9, "&lt;&gt;Draw", MATCH_INPUT!$K$6:$K$9, "&lt;&gt;""") +
    COUNTIFS(MATCH_INPUT!$J$6:$J$9, O63, MATCH_INPUT!$K$6:$K$9, "&lt;&gt;"&amp;O63, MATCH_INPUT!$K$6:$K$9, "&lt;&gt;Draw", MATCH_INPUT!$K$6:$K$9, "&lt;&gt;"""),
0)</f>
        <v>0</v>
      </c>
      <c r="V63" s="27"/>
      <c r="W63" s="27"/>
      <c r="X63" s="28"/>
      <c r="Y63" s="26">
        <f t="shared" si="152"/>
        <v>7</v>
      </c>
      <c r="Z63" s="29" t="str">
        <f t="shared" si="13"/>
        <v>↓</v>
      </c>
      <c r="AA63" s="19"/>
      <c r="AB63" s="23">
        <f t="shared" si="14"/>
        <v>0</v>
      </c>
      <c r="AC63" s="20">
        <f t="shared" si="15"/>
        <v>0</v>
      </c>
      <c r="AD63" s="20">
        <f t="shared" si="16"/>
        <v>0</v>
      </c>
      <c r="AE63" s="20">
        <f>IF(AA63&lt;&gt;"",
    COUNTIFS(MATCH_INPUT!$K$10:$K$13,AA63),
0)</f>
        <v>0</v>
      </c>
      <c r="AF63" s="20">
        <f>IF(AA63&lt;&gt;"",
    COUNTIFS(MATCH_INPUT!$F$10:$F$13, AA63, MATCH_INPUT!$K$10:$K$13, "Draw") +
    COUNTIFS(MATCH_INPUT!$J$10:$J$13, AA63, MATCH_INPUT!$K$10:$K$13, "Draw"),
0)</f>
        <v>0</v>
      </c>
      <c r="AG63" s="20">
        <f>IF(AA63&lt;&gt;"",
    COUNTIFS(MATCH_INPUT!$F$10:$F$13, AA63, MATCH_INPUT!$K$10:$K$13, "&lt;&gt;"&amp;AA63, MATCH_INPUT!$K$10:$K$13, "&lt;&gt;Draw", MATCH_INPUT!$K$10:$K$13, "&lt;&gt;""") +
    COUNTIFS(MATCH_INPUT!$J$10:$J$13, AA63, MATCH_INPUT!$K$10:$K$13, "&lt;&gt;"&amp;AA63, MATCH_INPUT!$K$10:$K$13, "&lt;&gt;Draw", MATCH_INPUT!$K$10:$K$13, "&lt;&gt;"""),
0)</f>
        <v>0</v>
      </c>
      <c r="AH63" s="21"/>
      <c r="AI63" s="21"/>
      <c r="AJ63" s="30"/>
      <c r="AK63" s="23">
        <f t="shared" si="153"/>
        <v>8</v>
      </c>
      <c r="AL63" s="24" t="str">
        <f t="shared" si="18"/>
        <v>↓</v>
      </c>
      <c r="AM63" s="25"/>
      <c r="AN63" s="26">
        <f t="shared" si="19"/>
        <v>0</v>
      </c>
      <c r="AO63" s="26">
        <f t="shared" si="20"/>
        <v>0</v>
      </c>
      <c r="AP63" s="26">
        <f t="shared" si="21"/>
        <v>0</v>
      </c>
      <c r="AQ63" s="26">
        <f>IF(AM63&lt;&gt;"",
    COUNTIFS(MATCH_INPUT!$K$14:$K$17,AM63),
0)</f>
        <v>0</v>
      </c>
      <c r="AR63" s="26">
        <f>IF(AM63&lt;&gt;"",
    COUNTIFS(MATCH_INPUT!$F$14:$F$17, AM63, MATCH_INPUT!$K$14:$K$17, "Draw") +
    COUNTIFS(MATCH_INPUT!$J$14:$J$17, AM63, MATCH_INPUT!$K$14:$K$17, "Draw"),
0)</f>
        <v>0</v>
      </c>
      <c r="AS63" s="26">
        <f>IF(AM63&lt;&gt;"",
    COUNTIFS(MATCH_INPUT!$F$14:$F$17, AM63, MATCH_INPUT!$K$14:$K$17, "&lt;&gt;"&amp;AM63, MATCH_INPUT!$K$14:$K$17, "&lt;&gt;Draw", MATCH_INPUT!$K$14:$K$17, "&lt;&gt;""") +
    COUNTIFS(MATCH_INPUT!$J$14:$J$17, AM63, MATCH_INPUT!$K$14:$K$17, "&lt;&gt;"&amp;AM63, MATCH_INPUT!$K$14:$K$17, "&lt;&gt;Draw", MATCH_INPUT!$K$14:$K$17, "&lt;&gt;"""),
0)</f>
        <v>0</v>
      </c>
      <c r="AT63" s="27"/>
      <c r="AU63" s="27"/>
      <c r="AV63" s="28"/>
      <c r="AW63" s="26">
        <f t="shared" si="154"/>
        <v>10</v>
      </c>
      <c r="AX63" s="29" t="str">
        <f t="shared" si="23"/>
        <v>↓</v>
      </c>
      <c r="AY63" s="19"/>
      <c r="AZ63" s="23">
        <f t="shared" si="24"/>
        <v>0</v>
      </c>
      <c r="BA63" s="20">
        <f t="shared" si="25"/>
        <v>0</v>
      </c>
      <c r="BB63" s="20">
        <f>SUM(BC63*2) + (BD63*1) + SUMIFS(MATCH_INPUT!$G$18:$G$21, MATCH_INPUT!$F$18:$F$21, AY63) + SUMIFS(MATCH_INPUT!$I$18:$I$21, MATCH_INPUT!$J$18:$J$21, AY63)
</f>
        <v>0</v>
      </c>
      <c r="BC63" s="20">
        <f>IF(AY63&lt;&gt;"",
    COUNTIFS(MATCH_INPUT!$K$18:$K$21,AY63),
0)</f>
        <v>0</v>
      </c>
      <c r="BD63" s="20">
        <f>IF(AY63&lt;&gt;"",
    COUNTIFS(MATCH_INPUT!$F$18:$F$21, AY63, MATCH_INPUT!$K$18:$K$21, "Draw") +
    COUNTIFS(MATCH_INPUT!$J$18:$J$21, AY63, MATCH_INPUT!$K$18:$K$21, "Draw"),
0)</f>
        <v>0</v>
      </c>
      <c r="BE63" s="20">
        <f>IF(AY63&lt;&gt;"",
    COUNTIFS(MATCH_INPUT!$F$18:$F$21, AY63, MATCH_INPUT!$K$18:$K$21, "&lt;&gt;"&amp;AY63, MATCH_INPUT!$K$18:$K$21, "&lt;&gt;Draw", MATCH_INPUT!$K$18:$K$21, "&lt;&gt;""") +
    COUNTIFS(MATCH_INPUT!$J$18:$J$21, AY63, MATCH_INPUT!$K$18:$K$21, "&lt;&gt;"&amp;AY63, MATCH_INPUT!$K$18:$K$21, "&lt;&gt;Draw", MATCH_INPUT!$K$18:$K$21, "&lt;&gt;"""),
0)</f>
        <v>0</v>
      </c>
      <c r="BF63" s="21" t="str">
        <f t="array" ref="BF63">IFERROR(INDEX(Form_Response!E:E, MATCH(1, (Form_Response!C:C='MATCH DATES'!$B$6)*(Form_Response!D:D=B63), 0)), "")
</f>
        <v/>
      </c>
      <c r="BG63" s="21">
        <f t="array" ref="BG63">IFERROR(IF(INDEX(Form_Response!F:F, MATCH(1, (Form_Response!C:C='MATCH DATES'!$B$6)*(Form_Response!D:D=B63), 0))="Yes", 1, 0), 0)
</f>
        <v>0</v>
      </c>
      <c r="BH63" s="30" t="str">
        <f t="array" ref="BH63">IFERROR(INDEX(Form_Response!G:G, MATCH(1, (Form_Response!C:C='MATCH DATES'!$B$6)*(Form_Response!D:D=B63), 0)), "")
</f>
        <v/>
      </c>
      <c r="BI63" s="23">
        <f t="shared" si="155"/>
        <v>11</v>
      </c>
      <c r="BJ63" s="24" t="str">
        <f t="shared" si="27"/>
        <v>↓</v>
      </c>
      <c r="BK63" s="34"/>
      <c r="BL63" s="26">
        <f t="shared" si="28"/>
        <v>0</v>
      </c>
      <c r="BM63" s="26">
        <f t="shared" si="29"/>
        <v>0</v>
      </c>
      <c r="BN63" s="26">
        <f>SUM(BO63*2) + (BP63*1) + SUMIFS(MATCH_INPUT!$G$22:$G$25, MATCH_INPUT!$F$22:$F$25, BK63) + SUMIFS(MATCH_INPUT!$I$22:$I$25, MATCH_INPUT!$J$22:$J$25, BK63)
</f>
        <v>0</v>
      </c>
      <c r="BO63" s="26">
        <f>IF(BK63&lt;&gt;"",
    COUNTIFS(MATCH_INPUT!$K$22:$K$25,BK63),
0)</f>
        <v>0</v>
      </c>
      <c r="BP63" s="26">
        <f>IF(BK63&lt;&gt;"",
    COUNTIFS(MATCH_INPUT!$F$22:$F$25, BK63, MATCH_INPUT!$K$22:$K$25, "Draw") +
    COUNTIFS(MATCH_INPUT!$J$22:$J$25, BK63, MATCH_INPUT!$K$22:$K$25, "Draw"),
0)</f>
        <v>0</v>
      </c>
      <c r="BQ63" s="26">
        <f>IF(BK63&lt;&gt;"",
    COUNTIFS(MATCH_INPUT!$F$22:$F$25, BK63, MATCH_INPUT!$K$22:$K$25, "&lt;&gt;"&amp;BK63, MATCH_INPUT!$K$22:$K$25, "&lt;&gt;Draw", MATCH_INPUT!$K$22:$K$25, "&lt;&gt;""") +
    COUNTIFS(MATCH_INPUT!$J$22:$J$25, BK63, MATCH_INPUT!$K$22:$K$25, "&lt;&gt;"&amp;BK63, MATCH_INPUT!$K$22:$K$25, "&lt;&gt;Draw", MATCH_INPUT!$K$22:$K$25, "&lt;&gt;"""),
0)</f>
        <v>0</v>
      </c>
      <c r="BR63" s="27"/>
      <c r="BS63" s="27"/>
      <c r="BT63" s="28"/>
      <c r="BU63" s="26">
        <f t="shared" si="156"/>
        <v>14</v>
      </c>
      <c r="BV63" s="29" t="str">
        <f t="shared" si="31"/>
        <v>↓</v>
      </c>
      <c r="BW63" s="35"/>
      <c r="BX63" s="23">
        <f t="shared" si="32"/>
        <v>0</v>
      </c>
      <c r="BY63" s="20">
        <f t="shared" si="33"/>
        <v>0</v>
      </c>
      <c r="BZ63" s="20">
        <f>SUM(CA63*2)+(CB63*1) + SUMIFS(MATCH_INPUT!$G$26:$G$29, MATCH_INPUT!$F$26:$F$29, BW63) + SUMIFS(MATCH_INPUT!$I$26:$I$29, MATCH_INPUT!$J$26:$J$29, BW63)
</f>
        <v>0</v>
      </c>
      <c r="CA63" s="20">
        <f>IF(BW63&lt;&gt;"",
    COUNTIFS(MATCH_INPUT!$K$26:$K$29,BW63),
0)</f>
        <v>0</v>
      </c>
      <c r="CB63" s="20">
        <f>IF(BW63&lt;&gt;"",
    COUNTIFS(MATCH_INPUT!$F$26:$F$29, BW63, MATCH_INPUT!$K$26:$K$29, "Draw") +
    COUNTIFS(MATCH_INPUT!$J$26:$J$29, BW63, MATCH_INPUT!$K$26:$K$29, "Draw"),
0)</f>
        <v>0</v>
      </c>
      <c r="CC63" s="20">
        <f>IF(BW63&lt;&gt;"",
    COUNTIFS(MATCH_INPUT!$F$26:$F$29, BW63, MATCH_INPUT!$K$26:$K$29, "&lt;&gt;"&amp;BW63, MATCH_INPUT!$K$26:$K$29, "&lt;&gt;Draw", MATCH_INPUT!$K$26:$K$29, "&lt;&gt;""") +
    COUNTIFS(MATCH_INPUT!$J$26:$J$29, BW63, MATCH_INPUT!$K$26:$K$29, "&lt;&gt;"&amp;BW63, MATCH_INPUT!$K$26:$K$29, "&lt;&gt;Draw", MATCH_INPUT!$K$26:$K$29, "&lt;&gt;"""),
0)</f>
        <v>0</v>
      </c>
      <c r="CD63" s="21"/>
      <c r="CE63" s="21"/>
      <c r="CF63" s="30"/>
      <c r="CG63" s="23">
        <f t="shared" si="157"/>
        <v>15</v>
      </c>
      <c r="CH63" s="24" t="str">
        <f t="shared" si="35"/>
        <v>↓</v>
      </c>
      <c r="CI63" s="25"/>
      <c r="CJ63" s="26">
        <f t="shared" si="36"/>
        <v>0</v>
      </c>
      <c r="CK63" s="26">
        <f t="shared" si="37"/>
        <v>0</v>
      </c>
      <c r="CL63" s="26">
        <f>SUM(CM63*2)+(CN63*1) + SUMIFS(MATCH_INPUT!$G$30:$G$33, MATCH_INPUT!$F$30:$F$33, CI63) + SUMIFS(MATCH_INPUT!$I$30:$I$33, MATCH_INPUT!$J$30:$J$33, CI63)
</f>
        <v>0</v>
      </c>
      <c r="CM63" s="26">
        <f>IF(CI63&lt;&gt;"",
    COUNTIFS(MATCH_INPUT!$K$30:$K$33,CI63),
0)</f>
        <v>0</v>
      </c>
      <c r="CN63" s="26">
        <f>IF(CI63&lt;&gt;"",
    COUNTIFS(MATCH_INPUT!$F$30:$F$33, CI63, MATCH_INPUT!$K$30:$K$33, "Draw") +
    COUNTIFS(MATCH_INPUT!$J$30:$J$33, CI63, MATCH_INPUT!$K$30:$K$33, "Draw"),
0)</f>
        <v>0</v>
      </c>
      <c r="CO63" s="26">
        <f>IF(CI63&lt;&gt;"",
    COUNTIFS(MATCH_INPUT!$F$30:$F$33, CI63, MATCH_INPUT!$K$30:$K$33, "&lt;&gt;"&amp;CI63, MATCH_INPUT!$K$30:$K$33, "&lt;&gt;Draw", MATCH_INPUT!$K$30:$K$33, "&lt;&gt;""") +
    COUNTIFS(MATCH_INPUT!$J$30:$J$33, CI63, MATCH_INPUT!$K$30:$K$33, "&lt;&gt;"&amp;CI63, MATCH_INPUT!$K$30:$K$33, "&lt;&gt;Draw", MATCH_INPUT!$K$30:$K$33, "&lt;&gt;"""),
0)</f>
        <v>0</v>
      </c>
      <c r="CP63" s="27" t="str">
        <f t="array" ref="CP63">IFERROR(INDEX(Form_Response!E:E, MATCH(1, (Form_Response!C:C='MATCH DATES'!$B$9)*(Form_Response!D:D=B63), 0)), "")
</f>
        <v/>
      </c>
      <c r="CQ63" s="27">
        <f t="array" ref="CQ63">IFERROR(IF(INDEX(Form_Response!F:F, MATCH(1, (Form_Response!C:C='MATCH DATES'!$B$9)*(Form_Response!D:D=B63), 0))="Yes", 1, 0), 0)
</f>
        <v>0</v>
      </c>
      <c r="CR63" s="28" t="str">
        <f t="array" ref="CR63">IFERROR(INDEX(Form_Response!G:G, MATCH(1, (Form_Response!C:C='MATCH DATES'!$B$9)*(Form_Response!D:D=B63), 0)), "")
</f>
        <v/>
      </c>
      <c r="CS63" s="31">
        <f t="shared" si="158"/>
        <v>18</v>
      </c>
      <c r="CT63" s="31" t="str">
        <f t="shared" si="39"/>
        <v>↓</v>
      </c>
      <c r="CU63" s="32">
        <f t="shared" si="40"/>
        <v>0</v>
      </c>
      <c r="CV63" s="32" t="str">
        <f t="shared" ref="CV63:CW63" si="228">A63</f>
        <v/>
      </c>
      <c r="CW63" s="33" t="str">
        <f t="shared" si="228"/>
        <v/>
      </c>
      <c r="CX63" s="33">
        <f t="shared" si="42"/>
        <v>0</v>
      </c>
      <c r="CY63" s="32">
        <f>SUM(
  IF(AND('MATCH DATES'!$A$2 &lt;= TODAY(), NOW() &gt;= 'MATCH DATES'!$A$2 + TIME(22, 0, 0)), E63, 0),
  IF(AND('MATCH DATES'!$A$3 &lt;= TODAY(), NOW() &gt;= 'MATCH DATES'!$A$3 + TIME(22, 0, 0)), Q63, 0),
  IF(AND('MATCH DATES'!$A$4 &lt;= TODAY(), NOW() &gt;= 'MATCH DATES'!$A$4 + TIME(22, 0, 0)), AC63, 0),
  IF(AND('MATCH DATES'!$A$5 &lt;= TODAY(), NOW() &gt;= 'MATCH DATES'!$A$5 + TIME(22, 0, 0)), AO63, 0),
  IF(AND('MATCH DATES'!$A$6 &lt;= TODAY(), NOW() &gt;= 'MATCH DATES'!$A$6 + TIME(22, 0, 0)), BA63, 0),
  IF(AND('MATCH DATES'!$A$7 &lt;= TODAY(), NOW() &gt;= 'MATCH DATES'!$A$7 + TIME(22, 0, 0)), BM63, 0),
  IF(AND('MATCH DATES'!$A$8 &lt;= TODAY(), NOW() &gt;= 'MATCH DATES'!$A$8 + TIME(22, 0, 0)), BY63, 0),
  IF(AND('MATCH DATES'!$A$9 &lt;= TODAY(), NOW() &gt;= 'MATCH DATES'!$A$9 + TIME(22, 0, 0)), CK63, 0)
)
</f>
        <v>0</v>
      </c>
      <c r="CZ63" s="33">
        <f t="shared" ref="CZ63:DA63" si="229">SUM(G63,S63,AE63,AQ63,BC63,BO63,CA63,CM63)</f>
        <v>0</v>
      </c>
      <c r="DA63" s="33">
        <f t="shared" si="229"/>
        <v>0</v>
      </c>
      <c r="DB63" s="33">
        <f>SUM(
  IF(AND('MATCH DATES'!$A$2 &lt;= TODAY(), NOW() &gt;= 'MATCH DATES'!$A$2 + TIME(22, 0, 0)), I63, 0),
  IF(AND('MATCH DATES'!$A$3 &lt;= TODAY(), NOW() &gt;= 'MATCH DATES'!$A$3 + TIME(22, 0, 0)), U63, 0),
  IF(AND('MATCH DATES'!$A$4 &lt;= TODAY(), NOW() &gt;= 'MATCH DATES'!$A$4 + TIME(22, 0, 0)), AG63, 0),
  IF(AND('MATCH DATES'!$A$5 &lt;= TODAY(), NOW() &gt;= 'MATCH DATES'!$A$5 + TIME(22, 0, 0)), AS63, 0),
  IF(AND('MATCH DATES'!$A$6 &lt;= TODAY(), NOW() &gt;= 'MATCH DATES'!$A$6 + TIME(22, 0, 0)), BE63, 0),
  IF(AND('MATCH DATES'!$A$7 &lt;= TODAY(), NOW() &gt;= 'MATCH DATES'!$A$7 + TIME(22, 0, 0)), BQ63, 0),
  IF(AND('MATCH DATES'!$A$8 &lt;= TODAY(), NOW() &gt;= 'MATCH DATES'!$A$8 + TIME(22, 0, 0)), CC63, 0),
  IF(AND('MATCH DATES'!$A$9 &lt;= TODAY(), NOW() &gt;= 'MATCH DATES'!$A$9 + TIME(22, 0, 0)), CO63, 0)
)</f>
        <v>0</v>
      </c>
      <c r="DC63" s="33">
        <f t="shared" si="44"/>
        <v>0</v>
      </c>
      <c r="DD63" s="33">
        <f t="shared" ref="DD63:DE63" si="230">SUM(K63,W63,AI63,AU63,BG63,BS63,CE63,CQ63)</f>
        <v>0</v>
      </c>
      <c r="DE63" s="33">
        <f t="shared" si="230"/>
        <v>0</v>
      </c>
    </row>
    <row r="64" ht="24.75" customHeight="1">
      <c r="A64" s="31"/>
      <c r="B64" s="39"/>
      <c r="C64" s="35"/>
      <c r="D64" s="20">
        <f t="shared" si="4"/>
        <v>0</v>
      </c>
      <c r="E64" s="20">
        <f t="shared" si="5"/>
        <v>0</v>
      </c>
      <c r="F64" s="20">
        <f t="shared" si="6"/>
        <v>0</v>
      </c>
      <c r="G64" s="20">
        <f>IF(C64&lt;&gt;"",
    COUNTIFS(MATCH_INPUT!$K$2:$K$5,C64),
0)</f>
        <v>0</v>
      </c>
      <c r="H64" s="20">
        <f>IF(C64&lt;&gt;"",
    COUNTIFS(MATCH_INPUT!$F$2:$F$5, C64, MATCH_INPUT!$K$2:$K$5, "Draw") +
    COUNTIFS(MATCH_INPUT!$J$2:$J$5, C64, MATCH_INPUT!$K$2:$K$5, "Draw"),
0)</f>
        <v>0</v>
      </c>
      <c r="I64" s="20">
        <f>IF(C64&lt;&gt;"",
    COUNTIFS(MATCH_INPUT!$F$2:$F$5, C64, MATCH_INPUT!$K$2:$K$5, "&lt;&gt;"&amp;C64, MATCH_INPUT!$K$2:$K$5, "&lt;&gt;Draw", MATCH_INPUT!$K$2:$K$5, "&lt;&gt;""") +
    COUNTIFS(MATCH_INPUT!$J$2:$J$5, C64, MATCH_INPUT!$K$2:$K$5, "&lt;&gt;"&amp;C64, MATCH_INPUT!$K$2:$K$5, "&lt;&gt;Draw", MATCH_INPUT!$K$2:$K$5, "&lt;&gt;"""),
0)</f>
        <v>0</v>
      </c>
      <c r="J64" s="21"/>
      <c r="K64" s="21"/>
      <c r="L64" s="22"/>
      <c r="M64" s="23">
        <f t="shared" si="151"/>
        <v>4</v>
      </c>
      <c r="N64" s="24" t="str">
        <f t="shared" si="8"/>
        <v>↓</v>
      </c>
      <c r="O64" s="25"/>
      <c r="P64" s="26">
        <f t="shared" si="9"/>
        <v>0</v>
      </c>
      <c r="Q64" s="26">
        <f t="shared" si="10"/>
        <v>0</v>
      </c>
      <c r="R64" s="26">
        <f t="shared" si="11"/>
        <v>0</v>
      </c>
      <c r="S64" s="26">
        <f>IF(O64&lt;&gt;"",
    COUNTIFS(MATCH_INPUT!$K$6:$K$9,O64),
0)</f>
        <v>0</v>
      </c>
      <c r="T64" s="26">
        <f>IF(O64&lt;&gt;"",
    COUNTIFS(MATCH_INPUT!$F$6:$F$9, O64, MATCH_INPUT!$K$6:$K$9, "Draw") +
    COUNTIFS(MATCH_INPUT!$J$6:$J$9, O64, MATCH_INPUT!$K$6:$K$9, "Draw"),
0)</f>
        <v>0</v>
      </c>
      <c r="U64" s="26">
        <f>IF(O64&lt;&gt;"",
    COUNTIFS(MATCH_INPUT!$F$6:$F$9, O64, MATCH_INPUT!$K$6:$K$9, "&lt;&gt;"&amp;O64, MATCH_INPUT!$K$6:$K$9, "&lt;&gt;Draw", MATCH_INPUT!$K$6:$K$9, "&lt;&gt;""") +
    COUNTIFS(MATCH_INPUT!$J$6:$J$9, O64, MATCH_INPUT!$K$6:$K$9, "&lt;&gt;"&amp;O64, MATCH_INPUT!$K$6:$K$9, "&lt;&gt;Draw", MATCH_INPUT!$K$6:$K$9, "&lt;&gt;"""),
0)</f>
        <v>0</v>
      </c>
      <c r="V64" s="27"/>
      <c r="W64" s="27"/>
      <c r="X64" s="28"/>
      <c r="Y64" s="26">
        <f t="shared" si="152"/>
        <v>7</v>
      </c>
      <c r="Z64" s="29" t="str">
        <f t="shared" si="13"/>
        <v>↓</v>
      </c>
      <c r="AA64" s="19"/>
      <c r="AB64" s="23">
        <f t="shared" si="14"/>
        <v>0</v>
      </c>
      <c r="AC64" s="20">
        <f t="shared" si="15"/>
        <v>0</v>
      </c>
      <c r="AD64" s="20">
        <f t="shared" si="16"/>
        <v>0</v>
      </c>
      <c r="AE64" s="20">
        <f>IF(AA64&lt;&gt;"",
    COUNTIFS(MATCH_INPUT!$K$10:$K$13,AA64),
0)</f>
        <v>0</v>
      </c>
      <c r="AF64" s="20">
        <f>IF(AA64&lt;&gt;"",
    COUNTIFS(MATCH_INPUT!$F$10:$F$13, AA64, MATCH_INPUT!$K$10:$K$13, "Draw") +
    COUNTIFS(MATCH_INPUT!$J$10:$J$13, AA64, MATCH_INPUT!$K$10:$K$13, "Draw"),
0)</f>
        <v>0</v>
      </c>
      <c r="AG64" s="20">
        <f>IF(AA64&lt;&gt;"",
    COUNTIFS(MATCH_INPUT!$F$10:$F$13, AA64, MATCH_INPUT!$K$10:$K$13, "&lt;&gt;"&amp;AA64, MATCH_INPUT!$K$10:$K$13, "&lt;&gt;Draw", MATCH_INPUT!$K$10:$K$13, "&lt;&gt;""") +
    COUNTIFS(MATCH_INPUT!$J$10:$J$13, AA64, MATCH_INPUT!$K$10:$K$13, "&lt;&gt;"&amp;AA64, MATCH_INPUT!$K$10:$K$13, "&lt;&gt;Draw", MATCH_INPUT!$K$10:$K$13, "&lt;&gt;"""),
0)</f>
        <v>0</v>
      </c>
      <c r="AH64" s="21"/>
      <c r="AI64" s="21"/>
      <c r="AJ64" s="30"/>
      <c r="AK64" s="23">
        <f t="shared" si="153"/>
        <v>8</v>
      </c>
      <c r="AL64" s="24" t="str">
        <f t="shared" si="18"/>
        <v>↓</v>
      </c>
      <c r="AM64" s="25"/>
      <c r="AN64" s="26">
        <f t="shared" si="19"/>
        <v>0</v>
      </c>
      <c r="AO64" s="26">
        <f t="shared" si="20"/>
        <v>0</v>
      </c>
      <c r="AP64" s="26">
        <f t="shared" si="21"/>
        <v>0</v>
      </c>
      <c r="AQ64" s="26">
        <f>IF(AM64&lt;&gt;"",
    COUNTIFS(MATCH_INPUT!$K$14:$K$17,AM64),
0)</f>
        <v>0</v>
      </c>
      <c r="AR64" s="26">
        <f>IF(AM64&lt;&gt;"",
    COUNTIFS(MATCH_INPUT!$F$14:$F$17, AM64, MATCH_INPUT!$K$14:$K$17, "Draw") +
    COUNTIFS(MATCH_INPUT!$J$14:$J$17, AM64, MATCH_INPUT!$K$14:$K$17, "Draw"),
0)</f>
        <v>0</v>
      </c>
      <c r="AS64" s="26">
        <f>IF(AM64&lt;&gt;"",
    COUNTIFS(MATCH_INPUT!$F$14:$F$17, AM64, MATCH_INPUT!$K$14:$K$17, "&lt;&gt;"&amp;AM64, MATCH_INPUT!$K$14:$K$17, "&lt;&gt;Draw", MATCH_INPUT!$K$14:$K$17, "&lt;&gt;""") +
    COUNTIFS(MATCH_INPUT!$J$14:$J$17, AM64, MATCH_INPUT!$K$14:$K$17, "&lt;&gt;"&amp;AM64, MATCH_INPUT!$K$14:$K$17, "&lt;&gt;Draw", MATCH_INPUT!$K$14:$K$17, "&lt;&gt;"""),
0)</f>
        <v>0</v>
      </c>
      <c r="AT64" s="27"/>
      <c r="AU64" s="27"/>
      <c r="AV64" s="28"/>
      <c r="AW64" s="26">
        <f t="shared" si="154"/>
        <v>10</v>
      </c>
      <c r="AX64" s="29" t="str">
        <f t="shared" si="23"/>
        <v>↓</v>
      </c>
      <c r="AY64" s="19"/>
      <c r="AZ64" s="23">
        <f t="shared" si="24"/>
        <v>0</v>
      </c>
      <c r="BA64" s="20">
        <f t="shared" si="25"/>
        <v>0</v>
      </c>
      <c r="BB64" s="20">
        <f>SUM(BC64*2) + (BD64*1) + SUMIFS(MATCH_INPUT!$G$18:$G$21, MATCH_INPUT!$F$18:$F$21, AY64) + SUMIFS(MATCH_INPUT!$I$18:$I$21, MATCH_INPUT!$J$18:$J$21, AY64)
</f>
        <v>0</v>
      </c>
      <c r="BC64" s="20">
        <f>IF(AY64&lt;&gt;"",
    COUNTIFS(MATCH_INPUT!$K$18:$K$21,AY64),
0)</f>
        <v>0</v>
      </c>
      <c r="BD64" s="20">
        <f>IF(AY64&lt;&gt;"",
    COUNTIFS(MATCH_INPUT!$F$18:$F$21, AY64, MATCH_INPUT!$K$18:$K$21, "Draw") +
    COUNTIFS(MATCH_INPUT!$J$18:$J$21, AY64, MATCH_INPUT!$K$18:$K$21, "Draw"),
0)</f>
        <v>0</v>
      </c>
      <c r="BE64" s="20">
        <f>IF(AY64&lt;&gt;"",
    COUNTIFS(MATCH_INPUT!$F$18:$F$21, AY64, MATCH_INPUT!$K$18:$K$21, "&lt;&gt;"&amp;AY64, MATCH_INPUT!$K$18:$K$21, "&lt;&gt;Draw", MATCH_INPUT!$K$18:$K$21, "&lt;&gt;""") +
    COUNTIFS(MATCH_INPUT!$J$18:$J$21, AY64, MATCH_INPUT!$K$18:$K$21, "&lt;&gt;"&amp;AY64, MATCH_INPUT!$K$18:$K$21, "&lt;&gt;Draw", MATCH_INPUT!$K$18:$K$21, "&lt;&gt;"""),
0)</f>
        <v>0</v>
      </c>
      <c r="BF64" s="21" t="str">
        <f t="array" ref="BF64">IFERROR(INDEX(Form_Response!E:E, MATCH(1, (Form_Response!C:C='MATCH DATES'!$B$6)*(Form_Response!D:D=B64), 0)), "")
</f>
        <v/>
      </c>
      <c r="BG64" s="21">
        <f t="array" ref="BG64">IFERROR(IF(INDEX(Form_Response!F:F, MATCH(1, (Form_Response!C:C='MATCH DATES'!$B$6)*(Form_Response!D:D=B64), 0))="Yes", 1, 0), 0)
</f>
        <v>0</v>
      </c>
      <c r="BH64" s="30" t="str">
        <f t="array" ref="BH64">IFERROR(INDEX(Form_Response!G:G, MATCH(1, (Form_Response!C:C='MATCH DATES'!$B$6)*(Form_Response!D:D=B64), 0)), "")
</f>
        <v/>
      </c>
      <c r="BI64" s="23">
        <f t="shared" si="155"/>
        <v>11</v>
      </c>
      <c r="BJ64" s="24" t="str">
        <f t="shared" si="27"/>
        <v>↓</v>
      </c>
      <c r="BK64" s="34"/>
      <c r="BL64" s="26">
        <f t="shared" si="28"/>
        <v>0</v>
      </c>
      <c r="BM64" s="26">
        <f t="shared" si="29"/>
        <v>0</v>
      </c>
      <c r="BN64" s="26">
        <f>SUM(BO64*2) + (BP64*1) + SUMIFS(MATCH_INPUT!$G$22:$G$25, MATCH_INPUT!$F$22:$F$25, BK64) + SUMIFS(MATCH_INPUT!$I$22:$I$25, MATCH_INPUT!$J$22:$J$25, BK64)
</f>
        <v>0</v>
      </c>
      <c r="BO64" s="26">
        <f>IF(BK64&lt;&gt;"",
    COUNTIFS(MATCH_INPUT!$K$22:$K$25,BK64),
0)</f>
        <v>0</v>
      </c>
      <c r="BP64" s="26">
        <f>IF(BK64&lt;&gt;"",
    COUNTIFS(MATCH_INPUT!$F$22:$F$25, BK64, MATCH_INPUT!$K$22:$K$25, "Draw") +
    COUNTIFS(MATCH_INPUT!$J$22:$J$25, BK64, MATCH_INPUT!$K$22:$K$25, "Draw"),
0)</f>
        <v>0</v>
      </c>
      <c r="BQ64" s="26">
        <f>IF(BK64&lt;&gt;"",
    COUNTIFS(MATCH_INPUT!$F$22:$F$25, BK64, MATCH_INPUT!$K$22:$K$25, "&lt;&gt;"&amp;BK64, MATCH_INPUT!$K$22:$K$25, "&lt;&gt;Draw", MATCH_INPUT!$K$22:$K$25, "&lt;&gt;""") +
    COUNTIFS(MATCH_INPUT!$J$22:$J$25, BK64, MATCH_INPUT!$K$22:$K$25, "&lt;&gt;"&amp;BK64, MATCH_INPUT!$K$22:$K$25, "&lt;&gt;Draw", MATCH_INPUT!$K$22:$K$25, "&lt;&gt;"""),
0)</f>
        <v>0</v>
      </c>
      <c r="BR64" s="27"/>
      <c r="BS64" s="27"/>
      <c r="BT64" s="28"/>
      <c r="BU64" s="26">
        <f t="shared" si="156"/>
        <v>14</v>
      </c>
      <c r="BV64" s="29" t="str">
        <f t="shared" si="31"/>
        <v>↓</v>
      </c>
      <c r="BW64" s="35"/>
      <c r="BX64" s="23">
        <f t="shared" si="32"/>
        <v>0</v>
      </c>
      <c r="BY64" s="20">
        <f t="shared" si="33"/>
        <v>0</v>
      </c>
      <c r="BZ64" s="20">
        <f>SUM(CA64*2)+(CB64*1) + SUMIFS(MATCH_INPUT!$G$26:$G$29, MATCH_INPUT!$F$26:$F$29, BW64) + SUMIFS(MATCH_INPUT!$I$26:$I$29, MATCH_INPUT!$J$26:$J$29, BW64)
</f>
        <v>0</v>
      </c>
      <c r="CA64" s="20">
        <f>IF(BW64&lt;&gt;"",
    COUNTIFS(MATCH_INPUT!$K$26:$K$29,BW64),
0)</f>
        <v>0</v>
      </c>
      <c r="CB64" s="20">
        <f>IF(BW64&lt;&gt;"",
    COUNTIFS(MATCH_INPUT!$F$26:$F$29, BW64, MATCH_INPUT!$K$26:$K$29, "Draw") +
    COUNTIFS(MATCH_INPUT!$J$26:$J$29, BW64, MATCH_INPUT!$K$26:$K$29, "Draw"),
0)</f>
        <v>0</v>
      </c>
      <c r="CC64" s="20">
        <f>IF(BW64&lt;&gt;"",
    COUNTIFS(MATCH_INPUT!$F$26:$F$29, BW64, MATCH_INPUT!$K$26:$K$29, "&lt;&gt;"&amp;BW64, MATCH_INPUT!$K$26:$K$29, "&lt;&gt;Draw", MATCH_INPUT!$K$26:$K$29, "&lt;&gt;""") +
    COUNTIFS(MATCH_INPUT!$J$26:$J$29, BW64, MATCH_INPUT!$K$26:$K$29, "&lt;&gt;"&amp;BW64, MATCH_INPUT!$K$26:$K$29, "&lt;&gt;Draw", MATCH_INPUT!$K$26:$K$29, "&lt;&gt;"""),
0)</f>
        <v>0</v>
      </c>
      <c r="CD64" s="21"/>
      <c r="CE64" s="21"/>
      <c r="CF64" s="30"/>
      <c r="CG64" s="23">
        <f t="shared" si="157"/>
        <v>15</v>
      </c>
      <c r="CH64" s="24" t="str">
        <f t="shared" si="35"/>
        <v>↓</v>
      </c>
      <c r="CI64" s="25"/>
      <c r="CJ64" s="26">
        <f t="shared" si="36"/>
        <v>0</v>
      </c>
      <c r="CK64" s="26">
        <f t="shared" si="37"/>
        <v>0</v>
      </c>
      <c r="CL64" s="26">
        <f>SUM(CM64*2)+(CN64*1) + SUMIFS(MATCH_INPUT!$G$30:$G$33, MATCH_INPUT!$F$30:$F$33, CI64) + SUMIFS(MATCH_INPUT!$I$30:$I$33, MATCH_INPUT!$J$30:$J$33, CI64)
</f>
        <v>0</v>
      </c>
      <c r="CM64" s="26">
        <f>IF(CI64&lt;&gt;"",
    COUNTIFS(MATCH_INPUT!$K$30:$K$33,CI64),
0)</f>
        <v>0</v>
      </c>
      <c r="CN64" s="26">
        <f>IF(CI64&lt;&gt;"",
    COUNTIFS(MATCH_INPUT!$F$30:$F$33, CI64, MATCH_INPUT!$K$30:$K$33, "Draw") +
    COUNTIFS(MATCH_INPUT!$J$30:$J$33, CI64, MATCH_INPUT!$K$30:$K$33, "Draw"),
0)</f>
        <v>0</v>
      </c>
      <c r="CO64" s="26">
        <f>IF(CI64&lt;&gt;"",
    COUNTIFS(MATCH_INPUT!$F$30:$F$33, CI64, MATCH_INPUT!$K$30:$K$33, "&lt;&gt;"&amp;CI64, MATCH_INPUT!$K$30:$K$33, "&lt;&gt;Draw", MATCH_INPUT!$K$30:$K$33, "&lt;&gt;""") +
    COUNTIFS(MATCH_INPUT!$J$30:$J$33, CI64, MATCH_INPUT!$K$30:$K$33, "&lt;&gt;"&amp;CI64, MATCH_INPUT!$K$30:$K$33, "&lt;&gt;Draw", MATCH_INPUT!$K$30:$K$33, "&lt;&gt;"""),
0)</f>
        <v>0</v>
      </c>
      <c r="CP64" s="27" t="str">
        <f t="array" ref="CP64">IFERROR(INDEX(Form_Response!E:E, MATCH(1, (Form_Response!C:C='MATCH DATES'!$B$9)*(Form_Response!D:D=B64), 0)), "")
</f>
        <v/>
      </c>
      <c r="CQ64" s="27">
        <f t="array" ref="CQ64">IFERROR(IF(INDEX(Form_Response!F:F, MATCH(1, (Form_Response!C:C='MATCH DATES'!$B$9)*(Form_Response!D:D=B64), 0))="Yes", 1, 0), 0)
</f>
        <v>0</v>
      </c>
      <c r="CR64" s="28" t="str">
        <f t="array" ref="CR64">IFERROR(INDEX(Form_Response!G:G, MATCH(1, (Form_Response!C:C='MATCH DATES'!$B$9)*(Form_Response!D:D=B64), 0)), "")
</f>
        <v/>
      </c>
      <c r="CS64" s="31">
        <f t="shared" si="158"/>
        <v>18</v>
      </c>
      <c r="CT64" s="31" t="str">
        <f t="shared" si="39"/>
        <v>↓</v>
      </c>
      <c r="CU64" s="32">
        <f t="shared" si="40"/>
        <v>0</v>
      </c>
      <c r="CV64" s="32" t="str">
        <f t="shared" ref="CV64:CW64" si="231">A64</f>
        <v/>
      </c>
      <c r="CW64" s="33" t="str">
        <f t="shared" si="231"/>
        <v/>
      </c>
      <c r="CX64" s="33">
        <f t="shared" si="42"/>
        <v>0</v>
      </c>
      <c r="CY64" s="32">
        <f>SUM(
  IF(AND('MATCH DATES'!$A$2 &lt;= TODAY(), NOW() &gt;= 'MATCH DATES'!$A$2 + TIME(22, 0, 0)), E64, 0),
  IF(AND('MATCH DATES'!$A$3 &lt;= TODAY(), NOW() &gt;= 'MATCH DATES'!$A$3 + TIME(22, 0, 0)), Q64, 0),
  IF(AND('MATCH DATES'!$A$4 &lt;= TODAY(), NOW() &gt;= 'MATCH DATES'!$A$4 + TIME(22, 0, 0)), AC64, 0),
  IF(AND('MATCH DATES'!$A$5 &lt;= TODAY(), NOW() &gt;= 'MATCH DATES'!$A$5 + TIME(22, 0, 0)), AO64, 0),
  IF(AND('MATCH DATES'!$A$6 &lt;= TODAY(), NOW() &gt;= 'MATCH DATES'!$A$6 + TIME(22, 0, 0)), BA64, 0),
  IF(AND('MATCH DATES'!$A$7 &lt;= TODAY(), NOW() &gt;= 'MATCH DATES'!$A$7 + TIME(22, 0, 0)), BM64, 0),
  IF(AND('MATCH DATES'!$A$8 &lt;= TODAY(), NOW() &gt;= 'MATCH DATES'!$A$8 + TIME(22, 0, 0)), BY64, 0),
  IF(AND('MATCH DATES'!$A$9 &lt;= TODAY(), NOW() &gt;= 'MATCH DATES'!$A$9 + TIME(22, 0, 0)), CK64, 0)
)
</f>
        <v>0</v>
      </c>
      <c r="CZ64" s="33">
        <f t="shared" ref="CZ64:DA64" si="232">SUM(G64,S64,AE64,AQ64,BC64,BO64,CA64,CM64)</f>
        <v>0</v>
      </c>
      <c r="DA64" s="33">
        <f t="shared" si="232"/>
        <v>0</v>
      </c>
      <c r="DB64" s="33">
        <f>SUM(
  IF(AND('MATCH DATES'!$A$2 &lt;= TODAY(), NOW() &gt;= 'MATCH DATES'!$A$2 + TIME(22, 0, 0)), I64, 0),
  IF(AND('MATCH DATES'!$A$3 &lt;= TODAY(), NOW() &gt;= 'MATCH DATES'!$A$3 + TIME(22, 0, 0)), U64, 0),
  IF(AND('MATCH DATES'!$A$4 &lt;= TODAY(), NOW() &gt;= 'MATCH DATES'!$A$4 + TIME(22, 0, 0)), AG64, 0),
  IF(AND('MATCH DATES'!$A$5 &lt;= TODAY(), NOW() &gt;= 'MATCH DATES'!$A$5 + TIME(22, 0, 0)), AS64, 0),
  IF(AND('MATCH DATES'!$A$6 &lt;= TODAY(), NOW() &gt;= 'MATCH DATES'!$A$6 + TIME(22, 0, 0)), BE64, 0),
  IF(AND('MATCH DATES'!$A$7 &lt;= TODAY(), NOW() &gt;= 'MATCH DATES'!$A$7 + TIME(22, 0, 0)), BQ64, 0),
  IF(AND('MATCH DATES'!$A$8 &lt;= TODAY(), NOW() &gt;= 'MATCH DATES'!$A$8 + TIME(22, 0, 0)), CC64, 0),
  IF(AND('MATCH DATES'!$A$9 &lt;= TODAY(), NOW() &gt;= 'MATCH DATES'!$A$9 + TIME(22, 0, 0)), CO64, 0)
)</f>
        <v>0</v>
      </c>
      <c r="DC64" s="33">
        <f t="shared" si="44"/>
        <v>0</v>
      </c>
      <c r="DD64" s="33">
        <f t="shared" ref="DD64:DE64" si="233">SUM(K64,W64,AI64,AU64,BG64,BS64,CE64,CQ64)</f>
        <v>0</v>
      </c>
      <c r="DE64" s="33">
        <f t="shared" si="233"/>
        <v>0</v>
      </c>
    </row>
    <row r="65" ht="24.75" customHeight="1">
      <c r="A65" s="31"/>
      <c r="B65" s="39"/>
      <c r="C65" s="35"/>
      <c r="D65" s="20">
        <f t="shared" si="4"/>
        <v>0</v>
      </c>
      <c r="E65" s="20">
        <f t="shared" si="5"/>
        <v>0</v>
      </c>
      <c r="F65" s="20">
        <f t="shared" si="6"/>
        <v>0</v>
      </c>
      <c r="G65" s="20">
        <f>IF(C65&lt;&gt;"",
    COUNTIFS(MATCH_INPUT!$K$2:$K$5,C65),
0)</f>
        <v>0</v>
      </c>
      <c r="H65" s="20">
        <f>IF(C65&lt;&gt;"",
    COUNTIFS(MATCH_INPUT!$F$2:$F$5, C65, MATCH_INPUT!$K$2:$K$5, "Draw") +
    COUNTIFS(MATCH_INPUT!$J$2:$J$5, C65, MATCH_INPUT!$K$2:$K$5, "Draw"),
0)</f>
        <v>0</v>
      </c>
      <c r="I65" s="20">
        <f>IF(C65&lt;&gt;"",
    COUNTIFS(MATCH_INPUT!$F$2:$F$5, C65, MATCH_INPUT!$K$2:$K$5, "&lt;&gt;"&amp;C65, MATCH_INPUT!$K$2:$K$5, "&lt;&gt;Draw", MATCH_INPUT!$K$2:$K$5, "&lt;&gt;""") +
    COUNTIFS(MATCH_INPUT!$J$2:$J$5, C65, MATCH_INPUT!$K$2:$K$5, "&lt;&gt;"&amp;C65, MATCH_INPUT!$K$2:$K$5, "&lt;&gt;Draw", MATCH_INPUT!$K$2:$K$5, "&lt;&gt;"""),
0)</f>
        <v>0</v>
      </c>
      <c r="J65" s="21"/>
      <c r="K65" s="21"/>
      <c r="L65" s="22"/>
      <c r="M65" s="23">
        <f t="shared" si="151"/>
        <v>4</v>
      </c>
      <c r="N65" s="24" t="str">
        <f t="shared" si="8"/>
        <v>↓</v>
      </c>
      <c r="O65" s="25"/>
      <c r="P65" s="26">
        <f t="shared" si="9"/>
        <v>0</v>
      </c>
      <c r="Q65" s="26">
        <f t="shared" si="10"/>
        <v>0</v>
      </c>
      <c r="R65" s="26">
        <f t="shared" si="11"/>
        <v>0</v>
      </c>
      <c r="S65" s="26">
        <f>IF(O65&lt;&gt;"",
    COUNTIFS(MATCH_INPUT!$K$6:$K$9,O65),
0)</f>
        <v>0</v>
      </c>
      <c r="T65" s="26">
        <f>IF(O65&lt;&gt;"",
    COUNTIFS(MATCH_INPUT!$F$6:$F$9, O65, MATCH_INPUT!$K$6:$K$9, "Draw") +
    COUNTIFS(MATCH_INPUT!$J$6:$J$9, O65, MATCH_INPUT!$K$6:$K$9, "Draw"),
0)</f>
        <v>0</v>
      </c>
      <c r="U65" s="26">
        <f>IF(O65&lt;&gt;"",
    COUNTIFS(MATCH_INPUT!$F$6:$F$9, O65, MATCH_INPUT!$K$6:$K$9, "&lt;&gt;"&amp;O65, MATCH_INPUT!$K$6:$K$9, "&lt;&gt;Draw", MATCH_INPUT!$K$6:$K$9, "&lt;&gt;""") +
    COUNTIFS(MATCH_INPUT!$J$6:$J$9, O65, MATCH_INPUT!$K$6:$K$9, "&lt;&gt;"&amp;O65, MATCH_INPUT!$K$6:$K$9, "&lt;&gt;Draw", MATCH_INPUT!$K$6:$K$9, "&lt;&gt;"""),
0)</f>
        <v>0</v>
      </c>
      <c r="V65" s="27"/>
      <c r="W65" s="27"/>
      <c r="X65" s="28"/>
      <c r="Y65" s="26">
        <f t="shared" si="152"/>
        <v>7</v>
      </c>
      <c r="Z65" s="29" t="str">
        <f t="shared" si="13"/>
        <v>↓</v>
      </c>
      <c r="AA65" s="19"/>
      <c r="AB65" s="23">
        <f t="shared" si="14"/>
        <v>0</v>
      </c>
      <c r="AC65" s="20">
        <f t="shared" si="15"/>
        <v>0</v>
      </c>
      <c r="AD65" s="20">
        <f t="shared" si="16"/>
        <v>0</v>
      </c>
      <c r="AE65" s="20">
        <f>IF(AA65&lt;&gt;"",
    COUNTIFS(MATCH_INPUT!$K$10:$K$13,AA65),
0)</f>
        <v>0</v>
      </c>
      <c r="AF65" s="20">
        <f>IF(AA65&lt;&gt;"",
    COUNTIFS(MATCH_INPUT!$F$10:$F$13, AA65, MATCH_INPUT!$K$10:$K$13, "Draw") +
    COUNTIFS(MATCH_INPUT!$J$10:$J$13, AA65, MATCH_INPUT!$K$10:$K$13, "Draw"),
0)</f>
        <v>0</v>
      </c>
      <c r="AG65" s="20">
        <f>IF(AA65&lt;&gt;"",
    COUNTIFS(MATCH_INPUT!$F$10:$F$13, AA65, MATCH_INPUT!$K$10:$K$13, "&lt;&gt;"&amp;AA65, MATCH_INPUT!$K$10:$K$13, "&lt;&gt;Draw", MATCH_INPUT!$K$10:$K$13, "&lt;&gt;""") +
    COUNTIFS(MATCH_INPUT!$J$10:$J$13, AA65, MATCH_INPUT!$K$10:$K$13, "&lt;&gt;"&amp;AA65, MATCH_INPUT!$K$10:$K$13, "&lt;&gt;Draw", MATCH_INPUT!$K$10:$K$13, "&lt;&gt;"""),
0)</f>
        <v>0</v>
      </c>
      <c r="AH65" s="21"/>
      <c r="AI65" s="21"/>
      <c r="AJ65" s="30"/>
      <c r="AK65" s="23">
        <f t="shared" si="153"/>
        <v>8</v>
      </c>
      <c r="AL65" s="24" t="str">
        <f t="shared" si="18"/>
        <v>↓</v>
      </c>
      <c r="AM65" s="25"/>
      <c r="AN65" s="26">
        <f t="shared" si="19"/>
        <v>0</v>
      </c>
      <c r="AO65" s="26">
        <f t="shared" si="20"/>
        <v>0</v>
      </c>
      <c r="AP65" s="26">
        <f t="shared" si="21"/>
        <v>0</v>
      </c>
      <c r="AQ65" s="26">
        <f>IF(AM65&lt;&gt;"",
    COUNTIFS(MATCH_INPUT!$K$14:$K$17,AM65),
0)</f>
        <v>0</v>
      </c>
      <c r="AR65" s="26">
        <f>IF(AM65&lt;&gt;"",
    COUNTIFS(MATCH_INPUT!$F$14:$F$17, AM65, MATCH_INPUT!$K$14:$K$17, "Draw") +
    COUNTIFS(MATCH_INPUT!$J$14:$J$17, AM65, MATCH_INPUT!$K$14:$K$17, "Draw"),
0)</f>
        <v>0</v>
      </c>
      <c r="AS65" s="26">
        <f>IF(AM65&lt;&gt;"",
    COUNTIFS(MATCH_INPUT!$F$14:$F$17, AM65, MATCH_INPUT!$K$14:$K$17, "&lt;&gt;"&amp;AM65, MATCH_INPUT!$K$14:$K$17, "&lt;&gt;Draw", MATCH_INPUT!$K$14:$K$17, "&lt;&gt;""") +
    COUNTIFS(MATCH_INPUT!$J$14:$J$17, AM65, MATCH_INPUT!$K$14:$K$17, "&lt;&gt;"&amp;AM65, MATCH_INPUT!$K$14:$K$17, "&lt;&gt;Draw", MATCH_INPUT!$K$14:$K$17, "&lt;&gt;"""),
0)</f>
        <v>0</v>
      </c>
      <c r="AT65" s="27"/>
      <c r="AU65" s="27"/>
      <c r="AV65" s="28"/>
      <c r="AW65" s="26">
        <f t="shared" si="154"/>
        <v>10</v>
      </c>
      <c r="AX65" s="29" t="str">
        <f t="shared" si="23"/>
        <v>↓</v>
      </c>
      <c r="AY65" s="19"/>
      <c r="AZ65" s="23">
        <f t="shared" si="24"/>
        <v>0</v>
      </c>
      <c r="BA65" s="20">
        <f t="shared" si="25"/>
        <v>0</v>
      </c>
      <c r="BB65" s="20">
        <f>SUM(BC65*2) + (BD65*1) + SUMIFS(MATCH_INPUT!$G$18:$G$21, MATCH_INPUT!$F$18:$F$21, AY65) + SUMIFS(MATCH_INPUT!$I$18:$I$21, MATCH_INPUT!$J$18:$J$21, AY65)
</f>
        <v>0</v>
      </c>
      <c r="BC65" s="20">
        <f>IF(AY65&lt;&gt;"",
    COUNTIFS(MATCH_INPUT!$K$18:$K$21,AY65),
0)</f>
        <v>0</v>
      </c>
      <c r="BD65" s="20">
        <f>IF(AY65&lt;&gt;"",
    COUNTIFS(MATCH_INPUT!$F$18:$F$21, AY65, MATCH_INPUT!$K$18:$K$21, "Draw") +
    COUNTIFS(MATCH_INPUT!$J$18:$J$21, AY65, MATCH_INPUT!$K$18:$K$21, "Draw"),
0)</f>
        <v>0</v>
      </c>
      <c r="BE65" s="20">
        <f>IF(AY65&lt;&gt;"",
    COUNTIFS(MATCH_INPUT!$F$18:$F$21, AY65, MATCH_INPUT!$K$18:$K$21, "&lt;&gt;"&amp;AY65, MATCH_INPUT!$K$18:$K$21, "&lt;&gt;Draw", MATCH_INPUT!$K$18:$K$21, "&lt;&gt;""") +
    COUNTIFS(MATCH_INPUT!$J$18:$J$21, AY65, MATCH_INPUT!$K$18:$K$21, "&lt;&gt;"&amp;AY65, MATCH_INPUT!$K$18:$K$21, "&lt;&gt;Draw", MATCH_INPUT!$K$18:$K$21, "&lt;&gt;"""),
0)</f>
        <v>0</v>
      </c>
      <c r="BF65" s="21" t="str">
        <f t="array" ref="BF65">IFERROR(INDEX(Form_Response!E:E, MATCH(1, (Form_Response!C:C='MATCH DATES'!$B$6)*(Form_Response!D:D=B65), 0)), "")
</f>
        <v/>
      </c>
      <c r="BG65" s="21">
        <f t="array" ref="BG65">IFERROR(IF(INDEX(Form_Response!F:F, MATCH(1, (Form_Response!C:C='MATCH DATES'!$B$6)*(Form_Response!D:D=B65), 0))="Yes", 1, 0), 0)
</f>
        <v>0</v>
      </c>
      <c r="BH65" s="30" t="str">
        <f t="array" ref="BH65">IFERROR(INDEX(Form_Response!G:G, MATCH(1, (Form_Response!C:C='MATCH DATES'!$B$6)*(Form_Response!D:D=B65), 0)), "")
</f>
        <v/>
      </c>
      <c r="BI65" s="23">
        <f t="shared" si="155"/>
        <v>11</v>
      </c>
      <c r="BJ65" s="24" t="str">
        <f t="shared" si="27"/>
        <v>↓</v>
      </c>
      <c r="BK65" s="34"/>
      <c r="BL65" s="26">
        <f t="shared" si="28"/>
        <v>0</v>
      </c>
      <c r="BM65" s="26">
        <f t="shared" si="29"/>
        <v>0</v>
      </c>
      <c r="BN65" s="26">
        <f>SUM(BO65*2) + (BP65*1) + SUMIFS(MATCH_INPUT!$G$22:$G$25, MATCH_INPUT!$F$22:$F$25, BK65) + SUMIFS(MATCH_INPUT!$I$22:$I$25, MATCH_INPUT!$J$22:$J$25, BK65)
</f>
        <v>0</v>
      </c>
      <c r="BO65" s="26">
        <f>IF(BK65&lt;&gt;"",
    COUNTIFS(MATCH_INPUT!$K$22:$K$25,BK65),
0)</f>
        <v>0</v>
      </c>
      <c r="BP65" s="26">
        <f>IF(BK65&lt;&gt;"",
    COUNTIFS(MATCH_INPUT!$F$22:$F$25, BK65, MATCH_INPUT!$K$22:$K$25, "Draw") +
    COUNTIFS(MATCH_INPUT!$J$22:$J$25, BK65, MATCH_INPUT!$K$22:$K$25, "Draw"),
0)</f>
        <v>0</v>
      </c>
      <c r="BQ65" s="26">
        <f>IF(BK65&lt;&gt;"",
    COUNTIFS(MATCH_INPUT!$F$22:$F$25, BK65, MATCH_INPUT!$K$22:$K$25, "&lt;&gt;"&amp;BK65, MATCH_INPUT!$K$22:$K$25, "&lt;&gt;Draw", MATCH_INPUT!$K$22:$K$25, "&lt;&gt;""") +
    COUNTIFS(MATCH_INPUT!$J$22:$J$25, BK65, MATCH_INPUT!$K$22:$K$25, "&lt;&gt;"&amp;BK65, MATCH_INPUT!$K$22:$K$25, "&lt;&gt;Draw", MATCH_INPUT!$K$22:$K$25, "&lt;&gt;"""),
0)</f>
        <v>0</v>
      </c>
      <c r="BR65" s="27"/>
      <c r="BS65" s="27"/>
      <c r="BT65" s="28"/>
      <c r="BU65" s="26">
        <f t="shared" si="156"/>
        <v>14</v>
      </c>
      <c r="BV65" s="29" t="str">
        <f t="shared" si="31"/>
        <v>↓</v>
      </c>
      <c r="BW65" s="35"/>
      <c r="BX65" s="23">
        <f t="shared" si="32"/>
        <v>0</v>
      </c>
      <c r="BY65" s="20">
        <f t="shared" si="33"/>
        <v>0</v>
      </c>
      <c r="BZ65" s="20">
        <f>SUM(CA65*2)+(CB65*1) + SUMIFS(MATCH_INPUT!$G$26:$G$29, MATCH_INPUT!$F$26:$F$29, BW65) + SUMIFS(MATCH_INPUT!$I$26:$I$29, MATCH_INPUT!$J$26:$J$29, BW65)
</f>
        <v>0</v>
      </c>
      <c r="CA65" s="20">
        <f>IF(BW65&lt;&gt;"",
    COUNTIFS(MATCH_INPUT!$K$26:$K$29,BW65),
0)</f>
        <v>0</v>
      </c>
      <c r="CB65" s="20">
        <f>IF(BW65&lt;&gt;"",
    COUNTIFS(MATCH_INPUT!$F$26:$F$29, BW65, MATCH_INPUT!$K$26:$K$29, "Draw") +
    COUNTIFS(MATCH_INPUT!$J$26:$J$29, BW65, MATCH_INPUT!$K$26:$K$29, "Draw"),
0)</f>
        <v>0</v>
      </c>
      <c r="CC65" s="20">
        <f>IF(BW65&lt;&gt;"",
    COUNTIFS(MATCH_INPUT!$F$26:$F$29, BW65, MATCH_INPUT!$K$26:$K$29, "&lt;&gt;"&amp;BW65, MATCH_INPUT!$K$26:$K$29, "&lt;&gt;Draw", MATCH_INPUT!$K$26:$K$29, "&lt;&gt;""") +
    COUNTIFS(MATCH_INPUT!$J$26:$J$29, BW65, MATCH_INPUT!$K$26:$K$29, "&lt;&gt;"&amp;BW65, MATCH_INPUT!$K$26:$K$29, "&lt;&gt;Draw", MATCH_INPUT!$K$26:$K$29, "&lt;&gt;"""),
0)</f>
        <v>0</v>
      </c>
      <c r="CD65" s="21"/>
      <c r="CE65" s="21"/>
      <c r="CF65" s="30"/>
      <c r="CG65" s="23">
        <f t="shared" si="157"/>
        <v>15</v>
      </c>
      <c r="CH65" s="24" t="str">
        <f t="shared" si="35"/>
        <v>↓</v>
      </c>
      <c r="CI65" s="25"/>
      <c r="CJ65" s="26">
        <f t="shared" si="36"/>
        <v>0</v>
      </c>
      <c r="CK65" s="26">
        <f t="shared" si="37"/>
        <v>0</v>
      </c>
      <c r="CL65" s="26">
        <f>SUM(CM65*2)+(CN65*1) + SUMIFS(MATCH_INPUT!$G$30:$G$33, MATCH_INPUT!$F$30:$F$33, CI65) + SUMIFS(MATCH_INPUT!$I$30:$I$33, MATCH_INPUT!$J$30:$J$33, CI65)
</f>
        <v>0</v>
      </c>
      <c r="CM65" s="26">
        <f>IF(CI65&lt;&gt;"",
    COUNTIFS(MATCH_INPUT!$K$30:$K$33,CI65),
0)</f>
        <v>0</v>
      </c>
      <c r="CN65" s="26">
        <f>IF(CI65&lt;&gt;"",
    COUNTIFS(MATCH_INPUT!$F$30:$F$33, CI65, MATCH_INPUT!$K$30:$K$33, "Draw") +
    COUNTIFS(MATCH_INPUT!$J$30:$J$33, CI65, MATCH_INPUT!$K$30:$K$33, "Draw"),
0)</f>
        <v>0</v>
      </c>
      <c r="CO65" s="26">
        <f>IF(CI65&lt;&gt;"",
    COUNTIFS(MATCH_INPUT!$F$30:$F$33, CI65, MATCH_INPUT!$K$30:$K$33, "&lt;&gt;"&amp;CI65, MATCH_INPUT!$K$30:$K$33, "&lt;&gt;Draw", MATCH_INPUT!$K$30:$K$33, "&lt;&gt;""") +
    COUNTIFS(MATCH_INPUT!$J$30:$J$33, CI65, MATCH_INPUT!$K$30:$K$33, "&lt;&gt;"&amp;CI65, MATCH_INPUT!$K$30:$K$33, "&lt;&gt;Draw", MATCH_INPUT!$K$30:$K$33, "&lt;&gt;"""),
0)</f>
        <v>0</v>
      </c>
      <c r="CP65" s="27" t="str">
        <f t="array" ref="CP65">IFERROR(INDEX(Form_Response!E:E, MATCH(1, (Form_Response!C:C='MATCH DATES'!$B$9)*(Form_Response!D:D=B65), 0)), "")
</f>
        <v/>
      </c>
      <c r="CQ65" s="27">
        <f t="array" ref="CQ65">IFERROR(IF(INDEX(Form_Response!F:F, MATCH(1, (Form_Response!C:C='MATCH DATES'!$B$9)*(Form_Response!D:D=B65), 0))="Yes", 1, 0), 0)
</f>
        <v>0</v>
      </c>
      <c r="CR65" s="28" t="str">
        <f t="array" ref="CR65">IFERROR(INDEX(Form_Response!G:G, MATCH(1, (Form_Response!C:C='MATCH DATES'!$B$9)*(Form_Response!D:D=B65), 0)), "")
</f>
        <v/>
      </c>
      <c r="CS65" s="31">
        <f t="shared" si="158"/>
        <v>18</v>
      </c>
      <c r="CT65" s="31" t="str">
        <f t="shared" si="39"/>
        <v>↓</v>
      </c>
      <c r="CU65" s="32">
        <f t="shared" si="40"/>
        <v>0</v>
      </c>
      <c r="CV65" s="32" t="str">
        <f t="shared" ref="CV65:CW65" si="234">A65</f>
        <v/>
      </c>
      <c r="CW65" s="33" t="str">
        <f t="shared" si="234"/>
        <v/>
      </c>
      <c r="CX65" s="33">
        <f t="shared" si="42"/>
        <v>0</v>
      </c>
      <c r="CY65" s="32">
        <f>SUM(
  IF(AND('MATCH DATES'!$A$2 &lt;= TODAY(), NOW() &gt;= 'MATCH DATES'!$A$2 + TIME(22, 0, 0)), E65, 0),
  IF(AND('MATCH DATES'!$A$3 &lt;= TODAY(), NOW() &gt;= 'MATCH DATES'!$A$3 + TIME(22, 0, 0)), Q65, 0),
  IF(AND('MATCH DATES'!$A$4 &lt;= TODAY(), NOW() &gt;= 'MATCH DATES'!$A$4 + TIME(22, 0, 0)), AC65, 0),
  IF(AND('MATCH DATES'!$A$5 &lt;= TODAY(), NOW() &gt;= 'MATCH DATES'!$A$5 + TIME(22, 0, 0)), AO65, 0),
  IF(AND('MATCH DATES'!$A$6 &lt;= TODAY(), NOW() &gt;= 'MATCH DATES'!$A$6 + TIME(22, 0, 0)), BA65, 0),
  IF(AND('MATCH DATES'!$A$7 &lt;= TODAY(), NOW() &gt;= 'MATCH DATES'!$A$7 + TIME(22, 0, 0)), BM65, 0),
  IF(AND('MATCH DATES'!$A$8 &lt;= TODAY(), NOW() &gt;= 'MATCH DATES'!$A$8 + TIME(22, 0, 0)), BY65, 0),
  IF(AND('MATCH DATES'!$A$9 &lt;= TODAY(), NOW() &gt;= 'MATCH DATES'!$A$9 + TIME(22, 0, 0)), CK65, 0)
)
</f>
        <v>0</v>
      </c>
      <c r="CZ65" s="33">
        <f t="shared" ref="CZ65:DA65" si="235">SUM(G65,S65,AE65,AQ65,BC65,BO65,CA65,CM65)</f>
        <v>0</v>
      </c>
      <c r="DA65" s="33">
        <f t="shared" si="235"/>
        <v>0</v>
      </c>
      <c r="DB65" s="33">
        <f>SUM(
  IF(AND('MATCH DATES'!$A$2 &lt;= TODAY(), NOW() &gt;= 'MATCH DATES'!$A$2 + TIME(22, 0, 0)), I65, 0),
  IF(AND('MATCH DATES'!$A$3 &lt;= TODAY(), NOW() &gt;= 'MATCH DATES'!$A$3 + TIME(22, 0, 0)), U65, 0),
  IF(AND('MATCH DATES'!$A$4 &lt;= TODAY(), NOW() &gt;= 'MATCH DATES'!$A$4 + TIME(22, 0, 0)), AG65, 0),
  IF(AND('MATCH DATES'!$A$5 &lt;= TODAY(), NOW() &gt;= 'MATCH DATES'!$A$5 + TIME(22, 0, 0)), AS65, 0),
  IF(AND('MATCH DATES'!$A$6 &lt;= TODAY(), NOW() &gt;= 'MATCH DATES'!$A$6 + TIME(22, 0, 0)), BE65, 0),
  IF(AND('MATCH DATES'!$A$7 &lt;= TODAY(), NOW() &gt;= 'MATCH DATES'!$A$7 + TIME(22, 0, 0)), BQ65, 0),
  IF(AND('MATCH DATES'!$A$8 &lt;= TODAY(), NOW() &gt;= 'MATCH DATES'!$A$8 + TIME(22, 0, 0)), CC65, 0),
  IF(AND('MATCH DATES'!$A$9 &lt;= TODAY(), NOW() &gt;= 'MATCH DATES'!$A$9 + TIME(22, 0, 0)), CO65, 0)
)</f>
        <v>0</v>
      </c>
      <c r="DC65" s="33">
        <f t="shared" si="44"/>
        <v>0</v>
      </c>
      <c r="DD65" s="33">
        <f t="shared" ref="DD65:DE65" si="236">SUM(K65,W65,AI65,AU65,BG65,BS65,CE65,CQ65)</f>
        <v>0</v>
      </c>
      <c r="DE65" s="33">
        <f t="shared" si="236"/>
        <v>0</v>
      </c>
    </row>
    <row r="66" ht="24.75" customHeight="1">
      <c r="A66" s="31"/>
      <c r="B66" s="39"/>
      <c r="C66" s="35"/>
      <c r="D66" s="20">
        <f t="shared" si="4"/>
        <v>0</v>
      </c>
      <c r="E66" s="20">
        <f t="shared" si="5"/>
        <v>0</v>
      </c>
      <c r="F66" s="20">
        <f t="shared" si="6"/>
        <v>0</v>
      </c>
      <c r="G66" s="20">
        <f>IF(C66&lt;&gt;"",
    COUNTIFS(MATCH_INPUT!$K$2:$K$5,C66),
0)</f>
        <v>0</v>
      </c>
      <c r="H66" s="20">
        <f>IF(C66&lt;&gt;"",
    COUNTIFS(MATCH_INPUT!$F$2:$F$5, C66, MATCH_INPUT!$K$2:$K$5, "Draw") +
    COUNTIFS(MATCH_INPUT!$J$2:$J$5, C66, MATCH_INPUT!$K$2:$K$5, "Draw"),
0)</f>
        <v>0</v>
      </c>
      <c r="I66" s="20">
        <f>IF(C66&lt;&gt;"",
    COUNTIFS(MATCH_INPUT!$F$2:$F$5, C66, MATCH_INPUT!$K$2:$K$5, "&lt;&gt;"&amp;C66, MATCH_INPUT!$K$2:$K$5, "&lt;&gt;Draw", MATCH_INPUT!$K$2:$K$5, "&lt;&gt;""") +
    COUNTIFS(MATCH_INPUT!$J$2:$J$5, C66, MATCH_INPUT!$K$2:$K$5, "&lt;&gt;"&amp;C66, MATCH_INPUT!$K$2:$K$5, "&lt;&gt;Draw", MATCH_INPUT!$K$2:$K$5, "&lt;&gt;"""),
0)</f>
        <v>0</v>
      </c>
      <c r="J66" s="21"/>
      <c r="K66" s="21"/>
      <c r="L66" s="22"/>
      <c r="M66" s="23">
        <f t="shared" si="151"/>
        <v>4</v>
      </c>
      <c r="N66" s="24" t="str">
        <f t="shared" si="8"/>
        <v>↓</v>
      </c>
      <c r="O66" s="25"/>
      <c r="P66" s="26">
        <f t="shared" si="9"/>
        <v>0</v>
      </c>
      <c r="Q66" s="26">
        <f t="shared" si="10"/>
        <v>0</v>
      </c>
      <c r="R66" s="26">
        <f t="shared" si="11"/>
        <v>0</v>
      </c>
      <c r="S66" s="26">
        <f>IF(O66&lt;&gt;"",
    COUNTIFS(MATCH_INPUT!$K$6:$K$9,O66),
0)</f>
        <v>0</v>
      </c>
      <c r="T66" s="26">
        <f>IF(O66&lt;&gt;"",
    COUNTIFS(MATCH_INPUT!$F$6:$F$9, O66, MATCH_INPUT!$K$6:$K$9, "Draw") +
    COUNTIFS(MATCH_INPUT!$J$6:$J$9, O66, MATCH_INPUT!$K$6:$K$9, "Draw"),
0)</f>
        <v>0</v>
      </c>
      <c r="U66" s="26">
        <f>IF(O66&lt;&gt;"",
    COUNTIFS(MATCH_INPUT!$F$6:$F$9, O66, MATCH_INPUT!$K$6:$K$9, "&lt;&gt;"&amp;O66, MATCH_INPUT!$K$6:$K$9, "&lt;&gt;Draw", MATCH_INPUT!$K$6:$K$9, "&lt;&gt;""") +
    COUNTIFS(MATCH_INPUT!$J$6:$J$9, O66, MATCH_INPUT!$K$6:$K$9, "&lt;&gt;"&amp;O66, MATCH_INPUT!$K$6:$K$9, "&lt;&gt;Draw", MATCH_INPUT!$K$6:$K$9, "&lt;&gt;"""),
0)</f>
        <v>0</v>
      </c>
      <c r="V66" s="27"/>
      <c r="W66" s="27"/>
      <c r="X66" s="28"/>
      <c r="Y66" s="26">
        <f t="shared" si="152"/>
        <v>7</v>
      </c>
      <c r="Z66" s="29" t="str">
        <f t="shared" si="13"/>
        <v>↓</v>
      </c>
      <c r="AA66" s="19"/>
      <c r="AB66" s="23">
        <f t="shared" si="14"/>
        <v>0</v>
      </c>
      <c r="AC66" s="20">
        <f t="shared" si="15"/>
        <v>0</v>
      </c>
      <c r="AD66" s="20">
        <f t="shared" si="16"/>
        <v>0</v>
      </c>
      <c r="AE66" s="20">
        <f>IF(AA66&lt;&gt;"",
    COUNTIFS(MATCH_INPUT!$K$10:$K$13,AA66),
0)</f>
        <v>0</v>
      </c>
      <c r="AF66" s="20">
        <f>IF(AA66&lt;&gt;"",
    COUNTIFS(MATCH_INPUT!$F$10:$F$13, AA66, MATCH_INPUT!$K$10:$K$13, "Draw") +
    COUNTIFS(MATCH_INPUT!$J$10:$J$13, AA66, MATCH_INPUT!$K$10:$K$13, "Draw"),
0)</f>
        <v>0</v>
      </c>
      <c r="AG66" s="20">
        <f>IF(AA66&lt;&gt;"",
    COUNTIFS(MATCH_INPUT!$F$10:$F$13, AA66, MATCH_INPUT!$K$10:$K$13, "&lt;&gt;"&amp;AA66, MATCH_INPUT!$K$10:$K$13, "&lt;&gt;Draw", MATCH_INPUT!$K$10:$K$13, "&lt;&gt;""") +
    COUNTIFS(MATCH_INPUT!$J$10:$J$13, AA66, MATCH_INPUT!$K$10:$K$13, "&lt;&gt;"&amp;AA66, MATCH_INPUT!$K$10:$K$13, "&lt;&gt;Draw", MATCH_INPUT!$K$10:$K$13, "&lt;&gt;"""),
0)</f>
        <v>0</v>
      </c>
      <c r="AH66" s="21"/>
      <c r="AI66" s="21"/>
      <c r="AJ66" s="30"/>
      <c r="AK66" s="23">
        <f t="shared" si="153"/>
        <v>8</v>
      </c>
      <c r="AL66" s="24" t="str">
        <f t="shared" si="18"/>
        <v>↓</v>
      </c>
      <c r="AM66" s="25"/>
      <c r="AN66" s="26">
        <f t="shared" si="19"/>
        <v>0</v>
      </c>
      <c r="AO66" s="26">
        <f t="shared" si="20"/>
        <v>0</v>
      </c>
      <c r="AP66" s="26">
        <f t="shared" si="21"/>
        <v>0</v>
      </c>
      <c r="AQ66" s="26">
        <f>IF(AM66&lt;&gt;"",
    COUNTIFS(MATCH_INPUT!$K$14:$K$17,AM66),
0)</f>
        <v>0</v>
      </c>
      <c r="AR66" s="26">
        <f>IF(AM66&lt;&gt;"",
    COUNTIFS(MATCH_INPUT!$F$14:$F$17, AM66, MATCH_INPUT!$K$14:$K$17, "Draw") +
    COUNTIFS(MATCH_INPUT!$J$14:$J$17, AM66, MATCH_INPUT!$K$14:$K$17, "Draw"),
0)</f>
        <v>0</v>
      </c>
      <c r="AS66" s="26">
        <f>IF(AM66&lt;&gt;"",
    COUNTIFS(MATCH_INPUT!$F$14:$F$17, AM66, MATCH_INPUT!$K$14:$K$17, "&lt;&gt;"&amp;AM66, MATCH_INPUT!$K$14:$K$17, "&lt;&gt;Draw", MATCH_INPUT!$K$14:$K$17, "&lt;&gt;""") +
    COUNTIFS(MATCH_INPUT!$J$14:$J$17, AM66, MATCH_INPUT!$K$14:$K$17, "&lt;&gt;"&amp;AM66, MATCH_INPUT!$K$14:$K$17, "&lt;&gt;Draw", MATCH_INPUT!$K$14:$K$17, "&lt;&gt;"""),
0)</f>
        <v>0</v>
      </c>
      <c r="AT66" s="27"/>
      <c r="AU66" s="27"/>
      <c r="AV66" s="28"/>
      <c r="AW66" s="26">
        <f t="shared" si="154"/>
        <v>10</v>
      </c>
      <c r="AX66" s="29" t="str">
        <f t="shared" si="23"/>
        <v>↓</v>
      </c>
      <c r="AY66" s="19"/>
      <c r="AZ66" s="23">
        <f t="shared" si="24"/>
        <v>0</v>
      </c>
      <c r="BA66" s="20">
        <f t="shared" si="25"/>
        <v>0</v>
      </c>
      <c r="BB66" s="20">
        <f>SUM(BC66*2) + (BD66*1) + SUMIFS(MATCH_INPUT!$G$18:$G$21, MATCH_INPUT!$F$18:$F$21, AY66) + SUMIFS(MATCH_INPUT!$I$18:$I$21, MATCH_INPUT!$J$18:$J$21, AY66)
</f>
        <v>0</v>
      </c>
      <c r="BC66" s="20">
        <f>IF(AY66&lt;&gt;"",
    COUNTIFS(MATCH_INPUT!$K$18:$K$21,AY66),
0)</f>
        <v>0</v>
      </c>
      <c r="BD66" s="20">
        <f>IF(AY66&lt;&gt;"",
    COUNTIFS(MATCH_INPUT!$F$18:$F$21, AY66, MATCH_INPUT!$K$18:$K$21, "Draw") +
    COUNTIFS(MATCH_INPUT!$J$18:$J$21, AY66, MATCH_INPUT!$K$18:$K$21, "Draw"),
0)</f>
        <v>0</v>
      </c>
      <c r="BE66" s="20">
        <f>IF(AY66&lt;&gt;"",
    COUNTIFS(MATCH_INPUT!$F$18:$F$21, AY66, MATCH_INPUT!$K$18:$K$21, "&lt;&gt;"&amp;AY66, MATCH_INPUT!$K$18:$K$21, "&lt;&gt;Draw", MATCH_INPUT!$K$18:$K$21, "&lt;&gt;""") +
    COUNTIFS(MATCH_INPUT!$J$18:$J$21, AY66, MATCH_INPUT!$K$18:$K$21, "&lt;&gt;"&amp;AY66, MATCH_INPUT!$K$18:$K$21, "&lt;&gt;Draw", MATCH_INPUT!$K$18:$K$21, "&lt;&gt;"""),
0)</f>
        <v>0</v>
      </c>
      <c r="BF66" s="21" t="str">
        <f t="array" ref="BF66">IFERROR(INDEX(Form_Response!E:E, MATCH(1, (Form_Response!C:C='MATCH DATES'!$B$6)*(Form_Response!D:D=B66), 0)), "")
</f>
        <v/>
      </c>
      <c r="BG66" s="21">
        <f t="array" ref="BG66">IFERROR(IF(INDEX(Form_Response!F:F, MATCH(1, (Form_Response!C:C='MATCH DATES'!$B$6)*(Form_Response!D:D=B66), 0))="Yes", 1, 0), 0)
</f>
        <v>0</v>
      </c>
      <c r="BH66" s="30" t="str">
        <f t="array" ref="BH66">IFERROR(INDEX(Form_Response!G:G, MATCH(1, (Form_Response!C:C='MATCH DATES'!$B$6)*(Form_Response!D:D=B66), 0)), "")
</f>
        <v/>
      </c>
      <c r="BI66" s="23">
        <f t="shared" si="155"/>
        <v>11</v>
      </c>
      <c r="BJ66" s="24" t="str">
        <f t="shared" si="27"/>
        <v>↓</v>
      </c>
      <c r="BK66" s="34"/>
      <c r="BL66" s="26">
        <f t="shared" si="28"/>
        <v>0</v>
      </c>
      <c r="BM66" s="26">
        <f t="shared" si="29"/>
        <v>0</v>
      </c>
      <c r="BN66" s="26">
        <f>SUM(BO66*2) + (BP66*1) + SUMIFS(MATCH_INPUT!$G$22:$G$25, MATCH_INPUT!$F$22:$F$25, BK66) + SUMIFS(MATCH_INPUT!$I$22:$I$25, MATCH_INPUT!$J$22:$J$25, BK66)
</f>
        <v>0</v>
      </c>
      <c r="BO66" s="26">
        <f>IF(BK66&lt;&gt;"",
    COUNTIFS(MATCH_INPUT!$K$22:$K$25,BK66),
0)</f>
        <v>0</v>
      </c>
      <c r="BP66" s="26">
        <f>IF(BK66&lt;&gt;"",
    COUNTIFS(MATCH_INPUT!$F$22:$F$25, BK66, MATCH_INPUT!$K$22:$K$25, "Draw") +
    COUNTIFS(MATCH_INPUT!$J$22:$J$25, BK66, MATCH_INPUT!$K$22:$K$25, "Draw"),
0)</f>
        <v>0</v>
      </c>
      <c r="BQ66" s="26">
        <f>IF(BK66&lt;&gt;"",
    COUNTIFS(MATCH_INPUT!$F$22:$F$25, BK66, MATCH_INPUT!$K$22:$K$25, "&lt;&gt;"&amp;BK66, MATCH_INPUT!$K$22:$K$25, "&lt;&gt;Draw", MATCH_INPUT!$K$22:$K$25, "&lt;&gt;""") +
    COUNTIFS(MATCH_INPUT!$J$22:$J$25, BK66, MATCH_INPUT!$K$22:$K$25, "&lt;&gt;"&amp;BK66, MATCH_INPUT!$K$22:$K$25, "&lt;&gt;Draw", MATCH_INPUT!$K$22:$K$25, "&lt;&gt;"""),
0)</f>
        <v>0</v>
      </c>
      <c r="BR66" s="27"/>
      <c r="BS66" s="27"/>
      <c r="BT66" s="28"/>
      <c r="BU66" s="26">
        <f t="shared" si="156"/>
        <v>14</v>
      </c>
      <c r="BV66" s="29" t="str">
        <f t="shared" si="31"/>
        <v>↓</v>
      </c>
      <c r="BW66" s="35"/>
      <c r="BX66" s="23">
        <f t="shared" si="32"/>
        <v>0</v>
      </c>
      <c r="BY66" s="20">
        <f t="shared" si="33"/>
        <v>0</v>
      </c>
      <c r="BZ66" s="20">
        <f>SUM(CA66*2)+(CB66*1) + SUMIFS(MATCH_INPUT!$G$26:$G$29, MATCH_INPUT!$F$26:$F$29, BW66) + SUMIFS(MATCH_INPUT!$I$26:$I$29, MATCH_INPUT!$J$26:$J$29, BW66)
</f>
        <v>0</v>
      </c>
      <c r="CA66" s="20">
        <f>IF(BW66&lt;&gt;"",
    COUNTIFS(MATCH_INPUT!$K$26:$K$29,BW66),
0)</f>
        <v>0</v>
      </c>
      <c r="CB66" s="20">
        <f>IF(BW66&lt;&gt;"",
    COUNTIFS(MATCH_INPUT!$F$26:$F$29, BW66, MATCH_INPUT!$K$26:$K$29, "Draw") +
    COUNTIFS(MATCH_INPUT!$J$26:$J$29, BW66, MATCH_INPUT!$K$26:$K$29, "Draw"),
0)</f>
        <v>0</v>
      </c>
      <c r="CC66" s="20">
        <f>IF(BW66&lt;&gt;"",
    COUNTIFS(MATCH_INPUT!$F$26:$F$29, BW66, MATCH_INPUT!$K$26:$K$29, "&lt;&gt;"&amp;BW66, MATCH_INPUT!$K$26:$K$29, "&lt;&gt;Draw", MATCH_INPUT!$K$26:$K$29, "&lt;&gt;""") +
    COUNTIFS(MATCH_INPUT!$J$26:$J$29, BW66, MATCH_INPUT!$K$26:$K$29, "&lt;&gt;"&amp;BW66, MATCH_INPUT!$K$26:$K$29, "&lt;&gt;Draw", MATCH_INPUT!$K$26:$K$29, "&lt;&gt;"""),
0)</f>
        <v>0</v>
      </c>
      <c r="CD66" s="21"/>
      <c r="CE66" s="21"/>
      <c r="CF66" s="30"/>
      <c r="CG66" s="23">
        <f t="shared" si="157"/>
        <v>15</v>
      </c>
      <c r="CH66" s="24" t="str">
        <f t="shared" si="35"/>
        <v>↓</v>
      </c>
      <c r="CI66" s="25"/>
      <c r="CJ66" s="26">
        <f t="shared" si="36"/>
        <v>0</v>
      </c>
      <c r="CK66" s="26">
        <f t="shared" si="37"/>
        <v>0</v>
      </c>
      <c r="CL66" s="26">
        <f>SUM(CM66*2)+(CN66*1) + SUMIFS(MATCH_INPUT!$G$30:$G$33, MATCH_INPUT!$F$30:$F$33, CI66) + SUMIFS(MATCH_INPUT!$I$30:$I$33, MATCH_INPUT!$J$30:$J$33, CI66)
</f>
        <v>0</v>
      </c>
      <c r="CM66" s="26">
        <f>IF(CI66&lt;&gt;"",
    COUNTIFS(MATCH_INPUT!$K$30:$K$33,CI66),
0)</f>
        <v>0</v>
      </c>
      <c r="CN66" s="26">
        <f>IF(CI66&lt;&gt;"",
    COUNTIFS(MATCH_INPUT!$F$30:$F$33, CI66, MATCH_INPUT!$K$30:$K$33, "Draw") +
    COUNTIFS(MATCH_INPUT!$J$30:$J$33, CI66, MATCH_INPUT!$K$30:$K$33, "Draw"),
0)</f>
        <v>0</v>
      </c>
      <c r="CO66" s="26">
        <f>IF(CI66&lt;&gt;"",
    COUNTIFS(MATCH_INPUT!$F$30:$F$33, CI66, MATCH_INPUT!$K$30:$K$33, "&lt;&gt;"&amp;CI66, MATCH_INPUT!$K$30:$K$33, "&lt;&gt;Draw", MATCH_INPUT!$K$30:$K$33, "&lt;&gt;""") +
    COUNTIFS(MATCH_INPUT!$J$30:$J$33, CI66, MATCH_INPUT!$K$30:$K$33, "&lt;&gt;"&amp;CI66, MATCH_INPUT!$K$30:$K$33, "&lt;&gt;Draw", MATCH_INPUT!$K$30:$K$33, "&lt;&gt;"""),
0)</f>
        <v>0</v>
      </c>
      <c r="CP66" s="27" t="str">
        <f t="array" ref="CP66">IFERROR(INDEX(Form_Response!E:E, MATCH(1, (Form_Response!C:C='MATCH DATES'!$B$9)*(Form_Response!D:D=B66), 0)), "")
</f>
        <v/>
      </c>
      <c r="CQ66" s="27">
        <f t="array" ref="CQ66">IFERROR(IF(INDEX(Form_Response!F:F, MATCH(1, (Form_Response!C:C='MATCH DATES'!$B$9)*(Form_Response!D:D=B66), 0))="Yes", 1, 0), 0)
</f>
        <v>0</v>
      </c>
      <c r="CR66" s="28" t="str">
        <f t="array" ref="CR66">IFERROR(INDEX(Form_Response!G:G, MATCH(1, (Form_Response!C:C='MATCH DATES'!$B$9)*(Form_Response!D:D=B66), 0)), "")
</f>
        <v/>
      </c>
      <c r="CS66" s="31">
        <f t="shared" si="158"/>
        <v>18</v>
      </c>
      <c r="CT66" s="31" t="str">
        <f t="shared" si="39"/>
        <v>↓</v>
      </c>
      <c r="CU66" s="32">
        <f t="shared" si="40"/>
        <v>0</v>
      </c>
      <c r="CV66" s="32" t="str">
        <f t="shared" ref="CV66:CW66" si="237">A66</f>
        <v/>
      </c>
      <c r="CW66" s="33" t="str">
        <f t="shared" si="237"/>
        <v/>
      </c>
      <c r="CX66" s="33">
        <f t="shared" si="42"/>
        <v>0</v>
      </c>
      <c r="CY66" s="32">
        <f>SUM(
  IF(AND('MATCH DATES'!$A$2 &lt;= TODAY(), NOW() &gt;= 'MATCH DATES'!$A$2 + TIME(22, 0, 0)), E66, 0),
  IF(AND('MATCH DATES'!$A$3 &lt;= TODAY(), NOW() &gt;= 'MATCH DATES'!$A$3 + TIME(22, 0, 0)), Q66, 0),
  IF(AND('MATCH DATES'!$A$4 &lt;= TODAY(), NOW() &gt;= 'MATCH DATES'!$A$4 + TIME(22, 0, 0)), AC66, 0),
  IF(AND('MATCH DATES'!$A$5 &lt;= TODAY(), NOW() &gt;= 'MATCH DATES'!$A$5 + TIME(22, 0, 0)), AO66, 0),
  IF(AND('MATCH DATES'!$A$6 &lt;= TODAY(), NOW() &gt;= 'MATCH DATES'!$A$6 + TIME(22, 0, 0)), BA66, 0),
  IF(AND('MATCH DATES'!$A$7 &lt;= TODAY(), NOW() &gt;= 'MATCH DATES'!$A$7 + TIME(22, 0, 0)), BM66, 0),
  IF(AND('MATCH DATES'!$A$8 &lt;= TODAY(), NOW() &gt;= 'MATCH DATES'!$A$8 + TIME(22, 0, 0)), BY66, 0),
  IF(AND('MATCH DATES'!$A$9 &lt;= TODAY(), NOW() &gt;= 'MATCH DATES'!$A$9 + TIME(22, 0, 0)), CK66, 0)
)
</f>
        <v>0</v>
      </c>
      <c r="CZ66" s="33">
        <f t="shared" ref="CZ66:DA66" si="238">SUM(G66,S66,AE66,AQ66,BC66,BO66,CA66,CM66)</f>
        <v>0</v>
      </c>
      <c r="DA66" s="33">
        <f t="shared" si="238"/>
        <v>0</v>
      </c>
      <c r="DB66" s="33">
        <f>SUM(
  IF(AND('MATCH DATES'!$A$2 &lt;= TODAY(), NOW() &gt;= 'MATCH DATES'!$A$2 + TIME(22, 0, 0)), I66, 0),
  IF(AND('MATCH DATES'!$A$3 &lt;= TODAY(), NOW() &gt;= 'MATCH DATES'!$A$3 + TIME(22, 0, 0)), U66, 0),
  IF(AND('MATCH DATES'!$A$4 &lt;= TODAY(), NOW() &gt;= 'MATCH DATES'!$A$4 + TIME(22, 0, 0)), AG66, 0),
  IF(AND('MATCH DATES'!$A$5 &lt;= TODAY(), NOW() &gt;= 'MATCH DATES'!$A$5 + TIME(22, 0, 0)), AS66, 0),
  IF(AND('MATCH DATES'!$A$6 &lt;= TODAY(), NOW() &gt;= 'MATCH DATES'!$A$6 + TIME(22, 0, 0)), BE66, 0),
  IF(AND('MATCH DATES'!$A$7 &lt;= TODAY(), NOW() &gt;= 'MATCH DATES'!$A$7 + TIME(22, 0, 0)), BQ66, 0),
  IF(AND('MATCH DATES'!$A$8 &lt;= TODAY(), NOW() &gt;= 'MATCH DATES'!$A$8 + TIME(22, 0, 0)), CC66, 0),
  IF(AND('MATCH DATES'!$A$9 &lt;= TODAY(), NOW() &gt;= 'MATCH DATES'!$A$9 + TIME(22, 0, 0)), CO66, 0)
)</f>
        <v>0</v>
      </c>
      <c r="DC66" s="33">
        <f t="shared" si="44"/>
        <v>0</v>
      </c>
      <c r="DD66" s="33">
        <f t="shared" ref="DD66:DE66" si="239">SUM(K66,W66,AI66,AU66,BG66,BS66,CE66,CQ66)</f>
        <v>0</v>
      </c>
      <c r="DE66" s="33">
        <f t="shared" si="239"/>
        <v>0</v>
      </c>
    </row>
    <row r="67" ht="24.75" customHeight="1">
      <c r="A67" s="31"/>
      <c r="B67" s="39"/>
      <c r="C67" s="35"/>
      <c r="D67" s="20">
        <f t="shared" si="4"/>
        <v>0</v>
      </c>
      <c r="E67" s="20">
        <f t="shared" si="5"/>
        <v>0</v>
      </c>
      <c r="F67" s="20">
        <f t="shared" si="6"/>
        <v>0</v>
      </c>
      <c r="G67" s="20">
        <f>IF(C67&lt;&gt;"",
    COUNTIFS(MATCH_INPUT!$K$2:$K$5,C67),
0)</f>
        <v>0</v>
      </c>
      <c r="H67" s="20">
        <f>IF(C67&lt;&gt;"",
    COUNTIFS(MATCH_INPUT!$F$2:$F$5, C67, MATCH_INPUT!$K$2:$K$5, "Draw") +
    COUNTIFS(MATCH_INPUT!$J$2:$J$5, C67, MATCH_INPUT!$K$2:$K$5, "Draw"),
0)</f>
        <v>0</v>
      </c>
      <c r="I67" s="20">
        <f>IF(C67&lt;&gt;"",
    COUNTIFS(MATCH_INPUT!$F$2:$F$5, C67, MATCH_INPUT!$K$2:$K$5, "&lt;&gt;"&amp;C67, MATCH_INPUT!$K$2:$K$5, "&lt;&gt;Draw", MATCH_INPUT!$K$2:$K$5, "&lt;&gt;""") +
    COUNTIFS(MATCH_INPUT!$J$2:$J$5, C67, MATCH_INPUT!$K$2:$K$5, "&lt;&gt;"&amp;C67, MATCH_INPUT!$K$2:$K$5, "&lt;&gt;Draw", MATCH_INPUT!$K$2:$K$5, "&lt;&gt;"""),
0)</f>
        <v>0</v>
      </c>
      <c r="J67" s="21"/>
      <c r="K67" s="21"/>
      <c r="L67" s="22"/>
      <c r="M67" s="23">
        <f t="shared" si="151"/>
        <v>4</v>
      </c>
      <c r="N67" s="24" t="str">
        <f t="shared" si="8"/>
        <v>↓</v>
      </c>
      <c r="O67" s="25"/>
      <c r="P67" s="26">
        <f t="shared" si="9"/>
        <v>0</v>
      </c>
      <c r="Q67" s="26">
        <f t="shared" si="10"/>
        <v>0</v>
      </c>
      <c r="R67" s="26">
        <f t="shared" si="11"/>
        <v>0</v>
      </c>
      <c r="S67" s="26">
        <f>IF(O67&lt;&gt;"",
    COUNTIFS(MATCH_INPUT!$K$6:$K$9,O67),
0)</f>
        <v>0</v>
      </c>
      <c r="T67" s="26">
        <f>IF(O67&lt;&gt;"",
    COUNTIFS(MATCH_INPUT!$F$6:$F$9, O67, MATCH_INPUT!$K$6:$K$9, "Draw") +
    COUNTIFS(MATCH_INPUT!$J$6:$J$9, O67, MATCH_INPUT!$K$6:$K$9, "Draw"),
0)</f>
        <v>0</v>
      </c>
      <c r="U67" s="26">
        <f>IF(O67&lt;&gt;"",
    COUNTIFS(MATCH_INPUT!$F$6:$F$9, O67, MATCH_INPUT!$K$6:$K$9, "&lt;&gt;"&amp;O67, MATCH_INPUT!$K$6:$K$9, "&lt;&gt;Draw", MATCH_INPUT!$K$6:$K$9, "&lt;&gt;""") +
    COUNTIFS(MATCH_INPUT!$J$6:$J$9, O67, MATCH_INPUT!$K$6:$K$9, "&lt;&gt;"&amp;O67, MATCH_INPUT!$K$6:$K$9, "&lt;&gt;Draw", MATCH_INPUT!$K$6:$K$9, "&lt;&gt;"""),
0)</f>
        <v>0</v>
      </c>
      <c r="V67" s="27"/>
      <c r="W67" s="27"/>
      <c r="X67" s="28"/>
      <c r="Y67" s="26">
        <f t="shared" si="152"/>
        <v>7</v>
      </c>
      <c r="Z67" s="29" t="str">
        <f t="shared" si="13"/>
        <v>↓</v>
      </c>
      <c r="AA67" s="19"/>
      <c r="AB67" s="23">
        <f t="shared" si="14"/>
        <v>0</v>
      </c>
      <c r="AC67" s="20">
        <f t="shared" si="15"/>
        <v>0</v>
      </c>
      <c r="AD67" s="20">
        <f t="shared" si="16"/>
        <v>0</v>
      </c>
      <c r="AE67" s="20">
        <f>IF(AA67&lt;&gt;"",
    COUNTIFS(MATCH_INPUT!$K$10:$K$13,AA67),
0)</f>
        <v>0</v>
      </c>
      <c r="AF67" s="20">
        <f>IF(AA67&lt;&gt;"",
    COUNTIFS(MATCH_INPUT!$F$10:$F$13, AA67, MATCH_INPUT!$K$10:$K$13, "Draw") +
    COUNTIFS(MATCH_INPUT!$J$10:$J$13, AA67, MATCH_INPUT!$K$10:$K$13, "Draw"),
0)</f>
        <v>0</v>
      </c>
      <c r="AG67" s="20">
        <f>IF(AA67&lt;&gt;"",
    COUNTIFS(MATCH_INPUT!$F$10:$F$13, AA67, MATCH_INPUT!$K$10:$K$13, "&lt;&gt;"&amp;AA67, MATCH_INPUT!$K$10:$K$13, "&lt;&gt;Draw", MATCH_INPUT!$K$10:$K$13, "&lt;&gt;""") +
    COUNTIFS(MATCH_INPUT!$J$10:$J$13, AA67, MATCH_INPUT!$K$10:$K$13, "&lt;&gt;"&amp;AA67, MATCH_INPUT!$K$10:$K$13, "&lt;&gt;Draw", MATCH_INPUT!$K$10:$K$13, "&lt;&gt;"""),
0)</f>
        <v>0</v>
      </c>
      <c r="AH67" s="21"/>
      <c r="AI67" s="21"/>
      <c r="AJ67" s="30"/>
      <c r="AK67" s="23">
        <f t="shared" si="153"/>
        <v>8</v>
      </c>
      <c r="AL67" s="24" t="str">
        <f t="shared" si="18"/>
        <v>↓</v>
      </c>
      <c r="AM67" s="25"/>
      <c r="AN67" s="26">
        <f t="shared" si="19"/>
        <v>0</v>
      </c>
      <c r="AO67" s="26">
        <f t="shared" si="20"/>
        <v>0</v>
      </c>
      <c r="AP67" s="26">
        <f t="shared" si="21"/>
        <v>0</v>
      </c>
      <c r="AQ67" s="26">
        <f>IF(AM67&lt;&gt;"",
    COUNTIFS(MATCH_INPUT!$K$14:$K$17,AM67),
0)</f>
        <v>0</v>
      </c>
      <c r="AR67" s="26">
        <f>IF(AM67&lt;&gt;"",
    COUNTIFS(MATCH_INPUT!$F$14:$F$17, AM67, MATCH_INPUT!$K$14:$K$17, "Draw") +
    COUNTIFS(MATCH_INPUT!$J$14:$J$17, AM67, MATCH_INPUT!$K$14:$K$17, "Draw"),
0)</f>
        <v>0</v>
      </c>
      <c r="AS67" s="26">
        <f>IF(AM67&lt;&gt;"",
    COUNTIFS(MATCH_INPUT!$F$14:$F$17, AM67, MATCH_INPUT!$K$14:$K$17, "&lt;&gt;"&amp;AM67, MATCH_INPUT!$K$14:$K$17, "&lt;&gt;Draw", MATCH_INPUT!$K$14:$K$17, "&lt;&gt;""") +
    COUNTIFS(MATCH_INPUT!$J$14:$J$17, AM67, MATCH_INPUT!$K$14:$K$17, "&lt;&gt;"&amp;AM67, MATCH_INPUT!$K$14:$K$17, "&lt;&gt;Draw", MATCH_INPUT!$K$14:$K$17, "&lt;&gt;"""),
0)</f>
        <v>0</v>
      </c>
      <c r="AT67" s="27"/>
      <c r="AU67" s="27"/>
      <c r="AV67" s="28"/>
      <c r="AW67" s="26">
        <f t="shared" si="154"/>
        <v>10</v>
      </c>
      <c r="AX67" s="29" t="str">
        <f t="shared" si="23"/>
        <v>↓</v>
      </c>
      <c r="AY67" s="19"/>
      <c r="AZ67" s="23">
        <f t="shared" si="24"/>
        <v>0</v>
      </c>
      <c r="BA67" s="20">
        <f t="shared" si="25"/>
        <v>0</v>
      </c>
      <c r="BB67" s="20">
        <f>SUM(BC67*2) + (BD67*1) + SUMIFS(MATCH_INPUT!$G$18:$G$21, MATCH_INPUT!$F$18:$F$21, AY67) + SUMIFS(MATCH_INPUT!$I$18:$I$21, MATCH_INPUT!$J$18:$J$21, AY67)
</f>
        <v>0</v>
      </c>
      <c r="BC67" s="20">
        <f>IF(AY67&lt;&gt;"",
    COUNTIFS(MATCH_INPUT!$K$18:$K$21,AY67),
0)</f>
        <v>0</v>
      </c>
      <c r="BD67" s="20">
        <f>IF(AY67&lt;&gt;"",
    COUNTIFS(MATCH_INPUT!$F$18:$F$21, AY67, MATCH_INPUT!$K$18:$K$21, "Draw") +
    COUNTIFS(MATCH_INPUT!$J$18:$J$21, AY67, MATCH_INPUT!$K$18:$K$21, "Draw"),
0)</f>
        <v>0</v>
      </c>
      <c r="BE67" s="20">
        <f>IF(AY67&lt;&gt;"",
    COUNTIFS(MATCH_INPUT!$F$18:$F$21, AY67, MATCH_INPUT!$K$18:$K$21, "&lt;&gt;"&amp;AY67, MATCH_INPUT!$K$18:$K$21, "&lt;&gt;Draw", MATCH_INPUT!$K$18:$K$21, "&lt;&gt;""") +
    COUNTIFS(MATCH_INPUT!$J$18:$J$21, AY67, MATCH_INPUT!$K$18:$K$21, "&lt;&gt;"&amp;AY67, MATCH_INPUT!$K$18:$K$21, "&lt;&gt;Draw", MATCH_INPUT!$K$18:$K$21, "&lt;&gt;"""),
0)</f>
        <v>0</v>
      </c>
      <c r="BF67" s="21" t="str">
        <f t="array" ref="BF67">IFERROR(INDEX(Form_Response!E:E, MATCH(1, (Form_Response!C:C='MATCH DATES'!$B$6)*(Form_Response!D:D=B67), 0)), "")
</f>
        <v/>
      </c>
      <c r="BG67" s="21">
        <f t="array" ref="BG67">IFERROR(IF(INDEX(Form_Response!F:F, MATCH(1, (Form_Response!C:C='MATCH DATES'!$B$6)*(Form_Response!D:D=B67), 0))="Yes", 1, 0), 0)
</f>
        <v>0</v>
      </c>
      <c r="BH67" s="30" t="str">
        <f t="array" ref="BH67">IFERROR(INDEX(Form_Response!G:G, MATCH(1, (Form_Response!C:C='MATCH DATES'!$B$6)*(Form_Response!D:D=B67), 0)), "")
</f>
        <v/>
      </c>
      <c r="BI67" s="23">
        <f t="shared" si="155"/>
        <v>11</v>
      </c>
      <c r="BJ67" s="24" t="str">
        <f t="shared" si="27"/>
        <v>↓</v>
      </c>
      <c r="BK67" s="34"/>
      <c r="BL67" s="26">
        <f t="shared" si="28"/>
        <v>0</v>
      </c>
      <c r="BM67" s="26">
        <f t="shared" si="29"/>
        <v>0</v>
      </c>
      <c r="BN67" s="26">
        <f>SUM(BO67*2) + (BP67*1) + SUMIFS(MATCH_INPUT!$G$22:$G$25, MATCH_INPUT!$F$22:$F$25, BK67) + SUMIFS(MATCH_INPUT!$I$22:$I$25, MATCH_INPUT!$J$22:$J$25, BK67)
</f>
        <v>0</v>
      </c>
      <c r="BO67" s="26">
        <f>IF(BK67&lt;&gt;"",
    COUNTIFS(MATCH_INPUT!$K$22:$K$25,BK67),
0)</f>
        <v>0</v>
      </c>
      <c r="BP67" s="26">
        <f>IF(BK67&lt;&gt;"",
    COUNTIFS(MATCH_INPUT!$F$22:$F$25, BK67, MATCH_INPUT!$K$22:$K$25, "Draw") +
    COUNTIFS(MATCH_INPUT!$J$22:$J$25, BK67, MATCH_INPUT!$K$22:$K$25, "Draw"),
0)</f>
        <v>0</v>
      </c>
      <c r="BQ67" s="26">
        <f>IF(BK67&lt;&gt;"",
    COUNTIFS(MATCH_INPUT!$F$22:$F$25, BK67, MATCH_INPUT!$K$22:$K$25, "&lt;&gt;"&amp;BK67, MATCH_INPUT!$K$22:$K$25, "&lt;&gt;Draw", MATCH_INPUT!$K$22:$K$25, "&lt;&gt;""") +
    COUNTIFS(MATCH_INPUT!$J$22:$J$25, BK67, MATCH_INPUT!$K$22:$K$25, "&lt;&gt;"&amp;BK67, MATCH_INPUT!$K$22:$K$25, "&lt;&gt;Draw", MATCH_INPUT!$K$22:$K$25, "&lt;&gt;"""),
0)</f>
        <v>0</v>
      </c>
      <c r="BR67" s="27"/>
      <c r="BS67" s="27"/>
      <c r="BT67" s="28"/>
      <c r="BU67" s="26">
        <f t="shared" si="156"/>
        <v>14</v>
      </c>
      <c r="BV67" s="29" t="str">
        <f t="shared" si="31"/>
        <v>↓</v>
      </c>
      <c r="BW67" s="35"/>
      <c r="BX67" s="23">
        <f t="shared" si="32"/>
        <v>0</v>
      </c>
      <c r="BY67" s="20">
        <f t="shared" si="33"/>
        <v>0</v>
      </c>
      <c r="BZ67" s="20">
        <f>SUM(CA67*2)+(CB67*1) + SUMIFS(MATCH_INPUT!$G$26:$G$29, MATCH_INPUT!$F$26:$F$29, BW67) + SUMIFS(MATCH_INPUT!$I$26:$I$29, MATCH_INPUT!$J$26:$J$29, BW67)
</f>
        <v>0</v>
      </c>
      <c r="CA67" s="20">
        <f>IF(BW67&lt;&gt;"",
    COUNTIFS(MATCH_INPUT!$K$26:$K$29,BW67),
0)</f>
        <v>0</v>
      </c>
      <c r="CB67" s="20">
        <f>IF(BW67&lt;&gt;"",
    COUNTIFS(MATCH_INPUT!$F$26:$F$29, BW67, MATCH_INPUT!$K$26:$K$29, "Draw") +
    COUNTIFS(MATCH_INPUT!$J$26:$J$29, BW67, MATCH_INPUT!$K$26:$K$29, "Draw"),
0)</f>
        <v>0</v>
      </c>
      <c r="CC67" s="20">
        <f>IF(BW67&lt;&gt;"",
    COUNTIFS(MATCH_INPUT!$F$26:$F$29, BW67, MATCH_INPUT!$K$26:$K$29, "&lt;&gt;"&amp;BW67, MATCH_INPUT!$K$26:$K$29, "&lt;&gt;Draw", MATCH_INPUT!$K$26:$K$29, "&lt;&gt;""") +
    COUNTIFS(MATCH_INPUT!$J$26:$J$29, BW67, MATCH_INPUT!$K$26:$K$29, "&lt;&gt;"&amp;BW67, MATCH_INPUT!$K$26:$K$29, "&lt;&gt;Draw", MATCH_INPUT!$K$26:$K$29, "&lt;&gt;"""),
0)</f>
        <v>0</v>
      </c>
      <c r="CD67" s="21"/>
      <c r="CE67" s="21"/>
      <c r="CF67" s="30"/>
      <c r="CG67" s="23">
        <f t="shared" si="157"/>
        <v>15</v>
      </c>
      <c r="CH67" s="24" t="str">
        <f t="shared" si="35"/>
        <v>↓</v>
      </c>
      <c r="CI67" s="25"/>
      <c r="CJ67" s="26">
        <f t="shared" si="36"/>
        <v>0</v>
      </c>
      <c r="CK67" s="26">
        <f t="shared" si="37"/>
        <v>0</v>
      </c>
      <c r="CL67" s="26">
        <f>SUM(CM67*2)+(CN67*1) + SUMIFS(MATCH_INPUT!$G$30:$G$33, MATCH_INPUT!$F$30:$F$33, CI67) + SUMIFS(MATCH_INPUT!$I$30:$I$33, MATCH_INPUT!$J$30:$J$33, CI67)
</f>
        <v>0</v>
      </c>
      <c r="CM67" s="26">
        <f>IF(CI67&lt;&gt;"",
    COUNTIFS(MATCH_INPUT!$K$30:$K$33,CI67),
0)</f>
        <v>0</v>
      </c>
      <c r="CN67" s="26">
        <f>IF(CI67&lt;&gt;"",
    COUNTIFS(MATCH_INPUT!$F$30:$F$33, CI67, MATCH_INPUT!$K$30:$K$33, "Draw") +
    COUNTIFS(MATCH_INPUT!$J$30:$J$33, CI67, MATCH_INPUT!$K$30:$K$33, "Draw"),
0)</f>
        <v>0</v>
      </c>
      <c r="CO67" s="26">
        <f>IF(CI67&lt;&gt;"",
    COUNTIFS(MATCH_INPUT!$F$30:$F$33, CI67, MATCH_INPUT!$K$30:$K$33, "&lt;&gt;"&amp;CI67, MATCH_INPUT!$K$30:$K$33, "&lt;&gt;Draw", MATCH_INPUT!$K$30:$K$33, "&lt;&gt;""") +
    COUNTIFS(MATCH_INPUT!$J$30:$J$33, CI67, MATCH_INPUT!$K$30:$K$33, "&lt;&gt;"&amp;CI67, MATCH_INPUT!$K$30:$K$33, "&lt;&gt;Draw", MATCH_INPUT!$K$30:$K$33, "&lt;&gt;"""),
0)</f>
        <v>0</v>
      </c>
      <c r="CP67" s="27" t="str">
        <f t="array" ref="CP67">IFERROR(INDEX(Form_Response!E:E, MATCH(1, (Form_Response!C:C='MATCH DATES'!$B$9)*(Form_Response!D:D=B67), 0)), "")
</f>
        <v/>
      </c>
      <c r="CQ67" s="27">
        <f t="array" ref="CQ67">IFERROR(IF(INDEX(Form_Response!F:F, MATCH(1, (Form_Response!C:C='MATCH DATES'!$B$9)*(Form_Response!D:D=B67), 0))="Yes", 1, 0), 0)
</f>
        <v>0</v>
      </c>
      <c r="CR67" s="28" t="str">
        <f t="array" ref="CR67">IFERROR(INDEX(Form_Response!G:G, MATCH(1, (Form_Response!C:C='MATCH DATES'!$B$9)*(Form_Response!D:D=B67), 0)), "")
</f>
        <v/>
      </c>
      <c r="CS67" s="31">
        <f t="shared" si="158"/>
        <v>18</v>
      </c>
      <c r="CT67" s="31" t="str">
        <f t="shared" si="39"/>
        <v>↓</v>
      </c>
      <c r="CU67" s="32">
        <f t="shared" si="40"/>
        <v>0</v>
      </c>
      <c r="CV67" s="32" t="str">
        <f t="shared" ref="CV67:CW67" si="240">A67</f>
        <v/>
      </c>
      <c r="CW67" s="33" t="str">
        <f t="shared" si="240"/>
        <v/>
      </c>
      <c r="CX67" s="33">
        <f t="shared" si="42"/>
        <v>0</v>
      </c>
      <c r="CY67" s="32">
        <f>SUM(
  IF(AND('MATCH DATES'!$A$2 &lt;= TODAY(), NOW() &gt;= 'MATCH DATES'!$A$2 + TIME(22, 0, 0)), E67, 0),
  IF(AND('MATCH DATES'!$A$3 &lt;= TODAY(), NOW() &gt;= 'MATCH DATES'!$A$3 + TIME(22, 0, 0)), Q67, 0),
  IF(AND('MATCH DATES'!$A$4 &lt;= TODAY(), NOW() &gt;= 'MATCH DATES'!$A$4 + TIME(22, 0, 0)), AC67, 0),
  IF(AND('MATCH DATES'!$A$5 &lt;= TODAY(), NOW() &gt;= 'MATCH DATES'!$A$5 + TIME(22, 0, 0)), AO67, 0),
  IF(AND('MATCH DATES'!$A$6 &lt;= TODAY(), NOW() &gt;= 'MATCH DATES'!$A$6 + TIME(22, 0, 0)), BA67, 0),
  IF(AND('MATCH DATES'!$A$7 &lt;= TODAY(), NOW() &gt;= 'MATCH DATES'!$A$7 + TIME(22, 0, 0)), BM67, 0),
  IF(AND('MATCH DATES'!$A$8 &lt;= TODAY(), NOW() &gt;= 'MATCH DATES'!$A$8 + TIME(22, 0, 0)), BY67, 0),
  IF(AND('MATCH DATES'!$A$9 &lt;= TODAY(), NOW() &gt;= 'MATCH DATES'!$A$9 + TIME(22, 0, 0)), CK67, 0)
)
</f>
        <v>0</v>
      </c>
      <c r="CZ67" s="33">
        <f t="shared" ref="CZ67:DA67" si="241">SUM(G67,S67,AE67,AQ67,BC67,BO67,CA67,CM67)</f>
        <v>0</v>
      </c>
      <c r="DA67" s="33">
        <f t="shared" si="241"/>
        <v>0</v>
      </c>
      <c r="DB67" s="33">
        <f>SUM(
  IF(AND('MATCH DATES'!$A$2 &lt;= TODAY(), NOW() &gt;= 'MATCH DATES'!$A$2 + TIME(22, 0, 0)), I67, 0),
  IF(AND('MATCH DATES'!$A$3 &lt;= TODAY(), NOW() &gt;= 'MATCH DATES'!$A$3 + TIME(22, 0, 0)), U67, 0),
  IF(AND('MATCH DATES'!$A$4 &lt;= TODAY(), NOW() &gt;= 'MATCH DATES'!$A$4 + TIME(22, 0, 0)), AG67, 0),
  IF(AND('MATCH DATES'!$A$5 &lt;= TODAY(), NOW() &gt;= 'MATCH DATES'!$A$5 + TIME(22, 0, 0)), AS67, 0),
  IF(AND('MATCH DATES'!$A$6 &lt;= TODAY(), NOW() &gt;= 'MATCH DATES'!$A$6 + TIME(22, 0, 0)), BE67, 0),
  IF(AND('MATCH DATES'!$A$7 &lt;= TODAY(), NOW() &gt;= 'MATCH DATES'!$A$7 + TIME(22, 0, 0)), BQ67, 0),
  IF(AND('MATCH DATES'!$A$8 &lt;= TODAY(), NOW() &gt;= 'MATCH DATES'!$A$8 + TIME(22, 0, 0)), CC67, 0),
  IF(AND('MATCH DATES'!$A$9 &lt;= TODAY(), NOW() &gt;= 'MATCH DATES'!$A$9 + TIME(22, 0, 0)), CO67, 0)
)</f>
        <v>0</v>
      </c>
      <c r="DC67" s="33">
        <f t="shared" si="44"/>
        <v>0</v>
      </c>
      <c r="DD67" s="33">
        <f t="shared" ref="DD67:DE67" si="242">SUM(K67,W67,AI67,AU67,BG67,BS67,CE67,CQ67)</f>
        <v>0</v>
      </c>
      <c r="DE67" s="33">
        <f t="shared" si="242"/>
        <v>0</v>
      </c>
    </row>
    <row r="68" ht="24.75" customHeight="1">
      <c r="A68" s="31"/>
      <c r="B68" s="39"/>
      <c r="C68" s="35"/>
      <c r="D68" s="20">
        <f t="shared" si="4"/>
        <v>0</v>
      </c>
      <c r="E68" s="20">
        <f t="shared" si="5"/>
        <v>0</v>
      </c>
      <c r="F68" s="20">
        <f t="shared" si="6"/>
        <v>0</v>
      </c>
      <c r="G68" s="20">
        <f>IF(C68&lt;&gt;"",
    COUNTIFS(MATCH_INPUT!$K$2:$K$5,C68),
0)</f>
        <v>0</v>
      </c>
      <c r="H68" s="20">
        <f>IF(C68&lt;&gt;"",
    COUNTIFS(MATCH_INPUT!$F$2:$F$5, C68, MATCH_INPUT!$K$2:$K$5, "Draw") +
    COUNTIFS(MATCH_INPUT!$J$2:$J$5, C68, MATCH_INPUT!$K$2:$K$5, "Draw"),
0)</f>
        <v>0</v>
      </c>
      <c r="I68" s="20">
        <f>IF(C68&lt;&gt;"",
    COUNTIFS(MATCH_INPUT!$F$2:$F$5, C68, MATCH_INPUT!$K$2:$K$5, "&lt;&gt;"&amp;C68, MATCH_INPUT!$K$2:$K$5, "&lt;&gt;Draw", MATCH_INPUT!$K$2:$K$5, "&lt;&gt;""") +
    COUNTIFS(MATCH_INPUT!$J$2:$J$5, C68, MATCH_INPUT!$K$2:$K$5, "&lt;&gt;"&amp;C68, MATCH_INPUT!$K$2:$K$5, "&lt;&gt;Draw", MATCH_INPUT!$K$2:$K$5, "&lt;&gt;"""),
0)</f>
        <v>0</v>
      </c>
      <c r="J68" s="21"/>
      <c r="K68" s="21"/>
      <c r="L68" s="22"/>
      <c r="M68" s="23">
        <f t="shared" si="151"/>
        <v>4</v>
      </c>
      <c r="N68" s="24" t="str">
        <f t="shared" si="8"/>
        <v>↓</v>
      </c>
      <c r="O68" s="25"/>
      <c r="P68" s="26">
        <f t="shared" si="9"/>
        <v>0</v>
      </c>
      <c r="Q68" s="26">
        <f t="shared" si="10"/>
        <v>0</v>
      </c>
      <c r="R68" s="26">
        <f t="shared" si="11"/>
        <v>0</v>
      </c>
      <c r="S68" s="26">
        <f>IF(O68&lt;&gt;"",
    COUNTIFS(MATCH_INPUT!$K$6:$K$9,O68),
0)</f>
        <v>0</v>
      </c>
      <c r="T68" s="26">
        <f>IF(O68&lt;&gt;"",
    COUNTIFS(MATCH_INPUT!$F$6:$F$9, O68, MATCH_INPUT!$K$6:$K$9, "Draw") +
    COUNTIFS(MATCH_INPUT!$J$6:$J$9, O68, MATCH_INPUT!$K$6:$K$9, "Draw"),
0)</f>
        <v>0</v>
      </c>
      <c r="U68" s="26">
        <f>IF(O68&lt;&gt;"",
    COUNTIFS(MATCH_INPUT!$F$6:$F$9, O68, MATCH_INPUT!$K$6:$K$9, "&lt;&gt;"&amp;O68, MATCH_INPUT!$K$6:$K$9, "&lt;&gt;Draw", MATCH_INPUT!$K$6:$K$9, "&lt;&gt;""") +
    COUNTIFS(MATCH_INPUT!$J$6:$J$9, O68, MATCH_INPUT!$K$6:$K$9, "&lt;&gt;"&amp;O68, MATCH_INPUT!$K$6:$K$9, "&lt;&gt;Draw", MATCH_INPUT!$K$6:$K$9, "&lt;&gt;"""),
0)</f>
        <v>0</v>
      </c>
      <c r="V68" s="27"/>
      <c r="W68" s="27"/>
      <c r="X68" s="28"/>
      <c r="Y68" s="26">
        <f t="shared" si="152"/>
        <v>7</v>
      </c>
      <c r="Z68" s="29" t="str">
        <f t="shared" si="13"/>
        <v>↓</v>
      </c>
      <c r="AA68" s="19"/>
      <c r="AB68" s="23">
        <f t="shared" si="14"/>
        <v>0</v>
      </c>
      <c r="AC68" s="20">
        <f t="shared" si="15"/>
        <v>0</v>
      </c>
      <c r="AD68" s="20">
        <f t="shared" si="16"/>
        <v>0</v>
      </c>
      <c r="AE68" s="20">
        <f>IF(AA68&lt;&gt;"",
    COUNTIFS(MATCH_INPUT!$K$10:$K$13,AA68),
0)</f>
        <v>0</v>
      </c>
      <c r="AF68" s="20">
        <f>IF(AA68&lt;&gt;"",
    COUNTIFS(MATCH_INPUT!$F$10:$F$13, AA68, MATCH_INPUT!$K$10:$K$13, "Draw") +
    COUNTIFS(MATCH_INPUT!$J$10:$J$13, AA68, MATCH_INPUT!$K$10:$K$13, "Draw"),
0)</f>
        <v>0</v>
      </c>
      <c r="AG68" s="20">
        <f>IF(AA68&lt;&gt;"",
    COUNTIFS(MATCH_INPUT!$F$10:$F$13, AA68, MATCH_INPUT!$K$10:$K$13, "&lt;&gt;"&amp;AA68, MATCH_INPUT!$K$10:$K$13, "&lt;&gt;Draw", MATCH_INPUT!$K$10:$K$13, "&lt;&gt;""") +
    COUNTIFS(MATCH_INPUT!$J$10:$J$13, AA68, MATCH_INPUT!$K$10:$K$13, "&lt;&gt;"&amp;AA68, MATCH_INPUT!$K$10:$K$13, "&lt;&gt;Draw", MATCH_INPUT!$K$10:$K$13, "&lt;&gt;"""),
0)</f>
        <v>0</v>
      </c>
      <c r="AH68" s="21"/>
      <c r="AI68" s="21"/>
      <c r="AJ68" s="30"/>
      <c r="AK68" s="23">
        <f t="shared" si="153"/>
        <v>8</v>
      </c>
      <c r="AL68" s="24" t="str">
        <f t="shared" si="18"/>
        <v>↓</v>
      </c>
      <c r="AM68" s="25"/>
      <c r="AN68" s="26">
        <f t="shared" si="19"/>
        <v>0</v>
      </c>
      <c r="AO68" s="26">
        <f t="shared" si="20"/>
        <v>0</v>
      </c>
      <c r="AP68" s="26">
        <f t="shared" si="21"/>
        <v>0</v>
      </c>
      <c r="AQ68" s="26">
        <f>IF(AM68&lt;&gt;"",
    COUNTIFS(MATCH_INPUT!$K$14:$K$17,AM68),
0)</f>
        <v>0</v>
      </c>
      <c r="AR68" s="26">
        <f>IF(AM68&lt;&gt;"",
    COUNTIFS(MATCH_INPUT!$F$14:$F$17, AM68, MATCH_INPUT!$K$14:$K$17, "Draw") +
    COUNTIFS(MATCH_INPUT!$J$14:$J$17, AM68, MATCH_INPUT!$K$14:$K$17, "Draw"),
0)</f>
        <v>0</v>
      </c>
      <c r="AS68" s="26">
        <f>IF(AM68&lt;&gt;"",
    COUNTIFS(MATCH_INPUT!$F$14:$F$17, AM68, MATCH_INPUT!$K$14:$K$17, "&lt;&gt;"&amp;AM68, MATCH_INPUT!$K$14:$K$17, "&lt;&gt;Draw", MATCH_INPUT!$K$14:$K$17, "&lt;&gt;""") +
    COUNTIFS(MATCH_INPUT!$J$14:$J$17, AM68, MATCH_INPUT!$K$14:$K$17, "&lt;&gt;"&amp;AM68, MATCH_INPUT!$K$14:$K$17, "&lt;&gt;Draw", MATCH_INPUT!$K$14:$K$17, "&lt;&gt;"""),
0)</f>
        <v>0</v>
      </c>
      <c r="AT68" s="27"/>
      <c r="AU68" s="27"/>
      <c r="AV68" s="28"/>
      <c r="AW68" s="26">
        <f t="shared" si="154"/>
        <v>10</v>
      </c>
      <c r="AX68" s="29" t="str">
        <f t="shared" si="23"/>
        <v>↓</v>
      </c>
      <c r="AY68" s="19"/>
      <c r="AZ68" s="23">
        <f t="shared" si="24"/>
        <v>0</v>
      </c>
      <c r="BA68" s="20">
        <f t="shared" si="25"/>
        <v>0</v>
      </c>
      <c r="BB68" s="20">
        <f>SUM(BC68*2) + (BD68*1) + SUMIFS(MATCH_INPUT!$G$18:$G$21, MATCH_INPUT!$F$18:$F$21, AY68) + SUMIFS(MATCH_INPUT!$I$18:$I$21, MATCH_INPUT!$J$18:$J$21, AY68)
</f>
        <v>0</v>
      </c>
      <c r="BC68" s="20">
        <f>IF(AY68&lt;&gt;"",
    COUNTIFS(MATCH_INPUT!$K$18:$K$21,AY68),
0)</f>
        <v>0</v>
      </c>
      <c r="BD68" s="20">
        <f>IF(AY68&lt;&gt;"",
    COUNTIFS(MATCH_INPUT!$F$18:$F$21, AY68, MATCH_INPUT!$K$18:$K$21, "Draw") +
    COUNTIFS(MATCH_INPUT!$J$18:$J$21, AY68, MATCH_INPUT!$K$18:$K$21, "Draw"),
0)</f>
        <v>0</v>
      </c>
      <c r="BE68" s="20">
        <f>IF(AY68&lt;&gt;"",
    COUNTIFS(MATCH_INPUT!$F$18:$F$21, AY68, MATCH_INPUT!$K$18:$K$21, "&lt;&gt;"&amp;AY68, MATCH_INPUT!$K$18:$K$21, "&lt;&gt;Draw", MATCH_INPUT!$K$18:$K$21, "&lt;&gt;""") +
    COUNTIFS(MATCH_INPUT!$J$18:$J$21, AY68, MATCH_INPUT!$K$18:$K$21, "&lt;&gt;"&amp;AY68, MATCH_INPUT!$K$18:$K$21, "&lt;&gt;Draw", MATCH_INPUT!$K$18:$K$21, "&lt;&gt;"""),
0)</f>
        <v>0</v>
      </c>
      <c r="BF68" s="21" t="str">
        <f t="array" ref="BF68">IFERROR(INDEX(Form_Response!E:E, MATCH(1, (Form_Response!C:C='MATCH DATES'!$B$6)*(Form_Response!D:D=B68), 0)), "")
</f>
        <v/>
      </c>
      <c r="BG68" s="21">
        <f t="array" ref="BG68">IFERROR(IF(INDEX(Form_Response!F:F, MATCH(1, (Form_Response!C:C='MATCH DATES'!$B$6)*(Form_Response!D:D=B68), 0))="Yes", 1, 0), 0)
</f>
        <v>0</v>
      </c>
      <c r="BH68" s="30" t="str">
        <f t="array" ref="BH68">IFERROR(INDEX(Form_Response!G:G, MATCH(1, (Form_Response!C:C='MATCH DATES'!$B$6)*(Form_Response!D:D=B68), 0)), "")
</f>
        <v/>
      </c>
      <c r="BI68" s="23">
        <f t="shared" si="155"/>
        <v>11</v>
      </c>
      <c r="BJ68" s="24" t="str">
        <f t="shared" si="27"/>
        <v>↓</v>
      </c>
      <c r="BK68" s="34"/>
      <c r="BL68" s="26">
        <f t="shared" si="28"/>
        <v>0</v>
      </c>
      <c r="BM68" s="26">
        <f t="shared" si="29"/>
        <v>0</v>
      </c>
      <c r="BN68" s="26">
        <f>SUM(BO68*2) + (BP68*1) + SUMIFS(MATCH_INPUT!$G$22:$G$25, MATCH_INPUT!$F$22:$F$25, BK68) + SUMIFS(MATCH_INPUT!$I$22:$I$25, MATCH_INPUT!$J$22:$J$25, BK68)
</f>
        <v>0</v>
      </c>
      <c r="BO68" s="26">
        <f>IF(BK68&lt;&gt;"",
    COUNTIFS(MATCH_INPUT!$K$22:$K$25,BK68),
0)</f>
        <v>0</v>
      </c>
      <c r="BP68" s="26">
        <f>IF(BK68&lt;&gt;"",
    COUNTIFS(MATCH_INPUT!$F$22:$F$25, BK68, MATCH_INPUT!$K$22:$K$25, "Draw") +
    COUNTIFS(MATCH_INPUT!$J$22:$J$25, BK68, MATCH_INPUT!$K$22:$K$25, "Draw"),
0)</f>
        <v>0</v>
      </c>
      <c r="BQ68" s="26">
        <f>IF(BK68&lt;&gt;"",
    COUNTIFS(MATCH_INPUT!$F$22:$F$25, BK68, MATCH_INPUT!$K$22:$K$25, "&lt;&gt;"&amp;BK68, MATCH_INPUT!$K$22:$K$25, "&lt;&gt;Draw", MATCH_INPUT!$K$22:$K$25, "&lt;&gt;""") +
    COUNTIFS(MATCH_INPUT!$J$22:$J$25, BK68, MATCH_INPUT!$K$22:$K$25, "&lt;&gt;"&amp;BK68, MATCH_INPUT!$K$22:$K$25, "&lt;&gt;Draw", MATCH_INPUT!$K$22:$K$25, "&lt;&gt;"""),
0)</f>
        <v>0</v>
      </c>
      <c r="BR68" s="27"/>
      <c r="BS68" s="27"/>
      <c r="BT68" s="28"/>
      <c r="BU68" s="26">
        <f t="shared" si="156"/>
        <v>14</v>
      </c>
      <c r="BV68" s="29" t="str">
        <f t="shared" si="31"/>
        <v>↓</v>
      </c>
      <c r="BW68" s="35"/>
      <c r="BX68" s="23">
        <f t="shared" si="32"/>
        <v>0</v>
      </c>
      <c r="BY68" s="20">
        <f t="shared" si="33"/>
        <v>0</v>
      </c>
      <c r="BZ68" s="20">
        <f>SUM(CA68*2)+(CB68*1) + SUMIFS(MATCH_INPUT!$G$26:$G$29, MATCH_INPUT!$F$26:$F$29, BW68) + SUMIFS(MATCH_INPUT!$I$26:$I$29, MATCH_INPUT!$J$26:$J$29, BW68)
</f>
        <v>0</v>
      </c>
      <c r="CA68" s="20">
        <f>IF(BW68&lt;&gt;"",
    COUNTIFS(MATCH_INPUT!$K$26:$K$29,BW68),
0)</f>
        <v>0</v>
      </c>
      <c r="CB68" s="20">
        <f>IF(BW68&lt;&gt;"",
    COUNTIFS(MATCH_INPUT!$F$26:$F$29, BW68, MATCH_INPUT!$K$26:$K$29, "Draw") +
    COUNTIFS(MATCH_INPUT!$J$26:$J$29, BW68, MATCH_INPUT!$K$26:$K$29, "Draw"),
0)</f>
        <v>0</v>
      </c>
      <c r="CC68" s="20">
        <f>IF(BW68&lt;&gt;"",
    COUNTIFS(MATCH_INPUT!$F$26:$F$29, BW68, MATCH_INPUT!$K$26:$K$29, "&lt;&gt;"&amp;BW68, MATCH_INPUT!$K$26:$K$29, "&lt;&gt;Draw", MATCH_INPUT!$K$26:$K$29, "&lt;&gt;""") +
    COUNTIFS(MATCH_INPUT!$J$26:$J$29, BW68, MATCH_INPUT!$K$26:$K$29, "&lt;&gt;"&amp;BW68, MATCH_INPUT!$K$26:$K$29, "&lt;&gt;Draw", MATCH_INPUT!$K$26:$K$29, "&lt;&gt;"""),
0)</f>
        <v>0</v>
      </c>
      <c r="CD68" s="21"/>
      <c r="CE68" s="21"/>
      <c r="CF68" s="30"/>
      <c r="CG68" s="23">
        <f t="shared" si="157"/>
        <v>15</v>
      </c>
      <c r="CH68" s="24" t="str">
        <f t="shared" si="35"/>
        <v>↓</v>
      </c>
      <c r="CI68" s="25"/>
      <c r="CJ68" s="26">
        <f t="shared" si="36"/>
        <v>0</v>
      </c>
      <c r="CK68" s="26">
        <f t="shared" si="37"/>
        <v>0</v>
      </c>
      <c r="CL68" s="26">
        <f>SUM(CM68*2)+(CN68*1) + SUMIFS(MATCH_INPUT!$G$30:$G$33, MATCH_INPUT!$F$30:$F$33, CI68) + SUMIFS(MATCH_INPUT!$I$30:$I$33, MATCH_INPUT!$J$30:$J$33, CI68)
</f>
        <v>0</v>
      </c>
      <c r="CM68" s="26">
        <f>IF(CI68&lt;&gt;"",
    COUNTIFS(MATCH_INPUT!$K$30:$K$33,CI68),
0)</f>
        <v>0</v>
      </c>
      <c r="CN68" s="26">
        <f>IF(CI68&lt;&gt;"",
    COUNTIFS(MATCH_INPUT!$F$30:$F$33, CI68, MATCH_INPUT!$K$30:$K$33, "Draw") +
    COUNTIFS(MATCH_INPUT!$J$30:$J$33, CI68, MATCH_INPUT!$K$30:$K$33, "Draw"),
0)</f>
        <v>0</v>
      </c>
      <c r="CO68" s="26">
        <f>IF(CI68&lt;&gt;"",
    COUNTIFS(MATCH_INPUT!$F$30:$F$33, CI68, MATCH_INPUT!$K$30:$K$33, "&lt;&gt;"&amp;CI68, MATCH_INPUT!$K$30:$K$33, "&lt;&gt;Draw", MATCH_INPUT!$K$30:$K$33, "&lt;&gt;""") +
    COUNTIFS(MATCH_INPUT!$J$30:$J$33, CI68, MATCH_INPUT!$K$30:$K$33, "&lt;&gt;"&amp;CI68, MATCH_INPUT!$K$30:$K$33, "&lt;&gt;Draw", MATCH_INPUT!$K$30:$K$33, "&lt;&gt;"""),
0)</f>
        <v>0</v>
      </c>
      <c r="CP68" s="27" t="str">
        <f t="array" ref="CP68">IFERROR(INDEX(Form_Response!E:E, MATCH(1, (Form_Response!C:C='MATCH DATES'!$B$9)*(Form_Response!D:D=B68), 0)), "")
</f>
        <v/>
      </c>
      <c r="CQ68" s="27">
        <f t="array" ref="CQ68">IFERROR(IF(INDEX(Form_Response!F:F, MATCH(1, (Form_Response!C:C='MATCH DATES'!$B$9)*(Form_Response!D:D=B68), 0))="Yes", 1, 0), 0)
</f>
        <v>0</v>
      </c>
      <c r="CR68" s="28" t="str">
        <f t="array" ref="CR68">IFERROR(INDEX(Form_Response!G:G, MATCH(1, (Form_Response!C:C='MATCH DATES'!$B$9)*(Form_Response!D:D=B68), 0)), "")
</f>
        <v/>
      </c>
      <c r="CS68" s="31">
        <f t="shared" si="158"/>
        <v>18</v>
      </c>
      <c r="CT68" s="31" t="str">
        <f t="shared" si="39"/>
        <v>↓</v>
      </c>
      <c r="CU68" s="32">
        <f t="shared" si="40"/>
        <v>0</v>
      </c>
      <c r="CV68" s="32" t="str">
        <f t="shared" ref="CV68:CW68" si="243">A68</f>
        <v/>
      </c>
      <c r="CW68" s="33" t="str">
        <f t="shared" si="243"/>
        <v/>
      </c>
      <c r="CX68" s="33">
        <f t="shared" si="42"/>
        <v>0</v>
      </c>
      <c r="CY68" s="32">
        <f>SUM(
  IF(AND('MATCH DATES'!$A$2 &lt;= TODAY(), NOW() &gt;= 'MATCH DATES'!$A$2 + TIME(22, 0, 0)), E68, 0),
  IF(AND('MATCH DATES'!$A$3 &lt;= TODAY(), NOW() &gt;= 'MATCH DATES'!$A$3 + TIME(22, 0, 0)), Q68, 0),
  IF(AND('MATCH DATES'!$A$4 &lt;= TODAY(), NOW() &gt;= 'MATCH DATES'!$A$4 + TIME(22, 0, 0)), AC68, 0),
  IF(AND('MATCH DATES'!$A$5 &lt;= TODAY(), NOW() &gt;= 'MATCH DATES'!$A$5 + TIME(22, 0, 0)), AO68, 0),
  IF(AND('MATCH DATES'!$A$6 &lt;= TODAY(), NOW() &gt;= 'MATCH DATES'!$A$6 + TIME(22, 0, 0)), BA68, 0),
  IF(AND('MATCH DATES'!$A$7 &lt;= TODAY(), NOW() &gt;= 'MATCH DATES'!$A$7 + TIME(22, 0, 0)), BM68, 0),
  IF(AND('MATCH DATES'!$A$8 &lt;= TODAY(), NOW() &gt;= 'MATCH DATES'!$A$8 + TIME(22, 0, 0)), BY68, 0),
  IF(AND('MATCH DATES'!$A$9 &lt;= TODAY(), NOW() &gt;= 'MATCH DATES'!$A$9 + TIME(22, 0, 0)), CK68, 0)
)
</f>
        <v>0</v>
      </c>
      <c r="CZ68" s="33">
        <f t="shared" ref="CZ68:DA68" si="244">SUM(G68,S68,AE68,AQ68,BC68,BO68,CA68,CM68)</f>
        <v>0</v>
      </c>
      <c r="DA68" s="33">
        <f t="shared" si="244"/>
        <v>0</v>
      </c>
      <c r="DB68" s="33">
        <f>SUM(
  IF(AND('MATCH DATES'!$A$2 &lt;= TODAY(), NOW() &gt;= 'MATCH DATES'!$A$2 + TIME(22, 0, 0)), I68, 0),
  IF(AND('MATCH DATES'!$A$3 &lt;= TODAY(), NOW() &gt;= 'MATCH DATES'!$A$3 + TIME(22, 0, 0)), U68, 0),
  IF(AND('MATCH DATES'!$A$4 &lt;= TODAY(), NOW() &gt;= 'MATCH DATES'!$A$4 + TIME(22, 0, 0)), AG68, 0),
  IF(AND('MATCH DATES'!$A$5 &lt;= TODAY(), NOW() &gt;= 'MATCH DATES'!$A$5 + TIME(22, 0, 0)), AS68, 0),
  IF(AND('MATCH DATES'!$A$6 &lt;= TODAY(), NOW() &gt;= 'MATCH DATES'!$A$6 + TIME(22, 0, 0)), BE68, 0),
  IF(AND('MATCH DATES'!$A$7 &lt;= TODAY(), NOW() &gt;= 'MATCH DATES'!$A$7 + TIME(22, 0, 0)), BQ68, 0),
  IF(AND('MATCH DATES'!$A$8 &lt;= TODAY(), NOW() &gt;= 'MATCH DATES'!$A$8 + TIME(22, 0, 0)), CC68, 0),
  IF(AND('MATCH DATES'!$A$9 &lt;= TODAY(), NOW() &gt;= 'MATCH DATES'!$A$9 + TIME(22, 0, 0)), CO68, 0)
)</f>
        <v>0</v>
      </c>
      <c r="DC68" s="33">
        <f t="shared" si="44"/>
        <v>0</v>
      </c>
      <c r="DD68" s="33">
        <f t="shared" ref="DD68:DE68" si="245">SUM(K68,W68,AI68,AU68,BG68,BS68,CE68,CQ68)</f>
        <v>0</v>
      </c>
      <c r="DE68" s="33">
        <f t="shared" si="245"/>
        <v>0</v>
      </c>
    </row>
    <row r="69" ht="24.75" customHeight="1">
      <c r="A69" s="31"/>
      <c r="B69" s="39"/>
      <c r="C69" s="35"/>
      <c r="D69" s="20">
        <f t="shared" si="4"/>
        <v>0</v>
      </c>
      <c r="E69" s="20">
        <f t="shared" si="5"/>
        <v>0</v>
      </c>
      <c r="F69" s="20">
        <f t="shared" si="6"/>
        <v>0</v>
      </c>
      <c r="G69" s="20">
        <f>IF(C69&lt;&gt;"",
    COUNTIFS(MATCH_INPUT!$K$2:$K$5,C69),
0)</f>
        <v>0</v>
      </c>
      <c r="H69" s="20">
        <f>IF(C69&lt;&gt;"",
    COUNTIFS(MATCH_INPUT!$F$2:$F$5, C69, MATCH_INPUT!$K$2:$K$5, "Draw") +
    COUNTIFS(MATCH_INPUT!$J$2:$J$5, C69, MATCH_INPUT!$K$2:$K$5, "Draw"),
0)</f>
        <v>0</v>
      </c>
      <c r="I69" s="20">
        <f>IF(C69&lt;&gt;"",
    COUNTIFS(MATCH_INPUT!$F$2:$F$5, C69, MATCH_INPUT!$K$2:$K$5, "&lt;&gt;"&amp;C69, MATCH_INPUT!$K$2:$K$5, "&lt;&gt;Draw", MATCH_INPUT!$K$2:$K$5, "&lt;&gt;""") +
    COUNTIFS(MATCH_INPUT!$J$2:$J$5, C69, MATCH_INPUT!$K$2:$K$5, "&lt;&gt;"&amp;C69, MATCH_INPUT!$K$2:$K$5, "&lt;&gt;Draw", MATCH_INPUT!$K$2:$K$5, "&lt;&gt;"""),
0)</f>
        <v>0</v>
      </c>
      <c r="J69" s="21"/>
      <c r="K69" s="21"/>
      <c r="L69" s="22"/>
      <c r="M69" s="23">
        <f t="shared" si="151"/>
        <v>4</v>
      </c>
      <c r="N69" s="24" t="str">
        <f t="shared" si="8"/>
        <v>↓</v>
      </c>
      <c r="O69" s="25"/>
      <c r="P69" s="26">
        <f t="shared" si="9"/>
        <v>0</v>
      </c>
      <c r="Q69" s="26">
        <f t="shared" si="10"/>
        <v>0</v>
      </c>
      <c r="R69" s="26">
        <f t="shared" si="11"/>
        <v>0</v>
      </c>
      <c r="S69" s="26">
        <f>IF(O69&lt;&gt;"",
    COUNTIFS(MATCH_INPUT!$K$6:$K$9,O69),
0)</f>
        <v>0</v>
      </c>
      <c r="T69" s="26">
        <f>IF(O69&lt;&gt;"",
    COUNTIFS(MATCH_INPUT!$F$6:$F$9, O69, MATCH_INPUT!$K$6:$K$9, "Draw") +
    COUNTIFS(MATCH_INPUT!$J$6:$J$9, O69, MATCH_INPUT!$K$6:$K$9, "Draw"),
0)</f>
        <v>0</v>
      </c>
      <c r="U69" s="26">
        <f>IF(O69&lt;&gt;"",
    COUNTIFS(MATCH_INPUT!$F$6:$F$9, O69, MATCH_INPUT!$K$6:$K$9, "&lt;&gt;"&amp;O69, MATCH_INPUT!$K$6:$K$9, "&lt;&gt;Draw", MATCH_INPUT!$K$6:$K$9, "&lt;&gt;""") +
    COUNTIFS(MATCH_INPUT!$J$6:$J$9, O69, MATCH_INPUT!$K$6:$K$9, "&lt;&gt;"&amp;O69, MATCH_INPUT!$K$6:$K$9, "&lt;&gt;Draw", MATCH_INPUT!$K$6:$K$9, "&lt;&gt;"""),
0)</f>
        <v>0</v>
      </c>
      <c r="V69" s="27"/>
      <c r="W69" s="27"/>
      <c r="X69" s="28"/>
      <c r="Y69" s="26">
        <f t="shared" si="152"/>
        <v>7</v>
      </c>
      <c r="Z69" s="29" t="str">
        <f t="shared" si="13"/>
        <v>↓</v>
      </c>
      <c r="AA69" s="19"/>
      <c r="AB69" s="23">
        <f t="shared" si="14"/>
        <v>0</v>
      </c>
      <c r="AC69" s="20">
        <f t="shared" si="15"/>
        <v>0</v>
      </c>
      <c r="AD69" s="20">
        <f t="shared" si="16"/>
        <v>0</v>
      </c>
      <c r="AE69" s="20">
        <f>IF(AA69&lt;&gt;"",
    COUNTIFS(MATCH_INPUT!$K$10:$K$13,AA69),
0)</f>
        <v>0</v>
      </c>
      <c r="AF69" s="20">
        <f>IF(AA69&lt;&gt;"",
    COUNTIFS(MATCH_INPUT!$F$10:$F$13, AA69, MATCH_INPUT!$K$10:$K$13, "Draw") +
    COUNTIFS(MATCH_INPUT!$J$10:$J$13, AA69, MATCH_INPUT!$K$10:$K$13, "Draw"),
0)</f>
        <v>0</v>
      </c>
      <c r="AG69" s="20">
        <f>IF(AA69&lt;&gt;"",
    COUNTIFS(MATCH_INPUT!$F$10:$F$13, AA69, MATCH_INPUT!$K$10:$K$13, "&lt;&gt;"&amp;AA69, MATCH_INPUT!$K$10:$K$13, "&lt;&gt;Draw", MATCH_INPUT!$K$10:$K$13, "&lt;&gt;""") +
    COUNTIFS(MATCH_INPUT!$J$10:$J$13, AA69, MATCH_INPUT!$K$10:$K$13, "&lt;&gt;"&amp;AA69, MATCH_INPUT!$K$10:$K$13, "&lt;&gt;Draw", MATCH_INPUT!$K$10:$K$13, "&lt;&gt;"""),
0)</f>
        <v>0</v>
      </c>
      <c r="AH69" s="21"/>
      <c r="AI69" s="21"/>
      <c r="AJ69" s="30"/>
      <c r="AK69" s="23">
        <f t="shared" si="153"/>
        <v>8</v>
      </c>
      <c r="AL69" s="24" t="str">
        <f t="shared" si="18"/>
        <v>↓</v>
      </c>
      <c r="AM69" s="25"/>
      <c r="AN69" s="26">
        <f t="shared" si="19"/>
        <v>0</v>
      </c>
      <c r="AO69" s="26">
        <f t="shared" si="20"/>
        <v>0</v>
      </c>
      <c r="AP69" s="26">
        <f t="shared" si="21"/>
        <v>0</v>
      </c>
      <c r="AQ69" s="26">
        <f>IF(AM69&lt;&gt;"",
    COUNTIFS(MATCH_INPUT!$K$14:$K$17,AM69),
0)</f>
        <v>0</v>
      </c>
      <c r="AR69" s="26">
        <f>IF(AM69&lt;&gt;"",
    COUNTIFS(MATCH_INPUT!$F$14:$F$17, AM69, MATCH_INPUT!$K$14:$K$17, "Draw") +
    COUNTIFS(MATCH_INPUT!$J$14:$J$17, AM69, MATCH_INPUT!$K$14:$K$17, "Draw"),
0)</f>
        <v>0</v>
      </c>
      <c r="AS69" s="26">
        <f>IF(AM69&lt;&gt;"",
    COUNTIFS(MATCH_INPUT!$F$14:$F$17, AM69, MATCH_INPUT!$K$14:$K$17, "&lt;&gt;"&amp;AM69, MATCH_INPUT!$K$14:$K$17, "&lt;&gt;Draw", MATCH_INPUT!$K$14:$K$17, "&lt;&gt;""") +
    COUNTIFS(MATCH_INPUT!$J$14:$J$17, AM69, MATCH_INPUT!$K$14:$K$17, "&lt;&gt;"&amp;AM69, MATCH_INPUT!$K$14:$K$17, "&lt;&gt;Draw", MATCH_INPUT!$K$14:$K$17, "&lt;&gt;"""),
0)</f>
        <v>0</v>
      </c>
      <c r="AT69" s="27"/>
      <c r="AU69" s="27"/>
      <c r="AV69" s="28"/>
      <c r="AW69" s="26">
        <f t="shared" si="154"/>
        <v>10</v>
      </c>
      <c r="AX69" s="29" t="str">
        <f t="shared" si="23"/>
        <v>↓</v>
      </c>
      <c r="AY69" s="19"/>
      <c r="AZ69" s="23">
        <f t="shared" si="24"/>
        <v>0</v>
      </c>
      <c r="BA69" s="20">
        <f t="shared" si="25"/>
        <v>0</v>
      </c>
      <c r="BB69" s="20">
        <f>SUM(BC69*2) + (BD69*1) + SUMIFS(MATCH_INPUT!$G$18:$G$21, MATCH_INPUT!$F$18:$F$21, AY69) + SUMIFS(MATCH_INPUT!$I$18:$I$21, MATCH_INPUT!$J$18:$J$21, AY69)
</f>
        <v>0</v>
      </c>
      <c r="BC69" s="20">
        <f>IF(AY69&lt;&gt;"",
    COUNTIFS(MATCH_INPUT!$K$18:$K$21,AY69),
0)</f>
        <v>0</v>
      </c>
      <c r="BD69" s="20">
        <f>IF(AY69&lt;&gt;"",
    COUNTIFS(MATCH_INPUT!$F$18:$F$21, AY69, MATCH_INPUT!$K$18:$K$21, "Draw") +
    COUNTIFS(MATCH_INPUT!$J$18:$J$21, AY69, MATCH_INPUT!$K$18:$K$21, "Draw"),
0)</f>
        <v>0</v>
      </c>
      <c r="BE69" s="20">
        <f>IF(AY69&lt;&gt;"",
    COUNTIFS(MATCH_INPUT!$F$18:$F$21, AY69, MATCH_INPUT!$K$18:$K$21, "&lt;&gt;"&amp;AY69, MATCH_INPUT!$K$18:$K$21, "&lt;&gt;Draw", MATCH_INPUT!$K$18:$K$21, "&lt;&gt;""") +
    COUNTIFS(MATCH_INPUT!$J$18:$J$21, AY69, MATCH_INPUT!$K$18:$K$21, "&lt;&gt;"&amp;AY69, MATCH_INPUT!$K$18:$K$21, "&lt;&gt;Draw", MATCH_INPUT!$K$18:$K$21, "&lt;&gt;"""),
0)</f>
        <v>0</v>
      </c>
      <c r="BF69" s="21" t="str">
        <f t="array" ref="BF69">IFERROR(INDEX(Form_Response!E:E, MATCH(1, (Form_Response!C:C='MATCH DATES'!$B$6)*(Form_Response!D:D=B69), 0)), "")
</f>
        <v/>
      </c>
      <c r="BG69" s="21">
        <f t="array" ref="BG69">IFERROR(IF(INDEX(Form_Response!F:F, MATCH(1, (Form_Response!C:C='MATCH DATES'!$B$6)*(Form_Response!D:D=B69), 0))="Yes", 1, 0), 0)
</f>
        <v>0</v>
      </c>
      <c r="BH69" s="30" t="str">
        <f t="array" ref="BH69">IFERROR(INDEX(Form_Response!G:G, MATCH(1, (Form_Response!C:C='MATCH DATES'!$B$6)*(Form_Response!D:D=B69), 0)), "")
</f>
        <v/>
      </c>
      <c r="BI69" s="23">
        <f t="shared" si="155"/>
        <v>11</v>
      </c>
      <c r="BJ69" s="24" t="str">
        <f t="shared" si="27"/>
        <v>↓</v>
      </c>
      <c r="BK69" s="34"/>
      <c r="BL69" s="26">
        <f t="shared" si="28"/>
        <v>0</v>
      </c>
      <c r="BM69" s="26">
        <f t="shared" si="29"/>
        <v>0</v>
      </c>
      <c r="BN69" s="26">
        <f>SUM(BO69*2) + (BP69*1) + SUMIFS(MATCH_INPUT!$G$22:$G$25, MATCH_INPUT!$F$22:$F$25, BK69) + SUMIFS(MATCH_INPUT!$I$22:$I$25, MATCH_INPUT!$J$22:$J$25, BK69)
</f>
        <v>0</v>
      </c>
      <c r="BO69" s="26">
        <f>IF(BK69&lt;&gt;"",
    COUNTIFS(MATCH_INPUT!$K$22:$K$25,BK69),
0)</f>
        <v>0</v>
      </c>
      <c r="BP69" s="26">
        <f>IF(BK69&lt;&gt;"",
    COUNTIFS(MATCH_INPUT!$F$22:$F$25, BK69, MATCH_INPUT!$K$22:$K$25, "Draw") +
    COUNTIFS(MATCH_INPUT!$J$22:$J$25, BK69, MATCH_INPUT!$K$22:$K$25, "Draw"),
0)</f>
        <v>0</v>
      </c>
      <c r="BQ69" s="26">
        <f>IF(BK69&lt;&gt;"",
    COUNTIFS(MATCH_INPUT!$F$22:$F$25, BK69, MATCH_INPUT!$K$22:$K$25, "&lt;&gt;"&amp;BK69, MATCH_INPUT!$K$22:$K$25, "&lt;&gt;Draw", MATCH_INPUT!$K$22:$K$25, "&lt;&gt;""") +
    COUNTIFS(MATCH_INPUT!$J$22:$J$25, BK69, MATCH_INPUT!$K$22:$K$25, "&lt;&gt;"&amp;BK69, MATCH_INPUT!$K$22:$K$25, "&lt;&gt;Draw", MATCH_INPUT!$K$22:$K$25, "&lt;&gt;"""),
0)</f>
        <v>0</v>
      </c>
      <c r="BR69" s="27"/>
      <c r="BS69" s="27"/>
      <c r="BT69" s="28"/>
      <c r="BU69" s="26">
        <f t="shared" si="156"/>
        <v>14</v>
      </c>
      <c r="BV69" s="29" t="str">
        <f t="shared" si="31"/>
        <v>↓</v>
      </c>
      <c r="BW69" s="35"/>
      <c r="BX69" s="23">
        <f t="shared" si="32"/>
        <v>0</v>
      </c>
      <c r="BY69" s="20">
        <f t="shared" si="33"/>
        <v>0</v>
      </c>
      <c r="BZ69" s="20">
        <f>SUM(CA69*2)+(CB69*1) + SUMIFS(MATCH_INPUT!$G$26:$G$29, MATCH_INPUT!$F$26:$F$29, BW69) + SUMIFS(MATCH_INPUT!$I$26:$I$29, MATCH_INPUT!$J$26:$J$29, BW69)
</f>
        <v>0</v>
      </c>
      <c r="CA69" s="20">
        <f>IF(BW69&lt;&gt;"",
    COUNTIFS(MATCH_INPUT!$K$26:$K$29,BW69),
0)</f>
        <v>0</v>
      </c>
      <c r="CB69" s="20">
        <f>IF(BW69&lt;&gt;"",
    COUNTIFS(MATCH_INPUT!$F$26:$F$29, BW69, MATCH_INPUT!$K$26:$K$29, "Draw") +
    COUNTIFS(MATCH_INPUT!$J$26:$J$29, BW69, MATCH_INPUT!$K$26:$K$29, "Draw"),
0)</f>
        <v>0</v>
      </c>
      <c r="CC69" s="20">
        <f>IF(BW69&lt;&gt;"",
    COUNTIFS(MATCH_INPUT!$F$26:$F$29, BW69, MATCH_INPUT!$K$26:$K$29, "&lt;&gt;"&amp;BW69, MATCH_INPUT!$K$26:$K$29, "&lt;&gt;Draw", MATCH_INPUT!$K$26:$K$29, "&lt;&gt;""") +
    COUNTIFS(MATCH_INPUT!$J$26:$J$29, BW69, MATCH_INPUT!$K$26:$K$29, "&lt;&gt;"&amp;BW69, MATCH_INPUT!$K$26:$K$29, "&lt;&gt;Draw", MATCH_INPUT!$K$26:$K$29, "&lt;&gt;"""),
0)</f>
        <v>0</v>
      </c>
      <c r="CD69" s="21"/>
      <c r="CE69" s="21"/>
      <c r="CF69" s="30"/>
      <c r="CG69" s="23">
        <f t="shared" si="157"/>
        <v>15</v>
      </c>
      <c r="CH69" s="24" t="str">
        <f t="shared" si="35"/>
        <v>↓</v>
      </c>
      <c r="CI69" s="25"/>
      <c r="CJ69" s="26">
        <f t="shared" si="36"/>
        <v>0</v>
      </c>
      <c r="CK69" s="26">
        <f t="shared" si="37"/>
        <v>0</v>
      </c>
      <c r="CL69" s="26">
        <f>SUM(CM69*2)+(CN69*1) + SUMIFS(MATCH_INPUT!$G$30:$G$33, MATCH_INPUT!$F$30:$F$33, CI69) + SUMIFS(MATCH_INPUT!$I$30:$I$33, MATCH_INPUT!$J$30:$J$33, CI69)
</f>
        <v>0</v>
      </c>
      <c r="CM69" s="26">
        <f>IF(CI69&lt;&gt;"",
    COUNTIFS(MATCH_INPUT!$K$30:$K$33,CI69),
0)</f>
        <v>0</v>
      </c>
      <c r="CN69" s="26">
        <f>IF(CI69&lt;&gt;"",
    COUNTIFS(MATCH_INPUT!$F$30:$F$33, CI69, MATCH_INPUT!$K$30:$K$33, "Draw") +
    COUNTIFS(MATCH_INPUT!$J$30:$J$33, CI69, MATCH_INPUT!$K$30:$K$33, "Draw"),
0)</f>
        <v>0</v>
      </c>
      <c r="CO69" s="26">
        <f>IF(CI69&lt;&gt;"",
    COUNTIFS(MATCH_INPUT!$F$30:$F$33, CI69, MATCH_INPUT!$K$30:$K$33, "&lt;&gt;"&amp;CI69, MATCH_INPUT!$K$30:$K$33, "&lt;&gt;Draw", MATCH_INPUT!$K$30:$K$33, "&lt;&gt;""") +
    COUNTIFS(MATCH_INPUT!$J$30:$J$33, CI69, MATCH_INPUT!$K$30:$K$33, "&lt;&gt;"&amp;CI69, MATCH_INPUT!$K$30:$K$33, "&lt;&gt;Draw", MATCH_INPUT!$K$30:$K$33, "&lt;&gt;"""),
0)</f>
        <v>0</v>
      </c>
      <c r="CP69" s="27" t="str">
        <f t="array" ref="CP69">IFERROR(INDEX(Form_Response!E:E, MATCH(1, (Form_Response!C:C='MATCH DATES'!$B$9)*(Form_Response!D:D=B69), 0)), "")
</f>
        <v/>
      </c>
      <c r="CQ69" s="27">
        <f t="array" ref="CQ69">IFERROR(IF(INDEX(Form_Response!F:F, MATCH(1, (Form_Response!C:C='MATCH DATES'!$B$9)*(Form_Response!D:D=B69), 0))="Yes", 1, 0), 0)
</f>
        <v>0</v>
      </c>
      <c r="CR69" s="28" t="str">
        <f t="array" ref="CR69">IFERROR(INDEX(Form_Response!G:G, MATCH(1, (Form_Response!C:C='MATCH DATES'!$B$9)*(Form_Response!D:D=B69), 0)), "")
</f>
        <v/>
      </c>
      <c r="CS69" s="31">
        <f t="shared" si="158"/>
        <v>18</v>
      </c>
      <c r="CT69" s="31" t="str">
        <f t="shared" si="39"/>
        <v>↓</v>
      </c>
      <c r="CU69" s="32">
        <f t="shared" si="40"/>
        <v>0</v>
      </c>
      <c r="CV69" s="32" t="str">
        <f t="shared" ref="CV69:CW69" si="246">A69</f>
        <v/>
      </c>
      <c r="CW69" s="33" t="str">
        <f t="shared" si="246"/>
        <v/>
      </c>
      <c r="CX69" s="33">
        <f t="shared" si="42"/>
        <v>0</v>
      </c>
      <c r="CY69" s="32">
        <f>SUM(
  IF(AND('MATCH DATES'!$A$2 &lt;= TODAY(), NOW() &gt;= 'MATCH DATES'!$A$2 + TIME(22, 0, 0)), E69, 0),
  IF(AND('MATCH DATES'!$A$3 &lt;= TODAY(), NOW() &gt;= 'MATCH DATES'!$A$3 + TIME(22, 0, 0)), Q69, 0),
  IF(AND('MATCH DATES'!$A$4 &lt;= TODAY(), NOW() &gt;= 'MATCH DATES'!$A$4 + TIME(22, 0, 0)), AC69, 0),
  IF(AND('MATCH DATES'!$A$5 &lt;= TODAY(), NOW() &gt;= 'MATCH DATES'!$A$5 + TIME(22, 0, 0)), AO69, 0),
  IF(AND('MATCH DATES'!$A$6 &lt;= TODAY(), NOW() &gt;= 'MATCH DATES'!$A$6 + TIME(22, 0, 0)), BA69, 0),
  IF(AND('MATCH DATES'!$A$7 &lt;= TODAY(), NOW() &gt;= 'MATCH DATES'!$A$7 + TIME(22, 0, 0)), BM69, 0),
  IF(AND('MATCH DATES'!$A$8 &lt;= TODAY(), NOW() &gt;= 'MATCH DATES'!$A$8 + TIME(22, 0, 0)), BY69, 0),
  IF(AND('MATCH DATES'!$A$9 &lt;= TODAY(), NOW() &gt;= 'MATCH DATES'!$A$9 + TIME(22, 0, 0)), CK69, 0)
)
</f>
        <v>0</v>
      </c>
      <c r="CZ69" s="33">
        <f t="shared" ref="CZ69:DA69" si="247">SUM(G69,S69,AE69,AQ69,BC69,BO69,CA69,CM69)</f>
        <v>0</v>
      </c>
      <c r="DA69" s="33">
        <f t="shared" si="247"/>
        <v>0</v>
      </c>
      <c r="DB69" s="33">
        <f>SUM(
  IF(AND('MATCH DATES'!$A$2 &lt;= TODAY(), NOW() &gt;= 'MATCH DATES'!$A$2 + TIME(22, 0, 0)), I69, 0),
  IF(AND('MATCH DATES'!$A$3 &lt;= TODAY(), NOW() &gt;= 'MATCH DATES'!$A$3 + TIME(22, 0, 0)), U69, 0),
  IF(AND('MATCH DATES'!$A$4 &lt;= TODAY(), NOW() &gt;= 'MATCH DATES'!$A$4 + TIME(22, 0, 0)), AG69, 0),
  IF(AND('MATCH DATES'!$A$5 &lt;= TODAY(), NOW() &gt;= 'MATCH DATES'!$A$5 + TIME(22, 0, 0)), AS69, 0),
  IF(AND('MATCH DATES'!$A$6 &lt;= TODAY(), NOW() &gt;= 'MATCH DATES'!$A$6 + TIME(22, 0, 0)), BE69, 0),
  IF(AND('MATCH DATES'!$A$7 &lt;= TODAY(), NOW() &gt;= 'MATCH DATES'!$A$7 + TIME(22, 0, 0)), BQ69, 0),
  IF(AND('MATCH DATES'!$A$8 &lt;= TODAY(), NOW() &gt;= 'MATCH DATES'!$A$8 + TIME(22, 0, 0)), CC69, 0),
  IF(AND('MATCH DATES'!$A$9 &lt;= TODAY(), NOW() &gt;= 'MATCH DATES'!$A$9 + TIME(22, 0, 0)), CO69, 0)
)</f>
        <v>0</v>
      </c>
      <c r="DC69" s="33">
        <f t="shared" si="44"/>
        <v>0</v>
      </c>
      <c r="DD69" s="33">
        <f t="shared" ref="DD69:DE69" si="248">SUM(K69,W69,AI69,AU69,BG69,BS69,CE69,CQ69)</f>
        <v>0</v>
      </c>
      <c r="DE69" s="33">
        <f t="shared" si="248"/>
        <v>0</v>
      </c>
    </row>
    <row r="70" ht="24.75" customHeight="1">
      <c r="A70" s="31"/>
      <c r="B70" s="39"/>
      <c r="C70" s="35"/>
      <c r="D70" s="20">
        <f t="shared" si="4"/>
        <v>0</v>
      </c>
      <c r="E70" s="20">
        <f t="shared" si="5"/>
        <v>0</v>
      </c>
      <c r="F70" s="20">
        <f t="shared" si="6"/>
        <v>0</v>
      </c>
      <c r="G70" s="20">
        <f>IF(C70&lt;&gt;"",
    COUNTIFS(MATCH_INPUT!$K$2:$K$5,C70),
0)</f>
        <v>0</v>
      </c>
      <c r="H70" s="20">
        <f>IF(C70&lt;&gt;"",
    COUNTIFS(MATCH_INPUT!$F$2:$F$5, C70, MATCH_INPUT!$K$2:$K$5, "Draw") +
    COUNTIFS(MATCH_INPUT!$J$2:$J$5, C70, MATCH_INPUT!$K$2:$K$5, "Draw"),
0)</f>
        <v>0</v>
      </c>
      <c r="I70" s="20">
        <f>IF(C70&lt;&gt;"",
    COUNTIFS(MATCH_INPUT!$F$2:$F$5, C70, MATCH_INPUT!$K$2:$K$5, "&lt;&gt;"&amp;C70, MATCH_INPUT!$K$2:$K$5, "&lt;&gt;Draw", MATCH_INPUT!$K$2:$K$5, "&lt;&gt;""") +
    COUNTIFS(MATCH_INPUT!$J$2:$J$5, C70, MATCH_INPUT!$K$2:$K$5, "&lt;&gt;"&amp;C70, MATCH_INPUT!$K$2:$K$5, "&lt;&gt;Draw", MATCH_INPUT!$K$2:$K$5, "&lt;&gt;"""),
0)</f>
        <v>0</v>
      </c>
      <c r="J70" s="21"/>
      <c r="K70" s="21"/>
      <c r="L70" s="22"/>
      <c r="M70" s="23">
        <f t="shared" si="151"/>
        <v>4</v>
      </c>
      <c r="N70" s="24" t="str">
        <f t="shared" si="8"/>
        <v>↓</v>
      </c>
      <c r="O70" s="25"/>
      <c r="P70" s="26">
        <f t="shared" si="9"/>
        <v>0</v>
      </c>
      <c r="Q70" s="26">
        <f t="shared" si="10"/>
        <v>0</v>
      </c>
      <c r="R70" s="26">
        <f t="shared" si="11"/>
        <v>0</v>
      </c>
      <c r="S70" s="26">
        <f>IF(O70&lt;&gt;"",
    COUNTIFS(MATCH_INPUT!$K$6:$K$9,O70),
0)</f>
        <v>0</v>
      </c>
      <c r="T70" s="26">
        <f>IF(O70&lt;&gt;"",
    COUNTIFS(MATCH_INPUT!$F$6:$F$9, O70, MATCH_INPUT!$K$6:$K$9, "Draw") +
    COUNTIFS(MATCH_INPUT!$J$6:$J$9, O70, MATCH_INPUT!$K$6:$K$9, "Draw"),
0)</f>
        <v>0</v>
      </c>
      <c r="U70" s="26">
        <f>IF(O70&lt;&gt;"",
    COUNTIFS(MATCH_INPUT!$F$6:$F$9, O70, MATCH_INPUT!$K$6:$K$9, "&lt;&gt;"&amp;O70, MATCH_INPUT!$K$6:$K$9, "&lt;&gt;Draw", MATCH_INPUT!$K$6:$K$9, "&lt;&gt;""") +
    COUNTIFS(MATCH_INPUT!$J$6:$J$9, O70, MATCH_INPUT!$K$6:$K$9, "&lt;&gt;"&amp;O70, MATCH_INPUT!$K$6:$K$9, "&lt;&gt;Draw", MATCH_INPUT!$K$6:$K$9, "&lt;&gt;"""),
0)</f>
        <v>0</v>
      </c>
      <c r="V70" s="27"/>
      <c r="W70" s="27"/>
      <c r="X70" s="28"/>
      <c r="Y70" s="26">
        <f t="shared" si="152"/>
        <v>7</v>
      </c>
      <c r="Z70" s="29" t="str">
        <f t="shared" si="13"/>
        <v>↓</v>
      </c>
      <c r="AA70" s="19"/>
      <c r="AB70" s="23">
        <f t="shared" si="14"/>
        <v>0</v>
      </c>
      <c r="AC70" s="20">
        <f t="shared" si="15"/>
        <v>0</v>
      </c>
      <c r="AD70" s="20">
        <f t="shared" si="16"/>
        <v>0</v>
      </c>
      <c r="AE70" s="20">
        <f>IF(AA70&lt;&gt;"",
    COUNTIFS(MATCH_INPUT!$K$10:$K$13,AA70),
0)</f>
        <v>0</v>
      </c>
      <c r="AF70" s="20">
        <f>IF(AA70&lt;&gt;"",
    COUNTIFS(MATCH_INPUT!$F$10:$F$13, AA70, MATCH_INPUT!$K$10:$K$13, "Draw") +
    COUNTIFS(MATCH_INPUT!$J$10:$J$13, AA70, MATCH_INPUT!$K$10:$K$13, "Draw"),
0)</f>
        <v>0</v>
      </c>
      <c r="AG70" s="20">
        <f>IF(AA70&lt;&gt;"",
    COUNTIFS(MATCH_INPUT!$F$10:$F$13, AA70, MATCH_INPUT!$K$10:$K$13, "&lt;&gt;"&amp;AA70, MATCH_INPUT!$K$10:$K$13, "&lt;&gt;Draw", MATCH_INPUT!$K$10:$K$13, "&lt;&gt;""") +
    COUNTIFS(MATCH_INPUT!$J$10:$J$13, AA70, MATCH_INPUT!$K$10:$K$13, "&lt;&gt;"&amp;AA70, MATCH_INPUT!$K$10:$K$13, "&lt;&gt;Draw", MATCH_INPUT!$K$10:$K$13, "&lt;&gt;"""),
0)</f>
        <v>0</v>
      </c>
      <c r="AH70" s="21"/>
      <c r="AI70" s="21"/>
      <c r="AJ70" s="30"/>
      <c r="AK70" s="23">
        <f t="shared" si="153"/>
        <v>8</v>
      </c>
      <c r="AL70" s="24" t="str">
        <f t="shared" si="18"/>
        <v>↓</v>
      </c>
      <c r="AM70" s="25"/>
      <c r="AN70" s="26">
        <f t="shared" si="19"/>
        <v>0</v>
      </c>
      <c r="AO70" s="26">
        <f t="shared" si="20"/>
        <v>0</v>
      </c>
      <c r="AP70" s="26">
        <f t="shared" si="21"/>
        <v>0</v>
      </c>
      <c r="AQ70" s="26">
        <f>IF(AM70&lt;&gt;"",
    COUNTIFS(MATCH_INPUT!$K$14:$K$17,AM70),
0)</f>
        <v>0</v>
      </c>
      <c r="AR70" s="26">
        <f>IF(AM70&lt;&gt;"",
    COUNTIFS(MATCH_INPUT!$F$14:$F$17, AM70, MATCH_INPUT!$K$14:$K$17, "Draw") +
    COUNTIFS(MATCH_INPUT!$J$14:$J$17, AM70, MATCH_INPUT!$K$14:$K$17, "Draw"),
0)</f>
        <v>0</v>
      </c>
      <c r="AS70" s="26">
        <f>IF(AM70&lt;&gt;"",
    COUNTIFS(MATCH_INPUT!$F$14:$F$17, AM70, MATCH_INPUT!$K$14:$K$17, "&lt;&gt;"&amp;AM70, MATCH_INPUT!$K$14:$K$17, "&lt;&gt;Draw", MATCH_INPUT!$K$14:$K$17, "&lt;&gt;""") +
    COUNTIFS(MATCH_INPUT!$J$14:$J$17, AM70, MATCH_INPUT!$K$14:$K$17, "&lt;&gt;"&amp;AM70, MATCH_INPUT!$K$14:$K$17, "&lt;&gt;Draw", MATCH_INPUT!$K$14:$K$17, "&lt;&gt;"""),
0)</f>
        <v>0</v>
      </c>
      <c r="AT70" s="27"/>
      <c r="AU70" s="27"/>
      <c r="AV70" s="28"/>
      <c r="AW70" s="26">
        <f t="shared" si="154"/>
        <v>10</v>
      </c>
      <c r="AX70" s="29" t="str">
        <f t="shared" si="23"/>
        <v>↓</v>
      </c>
      <c r="AY70" s="19"/>
      <c r="AZ70" s="23">
        <f t="shared" si="24"/>
        <v>0</v>
      </c>
      <c r="BA70" s="20">
        <f t="shared" si="25"/>
        <v>0</v>
      </c>
      <c r="BB70" s="20">
        <f>SUM(BC70*2) + (BD70*1) + SUMIFS(MATCH_INPUT!$G$18:$G$21, MATCH_INPUT!$F$18:$F$21, AY70) + SUMIFS(MATCH_INPUT!$I$18:$I$21, MATCH_INPUT!$J$18:$J$21, AY70)
</f>
        <v>0</v>
      </c>
      <c r="BC70" s="20">
        <f>IF(AY70&lt;&gt;"",
    COUNTIFS(MATCH_INPUT!$K$18:$K$21,AY70),
0)</f>
        <v>0</v>
      </c>
      <c r="BD70" s="20">
        <f>IF(AY70&lt;&gt;"",
    COUNTIFS(MATCH_INPUT!$F$18:$F$21, AY70, MATCH_INPUT!$K$18:$K$21, "Draw") +
    COUNTIFS(MATCH_INPUT!$J$18:$J$21, AY70, MATCH_INPUT!$K$18:$K$21, "Draw"),
0)</f>
        <v>0</v>
      </c>
      <c r="BE70" s="20">
        <f>IF(AY70&lt;&gt;"",
    COUNTIFS(MATCH_INPUT!$F$18:$F$21, AY70, MATCH_INPUT!$K$18:$K$21, "&lt;&gt;"&amp;AY70, MATCH_INPUT!$K$18:$K$21, "&lt;&gt;Draw", MATCH_INPUT!$K$18:$K$21, "&lt;&gt;""") +
    COUNTIFS(MATCH_INPUT!$J$18:$J$21, AY70, MATCH_INPUT!$K$18:$K$21, "&lt;&gt;"&amp;AY70, MATCH_INPUT!$K$18:$K$21, "&lt;&gt;Draw", MATCH_INPUT!$K$18:$K$21, "&lt;&gt;"""),
0)</f>
        <v>0</v>
      </c>
      <c r="BF70" s="21" t="str">
        <f t="array" ref="BF70">IFERROR(INDEX(Form_Response!E:E, MATCH(1, (Form_Response!C:C='MATCH DATES'!$B$6)*(Form_Response!D:D=B70), 0)), "")
</f>
        <v/>
      </c>
      <c r="BG70" s="21">
        <f t="array" ref="BG70">IFERROR(IF(INDEX(Form_Response!F:F, MATCH(1, (Form_Response!C:C='MATCH DATES'!$B$6)*(Form_Response!D:D=B70), 0))="Yes", 1, 0), 0)
</f>
        <v>0</v>
      </c>
      <c r="BH70" s="30" t="str">
        <f t="array" ref="BH70">IFERROR(INDEX(Form_Response!G:G, MATCH(1, (Form_Response!C:C='MATCH DATES'!$B$6)*(Form_Response!D:D=B70), 0)), "")
</f>
        <v/>
      </c>
      <c r="BI70" s="23">
        <f t="shared" si="155"/>
        <v>11</v>
      </c>
      <c r="BJ70" s="24" t="str">
        <f t="shared" si="27"/>
        <v>↓</v>
      </c>
      <c r="BK70" s="34"/>
      <c r="BL70" s="26">
        <f t="shared" si="28"/>
        <v>0</v>
      </c>
      <c r="BM70" s="26">
        <f t="shared" si="29"/>
        <v>0</v>
      </c>
      <c r="BN70" s="26">
        <f>SUM(BO70*2) + (BP70*1) + SUMIFS(MATCH_INPUT!$G$22:$G$25, MATCH_INPUT!$F$22:$F$25, BK70) + SUMIFS(MATCH_INPUT!$I$22:$I$25, MATCH_INPUT!$J$22:$J$25, BK70)
</f>
        <v>0</v>
      </c>
      <c r="BO70" s="26">
        <f>IF(BK70&lt;&gt;"",
    COUNTIFS(MATCH_INPUT!$K$22:$K$25,BK70),
0)</f>
        <v>0</v>
      </c>
      <c r="BP70" s="26">
        <f>IF(BK70&lt;&gt;"",
    COUNTIFS(MATCH_INPUT!$F$22:$F$25, BK70, MATCH_INPUT!$K$22:$K$25, "Draw") +
    COUNTIFS(MATCH_INPUT!$J$22:$J$25, BK70, MATCH_INPUT!$K$22:$K$25, "Draw"),
0)</f>
        <v>0</v>
      </c>
      <c r="BQ70" s="26">
        <f>IF(BK70&lt;&gt;"",
    COUNTIFS(MATCH_INPUT!$F$22:$F$25, BK70, MATCH_INPUT!$K$22:$K$25, "&lt;&gt;"&amp;BK70, MATCH_INPUT!$K$22:$K$25, "&lt;&gt;Draw", MATCH_INPUT!$K$22:$K$25, "&lt;&gt;""") +
    COUNTIFS(MATCH_INPUT!$J$22:$J$25, BK70, MATCH_INPUT!$K$22:$K$25, "&lt;&gt;"&amp;BK70, MATCH_INPUT!$K$22:$K$25, "&lt;&gt;Draw", MATCH_INPUT!$K$22:$K$25, "&lt;&gt;"""),
0)</f>
        <v>0</v>
      </c>
      <c r="BR70" s="27"/>
      <c r="BS70" s="27"/>
      <c r="BT70" s="28"/>
      <c r="BU70" s="26">
        <f t="shared" si="156"/>
        <v>14</v>
      </c>
      <c r="BV70" s="29" t="str">
        <f t="shared" si="31"/>
        <v>↓</v>
      </c>
      <c r="BW70" s="35"/>
      <c r="BX70" s="23">
        <f t="shared" si="32"/>
        <v>0</v>
      </c>
      <c r="BY70" s="20">
        <f t="shared" si="33"/>
        <v>0</v>
      </c>
      <c r="BZ70" s="20">
        <f>SUM(CA70*2)+(CB70*1) + SUMIFS(MATCH_INPUT!$G$26:$G$29, MATCH_INPUT!$F$26:$F$29, BW70) + SUMIFS(MATCH_INPUT!$I$26:$I$29, MATCH_INPUT!$J$26:$J$29, BW70)
</f>
        <v>0</v>
      </c>
      <c r="CA70" s="20">
        <f>IF(BW70&lt;&gt;"",
    COUNTIFS(MATCH_INPUT!$K$26:$K$29,BW70),
0)</f>
        <v>0</v>
      </c>
      <c r="CB70" s="20">
        <f>IF(BW70&lt;&gt;"",
    COUNTIFS(MATCH_INPUT!$F$26:$F$29, BW70, MATCH_INPUT!$K$26:$K$29, "Draw") +
    COUNTIFS(MATCH_INPUT!$J$26:$J$29, BW70, MATCH_INPUT!$K$26:$K$29, "Draw"),
0)</f>
        <v>0</v>
      </c>
      <c r="CC70" s="20">
        <f>IF(BW70&lt;&gt;"",
    COUNTIFS(MATCH_INPUT!$F$26:$F$29, BW70, MATCH_INPUT!$K$26:$K$29, "&lt;&gt;"&amp;BW70, MATCH_INPUT!$K$26:$K$29, "&lt;&gt;Draw", MATCH_INPUT!$K$26:$K$29, "&lt;&gt;""") +
    COUNTIFS(MATCH_INPUT!$J$26:$J$29, BW70, MATCH_INPUT!$K$26:$K$29, "&lt;&gt;"&amp;BW70, MATCH_INPUT!$K$26:$K$29, "&lt;&gt;Draw", MATCH_INPUT!$K$26:$K$29, "&lt;&gt;"""),
0)</f>
        <v>0</v>
      </c>
      <c r="CD70" s="21"/>
      <c r="CE70" s="21"/>
      <c r="CF70" s="30"/>
      <c r="CG70" s="23">
        <f t="shared" si="157"/>
        <v>15</v>
      </c>
      <c r="CH70" s="24" t="str">
        <f t="shared" si="35"/>
        <v>↓</v>
      </c>
      <c r="CI70" s="25"/>
      <c r="CJ70" s="26">
        <f t="shared" si="36"/>
        <v>0</v>
      </c>
      <c r="CK70" s="26">
        <f t="shared" si="37"/>
        <v>0</v>
      </c>
      <c r="CL70" s="26">
        <f>SUM(CM70*2)+(CN70*1) + SUMIFS(MATCH_INPUT!$G$30:$G$33, MATCH_INPUT!$F$30:$F$33, CI70) + SUMIFS(MATCH_INPUT!$I$30:$I$33, MATCH_INPUT!$J$30:$J$33, CI70)
</f>
        <v>0</v>
      </c>
      <c r="CM70" s="26">
        <f>IF(CI70&lt;&gt;"",
    COUNTIFS(MATCH_INPUT!$K$30:$K$33,CI70),
0)</f>
        <v>0</v>
      </c>
      <c r="CN70" s="26">
        <f>IF(CI70&lt;&gt;"",
    COUNTIFS(MATCH_INPUT!$F$30:$F$33, CI70, MATCH_INPUT!$K$30:$K$33, "Draw") +
    COUNTIFS(MATCH_INPUT!$J$30:$J$33, CI70, MATCH_INPUT!$K$30:$K$33, "Draw"),
0)</f>
        <v>0</v>
      </c>
      <c r="CO70" s="26">
        <f>IF(CI70&lt;&gt;"",
    COUNTIFS(MATCH_INPUT!$F$30:$F$33, CI70, MATCH_INPUT!$K$30:$K$33, "&lt;&gt;"&amp;CI70, MATCH_INPUT!$K$30:$K$33, "&lt;&gt;Draw", MATCH_INPUT!$K$30:$K$33, "&lt;&gt;""") +
    COUNTIFS(MATCH_INPUT!$J$30:$J$33, CI70, MATCH_INPUT!$K$30:$K$33, "&lt;&gt;"&amp;CI70, MATCH_INPUT!$K$30:$K$33, "&lt;&gt;Draw", MATCH_INPUT!$K$30:$K$33, "&lt;&gt;"""),
0)</f>
        <v>0</v>
      </c>
      <c r="CP70" s="27" t="str">
        <f t="array" ref="CP70">IFERROR(INDEX(Form_Response!E:E, MATCH(1, (Form_Response!C:C='MATCH DATES'!$B$9)*(Form_Response!D:D=B70), 0)), "")
</f>
        <v/>
      </c>
      <c r="CQ70" s="27">
        <f t="array" ref="CQ70">IFERROR(IF(INDEX(Form_Response!F:F, MATCH(1, (Form_Response!C:C='MATCH DATES'!$B$9)*(Form_Response!D:D=B70), 0))="Yes", 1, 0), 0)
</f>
        <v>0</v>
      </c>
      <c r="CR70" s="28" t="str">
        <f t="array" ref="CR70">IFERROR(INDEX(Form_Response!G:G, MATCH(1, (Form_Response!C:C='MATCH DATES'!$B$9)*(Form_Response!D:D=B70), 0)), "")
</f>
        <v/>
      </c>
      <c r="CS70" s="31">
        <f t="shared" si="158"/>
        <v>18</v>
      </c>
      <c r="CT70" s="31" t="str">
        <f t="shared" si="39"/>
        <v>↓</v>
      </c>
      <c r="CU70" s="32">
        <f t="shared" si="40"/>
        <v>0</v>
      </c>
      <c r="CV70" s="32" t="str">
        <f t="shared" ref="CV70:CW70" si="249">A70</f>
        <v/>
      </c>
      <c r="CW70" s="33" t="str">
        <f t="shared" si="249"/>
        <v/>
      </c>
      <c r="CX70" s="33">
        <f t="shared" si="42"/>
        <v>0</v>
      </c>
      <c r="CY70" s="32">
        <f>SUM(
  IF(AND('MATCH DATES'!$A$2 &lt;= TODAY(), NOW() &gt;= 'MATCH DATES'!$A$2 + TIME(22, 0, 0)), E70, 0),
  IF(AND('MATCH DATES'!$A$3 &lt;= TODAY(), NOW() &gt;= 'MATCH DATES'!$A$3 + TIME(22, 0, 0)), Q70, 0),
  IF(AND('MATCH DATES'!$A$4 &lt;= TODAY(), NOW() &gt;= 'MATCH DATES'!$A$4 + TIME(22, 0, 0)), AC70, 0),
  IF(AND('MATCH DATES'!$A$5 &lt;= TODAY(), NOW() &gt;= 'MATCH DATES'!$A$5 + TIME(22, 0, 0)), AO70, 0),
  IF(AND('MATCH DATES'!$A$6 &lt;= TODAY(), NOW() &gt;= 'MATCH DATES'!$A$6 + TIME(22, 0, 0)), BA70, 0),
  IF(AND('MATCH DATES'!$A$7 &lt;= TODAY(), NOW() &gt;= 'MATCH DATES'!$A$7 + TIME(22, 0, 0)), BM70, 0),
  IF(AND('MATCH DATES'!$A$8 &lt;= TODAY(), NOW() &gt;= 'MATCH DATES'!$A$8 + TIME(22, 0, 0)), BY70, 0),
  IF(AND('MATCH DATES'!$A$9 &lt;= TODAY(), NOW() &gt;= 'MATCH DATES'!$A$9 + TIME(22, 0, 0)), CK70, 0)
)
</f>
        <v>0</v>
      </c>
      <c r="CZ70" s="33">
        <f t="shared" ref="CZ70:DA70" si="250">SUM(G70,S70,AE70,AQ70,BC70,BO70,CA70,CM70)</f>
        <v>0</v>
      </c>
      <c r="DA70" s="33">
        <f t="shared" si="250"/>
        <v>0</v>
      </c>
      <c r="DB70" s="33">
        <f>SUM(
  IF(AND('MATCH DATES'!$A$2 &lt;= TODAY(), NOW() &gt;= 'MATCH DATES'!$A$2 + TIME(22, 0, 0)), I70, 0),
  IF(AND('MATCH DATES'!$A$3 &lt;= TODAY(), NOW() &gt;= 'MATCH DATES'!$A$3 + TIME(22, 0, 0)), U70, 0),
  IF(AND('MATCH DATES'!$A$4 &lt;= TODAY(), NOW() &gt;= 'MATCH DATES'!$A$4 + TIME(22, 0, 0)), AG70, 0),
  IF(AND('MATCH DATES'!$A$5 &lt;= TODAY(), NOW() &gt;= 'MATCH DATES'!$A$5 + TIME(22, 0, 0)), AS70, 0),
  IF(AND('MATCH DATES'!$A$6 &lt;= TODAY(), NOW() &gt;= 'MATCH DATES'!$A$6 + TIME(22, 0, 0)), BE70, 0),
  IF(AND('MATCH DATES'!$A$7 &lt;= TODAY(), NOW() &gt;= 'MATCH DATES'!$A$7 + TIME(22, 0, 0)), BQ70, 0),
  IF(AND('MATCH DATES'!$A$8 &lt;= TODAY(), NOW() &gt;= 'MATCH DATES'!$A$8 + TIME(22, 0, 0)), CC70, 0),
  IF(AND('MATCH DATES'!$A$9 &lt;= TODAY(), NOW() &gt;= 'MATCH DATES'!$A$9 + TIME(22, 0, 0)), CO70, 0)
)</f>
        <v>0</v>
      </c>
      <c r="DC70" s="33">
        <f t="shared" si="44"/>
        <v>0</v>
      </c>
      <c r="DD70" s="33">
        <f t="shared" ref="DD70:DE70" si="251">SUM(K70,W70,AI70,AU70,BG70,BS70,CE70,CQ70)</f>
        <v>0</v>
      </c>
      <c r="DE70" s="33">
        <f t="shared" si="251"/>
        <v>0</v>
      </c>
    </row>
    <row r="71" ht="24.75" customHeight="1">
      <c r="A71" s="31"/>
      <c r="B71" s="39"/>
      <c r="C71" s="35"/>
      <c r="D71" s="20">
        <f t="shared" si="4"/>
        <v>0</v>
      </c>
      <c r="E71" s="20">
        <f t="shared" si="5"/>
        <v>0</v>
      </c>
      <c r="F71" s="20">
        <f t="shared" si="6"/>
        <v>0</v>
      </c>
      <c r="G71" s="20">
        <f>IF(C71&lt;&gt;"",
    COUNTIFS(MATCH_INPUT!$K$2:$K$5,C71),
0)</f>
        <v>0</v>
      </c>
      <c r="H71" s="20">
        <f>IF(C71&lt;&gt;"",
    COUNTIFS(MATCH_INPUT!$F$2:$F$5, C71, MATCH_INPUT!$K$2:$K$5, "Draw") +
    COUNTIFS(MATCH_INPUT!$J$2:$J$5, C71, MATCH_INPUT!$K$2:$K$5, "Draw"),
0)</f>
        <v>0</v>
      </c>
      <c r="I71" s="20">
        <f>IF(C71&lt;&gt;"",
    COUNTIFS(MATCH_INPUT!$F$2:$F$5, C71, MATCH_INPUT!$K$2:$K$5, "&lt;&gt;"&amp;C71, MATCH_INPUT!$K$2:$K$5, "&lt;&gt;Draw", MATCH_INPUT!$K$2:$K$5, "&lt;&gt;""") +
    COUNTIFS(MATCH_INPUT!$J$2:$J$5, C71, MATCH_INPUT!$K$2:$K$5, "&lt;&gt;"&amp;C71, MATCH_INPUT!$K$2:$K$5, "&lt;&gt;Draw", MATCH_INPUT!$K$2:$K$5, "&lt;&gt;"""),
0)</f>
        <v>0</v>
      </c>
      <c r="J71" s="21"/>
      <c r="K71" s="21"/>
      <c r="L71" s="22"/>
      <c r="M71" s="23">
        <f t="shared" si="151"/>
        <v>4</v>
      </c>
      <c r="N71" s="24" t="str">
        <f t="shared" si="8"/>
        <v>↓</v>
      </c>
      <c r="O71" s="25"/>
      <c r="P71" s="26">
        <f t="shared" si="9"/>
        <v>0</v>
      </c>
      <c r="Q71" s="26">
        <f t="shared" si="10"/>
        <v>0</v>
      </c>
      <c r="R71" s="26">
        <f t="shared" si="11"/>
        <v>0</v>
      </c>
      <c r="S71" s="26">
        <f>IF(O71&lt;&gt;"",
    COUNTIFS(MATCH_INPUT!$K$6:$K$9,O71),
0)</f>
        <v>0</v>
      </c>
      <c r="T71" s="26">
        <f>IF(O71&lt;&gt;"",
    COUNTIFS(MATCH_INPUT!$F$6:$F$9, O71, MATCH_INPUT!$K$6:$K$9, "Draw") +
    COUNTIFS(MATCH_INPUT!$J$6:$J$9, O71, MATCH_INPUT!$K$6:$K$9, "Draw"),
0)</f>
        <v>0</v>
      </c>
      <c r="U71" s="26">
        <f>IF(O71&lt;&gt;"",
    COUNTIFS(MATCH_INPUT!$F$6:$F$9, O71, MATCH_INPUT!$K$6:$K$9, "&lt;&gt;"&amp;O71, MATCH_INPUT!$K$6:$K$9, "&lt;&gt;Draw", MATCH_INPUT!$K$6:$K$9, "&lt;&gt;""") +
    COUNTIFS(MATCH_INPUT!$J$6:$J$9, O71, MATCH_INPUT!$K$6:$K$9, "&lt;&gt;"&amp;O71, MATCH_INPUT!$K$6:$K$9, "&lt;&gt;Draw", MATCH_INPUT!$K$6:$K$9, "&lt;&gt;"""),
0)</f>
        <v>0</v>
      </c>
      <c r="V71" s="27"/>
      <c r="W71" s="27"/>
      <c r="X71" s="28"/>
      <c r="Y71" s="26">
        <f t="shared" si="152"/>
        <v>7</v>
      </c>
      <c r="Z71" s="29" t="str">
        <f t="shared" si="13"/>
        <v>↓</v>
      </c>
      <c r="AA71" s="19"/>
      <c r="AB71" s="23">
        <f t="shared" si="14"/>
        <v>0</v>
      </c>
      <c r="AC71" s="20">
        <f t="shared" si="15"/>
        <v>0</v>
      </c>
      <c r="AD71" s="20">
        <f t="shared" si="16"/>
        <v>0</v>
      </c>
      <c r="AE71" s="20">
        <f>IF(AA71&lt;&gt;"",
    COUNTIFS(MATCH_INPUT!$K$10:$K$13,AA71),
0)</f>
        <v>0</v>
      </c>
      <c r="AF71" s="20">
        <f>IF(AA71&lt;&gt;"",
    COUNTIFS(MATCH_INPUT!$F$10:$F$13, AA71, MATCH_INPUT!$K$10:$K$13, "Draw") +
    COUNTIFS(MATCH_INPUT!$J$10:$J$13, AA71, MATCH_INPUT!$K$10:$K$13, "Draw"),
0)</f>
        <v>0</v>
      </c>
      <c r="AG71" s="20">
        <f>IF(AA71&lt;&gt;"",
    COUNTIFS(MATCH_INPUT!$F$10:$F$13, AA71, MATCH_INPUT!$K$10:$K$13, "&lt;&gt;"&amp;AA71, MATCH_INPUT!$K$10:$K$13, "&lt;&gt;Draw", MATCH_INPUT!$K$10:$K$13, "&lt;&gt;""") +
    COUNTIFS(MATCH_INPUT!$J$10:$J$13, AA71, MATCH_INPUT!$K$10:$K$13, "&lt;&gt;"&amp;AA71, MATCH_INPUT!$K$10:$K$13, "&lt;&gt;Draw", MATCH_INPUT!$K$10:$K$13, "&lt;&gt;"""),
0)</f>
        <v>0</v>
      </c>
      <c r="AH71" s="21"/>
      <c r="AI71" s="21"/>
      <c r="AJ71" s="30"/>
      <c r="AK71" s="23">
        <f t="shared" si="153"/>
        <v>8</v>
      </c>
      <c r="AL71" s="24" t="str">
        <f t="shared" si="18"/>
        <v>↓</v>
      </c>
      <c r="AM71" s="25"/>
      <c r="AN71" s="26">
        <f t="shared" si="19"/>
        <v>0</v>
      </c>
      <c r="AO71" s="26">
        <f t="shared" si="20"/>
        <v>0</v>
      </c>
      <c r="AP71" s="26">
        <f t="shared" si="21"/>
        <v>0</v>
      </c>
      <c r="AQ71" s="26">
        <f>IF(AM71&lt;&gt;"",
    COUNTIFS(MATCH_INPUT!$K$14:$K$17,AM71),
0)</f>
        <v>0</v>
      </c>
      <c r="AR71" s="26">
        <f>IF(AM71&lt;&gt;"",
    COUNTIFS(MATCH_INPUT!$F$14:$F$17, AM71, MATCH_INPUT!$K$14:$K$17, "Draw") +
    COUNTIFS(MATCH_INPUT!$J$14:$J$17, AM71, MATCH_INPUT!$K$14:$K$17, "Draw"),
0)</f>
        <v>0</v>
      </c>
      <c r="AS71" s="26">
        <f>IF(AM71&lt;&gt;"",
    COUNTIFS(MATCH_INPUT!$F$14:$F$17, AM71, MATCH_INPUT!$K$14:$K$17, "&lt;&gt;"&amp;AM71, MATCH_INPUT!$K$14:$K$17, "&lt;&gt;Draw", MATCH_INPUT!$K$14:$K$17, "&lt;&gt;""") +
    COUNTIFS(MATCH_INPUT!$J$14:$J$17, AM71, MATCH_INPUT!$K$14:$K$17, "&lt;&gt;"&amp;AM71, MATCH_INPUT!$K$14:$K$17, "&lt;&gt;Draw", MATCH_INPUT!$K$14:$K$17, "&lt;&gt;"""),
0)</f>
        <v>0</v>
      </c>
      <c r="AT71" s="27"/>
      <c r="AU71" s="27"/>
      <c r="AV71" s="28"/>
      <c r="AW71" s="26">
        <f t="shared" si="154"/>
        <v>10</v>
      </c>
      <c r="AX71" s="29" t="str">
        <f t="shared" si="23"/>
        <v>↓</v>
      </c>
      <c r="AY71" s="19"/>
      <c r="AZ71" s="23">
        <f t="shared" si="24"/>
        <v>0</v>
      </c>
      <c r="BA71" s="20">
        <f t="shared" si="25"/>
        <v>0</v>
      </c>
      <c r="BB71" s="20">
        <f>SUM(BC71*2) + (BD71*1) + SUMIFS(MATCH_INPUT!$G$18:$G$21, MATCH_INPUT!$F$18:$F$21, AY71) + SUMIFS(MATCH_INPUT!$I$18:$I$21, MATCH_INPUT!$J$18:$J$21, AY71)
</f>
        <v>0</v>
      </c>
      <c r="BC71" s="20">
        <f>IF(AY71&lt;&gt;"",
    COUNTIFS(MATCH_INPUT!$K$18:$K$21,AY71),
0)</f>
        <v>0</v>
      </c>
      <c r="BD71" s="20">
        <f>IF(AY71&lt;&gt;"",
    COUNTIFS(MATCH_INPUT!$F$18:$F$21, AY71, MATCH_INPUT!$K$18:$K$21, "Draw") +
    COUNTIFS(MATCH_INPUT!$J$18:$J$21, AY71, MATCH_INPUT!$K$18:$K$21, "Draw"),
0)</f>
        <v>0</v>
      </c>
      <c r="BE71" s="20">
        <f>IF(AY71&lt;&gt;"",
    COUNTIFS(MATCH_INPUT!$F$18:$F$21, AY71, MATCH_INPUT!$K$18:$K$21, "&lt;&gt;"&amp;AY71, MATCH_INPUT!$K$18:$K$21, "&lt;&gt;Draw", MATCH_INPUT!$K$18:$K$21, "&lt;&gt;""") +
    COUNTIFS(MATCH_INPUT!$J$18:$J$21, AY71, MATCH_INPUT!$K$18:$K$21, "&lt;&gt;"&amp;AY71, MATCH_INPUT!$K$18:$K$21, "&lt;&gt;Draw", MATCH_INPUT!$K$18:$K$21, "&lt;&gt;"""),
0)</f>
        <v>0</v>
      </c>
      <c r="BF71" s="21" t="str">
        <f t="array" ref="BF71">IFERROR(INDEX(Form_Response!E:E, MATCH(1, (Form_Response!C:C='MATCH DATES'!$B$6)*(Form_Response!D:D=B71), 0)), "")
</f>
        <v/>
      </c>
      <c r="BG71" s="21">
        <f t="array" ref="BG71">IFERROR(IF(INDEX(Form_Response!F:F, MATCH(1, (Form_Response!C:C='MATCH DATES'!$B$6)*(Form_Response!D:D=B71), 0))="Yes", 1, 0), 0)
</f>
        <v>0</v>
      </c>
      <c r="BH71" s="30" t="str">
        <f t="array" ref="BH71">IFERROR(INDEX(Form_Response!G:G, MATCH(1, (Form_Response!C:C='MATCH DATES'!$B$6)*(Form_Response!D:D=B71), 0)), "")
</f>
        <v/>
      </c>
      <c r="BI71" s="23">
        <f t="shared" si="155"/>
        <v>11</v>
      </c>
      <c r="BJ71" s="24" t="str">
        <f t="shared" si="27"/>
        <v>↓</v>
      </c>
      <c r="BK71" s="34"/>
      <c r="BL71" s="26">
        <f t="shared" si="28"/>
        <v>0</v>
      </c>
      <c r="BM71" s="26">
        <f t="shared" si="29"/>
        <v>0</v>
      </c>
      <c r="BN71" s="26">
        <f>SUM(BO71*2) + (BP71*1) + SUMIFS(MATCH_INPUT!$G$22:$G$25, MATCH_INPUT!$F$22:$F$25, BK71) + SUMIFS(MATCH_INPUT!$I$22:$I$25, MATCH_INPUT!$J$22:$J$25, BK71)
</f>
        <v>0</v>
      </c>
      <c r="BO71" s="26">
        <f>IF(BK71&lt;&gt;"",
    COUNTIFS(MATCH_INPUT!$K$22:$K$25,BK71),
0)</f>
        <v>0</v>
      </c>
      <c r="BP71" s="26">
        <f>IF(BK71&lt;&gt;"",
    COUNTIFS(MATCH_INPUT!$F$22:$F$25, BK71, MATCH_INPUT!$K$22:$K$25, "Draw") +
    COUNTIFS(MATCH_INPUT!$J$22:$J$25, BK71, MATCH_INPUT!$K$22:$K$25, "Draw"),
0)</f>
        <v>0</v>
      </c>
      <c r="BQ71" s="26">
        <f>IF(BK71&lt;&gt;"",
    COUNTIFS(MATCH_INPUT!$F$22:$F$25, BK71, MATCH_INPUT!$K$22:$K$25, "&lt;&gt;"&amp;BK71, MATCH_INPUT!$K$22:$K$25, "&lt;&gt;Draw", MATCH_INPUT!$K$22:$K$25, "&lt;&gt;""") +
    COUNTIFS(MATCH_INPUT!$J$22:$J$25, BK71, MATCH_INPUT!$K$22:$K$25, "&lt;&gt;"&amp;BK71, MATCH_INPUT!$K$22:$K$25, "&lt;&gt;Draw", MATCH_INPUT!$K$22:$K$25, "&lt;&gt;"""),
0)</f>
        <v>0</v>
      </c>
      <c r="BR71" s="27"/>
      <c r="BS71" s="27"/>
      <c r="BT71" s="28"/>
      <c r="BU71" s="26">
        <f t="shared" si="156"/>
        <v>14</v>
      </c>
      <c r="BV71" s="29" t="str">
        <f t="shared" si="31"/>
        <v>↓</v>
      </c>
      <c r="BW71" s="35"/>
      <c r="BX71" s="23">
        <f t="shared" si="32"/>
        <v>0</v>
      </c>
      <c r="BY71" s="20">
        <f t="shared" si="33"/>
        <v>0</v>
      </c>
      <c r="BZ71" s="20">
        <f>SUM(CA71*2)+(CB71*1) + SUMIFS(MATCH_INPUT!$G$26:$G$29, MATCH_INPUT!$F$26:$F$29, BW71) + SUMIFS(MATCH_INPUT!$I$26:$I$29, MATCH_INPUT!$J$26:$J$29, BW71)
</f>
        <v>0</v>
      </c>
      <c r="CA71" s="20">
        <f>IF(BW71&lt;&gt;"",
    COUNTIFS(MATCH_INPUT!$K$26:$K$29,BW71),
0)</f>
        <v>0</v>
      </c>
      <c r="CB71" s="20">
        <f>IF(BW71&lt;&gt;"",
    COUNTIFS(MATCH_INPUT!$F$26:$F$29, BW71, MATCH_INPUT!$K$26:$K$29, "Draw") +
    COUNTIFS(MATCH_INPUT!$J$26:$J$29, BW71, MATCH_INPUT!$K$26:$K$29, "Draw"),
0)</f>
        <v>0</v>
      </c>
      <c r="CC71" s="20">
        <f>IF(BW71&lt;&gt;"",
    COUNTIFS(MATCH_INPUT!$F$26:$F$29, BW71, MATCH_INPUT!$K$26:$K$29, "&lt;&gt;"&amp;BW71, MATCH_INPUT!$K$26:$K$29, "&lt;&gt;Draw", MATCH_INPUT!$K$26:$K$29, "&lt;&gt;""") +
    COUNTIFS(MATCH_INPUT!$J$26:$J$29, BW71, MATCH_INPUT!$K$26:$K$29, "&lt;&gt;"&amp;BW71, MATCH_INPUT!$K$26:$K$29, "&lt;&gt;Draw", MATCH_INPUT!$K$26:$K$29, "&lt;&gt;"""),
0)</f>
        <v>0</v>
      </c>
      <c r="CD71" s="21"/>
      <c r="CE71" s="21"/>
      <c r="CF71" s="30"/>
      <c r="CG71" s="23">
        <f t="shared" si="157"/>
        <v>15</v>
      </c>
      <c r="CH71" s="24" t="str">
        <f t="shared" si="35"/>
        <v>↓</v>
      </c>
      <c r="CI71" s="25"/>
      <c r="CJ71" s="26">
        <f t="shared" si="36"/>
        <v>0</v>
      </c>
      <c r="CK71" s="26">
        <f t="shared" si="37"/>
        <v>0</v>
      </c>
      <c r="CL71" s="26">
        <f>SUM(CM71*2)+(CN71*1) + SUMIFS(MATCH_INPUT!$G$30:$G$33, MATCH_INPUT!$F$30:$F$33, CI71) + SUMIFS(MATCH_INPUT!$I$30:$I$33, MATCH_INPUT!$J$30:$J$33, CI71)
</f>
        <v>0</v>
      </c>
      <c r="CM71" s="26">
        <f>IF(CI71&lt;&gt;"",
    COUNTIFS(MATCH_INPUT!$K$30:$K$33,CI71),
0)</f>
        <v>0</v>
      </c>
      <c r="CN71" s="26">
        <f>IF(CI71&lt;&gt;"",
    COUNTIFS(MATCH_INPUT!$F$30:$F$33, CI71, MATCH_INPUT!$K$30:$K$33, "Draw") +
    COUNTIFS(MATCH_INPUT!$J$30:$J$33, CI71, MATCH_INPUT!$K$30:$K$33, "Draw"),
0)</f>
        <v>0</v>
      </c>
      <c r="CO71" s="26">
        <f>IF(CI71&lt;&gt;"",
    COUNTIFS(MATCH_INPUT!$F$30:$F$33, CI71, MATCH_INPUT!$K$30:$K$33, "&lt;&gt;"&amp;CI71, MATCH_INPUT!$K$30:$K$33, "&lt;&gt;Draw", MATCH_INPUT!$K$30:$K$33, "&lt;&gt;""") +
    COUNTIFS(MATCH_INPUT!$J$30:$J$33, CI71, MATCH_INPUT!$K$30:$K$33, "&lt;&gt;"&amp;CI71, MATCH_INPUT!$K$30:$K$33, "&lt;&gt;Draw", MATCH_INPUT!$K$30:$K$33, "&lt;&gt;"""),
0)</f>
        <v>0</v>
      </c>
      <c r="CP71" s="27" t="str">
        <f t="array" ref="CP71">IFERROR(INDEX(Form_Response!E:E, MATCH(1, (Form_Response!C:C='MATCH DATES'!$B$9)*(Form_Response!D:D=B71), 0)), "")
</f>
        <v/>
      </c>
      <c r="CQ71" s="27">
        <f t="array" ref="CQ71">IFERROR(IF(INDEX(Form_Response!F:F, MATCH(1, (Form_Response!C:C='MATCH DATES'!$B$9)*(Form_Response!D:D=B71), 0))="Yes", 1, 0), 0)
</f>
        <v>0</v>
      </c>
      <c r="CR71" s="28" t="str">
        <f t="array" ref="CR71">IFERROR(INDEX(Form_Response!G:G, MATCH(1, (Form_Response!C:C='MATCH DATES'!$B$9)*(Form_Response!D:D=B71), 0)), "")
</f>
        <v/>
      </c>
      <c r="CS71" s="31">
        <f t="shared" si="158"/>
        <v>18</v>
      </c>
      <c r="CT71" s="31" t="str">
        <f t="shared" si="39"/>
        <v>↓</v>
      </c>
      <c r="CU71" s="32">
        <f t="shared" si="40"/>
        <v>0</v>
      </c>
      <c r="CV71" s="32" t="str">
        <f t="shared" ref="CV71:CW71" si="252">A71</f>
        <v/>
      </c>
      <c r="CW71" s="33" t="str">
        <f t="shared" si="252"/>
        <v/>
      </c>
      <c r="CX71" s="33">
        <f t="shared" si="42"/>
        <v>0</v>
      </c>
      <c r="CY71" s="32">
        <f>SUM(
  IF(AND('MATCH DATES'!$A$2 &lt;= TODAY(), NOW() &gt;= 'MATCH DATES'!$A$2 + TIME(22, 0, 0)), E71, 0),
  IF(AND('MATCH DATES'!$A$3 &lt;= TODAY(), NOW() &gt;= 'MATCH DATES'!$A$3 + TIME(22, 0, 0)), Q71, 0),
  IF(AND('MATCH DATES'!$A$4 &lt;= TODAY(), NOW() &gt;= 'MATCH DATES'!$A$4 + TIME(22, 0, 0)), AC71, 0),
  IF(AND('MATCH DATES'!$A$5 &lt;= TODAY(), NOW() &gt;= 'MATCH DATES'!$A$5 + TIME(22, 0, 0)), AO71, 0),
  IF(AND('MATCH DATES'!$A$6 &lt;= TODAY(), NOW() &gt;= 'MATCH DATES'!$A$6 + TIME(22, 0, 0)), BA71, 0),
  IF(AND('MATCH DATES'!$A$7 &lt;= TODAY(), NOW() &gt;= 'MATCH DATES'!$A$7 + TIME(22, 0, 0)), BM71, 0),
  IF(AND('MATCH DATES'!$A$8 &lt;= TODAY(), NOW() &gt;= 'MATCH DATES'!$A$8 + TIME(22, 0, 0)), BY71, 0),
  IF(AND('MATCH DATES'!$A$9 &lt;= TODAY(), NOW() &gt;= 'MATCH DATES'!$A$9 + TIME(22, 0, 0)), CK71, 0)
)
</f>
        <v>0</v>
      </c>
      <c r="CZ71" s="33">
        <f t="shared" ref="CZ71:DA71" si="253">SUM(G71,S71,AE71,AQ71,BC71,BO71,CA71,CM71)</f>
        <v>0</v>
      </c>
      <c r="DA71" s="33">
        <f t="shared" si="253"/>
        <v>0</v>
      </c>
      <c r="DB71" s="33">
        <f>SUM(
  IF(AND('MATCH DATES'!$A$2 &lt;= TODAY(), NOW() &gt;= 'MATCH DATES'!$A$2 + TIME(22, 0, 0)), I71, 0),
  IF(AND('MATCH DATES'!$A$3 &lt;= TODAY(), NOW() &gt;= 'MATCH DATES'!$A$3 + TIME(22, 0, 0)), U71, 0),
  IF(AND('MATCH DATES'!$A$4 &lt;= TODAY(), NOW() &gt;= 'MATCH DATES'!$A$4 + TIME(22, 0, 0)), AG71, 0),
  IF(AND('MATCH DATES'!$A$5 &lt;= TODAY(), NOW() &gt;= 'MATCH DATES'!$A$5 + TIME(22, 0, 0)), AS71, 0),
  IF(AND('MATCH DATES'!$A$6 &lt;= TODAY(), NOW() &gt;= 'MATCH DATES'!$A$6 + TIME(22, 0, 0)), BE71, 0),
  IF(AND('MATCH DATES'!$A$7 &lt;= TODAY(), NOW() &gt;= 'MATCH DATES'!$A$7 + TIME(22, 0, 0)), BQ71, 0),
  IF(AND('MATCH DATES'!$A$8 &lt;= TODAY(), NOW() &gt;= 'MATCH DATES'!$A$8 + TIME(22, 0, 0)), CC71, 0),
  IF(AND('MATCH DATES'!$A$9 &lt;= TODAY(), NOW() &gt;= 'MATCH DATES'!$A$9 + TIME(22, 0, 0)), CO71, 0)
)</f>
        <v>0</v>
      </c>
      <c r="DC71" s="33">
        <f t="shared" si="44"/>
        <v>0</v>
      </c>
      <c r="DD71" s="33">
        <f t="shared" ref="DD71:DE71" si="254">SUM(K71,W71,AI71,AU71,BG71,BS71,CE71,CQ71)</f>
        <v>0</v>
      </c>
      <c r="DE71" s="33">
        <f t="shared" si="254"/>
        <v>0</v>
      </c>
    </row>
    <row r="72" ht="24.75" customHeight="1">
      <c r="A72" s="31"/>
      <c r="B72" s="39"/>
      <c r="C72" s="35"/>
      <c r="D72" s="20">
        <f t="shared" si="4"/>
        <v>0</v>
      </c>
      <c r="E72" s="20">
        <f t="shared" si="5"/>
        <v>0</v>
      </c>
      <c r="F72" s="20">
        <f t="shared" si="6"/>
        <v>0</v>
      </c>
      <c r="G72" s="20">
        <f>IF(C72&lt;&gt;"",
    COUNTIFS(MATCH_INPUT!$K$2:$K$5,C72),
0)</f>
        <v>0</v>
      </c>
      <c r="H72" s="20">
        <f>IF(C72&lt;&gt;"",
    COUNTIFS(MATCH_INPUT!$F$2:$F$5, C72, MATCH_INPUT!$K$2:$K$5, "Draw") +
    COUNTIFS(MATCH_INPUT!$J$2:$J$5, C72, MATCH_INPUT!$K$2:$K$5, "Draw"),
0)</f>
        <v>0</v>
      </c>
      <c r="I72" s="20">
        <f>IF(C72&lt;&gt;"",
    COUNTIFS(MATCH_INPUT!$F$2:$F$5, C72, MATCH_INPUT!$K$2:$K$5, "&lt;&gt;"&amp;C72, MATCH_INPUT!$K$2:$K$5, "&lt;&gt;Draw", MATCH_INPUT!$K$2:$K$5, "&lt;&gt;""") +
    COUNTIFS(MATCH_INPUT!$J$2:$J$5, C72, MATCH_INPUT!$K$2:$K$5, "&lt;&gt;"&amp;C72, MATCH_INPUT!$K$2:$K$5, "&lt;&gt;Draw", MATCH_INPUT!$K$2:$K$5, "&lt;&gt;"""),
0)</f>
        <v>0</v>
      </c>
      <c r="J72" s="21"/>
      <c r="K72" s="21"/>
      <c r="L72" s="22"/>
      <c r="M72" s="23">
        <f t="shared" si="151"/>
        <v>4</v>
      </c>
      <c r="N72" s="24" t="str">
        <f t="shared" si="8"/>
        <v>↓</v>
      </c>
      <c r="O72" s="25"/>
      <c r="P72" s="26">
        <f t="shared" si="9"/>
        <v>0</v>
      </c>
      <c r="Q72" s="26">
        <f t="shared" si="10"/>
        <v>0</v>
      </c>
      <c r="R72" s="26">
        <f t="shared" si="11"/>
        <v>0</v>
      </c>
      <c r="S72" s="26">
        <f>IF(O72&lt;&gt;"",
    COUNTIFS(MATCH_INPUT!$K$6:$K$9,O72),
0)</f>
        <v>0</v>
      </c>
      <c r="T72" s="26">
        <f>IF(O72&lt;&gt;"",
    COUNTIFS(MATCH_INPUT!$F$6:$F$9, O72, MATCH_INPUT!$K$6:$K$9, "Draw") +
    COUNTIFS(MATCH_INPUT!$J$6:$J$9, O72, MATCH_INPUT!$K$6:$K$9, "Draw"),
0)</f>
        <v>0</v>
      </c>
      <c r="U72" s="26">
        <f>IF(O72&lt;&gt;"",
    COUNTIFS(MATCH_INPUT!$F$6:$F$9, O72, MATCH_INPUT!$K$6:$K$9, "&lt;&gt;"&amp;O72, MATCH_INPUT!$K$6:$K$9, "&lt;&gt;Draw", MATCH_INPUT!$K$6:$K$9, "&lt;&gt;""") +
    COUNTIFS(MATCH_INPUT!$J$6:$J$9, O72, MATCH_INPUT!$K$6:$K$9, "&lt;&gt;"&amp;O72, MATCH_INPUT!$K$6:$K$9, "&lt;&gt;Draw", MATCH_INPUT!$K$6:$K$9, "&lt;&gt;"""),
0)</f>
        <v>0</v>
      </c>
      <c r="V72" s="27"/>
      <c r="W72" s="27"/>
      <c r="X72" s="28"/>
      <c r="Y72" s="26">
        <f t="shared" si="152"/>
        <v>7</v>
      </c>
      <c r="Z72" s="29" t="str">
        <f t="shared" si="13"/>
        <v>↓</v>
      </c>
      <c r="AA72" s="19"/>
      <c r="AB72" s="23">
        <f t="shared" si="14"/>
        <v>0</v>
      </c>
      <c r="AC72" s="20">
        <f t="shared" si="15"/>
        <v>0</v>
      </c>
      <c r="AD72" s="20">
        <f t="shared" si="16"/>
        <v>0</v>
      </c>
      <c r="AE72" s="20">
        <f>IF(AA72&lt;&gt;"",
    COUNTIFS(MATCH_INPUT!$K$10:$K$13,AA72),
0)</f>
        <v>0</v>
      </c>
      <c r="AF72" s="20">
        <f>IF(AA72&lt;&gt;"",
    COUNTIFS(MATCH_INPUT!$F$10:$F$13, AA72, MATCH_INPUT!$K$10:$K$13, "Draw") +
    COUNTIFS(MATCH_INPUT!$J$10:$J$13, AA72, MATCH_INPUT!$K$10:$K$13, "Draw"),
0)</f>
        <v>0</v>
      </c>
      <c r="AG72" s="20">
        <f>IF(AA72&lt;&gt;"",
    COUNTIFS(MATCH_INPUT!$F$10:$F$13, AA72, MATCH_INPUT!$K$10:$K$13, "&lt;&gt;"&amp;AA72, MATCH_INPUT!$K$10:$K$13, "&lt;&gt;Draw", MATCH_INPUT!$K$10:$K$13, "&lt;&gt;""") +
    COUNTIFS(MATCH_INPUT!$J$10:$J$13, AA72, MATCH_INPUT!$K$10:$K$13, "&lt;&gt;"&amp;AA72, MATCH_INPUT!$K$10:$K$13, "&lt;&gt;Draw", MATCH_INPUT!$K$10:$K$13, "&lt;&gt;"""),
0)</f>
        <v>0</v>
      </c>
      <c r="AH72" s="21"/>
      <c r="AI72" s="21"/>
      <c r="AJ72" s="30"/>
      <c r="AK72" s="23">
        <f t="shared" si="153"/>
        <v>8</v>
      </c>
      <c r="AL72" s="24" t="str">
        <f t="shared" si="18"/>
        <v>↓</v>
      </c>
      <c r="AM72" s="25"/>
      <c r="AN72" s="26">
        <f t="shared" si="19"/>
        <v>0</v>
      </c>
      <c r="AO72" s="26">
        <f t="shared" si="20"/>
        <v>0</v>
      </c>
      <c r="AP72" s="26">
        <f t="shared" si="21"/>
        <v>0</v>
      </c>
      <c r="AQ72" s="26">
        <f>IF(AM72&lt;&gt;"",
    COUNTIFS(MATCH_INPUT!$K$14:$K$17,AM72),
0)</f>
        <v>0</v>
      </c>
      <c r="AR72" s="26">
        <f>IF(AM72&lt;&gt;"",
    COUNTIFS(MATCH_INPUT!$F$14:$F$17, AM72, MATCH_INPUT!$K$14:$K$17, "Draw") +
    COUNTIFS(MATCH_INPUT!$J$14:$J$17, AM72, MATCH_INPUT!$K$14:$K$17, "Draw"),
0)</f>
        <v>0</v>
      </c>
      <c r="AS72" s="26">
        <f>IF(AM72&lt;&gt;"",
    COUNTIFS(MATCH_INPUT!$F$14:$F$17, AM72, MATCH_INPUT!$K$14:$K$17, "&lt;&gt;"&amp;AM72, MATCH_INPUT!$K$14:$K$17, "&lt;&gt;Draw", MATCH_INPUT!$K$14:$K$17, "&lt;&gt;""") +
    COUNTIFS(MATCH_INPUT!$J$14:$J$17, AM72, MATCH_INPUT!$K$14:$K$17, "&lt;&gt;"&amp;AM72, MATCH_INPUT!$K$14:$K$17, "&lt;&gt;Draw", MATCH_INPUT!$K$14:$K$17, "&lt;&gt;"""),
0)</f>
        <v>0</v>
      </c>
      <c r="AT72" s="27"/>
      <c r="AU72" s="27"/>
      <c r="AV72" s="28"/>
      <c r="AW72" s="26">
        <f t="shared" si="154"/>
        <v>10</v>
      </c>
      <c r="AX72" s="29" t="str">
        <f t="shared" si="23"/>
        <v>↓</v>
      </c>
      <c r="AY72" s="19"/>
      <c r="AZ72" s="23">
        <f t="shared" si="24"/>
        <v>0</v>
      </c>
      <c r="BA72" s="20">
        <f t="shared" si="25"/>
        <v>0</v>
      </c>
      <c r="BB72" s="20">
        <f>SUM(BC72*2) + (BD72*1) + SUMIFS(MATCH_INPUT!$G$18:$G$21, MATCH_INPUT!$F$18:$F$21, AY72) + SUMIFS(MATCH_INPUT!$I$18:$I$21, MATCH_INPUT!$J$18:$J$21, AY72)
</f>
        <v>0</v>
      </c>
      <c r="BC72" s="20">
        <f>IF(AY72&lt;&gt;"",
    COUNTIFS(MATCH_INPUT!$K$18:$K$21,AY72),
0)</f>
        <v>0</v>
      </c>
      <c r="BD72" s="20">
        <f>IF(AY72&lt;&gt;"",
    COUNTIFS(MATCH_INPUT!$F$18:$F$21, AY72, MATCH_INPUT!$K$18:$K$21, "Draw") +
    COUNTIFS(MATCH_INPUT!$J$18:$J$21, AY72, MATCH_INPUT!$K$18:$K$21, "Draw"),
0)</f>
        <v>0</v>
      </c>
      <c r="BE72" s="20">
        <f>IF(AY72&lt;&gt;"",
    COUNTIFS(MATCH_INPUT!$F$18:$F$21, AY72, MATCH_INPUT!$K$18:$K$21, "&lt;&gt;"&amp;AY72, MATCH_INPUT!$K$18:$K$21, "&lt;&gt;Draw", MATCH_INPUT!$K$18:$K$21, "&lt;&gt;""") +
    COUNTIFS(MATCH_INPUT!$J$18:$J$21, AY72, MATCH_INPUT!$K$18:$K$21, "&lt;&gt;"&amp;AY72, MATCH_INPUT!$K$18:$K$21, "&lt;&gt;Draw", MATCH_INPUT!$K$18:$K$21, "&lt;&gt;"""),
0)</f>
        <v>0</v>
      </c>
      <c r="BF72" s="21" t="str">
        <f t="array" ref="BF72">IFERROR(INDEX(Form_Response!E:E, MATCH(1, (Form_Response!C:C='MATCH DATES'!$B$6)*(Form_Response!D:D=B72), 0)), "")
</f>
        <v/>
      </c>
      <c r="BG72" s="21">
        <f t="array" ref="BG72">IFERROR(IF(INDEX(Form_Response!F:F, MATCH(1, (Form_Response!C:C='MATCH DATES'!$B$6)*(Form_Response!D:D=B72), 0))="Yes", 1, 0), 0)
</f>
        <v>0</v>
      </c>
      <c r="BH72" s="30" t="str">
        <f t="array" ref="BH72">IFERROR(INDEX(Form_Response!G:G, MATCH(1, (Form_Response!C:C='MATCH DATES'!$B$6)*(Form_Response!D:D=B72), 0)), "")
</f>
        <v/>
      </c>
      <c r="BI72" s="23">
        <f t="shared" si="155"/>
        <v>11</v>
      </c>
      <c r="BJ72" s="24" t="str">
        <f t="shared" si="27"/>
        <v>↓</v>
      </c>
      <c r="BK72" s="34"/>
      <c r="BL72" s="26">
        <f t="shared" si="28"/>
        <v>0</v>
      </c>
      <c r="BM72" s="26">
        <f t="shared" si="29"/>
        <v>0</v>
      </c>
      <c r="BN72" s="26">
        <f>SUM(BO72*2) + (BP72*1) + SUMIFS(MATCH_INPUT!$G$22:$G$25, MATCH_INPUT!$F$22:$F$25, BK72) + SUMIFS(MATCH_INPUT!$I$22:$I$25, MATCH_INPUT!$J$22:$J$25, BK72)
</f>
        <v>0</v>
      </c>
      <c r="BO72" s="26">
        <f>IF(BK72&lt;&gt;"",
    COUNTIFS(MATCH_INPUT!$K$22:$K$25,BK72),
0)</f>
        <v>0</v>
      </c>
      <c r="BP72" s="26">
        <f>IF(BK72&lt;&gt;"",
    COUNTIFS(MATCH_INPUT!$F$22:$F$25, BK72, MATCH_INPUT!$K$22:$K$25, "Draw") +
    COUNTIFS(MATCH_INPUT!$J$22:$J$25, BK72, MATCH_INPUT!$K$22:$K$25, "Draw"),
0)</f>
        <v>0</v>
      </c>
      <c r="BQ72" s="26">
        <f>IF(BK72&lt;&gt;"",
    COUNTIFS(MATCH_INPUT!$F$22:$F$25, BK72, MATCH_INPUT!$K$22:$K$25, "&lt;&gt;"&amp;BK72, MATCH_INPUT!$K$22:$K$25, "&lt;&gt;Draw", MATCH_INPUT!$K$22:$K$25, "&lt;&gt;""") +
    COUNTIFS(MATCH_INPUT!$J$22:$J$25, BK72, MATCH_INPUT!$K$22:$K$25, "&lt;&gt;"&amp;BK72, MATCH_INPUT!$K$22:$K$25, "&lt;&gt;Draw", MATCH_INPUT!$K$22:$K$25, "&lt;&gt;"""),
0)</f>
        <v>0</v>
      </c>
      <c r="BR72" s="27"/>
      <c r="BS72" s="27"/>
      <c r="BT72" s="28"/>
      <c r="BU72" s="26">
        <f t="shared" si="156"/>
        <v>14</v>
      </c>
      <c r="BV72" s="29" t="str">
        <f t="shared" si="31"/>
        <v>↓</v>
      </c>
      <c r="BW72" s="35"/>
      <c r="BX72" s="23">
        <f t="shared" si="32"/>
        <v>0</v>
      </c>
      <c r="BY72" s="20">
        <f t="shared" si="33"/>
        <v>0</v>
      </c>
      <c r="BZ72" s="20">
        <f>SUM(CA72*2)+(CB72*1) + SUMIFS(MATCH_INPUT!$G$26:$G$29, MATCH_INPUT!$F$26:$F$29, BW72) + SUMIFS(MATCH_INPUT!$I$26:$I$29, MATCH_INPUT!$J$26:$J$29, BW72)
</f>
        <v>0</v>
      </c>
      <c r="CA72" s="20">
        <f>IF(BW72&lt;&gt;"",
    COUNTIFS(MATCH_INPUT!$K$26:$K$29,BW72),
0)</f>
        <v>0</v>
      </c>
      <c r="CB72" s="20">
        <f>IF(BW72&lt;&gt;"",
    COUNTIFS(MATCH_INPUT!$F$26:$F$29, BW72, MATCH_INPUT!$K$26:$K$29, "Draw") +
    COUNTIFS(MATCH_INPUT!$J$26:$J$29, BW72, MATCH_INPUT!$K$26:$K$29, "Draw"),
0)</f>
        <v>0</v>
      </c>
      <c r="CC72" s="20">
        <f>IF(BW72&lt;&gt;"",
    COUNTIFS(MATCH_INPUT!$F$26:$F$29, BW72, MATCH_INPUT!$K$26:$K$29, "&lt;&gt;"&amp;BW72, MATCH_INPUT!$K$26:$K$29, "&lt;&gt;Draw", MATCH_INPUT!$K$26:$K$29, "&lt;&gt;""") +
    COUNTIFS(MATCH_INPUT!$J$26:$J$29, BW72, MATCH_INPUT!$K$26:$K$29, "&lt;&gt;"&amp;BW72, MATCH_INPUT!$K$26:$K$29, "&lt;&gt;Draw", MATCH_INPUT!$K$26:$K$29, "&lt;&gt;"""),
0)</f>
        <v>0</v>
      </c>
      <c r="CD72" s="21"/>
      <c r="CE72" s="21"/>
      <c r="CF72" s="30"/>
      <c r="CG72" s="23">
        <f t="shared" si="157"/>
        <v>15</v>
      </c>
      <c r="CH72" s="24" t="str">
        <f t="shared" si="35"/>
        <v>↓</v>
      </c>
      <c r="CI72" s="25"/>
      <c r="CJ72" s="26">
        <f t="shared" si="36"/>
        <v>0</v>
      </c>
      <c r="CK72" s="26">
        <f t="shared" si="37"/>
        <v>0</v>
      </c>
      <c r="CL72" s="26">
        <f>SUM(CM72*2)+(CN72*1) + SUMIFS(MATCH_INPUT!$G$30:$G$33, MATCH_INPUT!$F$30:$F$33, CI72) + SUMIFS(MATCH_INPUT!$I$30:$I$33, MATCH_INPUT!$J$30:$J$33, CI72)
</f>
        <v>0</v>
      </c>
      <c r="CM72" s="26">
        <f>IF(CI72&lt;&gt;"",
    COUNTIFS(MATCH_INPUT!$K$30:$K$33,CI72),
0)</f>
        <v>0</v>
      </c>
      <c r="CN72" s="26">
        <f>IF(CI72&lt;&gt;"",
    COUNTIFS(MATCH_INPUT!$F$30:$F$33, CI72, MATCH_INPUT!$K$30:$K$33, "Draw") +
    COUNTIFS(MATCH_INPUT!$J$30:$J$33, CI72, MATCH_INPUT!$K$30:$K$33, "Draw"),
0)</f>
        <v>0</v>
      </c>
      <c r="CO72" s="26">
        <f>IF(CI72&lt;&gt;"",
    COUNTIFS(MATCH_INPUT!$F$30:$F$33, CI72, MATCH_INPUT!$K$30:$K$33, "&lt;&gt;"&amp;CI72, MATCH_INPUT!$K$30:$K$33, "&lt;&gt;Draw", MATCH_INPUT!$K$30:$K$33, "&lt;&gt;""") +
    COUNTIFS(MATCH_INPUT!$J$30:$J$33, CI72, MATCH_INPUT!$K$30:$K$33, "&lt;&gt;"&amp;CI72, MATCH_INPUT!$K$30:$K$33, "&lt;&gt;Draw", MATCH_INPUT!$K$30:$K$33, "&lt;&gt;"""),
0)</f>
        <v>0</v>
      </c>
      <c r="CP72" s="27" t="str">
        <f t="array" ref="CP72">IFERROR(INDEX(Form_Response!E:E, MATCH(1, (Form_Response!C:C='MATCH DATES'!$B$9)*(Form_Response!D:D=B72), 0)), "")
</f>
        <v/>
      </c>
      <c r="CQ72" s="27">
        <f t="array" ref="CQ72">IFERROR(IF(INDEX(Form_Response!F:F, MATCH(1, (Form_Response!C:C='MATCH DATES'!$B$9)*(Form_Response!D:D=B72), 0))="Yes", 1, 0), 0)
</f>
        <v>0</v>
      </c>
      <c r="CR72" s="28" t="str">
        <f t="array" ref="CR72">IFERROR(INDEX(Form_Response!G:G, MATCH(1, (Form_Response!C:C='MATCH DATES'!$B$9)*(Form_Response!D:D=B72), 0)), "")
</f>
        <v/>
      </c>
      <c r="CS72" s="31">
        <f t="shared" si="158"/>
        <v>18</v>
      </c>
      <c r="CT72" s="31" t="str">
        <f t="shared" si="39"/>
        <v>↓</v>
      </c>
      <c r="CU72" s="32">
        <f t="shared" si="40"/>
        <v>0</v>
      </c>
      <c r="CV72" s="32" t="str">
        <f t="shared" ref="CV72:CW72" si="255">A72</f>
        <v/>
      </c>
      <c r="CW72" s="33" t="str">
        <f t="shared" si="255"/>
        <v/>
      </c>
      <c r="CX72" s="33">
        <f t="shared" si="42"/>
        <v>0</v>
      </c>
      <c r="CY72" s="32">
        <f>SUM(
  IF(AND('MATCH DATES'!$A$2 &lt;= TODAY(), NOW() &gt;= 'MATCH DATES'!$A$2 + TIME(22, 0, 0)), E72, 0),
  IF(AND('MATCH DATES'!$A$3 &lt;= TODAY(), NOW() &gt;= 'MATCH DATES'!$A$3 + TIME(22, 0, 0)), Q72, 0),
  IF(AND('MATCH DATES'!$A$4 &lt;= TODAY(), NOW() &gt;= 'MATCH DATES'!$A$4 + TIME(22, 0, 0)), AC72, 0),
  IF(AND('MATCH DATES'!$A$5 &lt;= TODAY(), NOW() &gt;= 'MATCH DATES'!$A$5 + TIME(22, 0, 0)), AO72, 0),
  IF(AND('MATCH DATES'!$A$6 &lt;= TODAY(), NOW() &gt;= 'MATCH DATES'!$A$6 + TIME(22, 0, 0)), BA72, 0),
  IF(AND('MATCH DATES'!$A$7 &lt;= TODAY(), NOW() &gt;= 'MATCH DATES'!$A$7 + TIME(22, 0, 0)), BM72, 0),
  IF(AND('MATCH DATES'!$A$8 &lt;= TODAY(), NOW() &gt;= 'MATCH DATES'!$A$8 + TIME(22, 0, 0)), BY72, 0),
  IF(AND('MATCH DATES'!$A$9 &lt;= TODAY(), NOW() &gt;= 'MATCH DATES'!$A$9 + TIME(22, 0, 0)), CK72, 0)
)
</f>
        <v>0</v>
      </c>
      <c r="CZ72" s="33">
        <f t="shared" ref="CZ72:DA72" si="256">SUM(G72,S72,AE72,AQ72,BC72,BO72,CA72,CM72)</f>
        <v>0</v>
      </c>
      <c r="DA72" s="33">
        <f t="shared" si="256"/>
        <v>0</v>
      </c>
      <c r="DB72" s="33">
        <f>SUM(
  IF(AND('MATCH DATES'!$A$2 &lt;= TODAY(), NOW() &gt;= 'MATCH DATES'!$A$2 + TIME(22, 0, 0)), I72, 0),
  IF(AND('MATCH DATES'!$A$3 &lt;= TODAY(), NOW() &gt;= 'MATCH DATES'!$A$3 + TIME(22, 0, 0)), U72, 0),
  IF(AND('MATCH DATES'!$A$4 &lt;= TODAY(), NOW() &gt;= 'MATCH DATES'!$A$4 + TIME(22, 0, 0)), AG72, 0),
  IF(AND('MATCH DATES'!$A$5 &lt;= TODAY(), NOW() &gt;= 'MATCH DATES'!$A$5 + TIME(22, 0, 0)), AS72, 0),
  IF(AND('MATCH DATES'!$A$6 &lt;= TODAY(), NOW() &gt;= 'MATCH DATES'!$A$6 + TIME(22, 0, 0)), BE72, 0),
  IF(AND('MATCH DATES'!$A$7 &lt;= TODAY(), NOW() &gt;= 'MATCH DATES'!$A$7 + TIME(22, 0, 0)), BQ72, 0),
  IF(AND('MATCH DATES'!$A$8 &lt;= TODAY(), NOW() &gt;= 'MATCH DATES'!$A$8 + TIME(22, 0, 0)), CC72, 0),
  IF(AND('MATCH DATES'!$A$9 &lt;= TODAY(), NOW() &gt;= 'MATCH DATES'!$A$9 + TIME(22, 0, 0)), CO72, 0)
)</f>
        <v>0</v>
      </c>
      <c r="DC72" s="33">
        <f t="shared" si="44"/>
        <v>0</v>
      </c>
      <c r="DD72" s="33">
        <f t="shared" ref="DD72:DE72" si="257">SUM(K72,W72,AI72,AU72,BG72,BS72,CE72,CQ72)</f>
        <v>0</v>
      </c>
      <c r="DE72" s="33">
        <f t="shared" si="257"/>
        <v>0</v>
      </c>
    </row>
    <row r="73" ht="24.75" customHeight="1">
      <c r="A73" s="31"/>
      <c r="B73" s="39"/>
      <c r="C73" s="35"/>
      <c r="D73" s="20">
        <f t="shared" si="4"/>
        <v>0</v>
      </c>
      <c r="E73" s="20">
        <f t="shared" si="5"/>
        <v>0</v>
      </c>
      <c r="F73" s="20">
        <f t="shared" si="6"/>
        <v>0</v>
      </c>
      <c r="G73" s="20">
        <f>IF(C73&lt;&gt;"",
    COUNTIFS(MATCH_INPUT!$K$2:$K$5,C73),
0)</f>
        <v>0</v>
      </c>
      <c r="H73" s="20">
        <f>IF(C73&lt;&gt;"",
    COUNTIFS(MATCH_INPUT!$F$2:$F$5, C73, MATCH_INPUT!$K$2:$K$5, "Draw") +
    COUNTIFS(MATCH_INPUT!$J$2:$J$5, C73, MATCH_INPUT!$K$2:$K$5, "Draw"),
0)</f>
        <v>0</v>
      </c>
      <c r="I73" s="20">
        <f>IF(C73&lt;&gt;"",
    COUNTIFS(MATCH_INPUT!$F$2:$F$5, C73, MATCH_INPUT!$K$2:$K$5, "&lt;&gt;"&amp;C73, MATCH_INPUT!$K$2:$K$5, "&lt;&gt;Draw", MATCH_INPUT!$K$2:$K$5, "&lt;&gt;""") +
    COUNTIFS(MATCH_INPUT!$J$2:$J$5, C73, MATCH_INPUT!$K$2:$K$5, "&lt;&gt;"&amp;C73, MATCH_INPUT!$K$2:$K$5, "&lt;&gt;Draw", MATCH_INPUT!$K$2:$K$5, "&lt;&gt;"""),
0)</f>
        <v>0</v>
      </c>
      <c r="J73" s="21"/>
      <c r="K73" s="21"/>
      <c r="L73" s="22"/>
      <c r="M73" s="23">
        <f t="shared" si="151"/>
        <v>4</v>
      </c>
      <c r="N73" s="24" t="str">
        <f t="shared" si="8"/>
        <v>↓</v>
      </c>
      <c r="O73" s="25"/>
      <c r="P73" s="26">
        <f t="shared" si="9"/>
        <v>0</v>
      </c>
      <c r="Q73" s="26">
        <f t="shared" si="10"/>
        <v>0</v>
      </c>
      <c r="R73" s="26">
        <f t="shared" si="11"/>
        <v>0</v>
      </c>
      <c r="S73" s="26">
        <f>IF(O73&lt;&gt;"",
    COUNTIFS(MATCH_INPUT!$K$6:$K$9,O73),
0)</f>
        <v>0</v>
      </c>
      <c r="T73" s="26">
        <f>IF(O73&lt;&gt;"",
    COUNTIFS(MATCH_INPUT!$F$6:$F$9, O73, MATCH_INPUT!$K$6:$K$9, "Draw") +
    COUNTIFS(MATCH_INPUT!$J$6:$J$9, O73, MATCH_INPUT!$K$6:$K$9, "Draw"),
0)</f>
        <v>0</v>
      </c>
      <c r="U73" s="26">
        <f>IF(O73&lt;&gt;"",
    COUNTIFS(MATCH_INPUT!$F$6:$F$9, O73, MATCH_INPUT!$K$6:$K$9, "&lt;&gt;"&amp;O73, MATCH_INPUT!$K$6:$K$9, "&lt;&gt;Draw", MATCH_INPUT!$K$6:$K$9, "&lt;&gt;""") +
    COUNTIFS(MATCH_INPUT!$J$6:$J$9, O73, MATCH_INPUT!$K$6:$K$9, "&lt;&gt;"&amp;O73, MATCH_INPUT!$K$6:$K$9, "&lt;&gt;Draw", MATCH_INPUT!$K$6:$K$9, "&lt;&gt;"""),
0)</f>
        <v>0</v>
      </c>
      <c r="V73" s="27"/>
      <c r="W73" s="27"/>
      <c r="X73" s="28"/>
      <c r="Y73" s="26">
        <f t="shared" si="152"/>
        <v>7</v>
      </c>
      <c r="Z73" s="29" t="str">
        <f t="shared" si="13"/>
        <v>↓</v>
      </c>
      <c r="AA73" s="19"/>
      <c r="AB73" s="23">
        <f t="shared" si="14"/>
        <v>0</v>
      </c>
      <c r="AC73" s="20">
        <f t="shared" si="15"/>
        <v>0</v>
      </c>
      <c r="AD73" s="20">
        <f t="shared" si="16"/>
        <v>0</v>
      </c>
      <c r="AE73" s="20">
        <f>IF(AA73&lt;&gt;"",
    COUNTIFS(MATCH_INPUT!$K$10:$K$13,AA73),
0)</f>
        <v>0</v>
      </c>
      <c r="AF73" s="20">
        <f>IF(AA73&lt;&gt;"",
    COUNTIFS(MATCH_INPUT!$F$10:$F$13, AA73, MATCH_INPUT!$K$10:$K$13, "Draw") +
    COUNTIFS(MATCH_INPUT!$J$10:$J$13, AA73, MATCH_INPUT!$K$10:$K$13, "Draw"),
0)</f>
        <v>0</v>
      </c>
      <c r="AG73" s="20">
        <f>IF(AA73&lt;&gt;"",
    COUNTIFS(MATCH_INPUT!$F$10:$F$13, AA73, MATCH_INPUT!$K$10:$K$13, "&lt;&gt;"&amp;AA73, MATCH_INPUT!$K$10:$K$13, "&lt;&gt;Draw", MATCH_INPUT!$K$10:$K$13, "&lt;&gt;""") +
    COUNTIFS(MATCH_INPUT!$J$10:$J$13, AA73, MATCH_INPUT!$K$10:$K$13, "&lt;&gt;"&amp;AA73, MATCH_INPUT!$K$10:$K$13, "&lt;&gt;Draw", MATCH_INPUT!$K$10:$K$13, "&lt;&gt;"""),
0)</f>
        <v>0</v>
      </c>
      <c r="AH73" s="21"/>
      <c r="AI73" s="21"/>
      <c r="AJ73" s="30"/>
      <c r="AK73" s="23">
        <f t="shared" si="153"/>
        <v>8</v>
      </c>
      <c r="AL73" s="24" t="str">
        <f t="shared" si="18"/>
        <v>↓</v>
      </c>
      <c r="AM73" s="25"/>
      <c r="AN73" s="26">
        <f t="shared" si="19"/>
        <v>0</v>
      </c>
      <c r="AO73" s="26">
        <f t="shared" si="20"/>
        <v>0</v>
      </c>
      <c r="AP73" s="26">
        <f t="shared" si="21"/>
        <v>0</v>
      </c>
      <c r="AQ73" s="26">
        <f>IF(AM73&lt;&gt;"",
    COUNTIFS(MATCH_INPUT!$K$14:$K$17,AM73),
0)</f>
        <v>0</v>
      </c>
      <c r="AR73" s="26">
        <f>IF(AM73&lt;&gt;"",
    COUNTIFS(MATCH_INPUT!$F$14:$F$17, AM73, MATCH_INPUT!$K$14:$K$17, "Draw") +
    COUNTIFS(MATCH_INPUT!$J$14:$J$17, AM73, MATCH_INPUT!$K$14:$K$17, "Draw"),
0)</f>
        <v>0</v>
      </c>
      <c r="AS73" s="26">
        <f>IF(AM73&lt;&gt;"",
    COUNTIFS(MATCH_INPUT!$F$14:$F$17, AM73, MATCH_INPUT!$K$14:$K$17, "&lt;&gt;"&amp;AM73, MATCH_INPUT!$K$14:$K$17, "&lt;&gt;Draw", MATCH_INPUT!$K$14:$K$17, "&lt;&gt;""") +
    COUNTIFS(MATCH_INPUT!$J$14:$J$17, AM73, MATCH_INPUT!$K$14:$K$17, "&lt;&gt;"&amp;AM73, MATCH_INPUT!$K$14:$K$17, "&lt;&gt;Draw", MATCH_INPUT!$K$14:$K$17, "&lt;&gt;"""),
0)</f>
        <v>0</v>
      </c>
      <c r="AT73" s="27"/>
      <c r="AU73" s="27"/>
      <c r="AV73" s="28"/>
      <c r="AW73" s="26">
        <f t="shared" si="154"/>
        <v>10</v>
      </c>
      <c r="AX73" s="29" t="str">
        <f t="shared" si="23"/>
        <v>↓</v>
      </c>
      <c r="AY73" s="19"/>
      <c r="AZ73" s="23">
        <f t="shared" si="24"/>
        <v>0</v>
      </c>
      <c r="BA73" s="20">
        <f t="shared" si="25"/>
        <v>0</v>
      </c>
      <c r="BB73" s="20">
        <f>SUM(BC73*2) + (BD73*1) + SUMIFS(MATCH_INPUT!$G$18:$G$21, MATCH_INPUT!$F$18:$F$21, AY73) + SUMIFS(MATCH_INPUT!$I$18:$I$21, MATCH_INPUT!$J$18:$J$21, AY73)
</f>
        <v>0</v>
      </c>
      <c r="BC73" s="20">
        <f>IF(AY73&lt;&gt;"",
    COUNTIFS(MATCH_INPUT!$K$18:$K$21,AY73),
0)</f>
        <v>0</v>
      </c>
      <c r="BD73" s="20">
        <f>IF(AY73&lt;&gt;"",
    COUNTIFS(MATCH_INPUT!$F$18:$F$21, AY73, MATCH_INPUT!$K$18:$K$21, "Draw") +
    COUNTIFS(MATCH_INPUT!$J$18:$J$21, AY73, MATCH_INPUT!$K$18:$K$21, "Draw"),
0)</f>
        <v>0</v>
      </c>
      <c r="BE73" s="20">
        <f>IF(AY73&lt;&gt;"",
    COUNTIFS(MATCH_INPUT!$F$18:$F$21, AY73, MATCH_INPUT!$K$18:$K$21, "&lt;&gt;"&amp;AY73, MATCH_INPUT!$K$18:$K$21, "&lt;&gt;Draw", MATCH_INPUT!$K$18:$K$21, "&lt;&gt;""") +
    COUNTIFS(MATCH_INPUT!$J$18:$J$21, AY73, MATCH_INPUT!$K$18:$K$21, "&lt;&gt;"&amp;AY73, MATCH_INPUT!$K$18:$K$21, "&lt;&gt;Draw", MATCH_INPUT!$K$18:$K$21, "&lt;&gt;"""),
0)</f>
        <v>0</v>
      </c>
      <c r="BF73" s="21" t="str">
        <f t="array" ref="BF73">IFERROR(INDEX(Form_Response!E:E, MATCH(1, (Form_Response!C:C='MATCH DATES'!$B$6)*(Form_Response!D:D=B73), 0)), "")
</f>
        <v/>
      </c>
      <c r="BG73" s="21">
        <f t="array" ref="BG73">IFERROR(IF(INDEX(Form_Response!F:F, MATCH(1, (Form_Response!C:C='MATCH DATES'!$B$6)*(Form_Response!D:D=B73), 0))="Yes", 1, 0), 0)
</f>
        <v>0</v>
      </c>
      <c r="BH73" s="30" t="str">
        <f t="array" ref="BH73">IFERROR(INDEX(Form_Response!G:G, MATCH(1, (Form_Response!C:C='MATCH DATES'!$B$6)*(Form_Response!D:D=B73), 0)), "")
</f>
        <v/>
      </c>
      <c r="BI73" s="23">
        <f t="shared" si="155"/>
        <v>11</v>
      </c>
      <c r="BJ73" s="24" t="str">
        <f t="shared" si="27"/>
        <v>↓</v>
      </c>
      <c r="BK73" s="34"/>
      <c r="BL73" s="26">
        <f t="shared" si="28"/>
        <v>0</v>
      </c>
      <c r="BM73" s="26">
        <f t="shared" si="29"/>
        <v>0</v>
      </c>
      <c r="BN73" s="26">
        <f>SUM(BO73*2) + (BP73*1) + SUMIFS(MATCH_INPUT!$G$22:$G$25, MATCH_INPUT!$F$22:$F$25, BK73) + SUMIFS(MATCH_INPUT!$I$22:$I$25, MATCH_INPUT!$J$22:$J$25, BK73)
</f>
        <v>0</v>
      </c>
      <c r="BO73" s="26">
        <f>IF(BK73&lt;&gt;"",
    COUNTIFS(MATCH_INPUT!$K$22:$K$25,BK73),
0)</f>
        <v>0</v>
      </c>
      <c r="BP73" s="26">
        <f>IF(BK73&lt;&gt;"",
    COUNTIFS(MATCH_INPUT!$F$22:$F$25, BK73, MATCH_INPUT!$K$22:$K$25, "Draw") +
    COUNTIFS(MATCH_INPUT!$J$22:$J$25, BK73, MATCH_INPUT!$K$22:$K$25, "Draw"),
0)</f>
        <v>0</v>
      </c>
      <c r="BQ73" s="26">
        <f>IF(BK73&lt;&gt;"",
    COUNTIFS(MATCH_INPUT!$F$22:$F$25, BK73, MATCH_INPUT!$K$22:$K$25, "&lt;&gt;"&amp;BK73, MATCH_INPUT!$K$22:$K$25, "&lt;&gt;Draw", MATCH_INPUT!$K$22:$K$25, "&lt;&gt;""") +
    COUNTIFS(MATCH_INPUT!$J$22:$J$25, BK73, MATCH_INPUT!$K$22:$K$25, "&lt;&gt;"&amp;BK73, MATCH_INPUT!$K$22:$K$25, "&lt;&gt;Draw", MATCH_INPUT!$K$22:$K$25, "&lt;&gt;"""),
0)</f>
        <v>0</v>
      </c>
      <c r="BR73" s="27"/>
      <c r="BS73" s="27"/>
      <c r="BT73" s="28"/>
      <c r="BU73" s="26">
        <f t="shared" si="156"/>
        <v>14</v>
      </c>
      <c r="BV73" s="29" t="str">
        <f t="shared" si="31"/>
        <v>↓</v>
      </c>
      <c r="BW73" s="35"/>
      <c r="BX73" s="23">
        <f t="shared" si="32"/>
        <v>0</v>
      </c>
      <c r="BY73" s="20">
        <f t="shared" si="33"/>
        <v>0</v>
      </c>
      <c r="BZ73" s="20">
        <f>SUM(CA73*2)+(CB73*1) + SUMIFS(MATCH_INPUT!$G$26:$G$29, MATCH_INPUT!$F$26:$F$29, BW73) + SUMIFS(MATCH_INPUT!$I$26:$I$29, MATCH_INPUT!$J$26:$J$29, BW73)
</f>
        <v>0</v>
      </c>
      <c r="CA73" s="20">
        <f>IF(BW73&lt;&gt;"",
    COUNTIFS(MATCH_INPUT!$K$26:$K$29,BW73),
0)</f>
        <v>0</v>
      </c>
      <c r="CB73" s="20">
        <f>IF(BW73&lt;&gt;"",
    COUNTIFS(MATCH_INPUT!$F$26:$F$29, BW73, MATCH_INPUT!$K$26:$K$29, "Draw") +
    COUNTIFS(MATCH_INPUT!$J$26:$J$29, BW73, MATCH_INPUT!$K$26:$K$29, "Draw"),
0)</f>
        <v>0</v>
      </c>
      <c r="CC73" s="20">
        <f>IF(BW73&lt;&gt;"",
    COUNTIFS(MATCH_INPUT!$F$26:$F$29, BW73, MATCH_INPUT!$K$26:$K$29, "&lt;&gt;"&amp;BW73, MATCH_INPUT!$K$26:$K$29, "&lt;&gt;Draw", MATCH_INPUT!$K$26:$K$29, "&lt;&gt;""") +
    COUNTIFS(MATCH_INPUT!$J$26:$J$29, BW73, MATCH_INPUT!$K$26:$K$29, "&lt;&gt;"&amp;BW73, MATCH_INPUT!$K$26:$K$29, "&lt;&gt;Draw", MATCH_INPUT!$K$26:$K$29, "&lt;&gt;"""),
0)</f>
        <v>0</v>
      </c>
      <c r="CD73" s="21"/>
      <c r="CE73" s="21"/>
      <c r="CF73" s="30"/>
      <c r="CG73" s="23">
        <f t="shared" si="157"/>
        <v>15</v>
      </c>
      <c r="CH73" s="24" t="str">
        <f t="shared" si="35"/>
        <v>↓</v>
      </c>
      <c r="CI73" s="25"/>
      <c r="CJ73" s="26">
        <f t="shared" si="36"/>
        <v>0</v>
      </c>
      <c r="CK73" s="26">
        <f t="shared" si="37"/>
        <v>0</v>
      </c>
      <c r="CL73" s="26">
        <f>SUM(CM73*2)+(CN73*1) + SUMIFS(MATCH_INPUT!$G$30:$G$33, MATCH_INPUT!$F$30:$F$33, CI73) + SUMIFS(MATCH_INPUT!$I$30:$I$33, MATCH_INPUT!$J$30:$J$33, CI73)
</f>
        <v>0</v>
      </c>
      <c r="CM73" s="26">
        <f>IF(CI73&lt;&gt;"",
    COUNTIFS(MATCH_INPUT!$K$30:$K$33,CI73),
0)</f>
        <v>0</v>
      </c>
      <c r="CN73" s="26">
        <f>IF(CI73&lt;&gt;"",
    COUNTIFS(MATCH_INPUT!$F$30:$F$33, CI73, MATCH_INPUT!$K$30:$K$33, "Draw") +
    COUNTIFS(MATCH_INPUT!$J$30:$J$33, CI73, MATCH_INPUT!$K$30:$K$33, "Draw"),
0)</f>
        <v>0</v>
      </c>
      <c r="CO73" s="26">
        <f>IF(CI73&lt;&gt;"",
    COUNTIFS(MATCH_INPUT!$F$30:$F$33, CI73, MATCH_INPUT!$K$30:$K$33, "&lt;&gt;"&amp;CI73, MATCH_INPUT!$K$30:$K$33, "&lt;&gt;Draw", MATCH_INPUT!$K$30:$K$33, "&lt;&gt;""") +
    COUNTIFS(MATCH_INPUT!$J$30:$J$33, CI73, MATCH_INPUT!$K$30:$K$33, "&lt;&gt;"&amp;CI73, MATCH_INPUT!$K$30:$K$33, "&lt;&gt;Draw", MATCH_INPUT!$K$30:$K$33, "&lt;&gt;"""),
0)</f>
        <v>0</v>
      </c>
      <c r="CP73" s="27" t="str">
        <f t="array" ref="CP73">IFERROR(INDEX(Form_Response!E:E, MATCH(1, (Form_Response!C:C='MATCH DATES'!$B$9)*(Form_Response!D:D=B73), 0)), "")
</f>
        <v/>
      </c>
      <c r="CQ73" s="27">
        <f t="array" ref="CQ73">IFERROR(IF(INDEX(Form_Response!F:F, MATCH(1, (Form_Response!C:C='MATCH DATES'!$B$9)*(Form_Response!D:D=B73), 0))="Yes", 1, 0), 0)
</f>
        <v>0</v>
      </c>
      <c r="CR73" s="28" t="str">
        <f t="array" ref="CR73">IFERROR(INDEX(Form_Response!G:G, MATCH(1, (Form_Response!C:C='MATCH DATES'!$B$9)*(Form_Response!D:D=B73), 0)), "")
</f>
        <v/>
      </c>
      <c r="CS73" s="31">
        <f t="shared" si="158"/>
        <v>18</v>
      </c>
      <c r="CT73" s="31" t="str">
        <f t="shared" si="39"/>
        <v>↓</v>
      </c>
      <c r="CU73" s="32">
        <f t="shared" si="40"/>
        <v>0</v>
      </c>
      <c r="CV73" s="32" t="str">
        <f t="shared" ref="CV73:CW73" si="258">A73</f>
        <v/>
      </c>
      <c r="CW73" s="33" t="str">
        <f t="shared" si="258"/>
        <v/>
      </c>
      <c r="CX73" s="33">
        <f t="shared" si="42"/>
        <v>0</v>
      </c>
      <c r="CY73" s="32">
        <f>SUM(
  IF(AND('MATCH DATES'!$A$2 &lt;= TODAY(), NOW() &gt;= 'MATCH DATES'!$A$2 + TIME(22, 0, 0)), E73, 0),
  IF(AND('MATCH DATES'!$A$3 &lt;= TODAY(), NOW() &gt;= 'MATCH DATES'!$A$3 + TIME(22, 0, 0)), Q73, 0),
  IF(AND('MATCH DATES'!$A$4 &lt;= TODAY(), NOW() &gt;= 'MATCH DATES'!$A$4 + TIME(22, 0, 0)), AC73, 0),
  IF(AND('MATCH DATES'!$A$5 &lt;= TODAY(), NOW() &gt;= 'MATCH DATES'!$A$5 + TIME(22, 0, 0)), AO73, 0),
  IF(AND('MATCH DATES'!$A$6 &lt;= TODAY(), NOW() &gt;= 'MATCH DATES'!$A$6 + TIME(22, 0, 0)), BA73, 0),
  IF(AND('MATCH DATES'!$A$7 &lt;= TODAY(), NOW() &gt;= 'MATCH DATES'!$A$7 + TIME(22, 0, 0)), BM73, 0),
  IF(AND('MATCH DATES'!$A$8 &lt;= TODAY(), NOW() &gt;= 'MATCH DATES'!$A$8 + TIME(22, 0, 0)), BY73, 0),
  IF(AND('MATCH DATES'!$A$9 &lt;= TODAY(), NOW() &gt;= 'MATCH DATES'!$A$9 + TIME(22, 0, 0)), CK73, 0)
)
</f>
        <v>0</v>
      </c>
      <c r="CZ73" s="33">
        <f t="shared" ref="CZ73:DA73" si="259">SUM(G73,S73,AE73,AQ73,BC73,BO73,CA73,CM73)</f>
        <v>0</v>
      </c>
      <c r="DA73" s="33">
        <f t="shared" si="259"/>
        <v>0</v>
      </c>
      <c r="DB73" s="33">
        <f>SUM(
  IF(AND('MATCH DATES'!$A$2 &lt;= TODAY(), NOW() &gt;= 'MATCH DATES'!$A$2 + TIME(22, 0, 0)), I73, 0),
  IF(AND('MATCH DATES'!$A$3 &lt;= TODAY(), NOW() &gt;= 'MATCH DATES'!$A$3 + TIME(22, 0, 0)), U73, 0),
  IF(AND('MATCH DATES'!$A$4 &lt;= TODAY(), NOW() &gt;= 'MATCH DATES'!$A$4 + TIME(22, 0, 0)), AG73, 0),
  IF(AND('MATCH DATES'!$A$5 &lt;= TODAY(), NOW() &gt;= 'MATCH DATES'!$A$5 + TIME(22, 0, 0)), AS73, 0),
  IF(AND('MATCH DATES'!$A$6 &lt;= TODAY(), NOW() &gt;= 'MATCH DATES'!$A$6 + TIME(22, 0, 0)), BE73, 0),
  IF(AND('MATCH DATES'!$A$7 &lt;= TODAY(), NOW() &gt;= 'MATCH DATES'!$A$7 + TIME(22, 0, 0)), BQ73, 0),
  IF(AND('MATCH DATES'!$A$8 &lt;= TODAY(), NOW() &gt;= 'MATCH DATES'!$A$8 + TIME(22, 0, 0)), CC73, 0),
  IF(AND('MATCH DATES'!$A$9 &lt;= TODAY(), NOW() &gt;= 'MATCH DATES'!$A$9 + TIME(22, 0, 0)), CO73, 0)
)</f>
        <v>0</v>
      </c>
      <c r="DC73" s="33">
        <f t="shared" si="44"/>
        <v>0</v>
      </c>
      <c r="DD73" s="33">
        <f t="shared" ref="DD73:DE73" si="260">SUM(K73,W73,AI73,AU73,BG73,BS73,CE73,CQ73)</f>
        <v>0</v>
      </c>
      <c r="DE73" s="33">
        <f t="shared" si="260"/>
        <v>0</v>
      </c>
    </row>
    <row r="74" ht="24.75" customHeight="1">
      <c r="A74" s="31"/>
      <c r="B74" s="39"/>
      <c r="C74" s="35"/>
      <c r="D74" s="20">
        <f t="shared" si="4"/>
        <v>0</v>
      </c>
      <c r="E74" s="20">
        <f t="shared" si="5"/>
        <v>0</v>
      </c>
      <c r="F74" s="20">
        <f t="shared" si="6"/>
        <v>0</v>
      </c>
      <c r="G74" s="20">
        <f>IF(C74&lt;&gt;"",
    COUNTIFS(MATCH_INPUT!$K$2:$K$5,C74),
0)</f>
        <v>0</v>
      </c>
      <c r="H74" s="20">
        <f>IF(C74&lt;&gt;"",
    COUNTIFS(MATCH_INPUT!$F$2:$F$5, C74, MATCH_INPUT!$K$2:$K$5, "Draw") +
    COUNTIFS(MATCH_INPUT!$J$2:$J$5, C74, MATCH_INPUT!$K$2:$K$5, "Draw"),
0)</f>
        <v>0</v>
      </c>
      <c r="I74" s="20">
        <f>IF(C74&lt;&gt;"",
    COUNTIFS(MATCH_INPUT!$F$2:$F$5, C74, MATCH_INPUT!$K$2:$K$5, "&lt;&gt;"&amp;C74, MATCH_INPUT!$K$2:$K$5, "&lt;&gt;Draw", MATCH_INPUT!$K$2:$K$5, "&lt;&gt;""") +
    COUNTIFS(MATCH_INPUT!$J$2:$J$5, C74, MATCH_INPUT!$K$2:$K$5, "&lt;&gt;"&amp;C74, MATCH_INPUT!$K$2:$K$5, "&lt;&gt;Draw", MATCH_INPUT!$K$2:$K$5, "&lt;&gt;"""),
0)</f>
        <v>0</v>
      </c>
      <c r="J74" s="21"/>
      <c r="K74" s="21"/>
      <c r="L74" s="22"/>
      <c r="M74" s="23">
        <f t="shared" si="151"/>
        <v>4</v>
      </c>
      <c r="N74" s="24" t="str">
        <f t="shared" si="8"/>
        <v>↓</v>
      </c>
      <c r="O74" s="25"/>
      <c r="P74" s="26">
        <f t="shared" si="9"/>
        <v>0</v>
      </c>
      <c r="Q74" s="26">
        <f t="shared" si="10"/>
        <v>0</v>
      </c>
      <c r="R74" s="26">
        <f t="shared" si="11"/>
        <v>0</v>
      </c>
      <c r="S74" s="26">
        <f>IF(O74&lt;&gt;"",
    COUNTIFS(MATCH_INPUT!$K$6:$K$9,O74),
0)</f>
        <v>0</v>
      </c>
      <c r="T74" s="26">
        <f>IF(O74&lt;&gt;"",
    COUNTIFS(MATCH_INPUT!$F$6:$F$9, O74, MATCH_INPUT!$K$6:$K$9, "Draw") +
    COUNTIFS(MATCH_INPUT!$J$6:$J$9, O74, MATCH_INPUT!$K$6:$K$9, "Draw"),
0)</f>
        <v>0</v>
      </c>
      <c r="U74" s="26">
        <f>IF(O74&lt;&gt;"",
    COUNTIFS(MATCH_INPUT!$F$6:$F$9, O74, MATCH_INPUT!$K$6:$K$9, "&lt;&gt;"&amp;O74, MATCH_INPUT!$K$6:$K$9, "&lt;&gt;Draw", MATCH_INPUT!$K$6:$K$9, "&lt;&gt;""") +
    COUNTIFS(MATCH_INPUT!$J$6:$J$9, O74, MATCH_INPUT!$K$6:$K$9, "&lt;&gt;"&amp;O74, MATCH_INPUT!$K$6:$K$9, "&lt;&gt;Draw", MATCH_INPUT!$K$6:$K$9, "&lt;&gt;"""),
0)</f>
        <v>0</v>
      </c>
      <c r="V74" s="27"/>
      <c r="W74" s="27"/>
      <c r="X74" s="28"/>
      <c r="Y74" s="26">
        <f t="shared" si="152"/>
        <v>7</v>
      </c>
      <c r="Z74" s="29" t="str">
        <f t="shared" si="13"/>
        <v>↓</v>
      </c>
      <c r="AA74" s="19"/>
      <c r="AB74" s="23">
        <f t="shared" si="14"/>
        <v>0</v>
      </c>
      <c r="AC74" s="20">
        <f t="shared" si="15"/>
        <v>0</v>
      </c>
      <c r="AD74" s="20">
        <f t="shared" si="16"/>
        <v>0</v>
      </c>
      <c r="AE74" s="20">
        <f>IF(AA74&lt;&gt;"",
    COUNTIFS(MATCH_INPUT!$K$10:$K$13,AA74),
0)</f>
        <v>0</v>
      </c>
      <c r="AF74" s="20">
        <f>IF(AA74&lt;&gt;"",
    COUNTIFS(MATCH_INPUT!$F$10:$F$13, AA74, MATCH_INPUT!$K$10:$K$13, "Draw") +
    COUNTIFS(MATCH_INPUT!$J$10:$J$13, AA74, MATCH_INPUT!$K$10:$K$13, "Draw"),
0)</f>
        <v>0</v>
      </c>
      <c r="AG74" s="20">
        <f>IF(AA74&lt;&gt;"",
    COUNTIFS(MATCH_INPUT!$F$10:$F$13, AA74, MATCH_INPUT!$K$10:$K$13, "&lt;&gt;"&amp;AA74, MATCH_INPUT!$K$10:$K$13, "&lt;&gt;Draw", MATCH_INPUT!$K$10:$K$13, "&lt;&gt;""") +
    COUNTIFS(MATCH_INPUT!$J$10:$J$13, AA74, MATCH_INPUT!$K$10:$K$13, "&lt;&gt;"&amp;AA74, MATCH_INPUT!$K$10:$K$13, "&lt;&gt;Draw", MATCH_INPUT!$K$10:$K$13, "&lt;&gt;"""),
0)</f>
        <v>0</v>
      </c>
      <c r="AH74" s="21"/>
      <c r="AI74" s="21"/>
      <c r="AJ74" s="30"/>
      <c r="AK74" s="23">
        <f t="shared" si="153"/>
        <v>8</v>
      </c>
      <c r="AL74" s="24" t="str">
        <f t="shared" si="18"/>
        <v>↓</v>
      </c>
      <c r="AM74" s="25"/>
      <c r="AN74" s="26">
        <f t="shared" si="19"/>
        <v>0</v>
      </c>
      <c r="AO74" s="26">
        <f t="shared" si="20"/>
        <v>0</v>
      </c>
      <c r="AP74" s="26">
        <f t="shared" si="21"/>
        <v>0</v>
      </c>
      <c r="AQ74" s="26">
        <f>IF(AM74&lt;&gt;"",
    COUNTIFS(MATCH_INPUT!$K$14:$K$17,AM74),
0)</f>
        <v>0</v>
      </c>
      <c r="AR74" s="26">
        <f>IF(AM74&lt;&gt;"",
    COUNTIFS(MATCH_INPUT!$F$14:$F$17, AM74, MATCH_INPUT!$K$14:$K$17, "Draw") +
    COUNTIFS(MATCH_INPUT!$J$14:$J$17, AM74, MATCH_INPUT!$K$14:$K$17, "Draw"),
0)</f>
        <v>0</v>
      </c>
      <c r="AS74" s="26">
        <f>IF(AM74&lt;&gt;"",
    COUNTIFS(MATCH_INPUT!$F$14:$F$17, AM74, MATCH_INPUT!$K$14:$K$17, "&lt;&gt;"&amp;AM74, MATCH_INPUT!$K$14:$K$17, "&lt;&gt;Draw", MATCH_INPUT!$K$14:$K$17, "&lt;&gt;""") +
    COUNTIFS(MATCH_INPUT!$J$14:$J$17, AM74, MATCH_INPUT!$K$14:$K$17, "&lt;&gt;"&amp;AM74, MATCH_INPUT!$K$14:$K$17, "&lt;&gt;Draw", MATCH_INPUT!$K$14:$K$17, "&lt;&gt;"""),
0)</f>
        <v>0</v>
      </c>
      <c r="AT74" s="27"/>
      <c r="AU74" s="27"/>
      <c r="AV74" s="28"/>
      <c r="AW74" s="26">
        <f t="shared" si="154"/>
        <v>10</v>
      </c>
      <c r="AX74" s="29" t="str">
        <f t="shared" si="23"/>
        <v>↓</v>
      </c>
      <c r="AY74" s="19"/>
      <c r="AZ74" s="23">
        <f t="shared" si="24"/>
        <v>0</v>
      </c>
      <c r="BA74" s="20">
        <f t="shared" si="25"/>
        <v>0</v>
      </c>
      <c r="BB74" s="20">
        <f>SUM(BC74*2) + (BD74*1) + SUMIFS(MATCH_INPUT!$G$18:$G$21, MATCH_INPUT!$F$18:$F$21, AY74) + SUMIFS(MATCH_INPUT!$I$18:$I$21, MATCH_INPUT!$J$18:$J$21, AY74)
</f>
        <v>0</v>
      </c>
      <c r="BC74" s="20">
        <f>IF(AY74&lt;&gt;"",
    COUNTIFS(MATCH_INPUT!$K$18:$K$21,AY74),
0)</f>
        <v>0</v>
      </c>
      <c r="BD74" s="20">
        <f>IF(AY74&lt;&gt;"",
    COUNTIFS(MATCH_INPUT!$F$18:$F$21, AY74, MATCH_INPUT!$K$18:$K$21, "Draw") +
    COUNTIFS(MATCH_INPUT!$J$18:$J$21, AY74, MATCH_INPUT!$K$18:$K$21, "Draw"),
0)</f>
        <v>0</v>
      </c>
      <c r="BE74" s="20">
        <f>IF(AY74&lt;&gt;"",
    COUNTIFS(MATCH_INPUT!$F$18:$F$21, AY74, MATCH_INPUT!$K$18:$K$21, "&lt;&gt;"&amp;AY74, MATCH_INPUT!$K$18:$K$21, "&lt;&gt;Draw", MATCH_INPUT!$K$18:$K$21, "&lt;&gt;""") +
    COUNTIFS(MATCH_INPUT!$J$18:$J$21, AY74, MATCH_INPUT!$K$18:$K$21, "&lt;&gt;"&amp;AY74, MATCH_INPUT!$K$18:$K$21, "&lt;&gt;Draw", MATCH_INPUT!$K$18:$K$21, "&lt;&gt;"""),
0)</f>
        <v>0</v>
      </c>
      <c r="BF74" s="21" t="str">
        <f t="array" ref="BF74">IFERROR(INDEX(Form_Response!E:E, MATCH(1, (Form_Response!C:C='MATCH DATES'!$B$6)*(Form_Response!D:D=B74), 0)), "")
</f>
        <v/>
      </c>
      <c r="BG74" s="21">
        <f t="array" ref="BG74">IFERROR(IF(INDEX(Form_Response!F:F, MATCH(1, (Form_Response!C:C='MATCH DATES'!$B$6)*(Form_Response!D:D=B74), 0))="Yes", 1, 0), 0)
</f>
        <v>0</v>
      </c>
      <c r="BH74" s="30" t="str">
        <f t="array" ref="BH74">IFERROR(INDEX(Form_Response!G:G, MATCH(1, (Form_Response!C:C='MATCH DATES'!$B$6)*(Form_Response!D:D=B74), 0)), "")
</f>
        <v/>
      </c>
      <c r="BI74" s="23">
        <f t="shared" si="155"/>
        <v>11</v>
      </c>
      <c r="BJ74" s="24" t="str">
        <f t="shared" si="27"/>
        <v>↓</v>
      </c>
      <c r="BK74" s="34"/>
      <c r="BL74" s="26">
        <f t="shared" si="28"/>
        <v>0</v>
      </c>
      <c r="BM74" s="26">
        <f t="shared" si="29"/>
        <v>0</v>
      </c>
      <c r="BN74" s="26">
        <f>SUM(BO74*2) + (BP74*1) + SUMIFS(MATCH_INPUT!$G$22:$G$25, MATCH_INPUT!$F$22:$F$25, BK74) + SUMIFS(MATCH_INPUT!$I$22:$I$25, MATCH_INPUT!$J$22:$J$25, BK74)
</f>
        <v>0</v>
      </c>
      <c r="BO74" s="26">
        <f>IF(BK74&lt;&gt;"",
    COUNTIFS(MATCH_INPUT!$K$22:$K$25,BK74),
0)</f>
        <v>0</v>
      </c>
      <c r="BP74" s="26">
        <f>IF(BK74&lt;&gt;"",
    COUNTIFS(MATCH_INPUT!$F$22:$F$25, BK74, MATCH_INPUT!$K$22:$K$25, "Draw") +
    COUNTIFS(MATCH_INPUT!$J$22:$J$25, BK74, MATCH_INPUT!$K$22:$K$25, "Draw"),
0)</f>
        <v>0</v>
      </c>
      <c r="BQ74" s="26">
        <f>IF(BK74&lt;&gt;"",
    COUNTIFS(MATCH_INPUT!$F$22:$F$25, BK74, MATCH_INPUT!$K$22:$K$25, "&lt;&gt;"&amp;BK74, MATCH_INPUT!$K$22:$K$25, "&lt;&gt;Draw", MATCH_INPUT!$K$22:$K$25, "&lt;&gt;""") +
    COUNTIFS(MATCH_INPUT!$J$22:$J$25, BK74, MATCH_INPUT!$K$22:$K$25, "&lt;&gt;"&amp;BK74, MATCH_INPUT!$K$22:$K$25, "&lt;&gt;Draw", MATCH_INPUT!$K$22:$K$25, "&lt;&gt;"""),
0)</f>
        <v>0</v>
      </c>
      <c r="BR74" s="27"/>
      <c r="BS74" s="27"/>
      <c r="BT74" s="28"/>
      <c r="BU74" s="26">
        <f t="shared" si="156"/>
        <v>14</v>
      </c>
      <c r="BV74" s="29" t="str">
        <f t="shared" si="31"/>
        <v>↓</v>
      </c>
      <c r="BW74" s="35"/>
      <c r="BX74" s="23">
        <f t="shared" si="32"/>
        <v>0</v>
      </c>
      <c r="BY74" s="20">
        <f t="shared" si="33"/>
        <v>0</v>
      </c>
      <c r="BZ74" s="20">
        <f>SUM(CA74*2)+(CB74*1) + SUMIFS(MATCH_INPUT!$G$26:$G$29, MATCH_INPUT!$F$26:$F$29, BW74) + SUMIFS(MATCH_INPUT!$I$26:$I$29, MATCH_INPUT!$J$26:$J$29, BW74)
</f>
        <v>0</v>
      </c>
      <c r="CA74" s="20">
        <f>IF(BW74&lt;&gt;"",
    COUNTIFS(MATCH_INPUT!$K$26:$K$29,BW74),
0)</f>
        <v>0</v>
      </c>
      <c r="CB74" s="20">
        <f>IF(BW74&lt;&gt;"",
    COUNTIFS(MATCH_INPUT!$F$26:$F$29, BW74, MATCH_INPUT!$K$26:$K$29, "Draw") +
    COUNTIFS(MATCH_INPUT!$J$26:$J$29, BW74, MATCH_INPUT!$K$26:$K$29, "Draw"),
0)</f>
        <v>0</v>
      </c>
      <c r="CC74" s="20">
        <f>IF(BW74&lt;&gt;"",
    COUNTIFS(MATCH_INPUT!$F$26:$F$29, BW74, MATCH_INPUT!$K$26:$K$29, "&lt;&gt;"&amp;BW74, MATCH_INPUT!$K$26:$K$29, "&lt;&gt;Draw", MATCH_INPUT!$K$26:$K$29, "&lt;&gt;""") +
    COUNTIFS(MATCH_INPUT!$J$26:$J$29, BW74, MATCH_INPUT!$K$26:$K$29, "&lt;&gt;"&amp;BW74, MATCH_INPUT!$K$26:$K$29, "&lt;&gt;Draw", MATCH_INPUT!$K$26:$K$29, "&lt;&gt;"""),
0)</f>
        <v>0</v>
      </c>
      <c r="CD74" s="21"/>
      <c r="CE74" s="21"/>
      <c r="CF74" s="30"/>
      <c r="CG74" s="23">
        <f t="shared" si="157"/>
        <v>15</v>
      </c>
      <c r="CH74" s="24" t="str">
        <f t="shared" si="35"/>
        <v>↓</v>
      </c>
      <c r="CI74" s="25"/>
      <c r="CJ74" s="26">
        <f t="shared" si="36"/>
        <v>0</v>
      </c>
      <c r="CK74" s="26">
        <f t="shared" si="37"/>
        <v>0</v>
      </c>
      <c r="CL74" s="26">
        <f>SUM(CM74*2)+(CN74*1) + SUMIFS(MATCH_INPUT!$G$30:$G$33, MATCH_INPUT!$F$30:$F$33, CI74) + SUMIFS(MATCH_INPUT!$I$30:$I$33, MATCH_INPUT!$J$30:$J$33, CI74)
</f>
        <v>0</v>
      </c>
      <c r="CM74" s="26">
        <f>IF(CI74&lt;&gt;"",
    COUNTIFS(MATCH_INPUT!$K$30:$K$33,CI74),
0)</f>
        <v>0</v>
      </c>
      <c r="CN74" s="26">
        <f>IF(CI74&lt;&gt;"",
    COUNTIFS(MATCH_INPUT!$F$30:$F$33, CI74, MATCH_INPUT!$K$30:$K$33, "Draw") +
    COUNTIFS(MATCH_INPUT!$J$30:$J$33, CI74, MATCH_INPUT!$K$30:$K$33, "Draw"),
0)</f>
        <v>0</v>
      </c>
      <c r="CO74" s="26">
        <f>IF(CI74&lt;&gt;"",
    COUNTIFS(MATCH_INPUT!$F$30:$F$33, CI74, MATCH_INPUT!$K$30:$K$33, "&lt;&gt;"&amp;CI74, MATCH_INPUT!$K$30:$K$33, "&lt;&gt;Draw", MATCH_INPUT!$K$30:$K$33, "&lt;&gt;""") +
    COUNTIFS(MATCH_INPUT!$J$30:$J$33, CI74, MATCH_INPUT!$K$30:$K$33, "&lt;&gt;"&amp;CI74, MATCH_INPUT!$K$30:$K$33, "&lt;&gt;Draw", MATCH_INPUT!$K$30:$K$33, "&lt;&gt;"""),
0)</f>
        <v>0</v>
      </c>
      <c r="CP74" s="27" t="str">
        <f t="array" ref="CP74">IFERROR(INDEX(Form_Response!E:E, MATCH(1, (Form_Response!C:C='MATCH DATES'!$B$9)*(Form_Response!D:D=B74), 0)), "")
</f>
        <v/>
      </c>
      <c r="CQ74" s="27">
        <f t="array" ref="CQ74">IFERROR(IF(INDEX(Form_Response!F:F, MATCH(1, (Form_Response!C:C='MATCH DATES'!$B$9)*(Form_Response!D:D=B74), 0))="Yes", 1, 0), 0)
</f>
        <v>0</v>
      </c>
      <c r="CR74" s="28" t="str">
        <f t="array" ref="CR74">IFERROR(INDEX(Form_Response!G:G, MATCH(1, (Form_Response!C:C='MATCH DATES'!$B$9)*(Form_Response!D:D=B74), 0)), "")
</f>
        <v/>
      </c>
      <c r="CS74" s="31">
        <f t="shared" si="158"/>
        <v>18</v>
      </c>
      <c r="CT74" s="31" t="str">
        <f t="shared" si="39"/>
        <v>↓</v>
      </c>
      <c r="CU74" s="32">
        <f t="shared" si="40"/>
        <v>0</v>
      </c>
      <c r="CV74" s="32" t="str">
        <f t="shared" ref="CV74:CW74" si="261">A74</f>
        <v/>
      </c>
      <c r="CW74" s="33" t="str">
        <f t="shared" si="261"/>
        <v/>
      </c>
      <c r="CX74" s="33">
        <f t="shared" si="42"/>
        <v>0</v>
      </c>
      <c r="CY74" s="32">
        <f>SUM(
  IF(AND('MATCH DATES'!$A$2 &lt;= TODAY(), NOW() &gt;= 'MATCH DATES'!$A$2 + TIME(22, 0, 0)), E74, 0),
  IF(AND('MATCH DATES'!$A$3 &lt;= TODAY(), NOW() &gt;= 'MATCH DATES'!$A$3 + TIME(22, 0, 0)), Q74, 0),
  IF(AND('MATCH DATES'!$A$4 &lt;= TODAY(), NOW() &gt;= 'MATCH DATES'!$A$4 + TIME(22, 0, 0)), AC74, 0),
  IF(AND('MATCH DATES'!$A$5 &lt;= TODAY(), NOW() &gt;= 'MATCH DATES'!$A$5 + TIME(22, 0, 0)), AO74, 0),
  IF(AND('MATCH DATES'!$A$6 &lt;= TODAY(), NOW() &gt;= 'MATCH DATES'!$A$6 + TIME(22, 0, 0)), BA74, 0),
  IF(AND('MATCH DATES'!$A$7 &lt;= TODAY(), NOW() &gt;= 'MATCH DATES'!$A$7 + TIME(22, 0, 0)), BM74, 0),
  IF(AND('MATCH DATES'!$A$8 &lt;= TODAY(), NOW() &gt;= 'MATCH DATES'!$A$8 + TIME(22, 0, 0)), BY74, 0),
  IF(AND('MATCH DATES'!$A$9 &lt;= TODAY(), NOW() &gt;= 'MATCH DATES'!$A$9 + TIME(22, 0, 0)), CK74, 0)
)
</f>
        <v>0</v>
      </c>
      <c r="CZ74" s="33">
        <f t="shared" ref="CZ74:DA74" si="262">SUM(G74,S74,AE74,AQ74,BC74,BO74,CA74,CM74)</f>
        <v>0</v>
      </c>
      <c r="DA74" s="33">
        <f t="shared" si="262"/>
        <v>0</v>
      </c>
      <c r="DB74" s="33">
        <f>SUM(
  IF(AND('MATCH DATES'!$A$2 &lt;= TODAY(), NOW() &gt;= 'MATCH DATES'!$A$2 + TIME(22, 0, 0)), I74, 0),
  IF(AND('MATCH DATES'!$A$3 &lt;= TODAY(), NOW() &gt;= 'MATCH DATES'!$A$3 + TIME(22, 0, 0)), U74, 0),
  IF(AND('MATCH DATES'!$A$4 &lt;= TODAY(), NOW() &gt;= 'MATCH DATES'!$A$4 + TIME(22, 0, 0)), AG74, 0),
  IF(AND('MATCH DATES'!$A$5 &lt;= TODAY(), NOW() &gt;= 'MATCH DATES'!$A$5 + TIME(22, 0, 0)), AS74, 0),
  IF(AND('MATCH DATES'!$A$6 &lt;= TODAY(), NOW() &gt;= 'MATCH DATES'!$A$6 + TIME(22, 0, 0)), BE74, 0),
  IF(AND('MATCH DATES'!$A$7 &lt;= TODAY(), NOW() &gt;= 'MATCH DATES'!$A$7 + TIME(22, 0, 0)), BQ74, 0),
  IF(AND('MATCH DATES'!$A$8 &lt;= TODAY(), NOW() &gt;= 'MATCH DATES'!$A$8 + TIME(22, 0, 0)), CC74, 0),
  IF(AND('MATCH DATES'!$A$9 &lt;= TODAY(), NOW() &gt;= 'MATCH DATES'!$A$9 + TIME(22, 0, 0)), CO74, 0)
)</f>
        <v>0</v>
      </c>
      <c r="DC74" s="33">
        <f t="shared" si="44"/>
        <v>0</v>
      </c>
      <c r="DD74" s="33">
        <f t="shared" ref="DD74:DE74" si="263">SUM(K74,W74,AI74,AU74,BG74,BS74,CE74,CQ74)</f>
        <v>0</v>
      </c>
      <c r="DE74" s="33">
        <f t="shared" si="263"/>
        <v>0</v>
      </c>
    </row>
    <row r="75" ht="24.75" customHeight="1">
      <c r="A75" s="31"/>
      <c r="B75" s="39"/>
      <c r="C75" s="35"/>
      <c r="D75" s="20">
        <f t="shared" si="4"/>
        <v>0</v>
      </c>
      <c r="E75" s="20">
        <f t="shared" si="5"/>
        <v>0</v>
      </c>
      <c r="F75" s="20">
        <f t="shared" si="6"/>
        <v>0</v>
      </c>
      <c r="G75" s="20">
        <f>IF(C75&lt;&gt;"",
    COUNTIFS(MATCH_INPUT!$K$2:$K$5,C75),
0)</f>
        <v>0</v>
      </c>
      <c r="H75" s="20">
        <f>IF(C75&lt;&gt;"",
    COUNTIFS(MATCH_INPUT!$F$2:$F$5, C75, MATCH_INPUT!$K$2:$K$5, "Draw") +
    COUNTIFS(MATCH_INPUT!$J$2:$J$5, C75, MATCH_INPUT!$K$2:$K$5, "Draw"),
0)</f>
        <v>0</v>
      </c>
      <c r="I75" s="20">
        <f>IF(C75&lt;&gt;"",
    COUNTIFS(MATCH_INPUT!$F$2:$F$5, C75, MATCH_INPUT!$K$2:$K$5, "&lt;&gt;"&amp;C75, MATCH_INPUT!$K$2:$K$5, "&lt;&gt;Draw", MATCH_INPUT!$K$2:$K$5, "&lt;&gt;""") +
    COUNTIFS(MATCH_INPUT!$J$2:$J$5, C75, MATCH_INPUT!$K$2:$K$5, "&lt;&gt;"&amp;C75, MATCH_INPUT!$K$2:$K$5, "&lt;&gt;Draw", MATCH_INPUT!$K$2:$K$5, "&lt;&gt;"""),
0)</f>
        <v>0</v>
      </c>
      <c r="J75" s="21"/>
      <c r="K75" s="21"/>
      <c r="L75" s="22"/>
      <c r="M75" s="23">
        <f t="shared" si="151"/>
        <v>4</v>
      </c>
      <c r="N75" s="24" t="str">
        <f t="shared" si="8"/>
        <v>↓</v>
      </c>
      <c r="O75" s="25"/>
      <c r="P75" s="26">
        <f t="shared" si="9"/>
        <v>0</v>
      </c>
      <c r="Q75" s="26">
        <f t="shared" si="10"/>
        <v>0</v>
      </c>
      <c r="R75" s="26">
        <f t="shared" si="11"/>
        <v>0</v>
      </c>
      <c r="S75" s="26">
        <f>IF(O75&lt;&gt;"",
    COUNTIFS(MATCH_INPUT!$K$6:$K$9,O75),
0)</f>
        <v>0</v>
      </c>
      <c r="T75" s="26">
        <f>IF(O75&lt;&gt;"",
    COUNTIFS(MATCH_INPUT!$F$6:$F$9, O75, MATCH_INPUT!$K$6:$K$9, "Draw") +
    COUNTIFS(MATCH_INPUT!$J$6:$J$9, O75, MATCH_INPUT!$K$6:$K$9, "Draw"),
0)</f>
        <v>0</v>
      </c>
      <c r="U75" s="26">
        <f>IF(O75&lt;&gt;"",
    COUNTIFS(MATCH_INPUT!$F$6:$F$9, O75, MATCH_INPUT!$K$6:$K$9, "&lt;&gt;"&amp;O75, MATCH_INPUT!$K$6:$K$9, "&lt;&gt;Draw", MATCH_INPUT!$K$6:$K$9, "&lt;&gt;""") +
    COUNTIFS(MATCH_INPUT!$J$6:$J$9, O75, MATCH_INPUT!$K$6:$K$9, "&lt;&gt;"&amp;O75, MATCH_INPUT!$K$6:$K$9, "&lt;&gt;Draw", MATCH_INPUT!$K$6:$K$9, "&lt;&gt;"""),
0)</f>
        <v>0</v>
      </c>
      <c r="V75" s="27"/>
      <c r="W75" s="27"/>
      <c r="X75" s="28"/>
      <c r="Y75" s="26">
        <f t="shared" si="152"/>
        <v>7</v>
      </c>
      <c r="Z75" s="29" t="str">
        <f t="shared" si="13"/>
        <v>↓</v>
      </c>
      <c r="AA75" s="19"/>
      <c r="AB75" s="23">
        <f t="shared" si="14"/>
        <v>0</v>
      </c>
      <c r="AC75" s="20">
        <f t="shared" si="15"/>
        <v>0</v>
      </c>
      <c r="AD75" s="20">
        <f t="shared" si="16"/>
        <v>0</v>
      </c>
      <c r="AE75" s="20">
        <f>IF(AA75&lt;&gt;"",
    COUNTIFS(MATCH_INPUT!$K$10:$K$13,AA75),
0)</f>
        <v>0</v>
      </c>
      <c r="AF75" s="20">
        <f>IF(AA75&lt;&gt;"",
    COUNTIFS(MATCH_INPUT!$F$10:$F$13, AA75, MATCH_INPUT!$K$10:$K$13, "Draw") +
    COUNTIFS(MATCH_INPUT!$J$10:$J$13, AA75, MATCH_INPUT!$K$10:$K$13, "Draw"),
0)</f>
        <v>0</v>
      </c>
      <c r="AG75" s="20">
        <f>IF(AA75&lt;&gt;"",
    COUNTIFS(MATCH_INPUT!$F$10:$F$13, AA75, MATCH_INPUT!$K$10:$K$13, "&lt;&gt;"&amp;AA75, MATCH_INPUT!$K$10:$K$13, "&lt;&gt;Draw", MATCH_INPUT!$K$10:$K$13, "&lt;&gt;""") +
    COUNTIFS(MATCH_INPUT!$J$10:$J$13, AA75, MATCH_INPUT!$K$10:$K$13, "&lt;&gt;"&amp;AA75, MATCH_INPUT!$K$10:$K$13, "&lt;&gt;Draw", MATCH_INPUT!$K$10:$K$13, "&lt;&gt;"""),
0)</f>
        <v>0</v>
      </c>
      <c r="AH75" s="21"/>
      <c r="AI75" s="21"/>
      <c r="AJ75" s="30"/>
      <c r="AK75" s="23">
        <f t="shared" si="153"/>
        <v>8</v>
      </c>
      <c r="AL75" s="24" t="str">
        <f t="shared" si="18"/>
        <v>↓</v>
      </c>
      <c r="AM75" s="25"/>
      <c r="AN75" s="26">
        <f t="shared" si="19"/>
        <v>0</v>
      </c>
      <c r="AO75" s="26">
        <f t="shared" si="20"/>
        <v>0</v>
      </c>
      <c r="AP75" s="26">
        <f t="shared" si="21"/>
        <v>0</v>
      </c>
      <c r="AQ75" s="26">
        <f>IF(AM75&lt;&gt;"",
    COUNTIFS(MATCH_INPUT!$K$14:$K$17,AM75),
0)</f>
        <v>0</v>
      </c>
      <c r="AR75" s="26">
        <f>IF(AM75&lt;&gt;"",
    COUNTIFS(MATCH_INPUT!$F$14:$F$17, AM75, MATCH_INPUT!$K$14:$K$17, "Draw") +
    COUNTIFS(MATCH_INPUT!$J$14:$J$17, AM75, MATCH_INPUT!$K$14:$K$17, "Draw"),
0)</f>
        <v>0</v>
      </c>
      <c r="AS75" s="26">
        <f>IF(AM75&lt;&gt;"",
    COUNTIFS(MATCH_INPUT!$F$14:$F$17, AM75, MATCH_INPUT!$K$14:$K$17, "&lt;&gt;"&amp;AM75, MATCH_INPUT!$K$14:$K$17, "&lt;&gt;Draw", MATCH_INPUT!$K$14:$K$17, "&lt;&gt;""") +
    COUNTIFS(MATCH_INPUT!$J$14:$J$17, AM75, MATCH_INPUT!$K$14:$K$17, "&lt;&gt;"&amp;AM75, MATCH_INPUT!$K$14:$K$17, "&lt;&gt;Draw", MATCH_INPUT!$K$14:$K$17, "&lt;&gt;"""),
0)</f>
        <v>0</v>
      </c>
      <c r="AT75" s="27"/>
      <c r="AU75" s="27"/>
      <c r="AV75" s="28"/>
      <c r="AW75" s="26">
        <f t="shared" si="154"/>
        <v>10</v>
      </c>
      <c r="AX75" s="29" t="str">
        <f t="shared" si="23"/>
        <v>↓</v>
      </c>
      <c r="AY75" s="19"/>
      <c r="AZ75" s="23">
        <f t="shared" si="24"/>
        <v>0</v>
      </c>
      <c r="BA75" s="20">
        <f t="shared" si="25"/>
        <v>0</v>
      </c>
      <c r="BB75" s="20">
        <f>SUM(BC75*2) + (BD75*1) + SUMIFS(MATCH_INPUT!$G$18:$G$21, MATCH_INPUT!$F$18:$F$21, AY75) + SUMIFS(MATCH_INPUT!$I$18:$I$21, MATCH_INPUT!$J$18:$J$21, AY75)
</f>
        <v>0</v>
      </c>
      <c r="BC75" s="20">
        <f>IF(AY75&lt;&gt;"",
    COUNTIFS(MATCH_INPUT!$K$18:$K$21,AY75),
0)</f>
        <v>0</v>
      </c>
      <c r="BD75" s="20">
        <f>IF(AY75&lt;&gt;"",
    COUNTIFS(MATCH_INPUT!$F$18:$F$21, AY75, MATCH_INPUT!$K$18:$K$21, "Draw") +
    COUNTIFS(MATCH_INPUT!$J$18:$J$21, AY75, MATCH_INPUT!$K$18:$K$21, "Draw"),
0)</f>
        <v>0</v>
      </c>
      <c r="BE75" s="20">
        <f>IF(AY75&lt;&gt;"",
    COUNTIFS(MATCH_INPUT!$F$18:$F$21, AY75, MATCH_INPUT!$K$18:$K$21, "&lt;&gt;"&amp;AY75, MATCH_INPUT!$K$18:$K$21, "&lt;&gt;Draw", MATCH_INPUT!$K$18:$K$21, "&lt;&gt;""") +
    COUNTIFS(MATCH_INPUT!$J$18:$J$21, AY75, MATCH_INPUT!$K$18:$K$21, "&lt;&gt;"&amp;AY75, MATCH_INPUT!$K$18:$K$21, "&lt;&gt;Draw", MATCH_INPUT!$K$18:$K$21, "&lt;&gt;"""),
0)</f>
        <v>0</v>
      </c>
      <c r="BF75" s="21" t="str">
        <f t="array" ref="BF75">IFERROR(INDEX(Form_Response!E:E, MATCH(1, (Form_Response!C:C='MATCH DATES'!$B$6)*(Form_Response!D:D=B75), 0)), "")
</f>
        <v/>
      </c>
      <c r="BG75" s="21">
        <f t="array" ref="BG75">IFERROR(IF(INDEX(Form_Response!F:F, MATCH(1, (Form_Response!C:C='MATCH DATES'!$B$6)*(Form_Response!D:D=B75), 0))="Yes", 1, 0), 0)
</f>
        <v>0</v>
      </c>
      <c r="BH75" s="30" t="str">
        <f t="array" ref="BH75">IFERROR(INDEX(Form_Response!G:G, MATCH(1, (Form_Response!C:C='MATCH DATES'!$B$6)*(Form_Response!D:D=B75), 0)), "")
</f>
        <v/>
      </c>
      <c r="BI75" s="23">
        <f t="shared" si="155"/>
        <v>11</v>
      </c>
      <c r="BJ75" s="24" t="str">
        <f t="shared" si="27"/>
        <v>↓</v>
      </c>
      <c r="BK75" s="34"/>
      <c r="BL75" s="26">
        <f t="shared" si="28"/>
        <v>0</v>
      </c>
      <c r="BM75" s="26">
        <f t="shared" si="29"/>
        <v>0</v>
      </c>
      <c r="BN75" s="26">
        <f>SUM(BO75*2) + (BP75*1) + SUMIFS(MATCH_INPUT!$G$22:$G$25, MATCH_INPUT!$F$22:$F$25, BK75) + SUMIFS(MATCH_INPUT!$I$22:$I$25, MATCH_INPUT!$J$22:$J$25, BK75)
</f>
        <v>0</v>
      </c>
      <c r="BO75" s="26">
        <f>IF(BK75&lt;&gt;"",
    COUNTIFS(MATCH_INPUT!$K$22:$K$25,BK75),
0)</f>
        <v>0</v>
      </c>
      <c r="BP75" s="26">
        <f>IF(BK75&lt;&gt;"",
    COUNTIFS(MATCH_INPUT!$F$22:$F$25, BK75, MATCH_INPUT!$K$22:$K$25, "Draw") +
    COUNTIFS(MATCH_INPUT!$J$22:$J$25, BK75, MATCH_INPUT!$K$22:$K$25, "Draw"),
0)</f>
        <v>0</v>
      </c>
      <c r="BQ75" s="26">
        <f>IF(BK75&lt;&gt;"",
    COUNTIFS(MATCH_INPUT!$F$22:$F$25, BK75, MATCH_INPUT!$K$22:$K$25, "&lt;&gt;"&amp;BK75, MATCH_INPUT!$K$22:$K$25, "&lt;&gt;Draw", MATCH_INPUT!$K$22:$K$25, "&lt;&gt;""") +
    COUNTIFS(MATCH_INPUT!$J$22:$J$25, BK75, MATCH_INPUT!$K$22:$K$25, "&lt;&gt;"&amp;BK75, MATCH_INPUT!$K$22:$K$25, "&lt;&gt;Draw", MATCH_INPUT!$K$22:$K$25, "&lt;&gt;"""),
0)</f>
        <v>0</v>
      </c>
      <c r="BR75" s="27"/>
      <c r="BS75" s="27"/>
      <c r="BT75" s="28"/>
      <c r="BU75" s="26">
        <f t="shared" si="156"/>
        <v>14</v>
      </c>
      <c r="BV75" s="29" t="str">
        <f t="shared" si="31"/>
        <v>↓</v>
      </c>
      <c r="BW75" s="35"/>
      <c r="BX75" s="23">
        <f t="shared" si="32"/>
        <v>0</v>
      </c>
      <c r="BY75" s="20">
        <f t="shared" si="33"/>
        <v>0</v>
      </c>
      <c r="BZ75" s="20">
        <f>SUM(CA75*2)+(CB75*1) + SUMIFS(MATCH_INPUT!$G$26:$G$29, MATCH_INPUT!$F$26:$F$29, BW75) + SUMIFS(MATCH_INPUT!$I$26:$I$29, MATCH_INPUT!$J$26:$J$29, BW75)
</f>
        <v>0</v>
      </c>
      <c r="CA75" s="20">
        <f>IF(BW75&lt;&gt;"",
    COUNTIFS(MATCH_INPUT!$K$26:$K$29,BW75),
0)</f>
        <v>0</v>
      </c>
      <c r="CB75" s="20">
        <f>IF(BW75&lt;&gt;"",
    COUNTIFS(MATCH_INPUT!$F$26:$F$29, BW75, MATCH_INPUT!$K$26:$K$29, "Draw") +
    COUNTIFS(MATCH_INPUT!$J$26:$J$29, BW75, MATCH_INPUT!$K$26:$K$29, "Draw"),
0)</f>
        <v>0</v>
      </c>
      <c r="CC75" s="20">
        <f>IF(BW75&lt;&gt;"",
    COUNTIFS(MATCH_INPUT!$F$26:$F$29, BW75, MATCH_INPUT!$K$26:$K$29, "&lt;&gt;"&amp;BW75, MATCH_INPUT!$K$26:$K$29, "&lt;&gt;Draw", MATCH_INPUT!$K$26:$K$29, "&lt;&gt;""") +
    COUNTIFS(MATCH_INPUT!$J$26:$J$29, BW75, MATCH_INPUT!$K$26:$K$29, "&lt;&gt;"&amp;BW75, MATCH_INPUT!$K$26:$K$29, "&lt;&gt;Draw", MATCH_INPUT!$K$26:$K$29, "&lt;&gt;"""),
0)</f>
        <v>0</v>
      </c>
      <c r="CD75" s="21"/>
      <c r="CE75" s="21"/>
      <c r="CF75" s="30"/>
      <c r="CG75" s="23">
        <f t="shared" si="157"/>
        <v>15</v>
      </c>
      <c r="CH75" s="24" t="str">
        <f t="shared" si="35"/>
        <v>↓</v>
      </c>
      <c r="CI75" s="25"/>
      <c r="CJ75" s="26">
        <f t="shared" si="36"/>
        <v>0</v>
      </c>
      <c r="CK75" s="26">
        <f t="shared" si="37"/>
        <v>0</v>
      </c>
      <c r="CL75" s="26">
        <f>SUM(CM75*2)+(CN75*1) + SUMIFS(MATCH_INPUT!$G$30:$G$33, MATCH_INPUT!$F$30:$F$33, CI75) + SUMIFS(MATCH_INPUT!$I$30:$I$33, MATCH_INPUT!$J$30:$J$33, CI75)
</f>
        <v>0</v>
      </c>
      <c r="CM75" s="26">
        <f>IF(CI75&lt;&gt;"",
    COUNTIFS(MATCH_INPUT!$K$30:$K$33,CI75),
0)</f>
        <v>0</v>
      </c>
      <c r="CN75" s="26">
        <f>IF(CI75&lt;&gt;"",
    COUNTIFS(MATCH_INPUT!$F$30:$F$33, CI75, MATCH_INPUT!$K$30:$K$33, "Draw") +
    COUNTIFS(MATCH_INPUT!$J$30:$J$33, CI75, MATCH_INPUT!$K$30:$K$33, "Draw"),
0)</f>
        <v>0</v>
      </c>
      <c r="CO75" s="26">
        <f>IF(CI75&lt;&gt;"",
    COUNTIFS(MATCH_INPUT!$F$30:$F$33, CI75, MATCH_INPUT!$K$30:$K$33, "&lt;&gt;"&amp;CI75, MATCH_INPUT!$K$30:$K$33, "&lt;&gt;Draw", MATCH_INPUT!$K$30:$K$33, "&lt;&gt;""") +
    COUNTIFS(MATCH_INPUT!$J$30:$J$33, CI75, MATCH_INPUT!$K$30:$K$33, "&lt;&gt;"&amp;CI75, MATCH_INPUT!$K$30:$K$33, "&lt;&gt;Draw", MATCH_INPUT!$K$30:$K$33, "&lt;&gt;"""),
0)</f>
        <v>0</v>
      </c>
      <c r="CP75" s="27" t="str">
        <f t="array" ref="CP75">IFERROR(INDEX(Form_Response!E:E, MATCH(1, (Form_Response!C:C='MATCH DATES'!$B$9)*(Form_Response!D:D=B75), 0)), "")
</f>
        <v/>
      </c>
      <c r="CQ75" s="27">
        <f t="array" ref="CQ75">IFERROR(IF(INDEX(Form_Response!F:F, MATCH(1, (Form_Response!C:C='MATCH DATES'!$B$9)*(Form_Response!D:D=B75), 0))="Yes", 1, 0), 0)
</f>
        <v>0</v>
      </c>
      <c r="CR75" s="28" t="str">
        <f t="array" ref="CR75">IFERROR(INDEX(Form_Response!G:G, MATCH(1, (Form_Response!C:C='MATCH DATES'!$B$9)*(Form_Response!D:D=B75), 0)), "")
</f>
        <v/>
      </c>
      <c r="CS75" s="31">
        <f t="shared" si="158"/>
        <v>18</v>
      </c>
      <c r="CT75" s="31" t="str">
        <f t="shared" si="39"/>
        <v>↓</v>
      </c>
      <c r="CU75" s="32">
        <f t="shared" si="40"/>
        <v>0</v>
      </c>
      <c r="CV75" s="32" t="str">
        <f t="shared" ref="CV75:CW75" si="264">A75</f>
        <v/>
      </c>
      <c r="CW75" s="33" t="str">
        <f t="shared" si="264"/>
        <v/>
      </c>
      <c r="CX75" s="33">
        <f t="shared" si="42"/>
        <v>0</v>
      </c>
      <c r="CY75" s="32">
        <f>SUM(
  IF(AND('MATCH DATES'!$A$2 &lt;= TODAY(), NOW() &gt;= 'MATCH DATES'!$A$2 + TIME(22, 0, 0)), E75, 0),
  IF(AND('MATCH DATES'!$A$3 &lt;= TODAY(), NOW() &gt;= 'MATCH DATES'!$A$3 + TIME(22, 0, 0)), Q75, 0),
  IF(AND('MATCH DATES'!$A$4 &lt;= TODAY(), NOW() &gt;= 'MATCH DATES'!$A$4 + TIME(22, 0, 0)), AC75, 0),
  IF(AND('MATCH DATES'!$A$5 &lt;= TODAY(), NOW() &gt;= 'MATCH DATES'!$A$5 + TIME(22, 0, 0)), AO75, 0),
  IF(AND('MATCH DATES'!$A$6 &lt;= TODAY(), NOW() &gt;= 'MATCH DATES'!$A$6 + TIME(22, 0, 0)), BA75, 0),
  IF(AND('MATCH DATES'!$A$7 &lt;= TODAY(), NOW() &gt;= 'MATCH DATES'!$A$7 + TIME(22, 0, 0)), BM75, 0),
  IF(AND('MATCH DATES'!$A$8 &lt;= TODAY(), NOW() &gt;= 'MATCH DATES'!$A$8 + TIME(22, 0, 0)), BY75, 0),
  IF(AND('MATCH DATES'!$A$9 &lt;= TODAY(), NOW() &gt;= 'MATCH DATES'!$A$9 + TIME(22, 0, 0)), CK75, 0)
)
</f>
        <v>0</v>
      </c>
      <c r="CZ75" s="33">
        <f t="shared" ref="CZ75:DA75" si="265">SUM(G75,S75,AE75,AQ75,BC75,BO75,CA75,CM75)</f>
        <v>0</v>
      </c>
      <c r="DA75" s="33">
        <f t="shared" si="265"/>
        <v>0</v>
      </c>
      <c r="DB75" s="33">
        <f>SUM(
  IF(AND('MATCH DATES'!$A$2 &lt;= TODAY(), NOW() &gt;= 'MATCH DATES'!$A$2 + TIME(22, 0, 0)), I75, 0),
  IF(AND('MATCH DATES'!$A$3 &lt;= TODAY(), NOW() &gt;= 'MATCH DATES'!$A$3 + TIME(22, 0, 0)), U75, 0),
  IF(AND('MATCH DATES'!$A$4 &lt;= TODAY(), NOW() &gt;= 'MATCH DATES'!$A$4 + TIME(22, 0, 0)), AG75, 0),
  IF(AND('MATCH DATES'!$A$5 &lt;= TODAY(), NOW() &gt;= 'MATCH DATES'!$A$5 + TIME(22, 0, 0)), AS75, 0),
  IF(AND('MATCH DATES'!$A$6 &lt;= TODAY(), NOW() &gt;= 'MATCH DATES'!$A$6 + TIME(22, 0, 0)), BE75, 0),
  IF(AND('MATCH DATES'!$A$7 &lt;= TODAY(), NOW() &gt;= 'MATCH DATES'!$A$7 + TIME(22, 0, 0)), BQ75, 0),
  IF(AND('MATCH DATES'!$A$8 &lt;= TODAY(), NOW() &gt;= 'MATCH DATES'!$A$8 + TIME(22, 0, 0)), CC75, 0),
  IF(AND('MATCH DATES'!$A$9 &lt;= TODAY(), NOW() &gt;= 'MATCH DATES'!$A$9 + TIME(22, 0, 0)), CO75, 0)
)</f>
        <v>0</v>
      </c>
      <c r="DC75" s="33">
        <f t="shared" si="44"/>
        <v>0</v>
      </c>
      <c r="DD75" s="33">
        <f t="shared" ref="DD75:DE75" si="266">SUM(K75,W75,AI75,AU75,BG75,BS75,CE75,CQ75)</f>
        <v>0</v>
      </c>
      <c r="DE75" s="33">
        <f t="shared" si="266"/>
        <v>0</v>
      </c>
    </row>
    <row r="76" ht="24.75" customHeight="1">
      <c r="A76" s="31"/>
      <c r="B76" s="39"/>
      <c r="C76" s="35"/>
      <c r="D76" s="20">
        <f t="shared" si="4"/>
        <v>0</v>
      </c>
      <c r="E76" s="20">
        <f t="shared" si="5"/>
        <v>0</v>
      </c>
      <c r="F76" s="20">
        <f t="shared" si="6"/>
        <v>0</v>
      </c>
      <c r="G76" s="20">
        <f>IF(C76&lt;&gt;"",
    COUNTIFS(MATCH_INPUT!$K$2:$K$5,C76),
0)</f>
        <v>0</v>
      </c>
      <c r="H76" s="20">
        <f>IF(C76&lt;&gt;"",
    COUNTIFS(MATCH_INPUT!$F$2:$F$5, C76, MATCH_INPUT!$K$2:$K$5, "Draw") +
    COUNTIFS(MATCH_INPUT!$J$2:$J$5, C76, MATCH_INPUT!$K$2:$K$5, "Draw"),
0)</f>
        <v>0</v>
      </c>
      <c r="I76" s="20">
        <f>IF(C76&lt;&gt;"",
    COUNTIFS(MATCH_INPUT!$F$2:$F$5, C76, MATCH_INPUT!$K$2:$K$5, "&lt;&gt;"&amp;C76, MATCH_INPUT!$K$2:$K$5, "&lt;&gt;Draw", MATCH_INPUT!$K$2:$K$5, "&lt;&gt;""") +
    COUNTIFS(MATCH_INPUT!$J$2:$J$5, C76, MATCH_INPUT!$K$2:$K$5, "&lt;&gt;"&amp;C76, MATCH_INPUT!$K$2:$K$5, "&lt;&gt;Draw", MATCH_INPUT!$K$2:$K$5, "&lt;&gt;"""),
0)</f>
        <v>0</v>
      </c>
      <c r="J76" s="21"/>
      <c r="K76" s="21"/>
      <c r="L76" s="22"/>
      <c r="M76" s="23">
        <f t="shared" si="151"/>
        <v>4</v>
      </c>
      <c r="N76" s="24" t="str">
        <f t="shared" si="8"/>
        <v>↓</v>
      </c>
      <c r="O76" s="25"/>
      <c r="P76" s="26">
        <f t="shared" si="9"/>
        <v>0</v>
      </c>
      <c r="Q76" s="26">
        <f t="shared" si="10"/>
        <v>0</v>
      </c>
      <c r="R76" s="26">
        <f t="shared" si="11"/>
        <v>0</v>
      </c>
      <c r="S76" s="26">
        <f>IF(O76&lt;&gt;"",
    COUNTIFS(MATCH_INPUT!$K$6:$K$9,O76),
0)</f>
        <v>0</v>
      </c>
      <c r="T76" s="26">
        <f>IF(O76&lt;&gt;"",
    COUNTIFS(MATCH_INPUT!$F$6:$F$9, O76, MATCH_INPUT!$K$6:$K$9, "Draw") +
    COUNTIFS(MATCH_INPUT!$J$6:$J$9, O76, MATCH_INPUT!$K$6:$K$9, "Draw"),
0)</f>
        <v>0</v>
      </c>
      <c r="U76" s="26">
        <f>IF(O76&lt;&gt;"",
    COUNTIFS(MATCH_INPUT!$F$6:$F$9, O76, MATCH_INPUT!$K$6:$K$9, "&lt;&gt;"&amp;O76, MATCH_INPUT!$K$6:$K$9, "&lt;&gt;Draw", MATCH_INPUT!$K$6:$K$9, "&lt;&gt;""") +
    COUNTIFS(MATCH_INPUT!$J$6:$J$9, O76, MATCH_INPUT!$K$6:$K$9, "&lt;&gt;"&amp;O76, MATCH_INPUT!$K$6:$K$9, "&lt;&gt;Draw", MATCH_INPUT!$K$6:$K$9, "&lt;&gt;"""),
0)</f>
        <v>0</v>
      </c>
      <c r="V76" s="27"/>
      <c r="W76" s="27"/>
      <c r="X76" s="28"/>
      <c r="Y76" s="26">
        <f t="shared" si="152"/>
        <v>7</v>
      </c>
      <c r="Z76" s="29" t="str">
        <f t="shared" si="13"/>
        <v>↓</v>
      </c>
      <c r="AA76" s="19"/>
      <c r="AB76" s="23">
        <f t="shared" si="14"/>
        <v>0</v>
      </c>
      <c r="AC76" s="20">
        <f t="shared" si="15"/>
        <v>0</v>
      </c>
      <c r="AD76" s="20">
        <f t="shared" si="16"/>
        <v>0</v>
      </c>
      <c r="AE76" s="20">
        <f>IF(AA76&lt;&gt;"",
    COUNTIFS(MATCH_INPUT!$K$10:$K$13,AA76),
0)</f>
        <v>0</v>
      </c>
      <c r="AF76" s="20">
        <f>IF(AA76&lt;&gt;"",
    COUNTIFS(MATCH_INPUT!$F$10:$F$13, AA76, MATCH_INPUT!$K$10:$K$13, "Draw") +
    COUNTIFS(MATCH_INPUT!$J$10:$J$13, AA76, MATCH_INPUT!$K$10:$K$13, "Draw"),
0)</f>
        <v>0</v>
      </c>
      <c r="AG76" s="20">
        <f>IF(AA76&lt;&gt;"",
    COUNTIFS(MATCH_INPUT!$F$10:$F$13, AA76, MATCH_INPUT!$K$10:$K$13, "&lt;&gt;"&amp;AA76, MATCH_INPUT!$K$10:$K$13, "&lt;&gt;Draw", MATCH_INPUT!$K$10:$K$13, "&lt;&gt;""") +
    COUNTIFS(MATCH_INPUT!$J$10:$J$13, AA76, MATCH_INPUT!$K$10:$K$13, "&lt;&gt;"&amp;AA76, MATCH_INPUT!$K$10:$K$13, "&lt;&gt;Draw", MATCH_INPUT!$K$10:$K$13, "&lt;&gt;"""),
0)</f>
        <v>0</v>
      </c>
      <c r="AH76" s="21"/>
      <c r="AI76" s="21"/>
      <c r="AJ76" s="30"/>
      <c r="AK76" s="23">
        <f t="shared" si="153"/>
        <v>8</v>
      </c>
      <c r="AL76" s="24" t="str">
        <f t="shared" si="18"/>
        <v>↓</v>
      </c>
      <c r="AM76" s="25"/>
      <c r="AN76" s="26">
        <f t="shared" si="19"/>
        <v>0</v>
      </c>
      <c r="AO76" s="26">
        <f t="shared" si="20"/>
        <v>0</v>
      </c>
      <c r="AP76" s="26">
        <f t="shared" si="21"/>
        <v>0</v>
      </c>
      <c r="AQ76" s="26">
        <f>IF(AM76&lt;&gt;"",
    COUNTIFS(MATCH_INPUT!$K$14:$K$17,AM76),
0)</f>
        <v>0</v>
      </c>
      <c r="AR76" s="26">
        <f>IF(AM76&lt;&gt;"",
    COUNTIFS(MATCH_INPUT!$F$14:$F$17, AM76, MATCH_INPUT!$K$14:$K$17, "Draw") +
    COUNTIFS(MATCH_INPUT!$J$14:$J$17, AM76, MATCH_INPUT!$K$14:$K$17, "Draw"),
0)</f>
        <v>0</v>
      </c>
      <c r="AS76" s="26">
        <f>IF(AM76&lt;&gt;"",
    COUNTIFS(MATCH_INPUT!$F$14:$F$17, AM76, MATCH_INPUT!$K$14:$K$17, "&lt;&gt;"&amp;AM76, MATCH_INPUT!$K$14:$K$17, "&lt;&gt;Draw", MATCH_INPUT!$K$14:$K$17, "&lt;&gt;""") +
    COUNTIFS(MATCH_INPUT!$J$14:$J$17, AM76, MATCH_INPUT!$K$14:$K$17, "&lt;&gt;"&amp;AM76, MATCH_INPUT!$K$14:$K$17, "&lt;&gt;Draw", MATCH_INPUT!$K$14:$K$17, "&lt;&gt;"""),
0)</f>
        <v>0</v>
      </c>
      <c r="AT76" s="27"/>
      <c r="AU76" s="27"/>
      <c r="AV76" s="28"/>
      <c r="AW76" s="26">
        <f t="shared" si="154"/>
        <v>10</v>
      </c>
      <c r="AX76" s="29" t="str">
        <f t="shared" si="23"/>
        <v>↓</v>
      </c>
      <c r="AY76" s="19"/>
      <c r="AZ76" s="23">
        <f t="shared" si="24"/>
        <v>0</v>
      </c>
      <c r="BA76" s="20">
        <f t="shared" si="25"/>
        <v>0</v>
      </c>
      <c r="BB76" s="20">
        <f>SUM(BC76*2) + (BD76*1) + SUMIFS(MATCH_INPUT!$G$18:$G$21, MATCH_INPUT!$F$18:$F$21, AY76) + SUMIFS(MATCH_INPUT!$I$18:$I$21, MATCH_INPUT!$J$18:$J$21, AY76)
</f>
        <v>0</v>
      </c>
      <c r="BC76" s="20">
        <f>IF(AY76&lt;&gt;"",
    COUNTIFS(MATCH_INPUT!$K$18:$K$21,AY76),
0)</f>
        <v>0</v>
      </c>
      <c r="BD76" s="20">
        <f>IF(AY76&lt;&gt;"",
    COUNTIFS(MATCH_INPUT!$F$18:$F$21, AY76, MATCH_INPUT!$K$18:$K$21, "Draw") +
    COUNTIFS(MATCH_INPUT!$J$18:$J$21, AY76, MATCH_INPUT!$K$18:$K$21, "Draw"),
0)</f>
        <v>0</v>
      </c>
      <c r="BE76" s="20">
        <f>IF(AY76&lt;&gt;"",
    COUNTIFS(MATCH_INPUT!$F$18:$F$21, AY76, MATCH_INPUT!$K$18:$K$21, "&lt;&gt;"&amp;AY76, MATCH_INPUT!$K$18:$K$21, "&lt;&gt;Draw", MATCH_INPUT!$K$18:$K$21, "&lt;&gt;""") +
    COUNTIFS(MATCH_INPUT!$J$18:$J$21, AY76, MATCH_INPUT!$K$18:$K$21, "&lt;&gt;"&amp;AY76, MATCH_INPUT!$K$18:$K$21, "&lt;&gt;Draw", MATCH_INPUT!$K$18:$K$21, "&lt;&gt;"""),
0)</f>
        <v>0</v>
      </c>
      <c r="BF76" s="21" t="str">
        <f t="array" ref="BF76">IFERROR(INDEX(Form_Response!E:E, MATCH(1, (Form_Response!C:C='MATCH DATES'!$B$6)*(Form_Response!D:D=B76), 0)), "")
</f>
        <v/>
      </c>
      <c r="BG76" s="21">
        <f t="array" ref="BG76">IFERROR(IF(INDEX(Form_Response!F:F, MATCH(1, (Form_Response!C:C='MATCH DATES'!$B$6)*(Form_Response!D:D=B76), 0))="Yes", 1, 0), 0)
</f>
        <v>0</v>
      </c>
      <c r="BH76" s="30" t="str">
        <f t="array" ref="BH76">IFERROR(INDEX(Form_Response!G:G, MATCH(1, (Form_Response!C:C='MATCH DATES'!$B$6)*(Form_Response!D:D=B76), 0)), "")
</f>
        <v/>
      </c>
      <c r="BI76" s="23">
        <f t="shared" si="155"/>
        <v>11</v>
      </c>
      <c r="BJ76" s="24" t="str">
        <f t="shared" si="27"/>
        <v>↓</v>
      </c>
      <c r="BK76" s="34"/>
      <c r="BL76" s="26">
        <f t="shared" si="28"/>
        <v>0</v>
      </c>
      <c r="BM76" s="26">
        <f t="shared" si="29"/>
        <v>0</v>
      </c>
      <c r="BN76" s="26">
        <f>SUM(BO76*2) + (BP76*1) + SUMIFS(MATCH_INPUT!$G$22:$G$25, MATCH_INPUT!$F$22:$F$25, BK76) + SUMIFS(MATCH_INPUT!$I$22:$I$25, MATCH_INPUT!$J$22:$J$25, BK76)
</f>
        <v>0</v>
      </c>
      <c r="BO76" s="26">
        <f>IF(BK76&lt;&gt;"",
    COUNTIFS(MATCH_INPUT!$K$22:$K$25,BK76),
0)</f>
        <v>0</v>
      </c>
      <c r="BP76" s="26">
        <f>IF(BK76&lt;&gt;"",
    COUNTIFS(MATCH_INPUT!$F$22:$F$25, BK76, MATCH_INPUT!$K$22:$K$25, "Draw") +
    COUNTIFS(MATCH_INPUT!$J$22:$J$25, BK76, MATCH_INPUT!$K$22:$K$25, "Draw"),
0)</f>
        <v>0</v>
      </c>
      <c r="BQ76" s="26">
        <f>IF(BK76&lt;&gt;"",
    COUNTIFS(MATCH_INPUT!$F$22:$F$25, BK76, MATCH_INPUT!$K$22:$K$25, "&lt;&gt;"&amp;BK76, MATCH_INPUT!$K$22:$K$25, "&lt;&gt;Draw", MATCH_INPUT!$K$22:$K$25, "&lt;&gt;""") +
    COUNTIFS(MATCH_INPUT!$J$22:$J$25, BK76, MATCH_INPUT!$K$22:$K$25, "&lt;&gt;"&amp;BK76, MATCH_INPUT!$K$22:$K$25, "&lt;&gt;Draw", MATCH_INPUT!$K$22:$K$25, "&lt;&gt;"""),
0)</f>
        <v>0</v>
      </c>
      <c r="BR76" s="27"/>
      <c r="BS76" s="27"/>
      <c r="BT76" s="28"/>
      <c r="BU76" s="26">
        <f t="shared" si="156"/>
        <v>14</v>
      </c>
      <c r="BV76" s="29" t="str">
        <f t="shared" si="31"/>
        <v>↓</v>
      </c>
      <c r="BW76" s="35"/>
      <c r="BX76" s="23">
        <f t="shared" si="32"/>
        <v>0</v>
      </c>
      <c r="BY76" s="20">
        <f t="shared" si="33"/>
        <v>0</v>
      </c>
      <c r="BZ76" s="20">
        <f>SUM(CA76*2)+(CB76*1) + SUMIFS(MATCH_INPUT!$G$26:$G$29, MATCH_INPUT!$F$26:$F$29, BW76) + SUMIFS(MATCH_INPUT!$I$26:$I$29, MATCH_INPUT!$J$26:$J$29, BW76)
</f>
        <v>0</v>
      </c>
      <c r="CA76" s="20">
        <f>IF(BW76&lt;&gt;"",
    COUNTIFS(MATCH_INPUT!$K$26:$K$29,BW76),
0)</f>
        <v>0</v>
      </c>
      <c r="CB76" s="20">
        <f>IF(BW76&lt;&gt;"",
    COUNTIFS(MATCH_INPUT!$F$26:$F$29, BW76, MATCH_INPUT!$K$26:$K$29, "Draw") +
    COUNTIFS(MATCH_INPUT!$J$26:$J$29, BW76, MATCH_INPUT!$K$26:$K$29, "Draw"),
0)</f>
        <v>0</v>
      </c>
      <c r="CC76" s="20">
        <f>IF(BW76&lt;&gt;"",
    COUNTIFS(MATCH_INPUT!$F$26:$F$29, BW76, MATCH_INPUT!$K$26:$K$29, "&lt;&gt;"&amp;BW76, MATCH_INPUT!$K$26:$K$29, "&lt;&gt;Draw", MATCH_INPUT!$K$26:$K$29, "&lt;&gt;""") +
    COUNTIFS(MATCH_INPUT!$J$26:$J$29, BW76, MATCH_INPUT!$K$26:$K$29, "&lt;&gt;"&amp;BW76, MATCH_INPUT!$K$26:$K$29, "&lt;&gt;Draw", MATCH_INPUT!$K$26:$K$29, "&lt;&gt;"""),
0)</f>
        <v>0</v>
      </c>
      <c r="CD76" s="21"/>
      <c r="CE76" s="21"/>
      <c r="CF76" s="30"/>
      <c r="CG76" s="23">
        <f t="shared" si="157"/>
        <v>15</v>
      </c>
      <c r="CH76" s="24" t="str">
        <f t="shared" si="35"/>
        <v>↓</v>
      </c>
      <c r="CI76" s="25"/>
      <c r="CJ76" s="26">
        <f t="shared" si="36"/>
        <v>0</v>
      </c>
      <c r="CK76" s="26">
        <f t="shared" si="37"/>
        <v>0</v>
      </c>
      <c r="CL76" s="26">
        <f>SUM(CM76*2)+(CN76*1) + SUMIFS(MATCH_INPUT!$G$30:$G$33, MATCH_INPUT!$F$30:$F$33, CI76) + SUMIFS(MATCH_INPUT!$I$30:$I$33, MATCH_INPUT!$J$30:$J$33, CI76)
</f>
        <v>0</v>
      </c>
      <c r="CM76" s="26">
        <f>IF(CI76&lt;&gt;"",
    COUNTIFS(MATCH_INPUT!$K$30:$K$33,CI76),
0)</f>
        <v>0</v>
      </c>
      <c r="CN76" s="26">
        <f>IF(CI76&lt;&gt;"",
    COUNTIFS(MATCH_INPUT!$F$30:$F$33, CI76, MATCH_INPUT!$K$30:$K$33, "Draw") +
    COUNTIFS(MATCH_INPUT!$J$30:$J$33, CI76, MATCH_INPUT!$K$30:$K$33, "Draw"),
0)</f>
        <v>0</v>
      </c>
      <c r="CO76" s="26">
        <f>IF(CI76&lt;&gt;"",
    COUNTIFS(MATCH_INPUT!$F$30:$F$33, CI76, MATCH_INPUT!$K$30:$K$33, "&lt;&gt;"&amp;CI76, MATCH_INPUT!$K$30:$K$33, "&lt;&gt;Draw", MATCH_INPUT!$K$30:$K$33, "&lt;&gt;""") +
    COUNTIFS(MATCH_INPUT!$J$30:$J$33, CI76, MATCH_INPUT!$K$30:$K$33, "&lt;&gt;"&amp;CI76, MATCH_INPUT!$K$30:$K$33, "&lt;&gt;Draw", MATCH_INPUT!$K$30:$K$33, "&lt;&gt;"""),
0)</f>
        <v>0</v>
      </c>
      <c r="CP76" s="27" t="str">
        <f t="array" ref="CP76">IFERROR(INDEX(Form_Response!E:E, MATCH(1, (Form_Response!C:C='MATCH DATES'!$B$9)*(Form_Response!D:D=B76), 0)), "")
</f>
        <v/>
      </c>
      <c r="CQ76" s="27">
        <f t="array" ref="CQ76">IFERROR(IF(INDEX(Form_Response!F:F, MATCH(1, (Form_Response!C:C='MATCH DATES'!$B$9)*(Form_Response!D:D=B76), 0))="Yes", 1, 0), 0)
</f>
        <v>0</v>
      </c>
      <c r="CR76" s="28" t="str">
        <f t="array" ref="CR76">IFERROR(INDEX(Form_Response!G:G, MATCH(1, (Form_Response!C:C='MATCH DATES'!$B$9)*(Form_Response!D:D=B76), 0)), "")
</f>
        <v/>
      </c>
      <c r="CS76" s="31">
        <f t="shared" si="158"/>
        <v>18</v>
      </c>
      <c r="CT76" s="31" t="str">
        <f t="shared" si="39"/>
        <v>↓</v>
      </c>
      <c r="CU76" s="32">
        <f t="shared" si="40"/>
        <v>0</v>
      </c>
      <c r="CV76" s="32" t="str">
        <f t="shared" ref="CV76:CW76" si="267">A76</f>
        <v/>
      </c>
      <c r="CW76" s="33" t="str">
        <f t="shared" si="267"/>
        <v/>
      </c>
      <c r="CX76" s="33">
        <f t="shared" si="42"/>
        <v>0</v>
      </c>
      <c r="CY76" s="32">
        <f>SUM(
  IF(AND('MATCH DATES'!$A$2 &lt;= TODAY(), NOW() &gt;= 'MATCH DATES'!$A$2 + TIME(22, 0, 0)), E76, 0),
  IF(AND('MATCH DATES'!$A$3 &lt;= TODAY(), NOW() &gt;= 'MATCH DATES'!$A$3 + TIME(22, 0, 0)), Q76, 0),
  IF(AND('MATCH DATES'!$A$4 &lt;= TODAY(), NOW() &gt;= 'MATCH DATES'!$A$4 + TIME(22, 0, 0)), AC76, 0),
  IF(AND('MATCH DATES'!$A$5 &lt;= TODAY(), NOW() &gt;= 'MATCH DATES'!$A$5 + TIME(22, 0, 0)), AO76, 0),
  IF(AND('MATCH DATES'!$A$6 &lt;= TODAY(), NOW() &gt;= 'MATCH DATES'!$A$6 + TIME(22, 0, 0)), BA76, 0),
  IF(AND('MATCH DATES'!$A$7 &lt;= TODAY(), NOW() &gt;= 'MATCH DATES'!$A$7 + TIME(22, 0, 0)), BM76, 0),
  IF(AND('MATCH DATES'!$A$8 &lt;= TODAY(), NOW() &gt;= 'MATCH DATES'!$A$8 + TIME(22, 0, 0)), BY76, 0),
  IF(AND('MATCH DATES'!$A$9 &lt;= TODAY(), NOW() &gt;= 'MATCH DATES'!$A$9 + TIME(22, 0, 0)), CK76, 0)
)
</f>
        <v>0</v>
      </c>
      <c r="CZ76" s="33">
        <f t="shared" ref="CZ76:DA76" si="268">SUM(G76,S76,AE76,AQ76,BC76,BO76,CA76,CM76)</f>
        <v>0</v>
      </c>
      <c r="DA76" s="33">
        <f t="shared" si="268"/>
        <v>0</v>
      </c>
      <c r="DB76" s="33">
        <f>SUM(
  IF(AND('MATCH DATES'!$A$2 &lt;= TODAY(), NOW() &gt;= 'MATCH DATES'!$A$2 + TIME(22, 0, 0)), I76, 0),
  IF(AND('MATCH DATES'!$A$3 &lt;= TODAY(), NOW() &gt;= 'MATCH DATES'!$A$3 + TIME(22, 0, 0)), U76, 0),
  IF(AND('MATCH DATES'!$A$4 &lt;= TODAY(), NOW() &gt;= 'MATCH DATES'!$A$4 + TIME(22, 0, 0)), AG76, 0),
  IF(AND('MATCH DATES'!$A$5 &lt;= TODAY(), NOW() &gt;= 'MATCH DATES'!$A$5 + TIME(22, 0, 0)), AS76, 0),
  IF(AND('MATCH DATES'!$A$6 &lt;= TODAY(), NOW() &gt;= 'MATCH DATES'!$A$6 + TIME(22, 0, 0)), BE76, 0),
  IF(AND('MATCH DATES'!$A$7 &lt;= TODAY(), NOW() &gt;= 'MATCH DATES'!$A$7 + TIME(22, 0, 0)), BQ76, 0),
  IF(AND('MATCH DATES'!$A$8 &lt;= TODAY(), NOW() &gt;= 'MATCH DATES'!$A$8 + TIME(22, 0, 0)), CC76, 0),
  IF(AND('MATCH DATES'!$A$9 &lt;= TODAY(), NOW() &gt;= 'MATCH DATES'!$A$9 + TIME(22, 0, 0)), CO76, 0)
)</f>
        <v>0</v>
      </c>
      <c r="DC76" s="33">
        <f t="shared" si="44"/>
        <v>0</v>
      </c>
      <c r="DD76" s="33">
        <f t="shared" ref="DD76:DE76" si="269">SUM(K76,W76,AI76,AU76,BG76,BS76,CE76,CQ76)</f>
        <v>0</v>
      </c>
      <c r="DE76" s="33">
        <f t="shared" si="269"/>
        <v>0</v>
      </c>
    </row>
    <row r="77" ht="24.75" customHeight="1">
      <c r="A77" s="31"/>
      <c r="B77" s="39"/>
      <c r="C77" s="35"/>
      <c r="D77" s="20">
        <f t="shared" si="4"/>
        <v>0</v>
      </c>
      <c r="E77" s="20">
        <f t="shared" si="5"/>
        <v>0</v>
      </c>
      <c r="F77" s="20">
        <f t="shared" si="6"/>
        <v>0</v>
      </c>
      <c r="G77" s="20">
        <f>IF(C77&lt;&gt;"",
    COUNTIFS(MATCH_INPUT!$K$2:$K$5,C77),
0)</f>
        <v>0</v>
      </c>
      <c r="H77" s="20">
        <f>IF(C77&lt;&gt;"",
    COUNTIFS(MATCH_INPUT!$F$2:$F$5, C77, MATCH_INPUT!$K$2:$K$5, "Draw") +
    COUNTIFS(MATCH_INPUT!$J$2:$J$5, C77, MATCH_INPUT!$K$2:$K$5, "Draw"),
0)</f>
        <v>0</v>
      </c>
      <c r="I77" s="20">
        <f>IF(C77&lt;&gt;"",
    COUNTIFS(MATCH_INPUT!$F$2:$F$5, C77, MATCH_INPUT!$K$2:$K$5, "&lt;&gt;"&amp;C77, MATCH_INPUT!$K$2:$K$5, "&lt;&gt;Draw", MATCH_INPUT!$K$2:$K$5, "&lt;&gt;""") +
    COUNTIFS(MATCH_INPUT!$J$2:$J$5, C77, MATCH_INPUT!$K$2:$K$5, "&lt;&gt;"&amp;C77, MATCH_INPUT!$K$2:$K$5, "&lt;&gt;Draw", MATCH_INPUT!$K$2:$K$5, "&lt;&gt;"""),
0)</f>
        <v>0</v>
      </c>
      <c r="J77" s="21"/>
      <c r="K77" s="21"/>
      <c r="L77" s="22"/>
      <c r="M77" s="23">
        <f t="shared" si="151"/>
        <v>4</v>
      </c>
      <c r="N77" s="24" t="str">
        <f t="shared" si="8"/>
        <v>↓</v>
      </c>
      <c r="O77" s="25"/>
      <c r="P77" s="26">
        <f t="shared" si="9"/>
        <v>0</v>
      </c>
      <c r="Q77" s="26">
        <f t="shared" si="10"/>
        <v>0</v>
      </c>
      <c r="R77" s="26">
        <f t="shared" si="11"/>
        <v>0</v>
      </c>
      <c r="S77" s="26">
        <f>IF(O77&lt;&gt;"",
    COUNTIFS(MATCH_INPUT!$K$6:$K$9,O77),
0)</f>
        <v>0</v>
      </c>
      <c r="T77" s="26">
        <f>IF(O77&lt;&gt;"",
    COUNTIFS(MATCH_INPUT!$F$6:$F$9, O77, MATCH_INPUT!$K$6:$K$9, "Draw") +
    COUNTIFS(MATCH_INPUT!$J$6:$J$9, O77, MATCH_INPUT!$K$6:$K$9, "Draw"),
0)</f>
        <v>0</v>
      </c>
      <c r="U77" s="26">
        <f>IF(O77&lt;&gt;"",
    COUNTIFS(MATCH_INPUT!$F$6:$F$9, O77, MATCH_INPUT!$K$6:$K$9, "&lt;&gt;"&amp;O77, MATCH_INPUT!$K$6:$K$9, "&lt;&gt;Draw", MATCH_INPUT!$K$6:$K$9, "&lt;&gt;""") +
    COUNTIFS(MATCH_INPUT!$J$6:$J$9, O77, MATCH_INPUT!$K$6:$K$9, "&lt;&gt;"&amp;O77, MATCH_INPUT!$K$6:$K$9, "&lt;&gt;Draw", MATCH_INPUT!$K$6:$K$9, "&lt;&gt;"""),
0)</f>
        <v>0</v>
      </c>
      <c r="V77" s="27"/>
      <c r="W77" s="27"/>
      <c r="X77" s="28"/>
      <c r="Y77" s="26">
        <f t="shared" si="152"/>
        <v>7</v>
      </c>
      <c r="Z77" s="29" t="str">
        <f t="shared" si="13"/>
        <v>↓</v>
      </c>
      <c r="AA77" s="19"/>
      <c r="AB77" s="23">
        <f t="shared" si="14"/>
        <v>0</v>
      </c>
      <c r="AC77" s="20">
        <f t="shared" si="15"/>
        <v>0</v>
      </c>
      <c r="AD77" s="20">
        <f t="shared" si="16"/>
        <v>0</v>
      </c>
      <c r="AE77" s="20">
        <f>IF(AA77&lt;&gt;"",
    COUNTIFS(MATCH_INPUT!$K$10:$K$13,AA77),
0)</f>
        <v>0</v>
      </c>
      <c r="AF77" s="20">
        <f>IF(AA77&lt;&gt;"",
    COUNTIFS(MATCH_INPUT!$F$10:$F$13, AA77, MATCH_INPUT!$K$10:$K$13, "Draw") +
    COUNTIFS(MATCH_INPUT!$J$10:$J$13, AA77, MATCH_INPUT!$K$10:$K$13, "Draw"),
0)</f>
        <v>0</v>
      </c>
      <c r="AG77" s="20">
        <f>IF(AA77&lt;&gt;"",
    COUNTIFS(MATCH_INPUT!$F$10:$F$13, AA77, MATCH_INPUT!$K$10:$K$13, "&lt;&gt;"&amp;AA77, MATCH_INPUT!$K$10:$K$13, "&lt;&gt;Draw", MATCH_INPUT!$K$10:$K$13, "&lt;&gt;""") +
    COUNTIFS(MATCH_INPUT!$J$10:$J$13, AA77, MATCH_INPUT!$K$10:$K$13, "&lt;&gt;"&amp;AA77, MATCH_INPUT!$K$10:$K$13, "&lt;&gt;Draw", MATCH_INPUT!$K$10:$K$13, "&lt;&gt;"""),
0)</f>
        <v>0</v>
      </c>
      <c r="AH77" s="21"/>
      <c r="AI77" s="21"/>
      <c r="AJ77" s="30"/>
      <c r="AK77" s="23">
        <f t="shared" si="153"/>
        <v>8</v>
      </c>
      <c r="AL77" s="24" t="str">
        <f t="shared" si="18"/>
        <v>↓</v>
      </c>
      <c r="AM77" s="25"/>
      <c r="AN77" s="26">
        <f t="shared" si="19"/>
        <v>0</v>
      </c>
      <c r="AO77" s="26">
        <f t="shared" si="20"/>
        <v>0</v>
      </c>
      <c r="AP77" s="26">
        <f t="shared" si="21"/>
        <v>0</v>
      </c>
      <c r="AQ77" s="26">
        <f>IF(AM77&lt;&gt;"",
    COUNTIFS(MATCH_INPUT!$K$14:$K$17,AM77),
0)</f>
        <v>0</v>
      </c>
      <c r="AR77" s="26">
        <f>IF(AM77&lt;&gt;"",
    COUNTIFS(MATCH_INPUT!$F$14:$F$17, AM77, MATCH_INPUT!$K$14:$K$17, "Draw") +
    COUNTIFS(MATCH_INPUT!$J$14:$J$17, AM77, MATCH_INPUT!$K$14:$K$17, "Draw"),
0)</f>
        <v>0</v>
      </c>
      <c r="AS77" s="26">
        <f>IF(AM77&lt;&gt;"",
    COUNTIFS(MATCH_INPUT!$F$14:$F$17, AM77, MATCH_INPUT!$K$14:$K$17, "&lt;&gt;"&amp;AM77, MATCH_INPUT!$K$14:$K$17, "&lt;&gt;Draw", MATCH_INPUT!$K$14:$K$17, "&lt;&gt;""") +
    COUNTIFS(MATCH_INPUT!$J$14:$J$17, AM77, MATCH_INPUT!$K$14:$K$17, "&lt;&gt;"&amp;AM77, MATCH_INPUT!$K$14:$K$17, "&lt;&gt;Draw", MATCH_INPUT!$K$14:$K$17, "&lt;&gt;"""),
0)</f>
        <v>0</v>
      </c>
      <c r="AT77" s="27"/>
      <c r="AU77" s="27"/>
      <c r="AV77" s="28"/>
      <c r="AW77" s="26">
        <f t="shared" si="154"/>
        <v>10</v>
      </c>
      <c r="AX77" s="29" t="str">
        <f t="shared" si="23"/>
        <v>↓</v>
      </c>
      <c r="AY77" s="19"/>
      <c r="AZ77" s="23">
        <f t="shared" si="24"/>
        <v>0</v>
      </c>
      <c r="BA77" s="20">
        <f t="shared" si="25"/>
        <v>0</v>
      </c>
      <c r="BB77" s="20">
        <f>SUM(BC77*2) + (BD77*1) + SUMIFS(MATCH_INPUT!$G$18:$G$21, MATCH_INPUT!$F$18:$F$21, AY77) + SUMIFS(MATCH_INPUT!$I$18:$I$21, MATCH_INPUT!$J$18:$J$21, AY77)
</f>
        <v>0</v>
      </c>
      <c r="BC77" s="20">
        <f>IF(AY77&lt;&gt;"",
    COUNTIFS(MATCH_INPUT!$K$18:$K$21,AY77),
0)</f>
        <v>0</v>
      </c>
      <c r="BD77" s="20">
        <f>IF(AY77&lt;&gt;"",
    COUNTIFS(MATCH_INPUT!$F$18:$F$21, AY77, MATCH_INPUT!$K$18:$K$21, "Draw") +
    COUNTIFS(MATCH_INPUT!$J$18:$J$21, AY77, MATCH_INPUT!$K$18:$K$21, "Draw"),
0)</f>
        <v>0</v>
      </c>
      <c r="BE77" s="20">
        <f>IF(AY77&lt;&gt;"",
    COUNTIFS(MATCH_INPUT!$F$18:$F$21, AY77, MATCH_INPUT!$K$18:$K$21, "&lt;&gt;"&amp;AY77, MATCH_INPUT!$K$18:$K$21, "&lt;&gt;Draw", MATCH_INPUT!$K$18:$K$21, "&lt;&gt;""") +
    COUNTIFS(MATCH_INPUT!$J$18:$J$21, AY77, MATCH_INPUT!$K$18:$K$21, "&lt;&gt;"&amp;AY77, MATCH_INPUT!$K$18:$K$21, "&lt;&gt;Draw", MATCH_INPUT!$K$18:$K$21, "&lt;&gt;"""),
0)</f>
        <v>0</v>
      </c>
      <c r="BF77" s="21" t="str">
        <f t="array" ref="BF77">IFERROR(INDEX(Form_Response!E:E, MATCH(1, (Form_Response!C:C='MATCH DATES'!$B$6)*(Form_Response!D:D=B77), 0)), "")
</f>
        <v/>
      </c>
      <c r="BG77" s="21">
        <f t="array" ref="BG77">IFERROR(IF(INDEX(Form_Response!F:F, MATCH(1, (Form_Response!C:C='MATCH DATES'!$B$6)*(Form_Response!D:D=B77), 0))="Yes", 1, 0), 0)
</f>
        <v>0</v>
      </c>
      <c r="BH77" s="30" t="str">
        <f t="array" ref="BH77">IFERROR(INDEX(Form_Response!G:G, MATCH(1, (Form_Response!C:C='MATCH DATES'!$B$6)*(Form_Response!D:D=B77), 0)), "")
</f>
        <v/>
      </c>
      <c r="BI77" s="23">
        <f t="shared" si="155"/>
        <v>11</v>
      </c>
      <c r="BJ77" s="24" t="str">
        <f t="shared" si="27"/>
        <v>↓</v>
      </c>
      <c r="BK77" s="34"/>
      <c r="BL77" s="26">
        <f t="shared" si="28"/>
        <v>0</v>
      </c>
      <c r="BM77" s="26">
        <f t="shared" si="29"/>
        <v>0</v>
      </c>
      <c r="BN77" s="26">
        <f>SUM(BO77*2) + (BP77*1) + SUMIFS(MATCH_INPUT!$G$22:$G$25, MATCH_INPUT!$F$22:$F$25, BK77) + SUMIFS(MATCH_INPUT!$I$22:$I$25, MATCH_INPUT!$J$22:$J$25, BK77)
</f>
        <v>0</v>
      </c>
      <c r="BO77" s="26">
        <f>IF(BK77&lt;&gt;"",
    COUNTIFS(MATCH_INPUT!$K$22:$K$25,BK77),
0)</f>
        <v>0</v>
      </c>
      <c r="BP77" s="26">
        <f>IF(BK77&lt;&gt;"",
    COUNTIFS(MATCH_INPUT!$F$22:$F$25, BK77, MATCH_INPUT!$K$22:$K$25, "Draw") +
    COUNTIFS(MATCH_INPUT!$J$22:$J$25, BK77, MATCH_INPUT!$K$22:$K$25, "Draw"),
0)</f>
        <v>0</v>
      </c>
      <c r="BQ77" s="26">
        <f>IF(BK77&lt;&gt;"",
    COUNTIFS(MATCH_INPUT!$F$22:$F$25, BK77, MATCH_INPUT!$K$22:$K$25, "&lt;&gt;"&amp;BK77, MATCH_INPUT!$K$22:$K$25, "&lt;&gt;Draw", MATCH_INPUT!$K$22:$K$25, "&lt;&gt;""") +
    COUNTIFS(MATCH_INPUT!$J$22:$J$25, BK77, MATCH_INPUT!$K$22:$K$25, "&lt;&gt;"&amp;BK77, MATCH_INPUT!$K$22:$K$25, "&lt;&gt;Draw", MATCH_INPUT!$K$22:$K$25, "&lt;&gt;"""),
0)</f>
        <v>0</v>
      </c>
      <c r="BR77" s="27"/>
      <c r="BS77" s="27"/>
      <c r="BT77" s="28"/>
      <c r="BU77" s="26">
        <f t="shared" si="156"/>
        <v>14</v>
      </c>
      <c r="BV77" s="29" t="str">
        <f t="shared" si="31"/>
        <v>↓</v>
      </c>
      <c r="BW77" s="35"/>
      <c r="BX77" s="23">
        <f t="shared" si="32"/>
        <v>0</v>
      </c>
      <c r="BY77" s="20">
        <f t="shared" si="33"/>
        <v>0</v>
      </c>
      <c r="BZ77" s="20">
        <f>SUM(CA77*2)+(CB77*1) + SUMIFS(MATCH_INPUT!$G$26:$G$29, MATCH_INPUT!$F$26:$F$29, BW77) + SUMIFS(MATCH_INPUT!$I$26:$I$29, MATCH_INPUT!$J$26:$J$29, BW77)
</f>
        <v>0</v>
      </c>
      <c r="CA77" s="20">
        <f>IF(BW77&lt;&gt;"",
    COUNTIFS(MATCH_INPUT!$K$26:$K$29,BW77),
0)</f>
        <v>0</v>
      </c>
      <c r="CB77" s="20">
        <f>IF(BW77&lt;&gt;"",
    COUNTIFS(MATCH_INPUT!$F$26:$F$29, BW77, MATCH_INPUT!$K$26:$K$29, "Draw") +
    COUNTIFS(MATCH_INPUT!$J$26:$J$29, BW77, MATCH_INPUT!$K$26:$K$29, "Draw"),
0)</f>
        <v>0</v>
      </c>
      <c r="CC77" s="20">
        <f>IF(BW77&lt;&gt;"",
    COUNTIFS(MATCH_INPUT!$F$26:$F$29, BW77, MATCH_INPUT!$K$26:$K$29, "&lt;&gt;"&amp;BW77, MATCH_INPUT!$K$26:$K$29, "&lt;&gt;Draw", MATCH_INPUT!$K$26:$K$29, "&lt;&gt;""") +
    COUNTIFS(MATCH_INPUT!$J$26:$J$29, BW77, MATCH_INPUT!$K$26:$K$29, "&lt;&gt;"&amp;BW77, MATCH_INPUT!$K$26:$K$29, "&lt;&gt;Draw", MATCH_INPUT!$K$26:$K$29, "&lt;&gt;"""),
0)</f>
        <v>0</v>
      </c>
      <c r="CD77" s="21"/>
      <c r="CE77" s="21"/>
      <c r="CF77" s="30"/>
      <c r="CG77" s="23">
        <f t="shared" si="157"/>
        <v>15</v>
      </c>
      <c r="CH77" s="24" t="str">
        <f t="shared" si="35"/>
        <v>↓</v>
      </c>
      <c r="CI77" s="25"/>
      <c r="CJ77" s="26">
        <f t="shared" si="36"/>
        <v>0</v>
      </c>
      <c r="CK77" s="26">
        <f t="shared" si="37"/>
        <v>0</v>
      </c>
      <c r="CL77" s="26">
        <f>SUM(CM77*2)+(CN77*1) + SUMIFS(MATCH_INPUT!$G$30:$G$33, MATCH_INPUT!$F$30:$F$33, CI77) + SUMIFS(MATCH_INPUT!$I$30:$I$33, MATCH_INPUT!$J$30:$J$33, CI77)
</f>
        <v>0</v>
      </c>
      <c r="CM77" s="26">
        <f>IF(CI77&lt;&gt;"",
    COUNTIFS(MATCH_INPUT!$K$30:$K$33,CI77),
0)</f>
        <v>0</v>
      </c>
      <c r="CN77" s="26">
        <f>IF(CI77&lt;&gt;"",
    COUNTIFS(MATCH_INPUT!$F$30:$F$33, CI77, MATCH_INPUT!$K$30:$K$33, "Draw") +
    COUNTIFS(MATCH_INPUT!$J$30:$J$33, CI77, MATCH_INPUT!$K$30:$K$33, "Draw"),
0)</f>
        <v>0</v>
      </c>
      <c r="CO77" s="26">
        <f>IF(CI77&lt;&gt;"",
    COUNTIFS(MATCH_INPUT!$F$30:$F$33, CI77, MATCH_INPUT!$K$30:$K$33, "&lt;&gt;"&amp;CI77, MATCH_INPUT!$K$30:$K$33, "&lt;&gt;Draw", MATCH_INPUT!$K$30:$K$33, "&lt;&gt;""") +
    COUNTIFS(MATCH_INPUT!$J$30:$J$33, CI77, MATCH_INPUT!$K$30:$K$33, "&lt;&gt;"&amp;CI77, MATCH_INPUT!$K$30:$K$33, "&lt;&gt;Draw", MATCH_INPUT!$K$30:$K$33, "&lt;&gt;"""),
0)</f>
        <v>0</v>
      </c>
      <c r="CP77" s="27" t="str">
        <f t="array" ref="CP77">IFERROR(INDEX(Form_Response!E:E, MATCH(1, (Form_Response!C:C='MATCH DATES'!$B$9)*(Form_Response!D:D=B77), 0)), "")
</f>
        <v/>
      </c>
      <c r="CQ77" s="27">
        <f t="array" ref="CQ77">IFERROR(IF(INDEX(Form_Response!F:F, MATCH(1, (Form_Response!C:C='MATCH DATES'!$B$9)*(Form_Response!D:D=B77), 0))="Yes", 1, 0), 0)
</f>
        <v>0</v>
      </c>
      <c r="CR77" s="28" t="str">
        <f t="array" ref="CR77">IFERROR(INDEX(Form_Response!G:G, MATCH(1, (Form_Response!C:C='MATCH DATES'!$B$9)*(Form_Response!D:D=B77), 0)), "")
</f>
        <v/>
      </c>
      <c r="CS77" s="31">
        <f t="shared" si="158"/>
        <v>18</v>
      </c>
      <c r="CT77" s="31" t="str">
        <f t="shared" si="39"/>
        <v>↓</v>
      </c>
      <c r="CU77" s="32">
        <f t="shared" si="40"/>
        <v>0</v>
      </c>
      <c r="CV77" s="32" t="str">
        <f t="shared" ref="CV77:CW77" si="270">A77</f>
        <v/>
      </c>
      <c r="CW77" s="33" t="str">
        <f t="shared" si="270"/>
        <v/>
      </c>
      <c r="CX77" s="33">
        <f t="shared" si="42"/>
        <v>0</v>
      </c>
      <c r="CY77" s="32">
        <f>SUM(
  IF(AND('MATCH DATES'!$A$2 &lt;= TODAY(), NOW() &gt;= 'MATCH DATES'!$A$2 + TIME(22, 0, 0)), E77, 0),
  IF(AND('MATCH DATES'!$A$3 &lt;= TODAY(), NOW() &gt;= 'MATCH DATES'!$A$3 + TIME(22, 0, 0)), Q77, 0),
  IF(AND('MATCH DATES'!$A$4 &lt;= TODAY(), NOW() &gt;= 'MATCH DATES'!$A$4 + TIME(22, 0, 0)), AC77, 0),
  IF(AND('MATCH DATES'!$A$5 &lt;= TODAY(), NOW() &gt;= 'MATCH DATES'!$A$5 + TIME(22, 0, 0)), AO77, 0),
  IF(AND('MATCH DATES'!$A$6 &lt;= TODAY(), NOW() &gt;= 'MATCH DATES'!$A$6 + TIME(22, 0, 0)), BA77, 0),
  IF(AND('MATCH DATES'!$A$7 &lt;= TODAY(), NOW() &gt;= 'MATCH DATES'!$A$7 + TIME(22, 0, 0)), BM77, 0),
  IF(AND('MATCH DATES'!$A$8 &lt;= TODAY(), NOW() &gt;= 'MATCH DATES'!$A$8 + TIME(22, 0, 0)), BY77, 0),
  IF(AND('MATCH DATES'!$A$9 &lt;= TODAY(), NOW() &gt;= 'MATCH DATES'!$A$9 + TIME(22, 0, 0)), CK77, 0)
)
</f>
        <v>0</v>
      </c>
      <c r="CZ77" s="33">
        <f t="shared" ref="CZ77:DA77" si="271">SUM(G77,S77,AE77,AQ77,BC77,BO77,CA77,CM77)</f>
        <v>0</v>
      </c>
      <c r="DA77" s="33">
        <f t="shared" si="271"/>
        <v>0</v>
      </c>
      <c r="DB77" s="33">
        <f>SUM(
  IF(AND('MATCH DATES'!$A$2 &lt;= TODAY(), NOW() &gt;= 'MATCH DATES'!$A$2 + TIME(22, 0, 0)), I77, 0),
  IF(AND('MATCH DATES'!$A$3 &lt;= TODAY(), NOW() &gt;= 'MATCH DATES'!$A$3 + TIME(22, 0, 0)), U77, 0),
  IF(AND('MATCH DATES'!$A$4 &lt;= TODAY(), NOW() &gt;= 'MATCH DATES'!$A$4 + TIME(22, 0, 0)), AG77, 0),
  IF(AND('MATCH DATES'!$A$5 &lt;= TODAY(), NOW() &gt;= 'MATCH DATES'!$A$5 + TIME(22, 0, 0)), AS77, 0),
  IF(AND('MATCH DATES'!$A$6 &lt;= TODAY(), NOW() &gt;= 'MATCH DATES'!$A$6 + TIME(22, 0, 0)), BE77, 0),
  IF(AND('MATCH DATES'!$A$7 &lt;= TODAY(), NOW() &gt;= 'MATCH DATES'!$A$7 + TIME(22, 0, 0)), BQ77, 0),
  IF(AND('MATCH DATES'!$A$8 &lt;= TODAY(), NOW() &gt;= 'MATCH DATES'!$A$8 + TIME(22, 0, 0)), CC77, 0),
  IF(AND('MATCH DATES'!$A$9 &lt;= TODAY(), NOW() &gt;= 'MATCH DATES'!$A$9 + TIME(22, 0, 0)), CO77, 0)
)</f>
        <v>0</v>
      </c>
      <c r="DC77" s="33">
        <f t="shared" si="44"/>
        <v>0</v>
      </c>
      <c r="DD77" s="33">
        <f t="shared" ref="DD77:DE77" si="272">SUM(K77,W77,AI77,AU77,BG77,BS77,CE77,CQ77)</f>
        <v>0</v>
      </c>
      <c r="DE77" s="33">
        <f t="shared" si="272"/>
        <v>0</v>
      </c>
    </row>
    <row r="78" ht="24.75" customHeight="1">
      <c r="A78" s="31"/>
      <c r="B78" s="39"/>
      <c r="C78" s="35"/>
      <c r="D78" s="20">
        <f t="shared" si="4"/>
        <v>0</v>
      </c>
      <c r="E78" s="20">
        <f t="shared" si="5"/>
        <v>0</v>
      </c>
      <c r="F78" s="20">
        <f t="shared" si="6"/>
        <v>0</v>
      </c>
      <c r="G78" s="20">
        <f>IF(C78&lt;&gt;"",
    COUNTIFS(MATCH_INPUT!$K$2:$K$5,C78),
0)</f>
        <v>0</v>
      </c>
      <c r="H78" s="20">
        <f>IF(C78&lt;&gt;"",
    COUNTIFS(MATCH_INPUT!$F$2:$F$5, C78, MATCH_INPUT!$K$2:$K$5, "Draw") +
    COUNTIFS(MATCH_INPUT!$J$2:$J$5, C78, MATCH_INPUT!$K$2:$K$5, "Draw"),
0)</f>
        <v>0</v>
      </c>
      <c r="I78" s="20">
        <f>IF(C78&lt;&gt;"",
    COUNTIFS(MATCH_INPUT!$F$2:$F$5, C78, MATCH_INPUT!$K$2:$K$5, "&lt;&gt;"&amp;C78, MATCH_INPUT!$K$2:$K$5, "&lt;&gt;Draw", MATCH_INPUT!$K$2:$K$5, "&lt;&gt;""") +
    COUNTIFS(MATCH_INPUT!$J$2:$J$5, C78, MATCH_INPUT!$K$2:$K$5, "&lt;&gt;"&amp;C78, MATCH_INPUT!$K$2:$K$5, "&lt;&gt;Draw", MATCH_INPUT!$K$2:$K$5, "&lt;&gt;"""),
0)</f>
        <v>0</v>
      </c>
      <c r="J78" s="21"/>
      <c r="K78" s="21"/>
      <c r="L78" s="22"/>
      <c r="M78" s="23">
        <f t="shared" si="151"/>
        <v>4</v>
      </c>
      <c r="N78" s="24" t="str">
        <f t="shared" si="8"/>
        <v>↓</v>
      </c>
      <c r="O78" s="25"/>
      <c r="P78" s="26">
        <f t="shared" si="9"/>
        <v>0</v>
      </c>
      <c r="Q78" s="26">
        <f t="shared" si="10"/>
        <v>0</v>
      </c>
      <c r="R78" s="26">
        <f t="shared" si="11"/>
        <v>0</v>
      </c>
      <c r="S78" s="26">
        <f>IF(O78&lt;&gt;"",
    COUNTIFS(MATCH_INPUT!$K$6:$K$9,O78),
0)</f>
        <v>0</v>
      </c>
      <c r="T78" s="26">
        <f>IF(O78&lt;&gt;"",
    COUNTIFS(MATCH_INPUT!$F$6:$F$9, O78, MATCH_INPUT!$K$6:$K$9, "Draw") +
    COUNTIFS(MATCH_INPUT!$J$6:$J$9, O78, MATCH_INPUT!$K$6:$K$9, "Draw"),
0)</f>
        <v>0</v>
      </c>
      <c r="U78" s="26">
        <f>IF(O78&lt;&gt;"",
    COUNTIFS(MATCH_INPUT!$F$6:$F$9, O78, MATCH_INPUT!$K$6:$K$9, "&lt;&gt;"&amp;O78, MATCH_INPUT!$K$6:$K$9, "&lt;&gt;Draw", MATCH_INPUT!$K$6:$K$9, "&lt;&gt;""") +
    COUNTIFS(MATCH_INPUT!$J$6:$J$9, O78, MATCH_INPUT!$K$6:$K$9, "&lt;&gt;"&amp;O78, MATCH_INPUT!$K$6:$K$9, "&lt;&gt;Draw", MATCH_INPUT!$K$6:$K$9, "&lt;&gt;"""),
0)</f>
        <v>0</v>
      </c>
      <c r="V78" s="27"/>
      <c r="W78" s="27"/>
      <c r="X78" s="28"/>
      <c r="Y78" s="26">
        <f t="shared" si="152"/>
        <v>7</v>
      </c>
      <c r="Z78" s="29" t="str">
        <f t="shared" si="13"/>
        <v>↓</v>
      </c>
      <c r="AA78" s="19"/>
      <c r="AB78" s="23">
        <f t="shared" si="14"/>
        <v>0</v>
      </c>
      <c r="AC78" s="20">
        <f t="shared" si="15"/>
        <v>0</v>
      </c>
      <c r="AD78" s="20">
        <f t="shared" si="16"/>
        <v>0</v>
      </c>
      <c r="AE78" s="20">
        <f>IF(AA78&lt;&gt;"",
    COUNTIFS(MATCH_INPUT!$K$10:$K$13,AA78),
0)</f>
        <v>0</v>
      </c>
      <c r="AF78" s="20">
        <f>IF(AA78&lt;&gt;"",
    COUNTIFS(MATCH_INPUT!$F$10:$F$13, AA78, MATCH_INPUT!$K$10:$K$13, "Draw") +
    COUNTIFS(MATCH_INPUT!$J$10:$J$13, AA78, MATCH_INPUT!$K$10:$K$13, "Draw"),
0)</f>
        <v>0</v>
      </c>
      <c r="AG78" s="20">
        <f>IF(AA78&lt;&gt;"",
    COUNTIFS(MATCH_INPUT!$F$10:$F$13, AA78, MATCH_INPUT!$K$10:$K$13, "&lt;&gt;"&amp;AA78, MATCH_INPUT!$K$10:$K$13, "&lt;&gt;Draw", MATCH_INPUT!$K$10:$K$13, "&lt;&gt;""") +
    COUNTIFS(MATCH_INPUT!$J$10:$J$13, AA78, MATCH_INPUT!$K$10:$K$13, "&lt;&gt;"&amp;AA78, MATCH_INPUT!$K$10:$K$13, "&lt;&gt;Draw", MATCH_INPUT!$K$10:$K$13, "&lt;&gt;"""),
0)</f>
        <v>0</v>
      </c>
      <c r="AH78" s="21"/>
      <c r="AI78" s="21"/>
      <c r="AJ78" s="30"/>
      <c r="AK78" s="23">
        <f t="shared" si="153"/>
        <v>8</v>
      </c>
      <c r="AL78" s="24" t="str">
        <f t="shared" si="18"/>
        <v>↓</v>
      </c>
      <c r="AM78" s="25"/>
      <c r="AN78" s="26">
        <f t="shared" si="19"/>
        <v>0</v>
      </c>
      <c r="AO78" s="26">
        <f t="shared" si="20"/>
        <v>0</v>
      </c>
      <c r="AP78" s="26">
        <f t="shared" si="21"/>
        <v>0</v>
      </c>
      <c r="AQ78" s="26">
        <f>IF(AM78&lt;&gt;"",
    COUNTIFS(MATCH_INPUT!$K$14:$K$17,AM78),
0)</f>
        <v>0</v>
      </c>
      <c r="AR78" s="26">
        <f>IF(AM78&lt;&gt;"",
    COUNTIFS(MATCH_INPUT!$F$14:$F$17, AM78, MATCH_INPUT!$K$14:$K$17, "Draw") +
    COUNTIFS(MATCH_INPUT!$J$14:$J$17, AM78, MATCH_INPUT!$K$14:$K$17, "Draw"),
0)</f>
        <v>0</v>
      </c>
      <c r="AS78" s="26">
        <f>IF(AM78&lt;&gt;"",
    COUNTIFS(MATCH_INPUT!$F$14:$F$17, AM78, MATCH_INPUT!$K$14:$K$17, "&lt;&gt;"&amp;AM78, MATCH_INPUT!$K$14:$K$17, "&lt;&gt;Draw", MATCH_INPUT!$K$14:$K$17, "&lt;&gt;""") +
    COUNTIFS(MATCH_INPUT!$J$14:$J$17, AM78, MATCH_INPUT!$K$14:$K$17, "&lt;&gt;"&amp;AM78, MATCH_INPUT!$K$14:$K$17, "&lt;&gt;Draw", MATCH_INPUT!$K$14:$K$17, "&lt;&gt;"""),
0)</f>
        <v>0</v>
      </c>
      <c r="AT78" s="27"/>
      <c r="AU78" s="27"/>
      <c r="AV78" s="28"/>
      <c r="AW78" s="26">
        <f t="shared" si="154"/>
        <v>10</v>
      </c>
      <c r="AX78" s="29" t="str">
        <f t="shared" si="23"/>
        <v>↓</v>
      </c>
      <c r="AY78" s="19"/>
      <c r="AZ78" s="23">
        <f t="shared" si="24"/>
        <v>0</v>
      </c>
      <c r="BA78" s="20">
        <f t="shared" si="25"/>
        <v>0</v>
      </c>
      <c r="BB78" s="20">
        <f>SUM(BC78*2) + (BD78*1) + SUMIFS(MATCH_INPUT!$G$18:$G$21, MATCH_INPUT!$F$18:$F$21, AY78) + SUMIFS(MATCH_INPUT!$I$18:$I$21, MATCH_INPUT!$J$18:$J$21, AY78)
</f>
        <v>0</v>
      </c>
      <c r="BC78" s="20">
        <f>IF(AY78&lt;&gt;"",
    COUNTIFS(MATCH_INPUT!$K$18:$K$21,AY78),
0)</f>
        <v>0</v>
      </c>
      <c r="BD78" s="20">
        <f>IF(AY78&lt;&gt;"",
    COUNTIFS(MATCH_INPUT!$F$18:$F$21, AY78, MATCH_INPUT!$K$18:$K$21, "Draw") +
    COUNTIFS(MATCH_INPUT!$J$18:$J$21, AY78, MATCH_INPUT!$K$18:$K$21, "Draw"),
0)</f>
        <v>0</v>
      </c>
      <c r="BE78" s="20">
        <f>IF(AY78&lt;&gt;"",
    COUNTIFS(MATCH_INPUT!$F$18:$F$21, AY78, MATCH_INPUT!$K$18:$K$21, "&lt;&gt;"&amp;AY78, MATCH_INPUT!$K$18:$K$21, "&lt;&gt;Draw", MATCH_INPUT!$K$18:$K$21, "&lt;&gt;""") +
    COUNTIFS(MATCH_INPUT!$J$18:$J$21, AY78, MATCH_INPUT!$K$18:$K$21, "&lt;&gt;"&amp;AY78, MATCH_INPUT!$K$18:$K$21, "&lt;&gt;Draw", MATCH_INPUT!$K$18:$K$21, "&lt;&gt;"""),
0)</f>
        <v>0</v>
      </c>
      <c r="BF78" s="21" t="str">
        <f t="array" ref="BF78">IFERROR(INDEX(Form_Response!E:E, MATCH(1, (Form_Response!C:C='MATCH DATES'!$B$6)*(Form_Response!D:D=B78), 0)), "")
</f>
        <v/>
      </c>
      <c r="BG78" s="21">
        <f t="array" ref="BG78">IFERROR(IF(INDEX(Form_Response!F:F, MATCH(1, (Form_Response!C:C='MATCH DATES'!$B$6)*(Form_Response!D:D=B78), 0))="Yes", 1, 0), 0)
</f>
        <v>0</v>
      </c>
      <c r="BH78" s="30" t="str">
        <f t="array" ref="BH78">IFERROR(INDEX(Form_Response!G:G, MATCH(1, (Form_Response!C:C='MATCH DATES'!$B$6)*(Form_Response!D:D=B78), 0)), "")
</f>
        <v/>
      </c>
      <c r="BI78" s="23">
        <f t="shared" si="155"/>
        <v>11</v>
      </c>
      <c r="BJ78" s="24" t="str">
        <f t="shared" si="27"/>
        <v>↓</v>
      </c>
      <c r="BK78" s="34"/>
      <c r="BL78" s="26">
        <f t="shared" si="28"/>
        <v>0</v>
      </c>
      <c r="BM78" s="26">
        <f t="shared" si="29"/>
        <v>0</v>
      </c>
      <c r="BN78" s="26">
        <f>SUM(BO78*2) + (BP78*1) + SUMIFS(MATCH_INPUT!$G$22:$G$25, MATCH_INPUT!$F$22:$F$25, BK78) + SUMIFS(MATCH_INPUT!$I$22:$I$25, MATCH_INPUT!$J$22:$J$25, BK78)
</f>
        <v>0</v>
      </c>
      <c r="BO78" s="26">
        <f>IF(BK78&lt;&gt;"",
    COUNTIFS(MATCH_INPUT!$K$22:$K$25,BK78),
0)</f>
        <v>0</v>
      </c>
      <c r="BP78" s="26">
        <f>IF(BK78&lt;&gt;"",
    COUNTIFS(MATCH_INPUT!$F$22:$F$25, BK78, MATCH_INPUT!$K$22:$K$25, "Draw") +
    COUNTIFS(MATCH_INPUT!$J$22:$J$25, BK78, MATCH_INPUT!$K$22:$K$25, "Draw"),
0)</f>
        <v>0</v>
      </c>
      <c r="BQ78" s="26">
        <f>IF(BK78&lt;&gt;"",
    COUNTIFS(MATCH_INPUT!$F$22:$F$25, BK78, MATCH_INPUT!$K$22:$K$25, "&lt;&gt;"&amp;BK78, MATCH_INPUT!$K$22:$K$25, "&lt;&gt;Draw", MATCH_INPUT!$K$22:$K$25, "&lt;&gt;""") +
    COUNTIFS(MATCH_INPUT!$J$22:$J$25, BK78, MATCH_INPUT!$K$22:$K$25, "&lt;&gt;"&amp;BK78, MATCH_INPUT!$K$22:$K$25, "&lt;&gt;Draw", MATCH_INPUT!$K$22:$K$25, "&lt;&gt;"""),
0)</f>
        <v>0</v>
      </c>
      <c r="BR78" s="27"/>
      <c r="BS78" s="27"/>
      <c r="BT78" s="28"/>
      <c r="BU78" s="26">
        <f t="shared" si="156"/>
        <v>14</v>
      </c>
      <c r="BV78" s="29" t="str">
        <f t="shared" si="31"/>
        <v>↓</v>
      </c>
      <c r="BW78" s="35"/>
      <c r="BX78" s="23">
        <f t="shared" si="32"/>
        <v>0</v>
      </c>
      <c r="BY78" s="20">
        <f t="shared" si="33"/>
        <v>0</v>
      </c>
      <c r="BZ78" s="20">
        <f>SUM(CA78*2)+(CB78*1) + SUMIFS(MATCH_INPUT!$G$26:$G$29, MATCH_INPUT!$F$26:$F$29, BW78) + SUMIFS(MATCH_INPUT!$I$26:$I$29, MATCH_INPUT!$J$26:$J$29, BW78)
</f>
        <v>0</v>
      </c>
      <c r="CA78" s="20">
        <f>IF(BW78&lt;&gt;"",
    COUNTIFS(MATCH_INPUT!$K$26:$K$29,BW78),
0)</f>
        <v>0</v>
      </c>
      <c r="CB78" s="20">
        <f>IF(BW78&lt;&gt;"",
    COUNTIFS(MATCH_INPUT!$F$26:$F$29, BW78, MATCH_INPUT!$K$26:$K$29, "Draw") +
    COUNTIFS(MATCH_INPUT!$J$26:$J$29, BW78, MATCH_INPUT!$K$26:$K$29, "Draw"),
0)</f>
        <v>0</v>
      </c>
      <c r="CC78" s="20">
        <f>IF(BW78&lt;&gt;"",
    COUNTIFS(MATCH_INPUT!$F$26:$F$29, BW78, MATCH_INPUT!$K$26:$K$29, "&lt;&gt;"&amp;BW78, MATCH_INPUT!$K$26:$K$29, "&lt;&gt;Draw", MATCH_INPUT!$K$26:$K$29, "&lt;&gt;""") +
    COUNTIFS(MATCH_INPUT!$J$26:$J$29, BW78, MATCH_INPUT!$K$26:$K$29, "&lt;&gt;"&amp;BW78, MATCH_INPUT!$K$26:$K$29, "&lt;&gt;Draw", MATCH_INPUT!$K$26:$K$29, "&lt;&gt;"""),
0)</f>
        <v>0</v>
      </c>
      <c r="CD78" s="21"/>
      <c r="CE78" s="21"/>
      <c r="CF78" s="30"/>
      <c r="CG78" s="23">
        <f t="shared" si="157"/>
        <v>15</v>
      </c>
      <c r="CH78" s="24" t="str">
        <f t="shared" si="35"/>
        <v>↓</v>
      </c>
      <c r="CI78" s="25"/>
      <c r="CJ78" s="26">
        <f t="shared" si="36"/>
        <v>0</v>
      </c>
      <c r="CK78" s="26">
        <f t="shared" si="37"/>
        <v>0</v>
      </c>
      <c r="CL78" s="26">
        <f>SUM(CM78*2)+(CN78*1) + SUMIFS(MATCH_INPUT!$G$30:$G$33, MATCH_INPUT!$F$30:$F$33, CI78) + SUMIFS(MATCH_INPUT!$I$30:$I$33, MATCH_INPUT!$J$30:$J$33, CI78)
</f>
        <v>0</v>
      </c>
      <c r="CM78" s="26">
        <f>IF(CI78&lt;&gt;"",
    COUNTIFS(MATCH_INPUT!$K$30:$K$33,CI78),
0)</f>
        <v>0</v>
      </c>
      <c r="CN78" s="26">
        <f>IF(CI78&lt;&gt;"",
    COUNTIFS(MATCH_INPUT!$F$30:$F$33, CI78, MATCH_INPUT!$K$30:$K$33, "Draw") +
    COUNTIFS(MATCH_INPUT!$J$30:$J$33, CI78, MATCH_INPUT!$K$30:$K$33, "Draw"),
0)</f>
        <v>0</v>
      </c>
      <c r="CO78" s="26">
        <f>IF(CI78&lt;&gt;"",
    COUNTIFS(MATCH_INPUT!$F$30:$F$33, CI78, MATCH_INPUT!$K$30:$K$33, "&lt;&gt;"&amp;CI78, MATCH_INPUT!$K$30:$K$33, "&lt;&gt;Draw", MATCH_INPUT!$K$30:$K$33, "&lt;&gt;""") +
    COUNTIFS(MATCH_INPUT!$J$30:$J$33, CI78, MATCH_INPUT!$K$30:$K$33, "&lt;&gt;"&amp;CI78, MATCH_INPUT!$K$30:$K$33, "&lt;&gt;Draw", MATCH_INPUT!$K$30:$K$33, "&lt;&gt;"""),
0)</f>
        <v>0</v>
      </c>
      <c r="CP78" s="27" t="str">
        <f t="array" ref="CP78">IFERROR(INDEX(Form_Response!E:E, MATCH(1, (Form_Response!C:C='MATCH DATES'!$B$9)*(Form_Response!D:D=B78), 0)), "")
</f>
        <v/>
      </c>
      <c r="CQ78" s="27">
        <f t="array" ref="CQ78">IFERROR(IF(INDEX(Form_Response!F:F, MATCH(1, (Form_Response!C:C='MATCH DATES'!$B$9)*(Form_Response!D:D=B78), 0))="Yes", 1, 0), 0)
</f>
        <v>0</v>
      </c>
      <c r="CR78" s="28" t="str">
        <f t="array" ref="CR78">IFERROR(INDEX(Form_Response!G:G, MATCH(1, (Form_Response!C:C='MATCH DATES'!$B$9)*(Form_Response!D:D=B78), 0)), "")
</f>
        <v/>
      </c>
      <c r="CS78" s="31">
        <f t="shared" si="158"/>
        <v>18</v>
      </c>
      <c r="CT78" s="31" t="str">
        <f t="shared" si="39"/>
        <v>↓</v>
      </c>
      <c r="CU78" s="32">
        <f t="shared" si="40"/>
        <v>0</v>
      </c>
      <c r="CV78" s="32" t="str">
        <f t="shared" ref="CV78:CW78" si="273">A78</f>
        <v/>
      </c>
      <c r="CW78" s="33" t="str">
        <f t="shared" si="273"/>
        <v/>
      </c>
      <c r="CX78" s="33">
        <f t="shared" si="42"/>
        <v>0</v>
      </c>
      <c r="CY78" s="32">
        <f>SUM(
  IF(AND('MATCH DATES'!$A$2 &lt;= TODAY(), NOW() &gt;= 'MATCH DATES'!$A$2 + TIME(22, 0, 0)), E78, 0),
  IF(AND('MATCH DATES'!$A$3 &lt;= TODAY(), NOW() &gt;= 'MATCH DATES'!$A$3 + TIME(22, 0, 0)), Q78, 0),
  IF(AND('MATCH DATES'!$A$4 &lt;= TODAY(), NOW() &gt;= 'MATCH DATES'!$A$4 + TIME(22, 0, 0)), AC78, 0),
  IF(AND('MATCH DATES'!$A$5 &lt;= TODAY(), NOW() &gt;= 'MATCH DATES'!$A$5 + TIME(22, 0, 0)), AO78, 0),
  IF(AND('MATCH DATES'!$A$6 &lt;= TODAY(), NOW() &gt;= 'MATCH DATES'!$A$6 + TIME(22, 0, 0)), BA78, 0),
  IF(AND('MATCH DATES'!$A$7 &lt;= TODAY(), NOW() &gt;= 'MATCH DATES'!$A$7 + TIME(22, 0, 0)), BM78, 0),
  IF(AND('MATCH DATES'!$A$8 &lt;= TODAY(), NOW() &gt;= 'MATCH DATES'!$A$8 + TIME(22, 0, 0)), BY78, 0),
  IF(AND('MATCH DATES'!$A$9 &lt;= TODAY(), NOW() &gt;= 'MATCH DATES'!$A$9 + TIME(22, 0, 0)), CK78, 0)
)
</f>
        <v>0</v>
      </c>
      <c r="CZ78" s="33">
        <f t="shared" ref="CZ78:DA78" si="274">SUM(G78,S78,AE78,AQ78,BC78,BO78,CA78,CM78)</f>
        <v>0</v>
      </c>
      <c r="DA78" s="33">
        <f t="shared" si="274"/>
        <v>0</v>
      </c>
      <c r="DB78" s="33">
        <f>SUM(
  IF(AND('MATCH DATES'!$A$2 &lt;= TODAY(), NOW() &gt;= 'MATCH DATES'!$A$2 + TIME(22, 0, 0)), I78, 0),
  IF(AND('MATCH DATES'!$A$3 &lt;= TODAY(), NOW() &gt;= 'MATCH DATES'!$A$3 + TIME(22, 0, 0)), U78, 0),
  IF(AND('MATCH DATES'!$A$4 &lt;= TODAY(), NOW() &gt;= 'MATCH DATES'!$A$4 + TIME(22, 0, 0)), AG78, 0),
  IF(AND('MATCH DATES'!$A$5 &lt;= TODAY(), NOW() &gt;= 'MATCH DATES'!$A$5 + TIME(22, 0, 0)), AS78, 0),
  IF(AND('MATCH DATES'!$A$6 &lt;= TODAY(), NOW() &gt;= 'MATCH DATES'!$A$6 + TIME(22, 0, 0)), BE78, 0),
  IF(AND('MATCH DATES'!$A$7 &lt;= TODAY(), NOW() &gt;= 'MATCH DATES'!$A$7 + TIME(22, 0, 0)), BQ78, 0),
  IF(AND('MATCH DATES'!$A$8 &lt;= TODAY(), NOW() &gt;= 'MATCH DATES'!$A$8 + TIME(22, 0, 0)), CC78, 0),
  IF(AND('MATCH DATES'!$A$9 &lt;= TODAY(), NOW() &gt;= 'MATCH DATES'!$A$9 + TIME(22, 0, 0)), CO78, 0)
)</f>
        <v>0</v>
      </c>
      <c r="DC78" s="33">
        <f t="shared" si="44"/>
        <v>0</v>
      </c>
      <c r="DD78" s="33">
        <f t="shared" ref="DD78:DE78" si="275">SUM(K78,W78,AI78,AU78,BG78,BS78,CE78,CQ78)</f>
        <v>0</v>
      </c>
      <c r="DE78" s="33">
        <f t="shared" si="275"/>
        <v>0</v>
      </c>
    </row>
    <row r="79" ht="24.75" customHeight="1">
      <c r="A79" s="31"/>
      <c r="B79" s="39"/>
      <c r="C79" s="35"/>
      <c r="D79" s="20">
        <f t="shared" si="4"/>
        <v>0</v>
      </c>
      <c r="E79" s="20">
        <f t="shared" si="5"/>
        <v>0</v>
      </c>
      <c r="F79" s="20">
        <f t="shared" si="6"/>
        <v>0</v>
      </c>
      <c r="G79" s="20">
        <f>IF(C79&lt;&gt;"",
    COUNTIFS(MATCH_INPUT!$K$2:$K$5,C79),
0)</f>
        <v>0</v>
      </c>
      <c r="H79" s="20">
        <f>IF(C79&lt;&gt;"",
    COUNTIFS(MATCH_INPUT!$F$2:$F$5, C79, MATCH_INPUT!$K$2:$K$5, "Draw") +
    COUNTIFS(MATCH_INPUT!$J$2:$J$5, C79, MATCH_INPUT!$K$2:$K$5, "Draw"),
0)</f>
        <v>0</v>
      </c>
      <c r="I79" s="20">
        <f>IF(C79&lt;&gt;"",
    COUNTIFS(MATCH_INPUT!$F$2:$F$5, C79, MATCH_INPUT!$K$2:$K$5, "&lt;&gt;"&amp;C79, MATCH_INPUT!$K$2:$K$5, "&lt;&gt;Draw", MATCH_INPUT!$K$2:$K$5, "&lt;&gt;""") +
    COUNTIFS(MATCH_INPUT!$J$2:$J$5, C79, MATCH_INPUT!$K$2:$K$5, "&lt;&gt;"&amp;C79, MATCH_INPUT!$K$2:$K$5, "&lt;&gt;Draw", MATCH_INPUT!$K$2:$K$5, "&lt;&gt;"""),
0)</f>
        <v>0</v>
      </c>
      <c r="J79" s="21"/>
      <c r="K79" s="21"/>
      <c r="L79" s="22"/>
      <c r="M79" s="23">
        <f t="shared" si="151"/>
        <v>4</v>
      </c>
      <c r="N79" s="24" t="str">
        <f t="shared" si="8"/>
        <v>↓</v>
      </c>
      <c r="O79" s="25"/>
      <c r="P79" s="26">
        <f t="shared" si="9"/>
        <v>0</v>
      </c>
      <c r="Q79" s="26">
        <f t="shared" si="10"/>
        <v>0</v>
      </c>
      <c r="R79" s="26">
        <f t="shared" si="11"/>
        <v>0</v>
      </c>
      <c r="S79" s="26">
        <f>IF(O79&lt;&gt;"",
    COUNTIFS(MATCH_INPUT!$K$6:$K$9,O79),
0)</f>
        <v>0</v>
      </c>
      <c r="T79" s="26">
        <f>IF(O79&lt;&gt;"",
    COUNTIFS(MATCH_INPUT!$F$6:$F$9, O79, MATCH_INPUT!$K$6:$K$9, "Draw") +
    COUNTIFS(MATCH_INPUT!$J$6:$J$9, O79, MATCH_INPUT!$K$6:$K$9, "Draw"),
0)</f>
        <v>0</v>
      </c>
      <c r="U79" s="26">
        <f>IF(O79&lt;&gt;"",
    COUNTIFS(MATCH_INPUT!$F$6:$F$9, O79, MATCH_INPUT!$K$6:$K$9, "&lt;&gt;"&amp;O79, MATCH_INPUT!$K$6:$K$9, "&lt;&gt;Draw", MATCH_INPUT!$K$6:$K$9, "&lt;&gt;""") +
    COUNTIFS(MATCH_INPUT!$J$6:$J$9, O79, MATCH_INPUT!$K$6:$K$9, "&lt;&gt;"&amp;O79, MATCH_INPUT!$K$6:$K$9, "&lt;&gt;Draw", MATCH_INPUT!$K$6:$K$9, "&lt;&gt;"""),
0)</f>
        <v>0</v>
      </c>
      <c r="V79" s="27"/>
      <c r="W79" s="27"/>
      <c r="X79" s="28"/>
      <c r="Y79" s="26">
        <f t="shared" si="152"/>
        <v>7</v>
      </c>
      <c r="Z79" s="29" t="str">
        <f t="shared" si="13"/>
        <v>↓</v>
      </c>
      <c r="AA79" s="19"/>
      <c r="AB79" s="23">
        <f t="shared" si="14"/>
        <v>0</v>
      </c>
      <c r="AC79" s="20">
        <f t="shared" si="15"/>
        <v>0</v>
      </c>
      <c r="AD79" s="20">
        <f t="shared" si="16"/>
        <v>0</v>
      </c>
      <c r="AE79" s="20">
        <f>IF(AA79&lt;&gt;"",
    COUNTIFS(MATCH_INPUT!$K$10:$K$13,AA79),
0)</f>
        <v>0</v>
      </c>
      <c r="AF79" s="20">
        <f>IF(AA79&lt;&gt;"",
    COUNTIFS(MATCH_INPUT!$F$10:$F$13, AA79, MATCH_INPUT!$K$10:$K$13, "Draw") +
    COUNTIFS(MATCH_INPUT!$J$10:$J$13, AA79, MATCH_INPUT!$K$10:$K$13, "Draw"),
0)</f>
        <v>0</v>
      </c>
      <c r="AG79" s="20">
        <f>IF(AA79&lt;&gt;"",
    COUNTIFS(MATCH_INPUT!$F$10:$F$13, AA79, MATCH_INPUT!$K$10:$K$13, "&lt;&gt;"&amp;AA79, MATCH_INPUT!$K$10:$K$13, "&lt;&gt;Draw", MATCH_INPUT!$K$10:$K$13, "&lt;&gt;""") +
    COUNTIFS(MATCH_INPUT!$J$10:$J$13, AA79, MATCH_INPUT!$K$10:$K$13, "&lt;&gt;"&amp;AA79, MATCH_INPUT!$K$10:$K$13, "&lt;&gt;Draw", MATCH_INPUT!$K$10:$K$13, "&lt;&gt;"""),
0)</f>
        <v>0</v>
      </c>
      <c r="AH79" s="21"/>
      <c r="AI79" s="21"/>
      <c r="AJ79" s="30"/>
      <c r="AK79" s="23">
        <f t="shared" si="153"/>
        <v>8</v>
      </c>
      <c r="AL79" s="24" t="str">
        <f t="shared" si="18"/>
        <v>↓</v>
      </c>
      <c r="AM79" s="25"/>
      <c r="AN79" s="26">
        <f t="shared" si="19"/>
        <v>0</v>
      </c>
      <c r="AO79" s="26">
        <f t="shared" si="20"/>
        <v>0</v>
      </c>
      <c r="AP79" s="26">
        <f t="shared" si="21"/>
        <v>0</v>
      </c>
      <c r="AQ79" s="26">
        <f>IF(AM79&lt;&gt;"",
    COUNTIFS(MATCH_INPUT!$K$14:$K$17,AM79),
0)</f>
        <v>0</v>
      </c>
      <c r="AR79" s="26">
        <f>IF(AM79&lt;&gt;"",
    COUNTIFS(MATCH_INPUT!$F$14:$F$17, AM79, MATCH_INPUT!$K$14:$K$17, "Draw") +
    COUNTIFS(MATCH_INPUT!$J$14:$J$17, AM79, MATCH_INPUT!$K$14:$K$17, "Draw"),
0)</f>
        <v>0</v>
      </c>
      <c r="AS79" s="26">
        <f>IF(AM79&lt;&gt;"",
    COUNTIFS(MATCH_INPUT!$F$14:$F$17, AM79, MATCH_INPUT!$K$14:$K$17, "&lt;&gt;"&amp;AM79, MATCH_INPUT!$K$14:$K$17, "&lt;&gt;Draw", MATCH_INPUT!$K$14:$K$17, "&lt;&gt;""") +
    COUNTIFS(MATCH_INPUT!$J$14:$J$17, AM79, MATCH_INPUT!$K$14:$K$17, "&lt;&gt;"&amp;AM79, MATCH_INPUT!$K$14:$K$17, "&lt;&gt;Draw", MATCH_INPUT!$K$14:$K$17, "&lt;&gt;"""),
0)</f>
        <v>0</v>
      </c>
      <c r="AT79" s="27"/>
      <c r="AU79" s="27"/>
      <c r="AV79" s="28"/>
      <c r="AW79" s="26">
        <f t="shared" si="154"/>
        <v>10</v>
      </c>
      <c r="AX79" s="29" t="str">
        <f t="shared" si="23"/>
        <v>↓</v>
      </c>
      <c r="AY79" s="19"/>
      <c r="AZ79" s="23">
        <f t="shared" si="24"/>
        <v>0</v>
      </c>
      <c r="BA79" s="20">
        <f t="shared" si="25"/>
        <v>0</v>
      </c>
      <c r="BB79" s="20">
        <f>SUM(BC79*2) + (BD79*1) + SUMIFS(MATCH_INPUT!$G$18:$G$21, MATCH_INPUT!$F$18:$F$21, AY79) + SUMIFS(MATCH_INPUT!$I$18:$I$21, MATCH_INPUT!$J$18:$J$21, AY79)
</f>
        <v>0</v>
      </c>
      <c r="BC79" s="20">
        <f>IF(AY79&lt;&gt;"",
    COUNTIFS(MATCH_INPUT!$K$18:$K$21,AY79),
0)</f>
        <v>0</v>
      </c>
      <c r="BD79" s="20">
        <f>IF(AY79&lt;&gt;"",
    COUNTIFS(MATCH_INPUT!$F$18:$F$21, AY79, MATCH_INPUT!$K$18:$K$21, "Draw") +
    COUNTIFS(MATCH_INPUT!$J$18:$J$21, AY79, MATCH_INPUT!$K$18:$K$21, "Draw"),
0)</f>
        <v>0</v>
      </c>
      <c r="BE79" s="20">
        <f>IF(AY79&lt;&gt;"",
    COUNTIFS(MATCH_INPUT!$F$18:$F$21, AY79, MATCH_INPUT!$K$18:$K$21, "&lt;&gt;"&amp;AY79, MATCH_INPUT!$K$18:$K$21, "&lt;&gt;Draw", MATCH_INPUT!$K$18:$K$21, "&lt;&gt;""") +
    COUNTIFS(MATCH_INPUT!$J$18:$J$21, AY79, MATCH_INPUT!$K$18:$K$21, "&lt;&gt;"&amp;AY79, MATCH_INPUT!$K$18:$K$21, "&lt;&gt;Draw", MATCH_INPUT!$K$18:$K$21, "&lt;&gt;"""),
0)</f>
        <v>0</v>
      </c>
      <c r="BF79" s="21" t="str">
        <f t="array" ref="BF79">IFERROR(INDEX(Form_Response!E:E, MATCH(1, (Form_Response!C:C='MATCH DATES'!$B$6)*(Form_Response!D:D=B79), 0)), "")
</f>
        <v/>
      </c>
      <c r="BG79" s="21">
        <f t="array" ref="BG79">IFERROR(IF(INDEX(Form_Response!F:F, MATCH(1, (Form_Response!C:C='MATCH DATES'!$B$6)*(Form_Response!D:D=B79), 0))="Yes", 1, 0), 0)
</f>
        <v>0</v>
      </c>
      <c r="BH79" s="30" t="str">
        <f t="array" ref="BH79">IFERROR(INDEX(Form_Response!G:G, MATCH(1, (Form_Response!C:C='MATCH DATES'!$B$6)*(Form_Response!D:D=B79), 0)), "")
</f>
        <v/>
      </c>
      <c r="BI79" s="23">
        <f t="shared" si="155"/>
        <v>11</v>
      </c>
      <c r="BJ79" s="24" t="str">
        <f t="shared" si="27"/>
        <v>↓</v>
      </c>
      <c r="BK79" s="34"/>
      <c r="BL79" s="26">
        <f t="shared" si="28"/>
        <v>0</v>
      </c>
      <c r="BM79" s="26">
        <f t="shared" si="29"/>
        <v>0</v>
      </c>
      <c r="BN79" s="26">
        <f>SUM(BO79*2) + (BP79*1) + SUMIFS(MATCH_INPUT!$G$22:$G$25, MATCH_INPUT!$F$22:$F$25, BK79) + SUMIFS(MATCH_INPUT!$I$22:$I$25, MATCH_INPUT!$J$22:$J$25, BK79)
</f>
        <v>0</v>
      </c>
      <c r="BO79" s="26">
        <f>IF(BK79&lt;&gt;"",
    COUNTIFS(MATCH_INPUT!$K$22:$K$25,BK79),
0)</f>
        <v>0</v>
      </c>
      <c r="BP79" s="26">
        <f>IF(BK79&lt;&gt;"",
    COUNTIFS(MATCH_INPUT!$F$22:$F$25, BK79, MATCH_INPUT!$K$22:$K$25, "Draw") +
    COUNTIFS(MATCH_INPUT!$J$22:$J$25, BK79, MATCH_INPUT!$K$22:$K$25, "Draw"),
0)</f>
        <v>0</v>
      </c>
      <c r="BQ79" s="26">
        <f>IF(BK79&lt;&gt;"",
    COUNTIFS(MATCH_INPUT!$F$22:$F$25, BK79, MATCH_INPUT!$K$22:$K$25, "&lt;&gt;"&amp;BK79, MATCH_INPUT!$K$22:$K$25, "&lt;&gt;Draw", MATCH_INPUT!$K$22:$K$25, "&lt;&gt;""") +
    COUNTIFS(MATCH_INPUT!$J$22:$J$25, BK79, MATCH_INPUT!$K$22:$K$25, "&lt;&gt;"&amp;BK79, MATCH_INPUT!$K$22:$K$25, "&lt;&gt;Draw", MATCH_INPUT!$K$22:$K$25, "&lt;&gt;"""),
0)</f>
        <v>0</v>
      </c>
      <c r="BR79" s="27"/>
      <c r="BS79" s="27"/>
      <c r="BT79" s="28"/>
      <c r="BU79" s="26">
        <f t="shared" si="156"/>
        <v>14</v>
      </c>
      <c r="BV79" s="29" t="str">
        <f t="shared" si="31"/>
        <v>↓</v>
      </c>
      <c r="BW79" s="35"/>
      <c r="BX79" s="23">
        <f t="shared" si="32"/>
        <v>0</v>
      </c>
      <c r="BY79" s="20">
        <f t="shared" si="33"/>
        <v>0</v>
      </c>
      <c r="BZ79" s="20">
        <f>SUM(CA79*2)+(CB79*1) + SUMIFS(MATCH_INPUT!$G$26:$G$29, MATCH_INPUT!$F$26:$F$29, BW79) + SUMIFS(MATCH_INPUT!$I$26:$I$29, MATCH_INPUT!$J$26:$J$29, BW79)
</f>
        <v>0</v>
      </c>
      <c r="CA79" s="20">
        <f>IF(BW79&lt;&gt;"",
    COUNTIFS(MATCH_INPUT!$K$26:$K$29,BW79),
0)</f>
        <v>0</v>
      </c>
      <c r="CB79" s="20">
        <f>IF(BW79&lt;&gt;"",
    COUNTIFS(MATCH_INPUT!$F$26:$F$29, BW79, MATCH_INPUT!$K$26:$K$29, "Draw") +
    COUNTIFS(MATCH_INPUT!$J$26:$J$29, BW79, MATCH_INPUT!$K$26:$K$29, "Draw"),
0)</f>
        <v>0</v>
      </c>
      <c r="CC79" s="20">
        <f>IF(BW79&lt;&gt;"",
    COUNTIFS(MATCH_INPUT!$F$26:$F$29, BW79, MATCH_INPUT!$K$26:$K$29, "&lt;&gt;"&amp;BW79, MATCH_INPUT!$K$26:$K$29, "&lt;&gt;Draw", MATCH_INPUT!$K$26:$K$29, "&lt;&gt;""") +
    COUNTIFS(MATCH_INPUT!$J$26:$J$29, BW79, MATCH_INPUT!$K$26:$K$29, "&lt;&gt;"&amp;BW79, MATCH_INPUT!$K$26:$K$29, "&lt;&gt;Draw", MATCH_INPUT!$K$26:$K$29, "&lt;&gt;"""),
0)</f>
        <v>0</v>
      </c>
      <c r="CD79" s="21"/>
      <c r="CE79" s="21"/>
      <c r="CF79" s="30"/>
      <c r="CG79" s="23">
        <f t="shared" si="157"/>
        <v>15</v>
      </c>
      <c r="CH79" s="24" t="str">
        <f t="shared" si="35"/>
        <v>↓</v>
      </c>
      <c r="CI79" s="25"/>
      <c r="CJ79" s="26">
        <f t="shared" si="36"/>
        <v>0</v>
      </c>
      <c r="CK79" s="26">
        <f t="shared" si="37"/>
        <v>0</v>
      </c>
      <c r="CL79" s="26">
        <f>SUM(CM79*2)+(CN79*1) + SUMIFS(MATCH_INPUT!$G$30:$G$33, MATCH_INPUT!$F$30:$F$33, CI79) + SUMIFS(MATCH_INPUT!$I$30:$I$33, MATCH_INPUT!$J$30:$J$33, CI79)
</f>
        <v>0</v>
      </c>
      <c r="CM79" s="26">
        <f>IF(CI79&lt;&gt;"",
    COUNTIFS(MATCH_INPUT!$K$30:$K$33,CI79),
0)</f>
        <v>0</v>
      </c>
      <c r="CN79" s="26">
        <f>IF(CI79&lt;&gt;"",
    COUNTIFS(MATCH_INPUT!$F$30:$F$33, CI79, MATCH_INPUT!$K$30:$K$33, "Draw") +
    COUNTIFS(MATCH_INPUT!$J$30:$J$33, CI79, MATCH_INPUT!$K$30:$K$33, "Draw"),
0)</f>
        <v>0</v>
      </c>
      <c r="CO79" s="26">
        <f>IF(CI79&lt;&gt;"",
    COUNTIFS(MATCH_INPUT!$F$30:$F$33, CI79, MATCH_INPUT!$K$30:$K$33, "&lt;&gt;"&amp;CI79, MATCH_INPUT!$K$30:$K$33, "&lt;&gt;Draw", MATCH_INPUT!$K$30:$K$33, "&lt;&gt;""") +
    COUNTIFS(MATCH_INPUT!$J$30:$J$33, CI79, MATCH_INPUT!$K$30:$K$33, "&lt;&gt;"&amp;CI79, MATCH_INPUT!$K$30:$K$33, "&lt;&gt;Draw", MATCH_INPUT!$K$30:$K$33, "&lt;&gt;"""),
0)</f>
        <v>0</v>
      </c>
      <c r="CP79" s="27" t="str">
        <f t="array" ref="CP79">IFERROR(INDEX(Form_Response!E:E, MATCH(1, (Form_Response!C:C='MATCH DATES'!$B$9)*(Form_Response!D:D=B79), 0)), "")
</f>
        <v/>
      </c>
      <c r="CQ79" s="27">
        <f t="array" ref="CQ79">IFERROR(IF(INDEX(Form_Response!F:F, MATCH(1, (Form_Response!C:C='MATCH DATES'!$B$9)*(Form_Response!D:D=B79), 0))="Yes", 1, 0), 0)
</f>
        <v>0</v>
      </c>
      <c r="CR79" s="28" t="str">
        <f t="array" ref="CR79">IFERROR(INDEX(Form_Response!G:G, MATCH(1, (Form_Response!C:C='MATCH DATES'!$B$9)*(Form_Response!D:D=B79), 0)), "")
</f>
        <v/>
      </c>
      <c r="CS79" s="31">
        <f t="shared" si="158"/>
        <v>18</v>
      </c>
      <c r="CT79" s="31" t="str">
        <f t="shared" si="39"/>
        <v>↓</v>
      </c>
      <c r="CU79" s="32">
        <f t="shared" si="40"/>
        <v>0</v>
      </c>
      <c r="CV79" s="32" t="str">
        <f t="shared" ref="CV79:CW79" si="276">A79</f>
        <v/>
      </c>
      <c r="CW79" s="33" t="str">
        <f t="shared" si="276"/>
        <v/>
      </c>
      <c r="CX79" s="33">
        <f t="shared" si="42"/>
        <v>0</v>
      </c>
      <c r="CY79" s="32">
        <f>SUM(
  IF(AND('MATCH DATES'!$A$2 &lt;= TODAY(), NOW() &gt;= 'MATCH DATES'!$A$2 + TIME(22, 0, 0)), E79, 0),
  IF(AND('MATCH DATES'!$A$3 &lt;= TODAY(), NOW() &gt;= 'MATCH DATES'!$A$3 + TIME(22, 0, 0)), Q79, 0),
  IF(AND('MATCH DATES'!$A$4 &lt;= TODAY(), NOW() &gt;= 'MATCH DATES'!$A$4 + TIME(22, 0, 0)), AC79, 0),
  IF(AND('MATCH DATES'!$A$5 &lt;= TODAY(), NOW() &gt;= 'MATCH DATES'!$A$5 + TIME(22, 0, 0)), AO79, 0),
  IF(AND('MATCH DATES'!$A$6 &lt;= TODAY(), NOW() &gt;= 'MATCH DATES'!$A$6 + TIME(22, 0, 0)), BA79, 0),
  IF(AND('MATCH DATES'!$A$7 &lt;= TODAY(), NOW() &gt;= 'MATCH DATES'!$A$7 + TIME(22, 0, 0)), BM79, 0),
  IF(AND('MATCH DATES'!$A$8 &lt;= TODAY(), NOW() &gt;= 'MATCH DATES'!$A$8 + TIME(22, 0, 0)), BY79, 0),
  IF(AND('MATCH DATES'!$A$9 &lt;= TODAY(), NOW() &gt;= 'MATCH DATES'!$A$9 + TIME(22, 0, 0)), CK79, 0)
)
</f>
        <v>0</v>
      </c>
      <c r="CZ79" s="33">
        <f t="shared" ref="CZ79:DA79" si="277">SUM(G79,S79,AE79,AQ79,BC79,BO79,CA79,CM79)</f>
        <v>0</v>
      </c>
      <c r="DA79" s="33">
        <f t="shared" si="277"/>
        <v>0</v>
      </c>
      <c r="DB79" s="33">
        <f>SUM(
  IF(AND('MATCH DATES'!$A$2 &lt;= TODAY(), NOW() &gt;= 'MATCH DATES'!$A$2 + TIME(22, 0, 0)), I79, 0),
  IF(AND('MATCH DATES'!$A$3 &lt;= TODAY(), NOW() &gt;= 'MATCH DATES'!$A$3 + TIME(22, 0, 0)), U79, 0),
  IF(AND('MATCH DATES'!$A$4 &lt;= TODAY(), NOW() &gt;= 'MATCH DATES'!$A$4 + TIME(22, 0, 0)), AG79, 0),
  IF(AND('MATCH DATES'!$A$5 &lt;= TODAY(), NOW() &gt;= 'MATCH DATES'!$A$5 + TIME(22, 0, 0)), AS79, 0),
  IF(AND('MATCH DATES'!$A$6 &lt;= TODAY(), NOW() &gt;= 'MATCH DATES'!$A$6 + TIME(22, 0, 0)), BE79, 0),
  IF(AND('MATCH DATES'!$A$7 &lt;= TODAY(), NOW() &gt;= 'MATCH DATES'!$A$7 + TIME(22, 0, 0)), BQ79, 0),
  IF(AND('MATCH DATES'!$A$8 &lt;= TODAY(), NOW() &gt;= 'MATCH DATES'!$A$8 + TIME(22, 0, 0)), CC79, 0),
  IF(AND('MATCH DATES'!$A$9 &lt;= TODAY(), NOW() &gt;= 'MATCH DATES'!$A$9 + TIME(22, 0, 0)), CO79, 0)
)</f>
        <v>0</v>
      </c>
      <c r="DC79" s="33">
        <f t="shared" si="44"/>
        <v>0</v>
      </c>
      <c r="DD79" s="33">
        <f t="shared" ref="DD79:DE79" si="278">SUM(K79,W79,AI79,AU79,BG79,BS79,CE79,CQ79)</f>
        <v>0</v>
      </c>
      <c r="DE79" s="33">
        <f t="shared" si="278"/>
        <v>0</v>
      </c>
    </row>
    <row r="80" ht="24.75" customHeight="1">
      <c r="A80" s="31"/>
      <c r="B80" s="39"/>
      <c r="C80" s="35"/>
      <c r="D80" s="20">
        <f t="shared" si="4"/>
        <v>0</v>
      </c>
      <c r="E80" s="20">
        <f t="shared" si="5"/>
        <v>0</v>
      </c>
      <c r="F80" s="20">
        <f t="shared" si="6"/>
        <v>0</v>
      </c>
      <c r="G80" s="20">
        <f>IF(C80&lt;&gt;"",
    COUNTIFS(MATCH_INPUT!$K$2:$K$5,C80),
0)</f>
        <v>0</v>
      </c>
      <c r="H80" s="20">
        <f>IF(C80&lt;&gt;"",
    COUNTIFS(MATCH_INPUT!$F$2:$F$5, C80, MATCH_INPUT!$K$2:$K$5, "Draw") +
    COUNTIFS(MATCH_INPUT!$J$2:$J$5, C80, MATCH_INPUT!$K$2:$K$5, "Draw"),
0)</f>
        <v>0</v>
      </c>
      <c r="I80" s="20">
        <f>IF(C80&lt;&gt;"",
    COUNTIFS(MATCH_INPUT!$F$2:$F$5, C80, MATCH_INPUT!$K$2:$K$5, "&lt;&gt;"&amp;C80, MATCH_INPUT!$K$2:$K$5, "&lt;&gt;Draw", MATCH_INPUT!$K$2:$K$5, "&lt;&gt;""") +
    COUNTIFS(MATCH_INPUT!$J$2:$J$5, C80, MATCH_INPUT!$K$2:$K$5, "&lt;&gt;"&amp;C80, MATCH_INPUT!$K$2:$K$5, "&lt;&gt;Draw", MATCH_INPUT!$K$2:$K$5, "&lt;&gt;"""),
0)</f>
        <v>0</v>
      </c>
      <c r="J80" s="21"/>
      <c r="K80" s="21"/>
      <c r="L80" s="22"/>
      <c r="M80" s="23">
        <f t="shared" si="151"/>
        <v>4</v>
      </c>
      <c r="N80" s="24" t="str">
        <f t="shared" si="8"/>
        <v>↓</v>
      </c>
      <c r="O80" s="25"/>
      <c r="P80" s="26">
        <f t="shared" si="9"/>
        <v>0</v>
      </c>
      <c r="Q80" s="26">
        <f t="shared" si="10"/>
        <v>0</v>
      </c>
      <c r="R80" s="26">
        <f t="shared" si="11"/>
        <v>0</v>
      </c>
      <c r="S80" s="26">
        <f>IF(O80&lt;&gt;"",
    COUNTIFS(MATCH_INPUT!$K$6:$K$9,O80),
0)</f>
        <v>0</v>
      </c>
      <c r="T80" s="26">
        <f>IF(O80&lt;&gt;"",
    COUNTIFS(MATCH_INPUT!$F$6:$F$9, O80, MATCH_INPUT!$K$6:$K$9, "Draw") +
    COUNTIFS(MATCH_INPUT!$J$6:$J$9, O80, MATCH_INPUT!$K$6:$K$9, "Draw"),
0)</f>
        <v>0</v>
      </c>
      <c r="U80" s="26">
        <f>IF(O80&lt;&gt;"",
    COUNTIFS(MATCH_INPUT!$F$6:$F$9, O80, MATCH_INPUT!$K$6:$K$9, "&lt;&gt;"&amp;O80, MATCH_INPUT!$K$6:$K$9, "&lt;&gt;Draw", MATCH_INPUT!$K$6:$K$9, "&lt;&gt;""") +
    COUNTIFS(MATCH_INPUT!$J$6:$J$9, O80, MATCH_INPUT!$K$6:$K$9, "&lt;&gt;"&amp;O80, MATCH_INPUT!$K$6:$K$9, "&lt;&gt;Draw", MATCH_INPUT!$K$6:$K$9, "&lt;&gt;"""),
0)</f>
        <v>0</v>
      </c>
      <c r="V80" s="27"/>
      <c r="W80" s="27"/>
      <c r="X80" s="28"/>
      <c r="Y80" s="26">
        <f t="shared" si="152"/>
        <v>7</v>
      </c>
      <c r="Z80" s="29" t="str">
        <f t="shared" si="13"/>
        <v>↓</v>
      </c>
      <c r="AA80" s="19"/>
      <c r="AB80" s="23">
        <f t="shared" si="14"/>
        <v>0</v>
      </c>
      <c r="AC80" s="20">
        <f t="shared" si="15"/>
        <v>0</v>
      </c>
      <c r="AD80" s="20">
        <f t="shared" si="16"/>
        <v>0</v>
      </c>
      <c r="AE80" s="20">
        <f>IF(AA80&lt;&gt;"",
    COUNTIFS(MATCH_INPUT!$K$10:$K$13,AA80),
0)</f>
        <v>0</v>
      </c>
      <c r="AF80" s="20">
        <f>IF(AA80&lt;&gt;"",
    COUNTIFS(MATCH_INPUT!$F$10:$F$13, AA80, MATCH_INPUT!$K$10:$K$13, "Draw") +
    COUNTIFS(MATCH_INPUT!$J$10:$J$13, AA80, MATCH_INPUT!$K$10:$K$13, "Draw"),
0)</f>
        <v>0</v>
      </c>
      <c r="AG80" s="20">
        <f>IF(AA80&lt;&gt;"",
    COUNTIFS(MATCH_INPUT!$F$10:$F$13, AA80, MATCH_INPUT!$K$10:$K$13, "&lt;&gt;"&amp;AA80, MATCH_INPUT!$K$10:$K$13, "&lt;&gt;Draw", MATCH_INPUT!$K$10:$K$13, "&lt;&gt;""") +
    COUNTIFS(MATCH_INPUT!$J$10:$J$13, AA80, MATCH_INPUT!$K$10:$K$13, "&lt;&gt;"&amp;AA80, MATCH_INPUT!$K$10:$K$13, "&lt;&gt;Draw", MATCH_INPUT!$K$10:$K$13, "&lt;&gt;"""),
0)</f>
        <v>0</v>
      </c>
      <c r="AH80" s="21"/>
      <c r="AI80" s="21"/>
      <c r="AJ80" s="30"/>
      <c r="AK80" s="23">
        <f t="shared" si="153"/>
        <v>8</v>
      </c>
      <c r="AL80" s="24" t="str">
        <f t="shared" si="18"/>
        <v>↓</v>
      </c>
      <c r="AM80" s="25"/>
      <c r="AN80" s="26">
        <f t="shared" si="19"/>
        <v>0</v>
      </c>
      <c r="AO80" s="26">
        <f t="shared" si="20"/>
        <v>0</v>
      </c>
      <c r="AP80" s="26">
        <f t="shared" si="21"/>
        <v>0</v>
      </c>
      <c r="AQ80" s="26">
        <f>IF(AM80&lt;&gt;"",
    COUNTIFS(MATCH_INPUT!$K$14:$K$17,AM80),
0)</f>
        <v>0</v>
      </c>
      <c r="AR80" s="26">
        <f>IF(AM80&lt;&gt;"",
    COUNTIFS(MATCH_INPUT!$F$14:$F$17, AM80, MATCH_INPUT!$K$14:$K$17, "Draw") +
    COUNTIFS(MATCH_INPUT!$J$14:$J$17, AM80, MATCH_INPUT!$K$14:$K$17, "Draw"),
0)</f>
        <v>0</v>
      </c>
      <c r="AS80" s="26">
        <f>IF(AM80&lt;&gt;"",
    COUNTIFS(MATCH_INPUT!$F$14:$F$17, AM80, MATCH_INPUT!$K$14:$K$17, "&lt;&gt;"&amp;AM80, MATCH_INPUT!$K$14:$K$17, "&lt;&gt;Draw", MATCH_INPUT!$K$14:$K$17, "&lt;&gt;""") +
    COUNTIFS(MATCH_INPUT!$J$14:$J$17, AM80, MATCH_INPUT!$K$14:$K$17, "&lt;&gt;"&amp;AM80, MATCH_INPUT!$K$14:$K$17, "&lt;&gt;Draw", MATCH_INPUT!$K$14:$K$17, "&lt;&gt;"""),
0)</f>
        <v>0</v>
      </c>
      <c r="AT80" s="27"/>
      <c r="AU80" s="27"/>
      <c r="AV80" s="28"/>
      <c r="AW80" s="26">
        <f t="shared" si="154"/>
        <v>10</v>
      </c>
      <c r="AX80" s="29" t="str">
        <f t="shared" si="23"/>
        <v>↓</v>
      </c>
      <c r="AY80" s="19"/>
      <c r="AZ80" s="23">
        <f t="shared" si="24"/>
        <v>0</v>
      </c>
      <c r="BA80" s="20">
        <f t="shared" si="25"/>
        <v>0</v>
      </c>
      <c r="BB80" s="20">
        <f>SUM(BC80*2) + (BD80*1) + SUMIFS(MATCH_INPUT!$G$18:$G$21, MATCH_INPUT!$F$18:$F$21, AY80) + SUMIFS(MATCH_INPUT!$I$18:$I$21, MATCH_INPUT!$J$18:$J$21, AY80)
</f>
        <v>0</v>
      </c>
      <c r="BC80" s="20">
        <f>IF(AY80&lt;&gt;"",
    COUNTIFS(MATCH_INPUT!$K$18:$K$21,AY80),
0)</f>
        <v>0</v>
      </c>
      <c r="BD80" s="20">
        <f>IF(AY80&lt;&gt;"",
    COUNTIFS(MATCH_INPUT!$F$18:$F$21, AY80, MATCH_INPUT!$K$18:$K$21, "Draw") +
    COUNTIFS(MATCH_INPUT!$J$18:$J$21, AY80, MATCH_INPUT!$K$18:$K$21, "Draw"),
0)</f>
        <v>0</v>
      </c>
      <c r="BE80" s="20">
        <f>IF(AY80&lt;&gt;"",
    COUNTIFS(MATCH_INPUT!$F$18:$F$21, AY80, MATCH_INPUT!$K$18:$K$21, "&lt;&gt;"&amp;AY80, MATCH_INPUT!$K$18:$K$21, "&lt;&gt;Draw", MATCH_INPUT!$K$18:$K$21, "&lt;&gt;""") +
    COUNTIFS(MATCH_INPUT!$J$18:$J$21, AY80, MATCH_INPUT!$K$18:$K$21, "&lt;&gt;"&amp;AY80, MATCH_INPUT!$K$18:$K$21, "&lt;&gt;Draw", MATCH_INPUT!$K$18:$K$21, "&lt;&gt;"""),
0)</f>
        <v>0</v>
      </c>
      <c r="BF80" s="21" t="str">
        <f t="array" ref="BF80">IFERROR(INDEX(Form_Response!E:E, MATCH(1, (Form_Response!C:C='MATCH DATES'!$B$6)*(Form_Response!D:D=B80), 0)), "")
</f>
        <v/>
      </c>
      <c r="BG80" s="21">
        <f t="array" ref="BG80">IFERROR(IF(INDEX(Form_Response!F:F, MATCH(1, (Form_Response!C:C='MATCH DATES'!$B$6)*(Form_Response!D:D=B80), 0))="Yes", 1, 0), 0)
</f>
        <v>0</v>
      </c>
      <c r="BH80" s="30" t="str">
        <f t="array" ref="BH80">IFERROR(INDEX(Form_Response!G:G, MATCH(1, (Form_Response!C:C='MATCH DATES'!$B$6)*(Form_Response!D:D=B80), 0)), "")
</f>
        <v/>
      </c>
      <c r="BI80" s="23">
        <f t="shared" si="155"/>
        <v>11</v>
      </c>
      <c r="BJ80" s="24" t="str">
        <f t="shared" si="27"/>
        <v>↓</v>
      </c>
      <c r="BK80" s="34"/>
      <c r="BL80" s="26">
        <f t="shared" si="28"/>
        <v>0</v>
      </c>
      <c r="BM80" s="26">
        <f t="shared" si="29"/>
        <v>0</v>
      </c>
      <c r="BN80" s="26">
        <f>SUM(BO80*2) + (BP80*1) + SUMIFS(MATCH_INPUT!$G$22:$G$25, MATCH_INPUT!$F$22:$F$25, BK80) + SUMIFS(MATCH_INPUT!$I$22:$I$25, MATCH_INPUT!$J$22:$J$25, BK80)
</f>
        <v>0</v>
      </c>
      <c r="BO80" s="26">
        <f>IF(BK80&lt;&gt;"",
    COUNTIFS(MATCH_INPUT!$K$22:$K$25,BK80),
0)</f>
        <v>0</v>
      </c>
      <c r="BP80" s="26">
        <f>IF(BK80&lt;&gt;"",
    COUNTIFS(MATCH_INPUT!$F$22:$F$25, BK80, MATCH_INPUT!$K$22:$K$25, "Draw") +
    COUNTIFS(MATCH_INPUT!$J$22:$J$25, BK80, MATCH_INPUT!$K$22:$K$25, "Draw"),
0)</f>
        <v>0</v>
      </c>
      <c r="BQ80" s="26">
        <f>IF(BK80&lt;&gt;"",
    COUNTIFS(MATCH_INPUT!$F$22:$F$25, BK80, MATCH_INPUT!$K$22:$K$25, "&lt;&gt;"&amp;BK80, MATCH_INPUT!$K$22:$K$25, "&lt;&gt;Draw", MATCH_INPUT!$K$22:$K$25, "&lt;&gt;""") +
    COUNTIFS(MATCH_INPUT!$J$22:$J$25, BK80, MATCH_INPUT!$K$22:$K$25, "&lt;&gt;"&amp;BK80, MATCH_INPUT!$K$22:$K$25, "&lt;&gt;Draw", MATCH_INPUT!$K$22:$K$25, "&lt;&gt;"""),
0)</f>
        <v>0</v>
      </c>
      <c r="BR80" s="27"/>
      <c r="BS80" s="27"/>
      <c r="BT80" s="28"/>
      <c r="BU80" s="26">
        <f t="shared" si="156"/>
        <v>14</v>
      </c>
      <c r="BV80" s="29" t="str">
        <f t="shared" si="31"/>
        <v>↓</v>
      </c>
      <c r="BW80" s="35"/>
      <c r="BX80" s="23">
        <f t="shared" si="32"/>
        <v>0</v>
      </c>
      <c r="BY80" s="20">
        <f t="shared" si="33"/>
        <v>0</v>
      </c>
      <c r="BZ80" s="20">
        <f>SUM(CA80*2)+(CB80*1) + SUMIFS(MATCH_INPUT!$G$26:$G$29, MATCH_INPUT!$F$26:$F$29, BW80) + SUMIFS(MATCH_INPUT!$I$26:$I$29, MATCH_INPUT!$J$26:$J$29, BW80)
</f>
        <v>0</v>
      </c>
      <c r="CA80" s="20">
        <f>IF(BW80&lt;&gt;"",
    COUNTIFS(MATCH_INPUT!$K$26:$K$29,BW80),
0)</f>
        <v>0</v>
      </c>
      <c r="CB80" s="20">
        <f>IF(BW80&lt;&gt;"",
    COUNTIFS(MATCH_INPUT!$F$26:$F$29, BW80, MATCH_INPUT!$K$26:$K$29, "Draw") +
    COUNTIFS(MATCH_INPUT!$J$26:$J$29, BW80, MATCH_INPUT!$K$26:$K$29, "Draw"),
0)</f>
        <v>0</v>
      </c>
      <c r="CC80" s="20">
        <f>IF(BW80&lt;&gt;"",
    COUNTIFS(MATCH_INPUT!$F$26:$F$29, BW80, MATCH_INPUT!$K$26:$K$29, "&lt;&gt;"&amp;BW80, MATCH_INPUT!$K$26:$K$29, "&lt;&gt;Draw", MATCH_INPUT!$K$26:$K$29, "&lt;&gt;""") +
    COUNTIFS(MATCH_INPUT!$J$26:$J$29, BW80, MATCH_INPUT!$K$26:$K$29, "&lt;&gt;"&amp;BW80, MATCH_INPUT!$K$26:$K$29, "&lt;&gt;Draw", MATCH_INPUT!$K$26:$K$29, "&lt;&gt;"""),
0)</f>
        <v>0</v>
      </c>
      <c r="CD80" s="21"/>
      <c r="CE80" s="21"/>
      <c r="CF80" s="30"/>
      <c r="CG80" s="23">
        <f t="shared" si="157"/>
        <v>15</v>
      </c>
      <c r="CH80" s="24" t="str">
        <f t="shared" si="35"/>
        <v>↓</v>
      </c>
      <c r="CI80" s="25"/>
      <c r="CJ80" s="26">
        <f t="shared" si="36"/>
        <v>0</v>
      </c>
      <c r="CK80" s="26">
        <f t="shared" si="37"/>
        <v>0</v>
      </c>
      <c r="CL80" s="26">
        <f>SUM(CM80*2)+(CN80*1) + SUMIFS(MATCH_INPUT!$G$30:$G$33, MATCH_INPUT!$F$30:$F$33, CI80) + SUMIFS(MATCH_INPUT!$I$30:$I$33, MATCH_INPUT!$J$30:$J$33, CI80)
</f>
        <v>0</v>
      </c>
      <c r="CM80" s="26">
        <f>IF(CI80&lt;&gt;"",
    COUNTIFS(MATCH_INPUT!$K$30:$K$33,CI80),
0)</f>
        <v>0</v>
      </c>
      <c r="CN80" s="26">
        <f>IF(CI80&lt;&gt;"",
    COUNTIFS(MATCH_INPUT!$F$30:$F$33, CI80, MATCH_INPUT!$K$30:$K$33, "Draw") +
    COUNTIFS(MATCH_INPUT!$J$30:$J$33, CI80, MATCH_INPUT!$K$30:$K$33, "Draw"),
0)</f>
        <v>0</v>
      </c>
      <c r="CO80" s="26">
        <f>IF(CI80&lt;&gt;"",
    COUNTIFS(MATCH_INPUT!$F$30:$F$33, CI80, MATCH_INPUT!$K$30:$K$33, "&lt;&gt;"&amp;CI80, MATCH_INPUT!$K$30:$K$33, "&lt;&gt;Draw", MATCH_INPUT!$K$30:$K$33, "&lt;&gt;""") +
    COUNTIFS(MATCH_INPUT!$J$30:$J$33, CI80, MATCH_INPUT!$K$30:$K$33, "&lt;&gt;"&amp;CI80, MATCH_INPUT!$K$30:$K$33, "&lt;&gt;Draw", MATCH_INPUT!$K$30:$K$33, "&lt;&gt;"""),
0)</f>
        <v>0</v>
      </c>
      <c r="CP80" s="27" t="str">
        <f t="array" ref="CP80">IFERROR(INDEX(Form_Response!E:E, MATCH(1, (Form_Response!C:C='MATCH DATES'!$B$9)*(Form_Response!D:D=B80), 0)), "")
</f>
        <v/>
      </c>
      <c r="CQ80" s="27">
        <f t="array" ref="CQ80">IFERROR(IF(INDEX(Form_Response!F:F, MATCH(1, (Form_Response!C:C='MATCH DATES'!$B$9)*(Form_Response!D:D=B80), 0))="Yes", 1, 0), 0)
</f>
        <v>0</v>
      </c>
      <c r="CR80" s="28" t="str">
        <f t="array" ref="CR80">IFERROR(INDEX(Form_Response!G:G, MATCH(1, (Form_Response!C:C='MATCH DATES'!$B$9)*(Form_Response!D:D=B80), 0)), "")
</f>
        <v/>
      </c>
      <c r="CS80" s="31">
        <f t="shared" si="158"/>
        <v>18</v>
      </c>
      <c r="CT80" s="31" t="str">
        <f t="shared" si="39"/>
        <v>↓</v>
      </c>
      <c r="CU80" s="32">
        <f t="shared" si="40"/>
        <v>0</v>
      </c>
      <c r="CV80" s="32" t="str">
        <f t="shared" ref="CV80:CW80" si="279">A80</f>
        <v/>
      </c>
      <c r="CW80" s="33" t="str">
        <f t="shared" si="279"/>
        <v/>
      </c>
      <c r="CX80" s="33">
        <f t="shared" si="42"/>
        <v>0</v>
      </c>
      <c r="CY80" s="32">
        <f>SUM(
  IF(AND('MATCH DATES'!$A$2 &lt;= TODAY(), NOW() &gt;= 'MATCH DATES'!$A$2 + TIME(22, 0, 0)), E80, 0),
  IF(AND('MATCH DATES'!$A$3 &lt;= TODAY(), NOW() &gt;= 'MATCH DATES'!$A$3 + TIME(22, 0, 0)), Q80, 0),
  IF(AND('MATCH DATES'!$A$4 &lt;= TODAY(), NOW() &gt;= 'MATCH DATES'!$A$4 + TIME(22, 0, 0)), AC80, 0),
  IF(AND('MATCH DATES'!$A$5 &lt;= TODAY(), NOW() &gt;= 'MATCH DATES'!$A$5 + TIME(22, 0, 0)), AO80, 0),
  IF(AND('MATCH DATES'!$A$6 &lt;= TODAY(), NOW() &gt;= 'MATCH DATES'!$A$6 + TIME(22, 0, 0)), BA80, 0),
  IF(AND('MATCH DATES'!$A$7 &lt;= TODAY(), NOW() &gt;= 'MATCH DATES'!$A$7 + TIME(22, 0, 0)), BM80, 0),
  IF(AND('MATCH DATES'!$A$8 &lt;= TODAY(), NOW() &gt;= 'MATCH DATES'!$A$8 + TIME(22, 0, 0)), BY80, 0),
  IF(AND('MATCH DATES'!$A$9 &lt;= TODAY(), NOW() &gt;= 'MATCH DATES'!$A$9 + TIME(22, 0, 0)), CK80, 0)
)
</f>
        <v>0</v>
      </c>
      <c r="CZ80" s="33">
        <f t="shared" ref="CZ80:DA80" si="280">SUM(G80,S80,AE80,AQ80,BC80,BO80,CA80,CM80)</f>
        <v>0</v>
      </c>
      <c r="DA80" s="33">
        <f t="shared" si="280"/>
        <v>0</v>
      </c>
      <c r="DB80" s="33">
        <f>SUM(
  IF(AND('MATCH DATES'!$A$2 &lt;= TODAY(), NOW() &gt;= 'MATCH DATES'!$A$2 + TIME(22, 0, 0)), I80, 0),
  IF(AND('MATCH DATES'!$A$3 &lt;= TODAY(), NOW() &gt;= 'MATCH DATES'!$A$3 + TIME(22, 0, 0)), U80, 0),
  IF(AND('MATCH DATES'!$A$4 &lt;= TODAY(), NOW() &gt;= 'MATCH DATES'!$A$4 + TIME(22, 0, 0)), AG80, 0),
  IF(AND('MATCH DATES'!$A$5 &lt;= TODAY(), NOW() &gt;= 'MATCH DATES'!$A$5 + TIME(22, 0, 0)), AS80, 0),
  IF(AND('MATCH DATES'!$A$6 &lt;= TODAY(), NOW() &gt;= 'MATCH DATES'!$A$6 + TIME(22, 0, 0)), BE80, 0),
  IF(AND('MATCH DATES'!$A$7 &lt;= TODAY(), NOW() &gt;= 'MATCH DATES'!$A$7 + TIME(22, 0, 0)), BQ80, 0),
  IF(AND('MATCH DATES'!$A$8 &lt;= TODAY(), NOW() &gt;= 'MATCH DATES'!$A$8 + TIME(22, 0, 0)), CC80, 0),
  IF(AND('MATCH DATES'!$A$9 &lt;= TODAY(), NOW() &gt;= 'MATCH DATES'!$A$9 + TIME(22, 0, 0)), CO80, 0)
)</f>
        <v>0</v>
      </c>
      <c r="DC80" s="33">
        <f t="shared" si="44"/>
        <v>0</v>
      </c>
      <c r="DD80" s="33">
        <f t="shared" ref="DD80:DE80" si="281">SUM(K80,W80,AI80,AU80,BG80,BS80,CE80,CQ80)</f>
        <v>0</v>
      </c>
      <c r="DE80" s="33">
        <f t="shared" si="281"/>
        <v>0</v>
      </c>
    </row>
    <row r="81" ht="24.75" customHeight="1">
      <c r="A81" s="31"/>
      <c r="B81" s="39"/>
      <c r="C81" s="35"/>
      <c r="D81" s="20">
        <f t="shared" si="4"/>
        <v>0</v>
      </c>
      <c r="E81" s="20">
        <f t="shared" si="5"/>
        <v>0</v>
      </c>
      <c r="F81" s="20">
        <f t="shared" si="6"/>
        <v>0</v>
      </c>
      <c r="G81" s="20">
        <f>IF(C81&lt;&gt;"",
    COUNTIFS(MATCH_INPUT!$K$2:$K$5,C81),
0)</f>
        <v>0</v>
      </c>
      <c r="H81" s="20">
        <f>IF(C81&lt;&gt;"",
    COUNTIFS(MATCH_INPUT!$F$2:$F$5, C81, MATCH_INPUT!$K$2:$K$5, "Draw") +
    COUNTIFS(MATCH_INPUT!$J$2:$J$5, C81, MATCH_INPUT!$K$2:$K$5, "Draw"),
0)</f>
        <v>0</v>
      </c>
      <c r="I81" s="20">
        <f>IF(C81&lt;&gt;"",
    COUNTIFS(MATCH_INPUT!$F$2:$F$5, C81, MATCH_INPUT!$K$2:$K$5, "&lt;&gt;"&amp;C81, MATCH_INPUT!$K$2:$K$5, "&lt;&gt;Draw", MATCH_INPUT!$K$2:$K$5, "&lt;&gt;""") +
    COUNTIFS(MATCH_INPUT!$J$2:$J$5, C81, MATCH_INPUT!$K$2:$K$5, "&lt;&gt;"&amp;C81, MATCH_INPUT!$K$2:$K$5, "&lt;&gt;Draw", MATCH_INPUT!$K$2:$K$5, "&lt;&gt;"""),
0)</f>
        <v>0</v>
      </c>
      <c r="J81" s="21"/>
      <c r="K81" s="21"/>
      <c r="L81" s="22"/>
      <c r="M81" s="23">
        <f t="shared" si="151"/>
        <v>4</v>
      </c>
      <c r="N81" s="24" t="str">
        <f t="shared" si="8"/>
        <v>↓</v>
      </c>
      <c r="O81" s="25"/>
      <c r="P81" s="26">
        <f t="shared" si="9"/>
        <v>0</v>
      </c>
      <c r="Q81" s="26">
        <f t="shared" si="10"/>
        <v>0</v>
      </c>
      <c r="R81" s="26">
        <f t="shared" si="11"/>
        <v>0</v>
      </c>
      <c r="S81" s="26">
        <f>IF(O81&lt;&gt;"",
    COUNTIFS(MATCH_INPUT!$K$6:$K$9,O81),
0)</f>
        <v>0</v>
      </c>
      <c r="T81" s="26">
        <f>IF(O81&lt;&gt;"",
    COUNTIFS(MATCH_INPUT!$F$6:$F$9, O81, MATCH_INPUT!$K$6:$K$9, "Draw") +
    COUNTIFS(MATCH_INPUT!$J$6:$J$9, O81, MATCH_INPUT!$K$6:$K$9, "Draw"),
0)</f>
        <v>0</v>
      </c>
      <c r="U81" s="26">
        <f>IF(O81&lt;&gt;"",
    COUNTIFS(MATCH_INPUT!$F$6:$F$9, O81, MATCH_INPUT!$K$6:$K$9, "&lt;&gt;"&amp;O81, MATCH_INPUT!$K$6:$K$9, "&lt;&gt;Draw", MATCH_INPUT!$K$6:$K$9, "&lt;&gt;""") +
    COUNTIFS(MATCH_INPUT!$J$6:$J$9, O81, MATCH_INPUT!$K$6:$K$9, "&lt;&gt;"&amp;O81, MATCH_INPUT!$K$6:$K$9, "&lt;&gt;Draw", MATCH_INPUT!$K$6:$K$9, "&lt;&gt;"""),
0)</f>
        <v>0</v>
      </c>
      <c r="V81" s="27"/>
      <c r="W81" s="27"/>
      <c r="X81" s="28"/>
      <c r="Y81" s="26">
        <f t="shared" si="152"/>
        <v>7</v>
      </c>
      <c r="Z81" s="29" t="str">
        <f t="shared" si="13"/>
        <v>↓</v>
      </c>
      <c r="AA81" s="19"/>
      <c r="AB81" s="23">
        <f t="shared" si="14"/>
        <v>0</v>
      </c>
      <c r="AC81" s="20">
        <f t="shared" si="15"/>
        <v>0</v>
      </c>
      <c r="AD81" s="20">
        <f t="shared" si="16"/>
        <v>0</v>
      </c>
      <c r="AE81" s="20">
        <f>IF(AA81&lt;&gt;"",
    COUNTIFS(MATCH_INPUT!$K$10:$K$13,AA81),
0)</f>
        <v>0</v>
      </c>
      <c r="AF81" s="20">
        <f>IF(AA81&lt;&gt;"",
    COUNTIFS(MATCH_INPUT!$F$10:$F$13, AA81, MATCH_INPUT!$K$10:$K$13, "Draw") +
    COUNTIFS(MATCH_INPUT!$J$10:$J$13, AA81, MATCH_INPUT!$K$10:$K$13, "Draw"),
0)</f>
        <v>0</v>
      </c>
      <c r="AG81" s="20">
        <f>IF(AA81&lt;&gt;"",
    COUNTIFS(MATCH_INPUT!$F$10:$F$13, AA81, MATCH_INPUT!$K$10:$K$13, "&lt;&gt;"&amp;AA81, MATCH_INPUT!$K$10:$K$13, "&lt;&gt;Draw", MATCH_INPUT!$K$10:$K$13, "&lt;&gt;""") +
    COUNTIFS(MATCH_INPUT!$J$10:$J$13, AA81, MATCH_INPUT!$K$10:$K$13, "&lt;&gt;"&amp;AA81, MATCH_INPUT!$K$10:$K$13, "&lt;&gt;Draw", MATCH_INPUT!$K$10:$K$13, "&lt;&gt;"""),
0)</f>
        <v>0</v>
      </c>
      <c r="AH81" s="21"/>
      <c r="AI81" s="21"/>
      <c r="AJ81" s="30"/>
      <c r="AK81" s="23">
        <f t="shared" si="153"/>
        <v>8</v>
      </c>
      <c r="AL81" s="24" t="str">
        <f t="shared" si="18"/>
        <v>↓</v>
      </c>
      <c r="AM81" s="25"/>
      <c r="AN81" s="26">
        <f t="shared" si="19"/>
        <v>0</v>
      </c>
      <c r="AO81" s="26">
        <f t="shared" si="20"/>
        <v>0</v>
      </c>
      <c r="AP81" s="26">
        <f t="shared" si="21"/>
        <v>0</v>
      </c>
      <c r="AQ81" s="26">
        <f>IF(AM81&lt;&gt;"",
    COUNTIFS(MATCH_INPUT!$K$14:$K$17,AM81),
0)</f>
        <v>0</v>
      </c>
      <c r="AR81" s="26">
        <f>IF(AM81&lt;&gt;"",
    COUNTIFS(MATCH_INPUT!$F$14:$F$17, AM81, MATCH_INPUT!$K$14:$K$17, "Draw") +
    COUNTIFS(MATCH_INPUT!$J$14:$J$17, AM81, MATCH_INPUT!$K$14:$K$17, "Draw"),
0)</f>
        <v>0</v>
      </c>
      <c r="AS81" s="26">
        <f>IF(AM81&lt;&gt;"",
    COUNTIFS(MATCH_INPUT!$F$14:$F$17, AM81, MATCH_INPUT!$K$14:$K$17, "&lt;&gt;"&amp;AM81, MATCH_INPUT!$K$14:$K$17, "&lt;&gt;Draw", MATCH_INPUT!$K$14:$K$17, "&lt;&gt;""") +
    COUNTIFS(MATCH_INPUT!$J$14:$J$17, AM81, MATCH_INPUT!$K$14:$K$17, "&lt;&gt;"&amp;AM81, MATCH_INPUT!$K$14:$K$17, "&lt;&gt;Draw", MATCH_INPUT!$K$14:$K$17, "&lt;&gt;"""),
0)</f>
        <v>0</v>
      </c>
      <c r="AT81" s="27"/>
      <c r="AU81" s="27"/>
      <c r="AV81" s="28"/>
      <c r="AW81" s="26">
        <f t="shared" si="154"/>
        <v>10</v>
      </c>
      <c r="AX81" s="29" t="str">
        <f t="shared" si="23"/>
        <v>↓</v>
      </c>
      <c r="AY81" s="19"/>
      <c r="AZ81" s="23">
        <f t="shared" si="24"/>
        <v>0</v>
      </c>
      <c r="BA81" s="20">
        <f t="shared" si="25"/>
        <v>0</v>
      </c>
      <c r="BB81" s="20">
        <f>SUM(BC81*2) + (BD81*1) + SUMIFS(MATCH_INPUT!$G$18:$G$21, MATCH_INPUT!$F$18:$F$21, AY81) + SUMIFS(MATCH_INPUT!$I$18:$I$21, MATCH_INPUT!$J$18:$J$21, AY81)
</f>
        <v>0</v>
      </c>
      <c r="BC81" s="20">
        <f>IF(AY81&lt;&gt;"",
    COUNTIFS(MATCH_INPUT!$K$18:$K$21,AY81),
0)</f>
        <v>0</v>
      </c>
      <c r="BD81" s="20">
        <f>IF(AY81&lt;&gt;"",
    COUNTIFS(MATCH_INPUT!$F$18:$F$21, AY81, MATCH_INPUT!$K$18:$K$21, "Draw") +
    COUNTIFS(MATCH_INPUT!$J$18:$J$21, AY81, MATCH_INPUT!$K$18:$K$21, "Draw"),
0)</f>
        <v>0</v>
      </c>
      <c r="BE81" s="20">
        <f>IF(AY81&lt;&gt;"",
    COUNTIFS(MATCH_INPUT!$F$18:$F$21, AY81, MATCH_INPUT!$K$18:$K$21, "&lt;&gt;"&amp;AY81, MATCH_INPUT!$K$18:$K$21, "&lt;&gt;Draw", MATCH_INPUT!$K$18:$K$21, "&lt;&gt;""") +
    COUNTIFS(MATCH_INPUT!$J$18:$J$21, AY81, MATCH_INPUT!$K$18:$K$21, "&lt;&gt;"&amp;AY81, MATCH_INPUT!$K$18:$K$21, "&lt;&gt;Draw", MATCH_INPUT!$K$18:$K$21, "&lt;&gt;"""),
0)</f>
        <v>0</v>
      </c>
      <c r="BF81" s="21" t="str">
        <f t="array" ref="BF81">IFERROR(INDEX(Form_Response!E:E, MATCH(1, (Form_Response!C:C='MATCH DATES'!$B$6)*(Form_Response!D:D=B81), 0)), "")
</f>
        <v/>
      </c>
      <c r="BG81" s="21">
        <f t="array" ref="BG81">IFERROR(IF(INDEX(Form_Response!F:F, MATCH(1, (Form_Response!C:C='MATCH DATES'!$B$6)*(Form_Response!D:D=B81), 0))="Yes", 1, 0), 0)
</f>
        <v>0</v>
      </c>
      <c r="BH81" s="30" t="str">
        <f t="array" ref="BH81">IFERROR(INDEX(Form_Response!G:G, MATCH(1, (Form_Response!C:C='MATCH DATES'!$B$6)*(Form_Response!D:D=B81), 0)), "")
</f>
        <v/>
      </c>
      <c r="BI81" s="23">
        <f t="shared" si="155"/>
        <v>11</v>
      </c>
      <c r="BJ81" s="24" t="str">
        <f t="shared" si="27"/>
        <v>↓</v>
      </c>
      <c r="BK81" s="34"/>
      <c r="BL81" s="26">
        <f t="shared" si="28"/>
        <v>0</v>
      </c>
      <c r="BM81" s="26">
        <f t="shared" si="29"/>
        <v>0</v>
      </c>
      <c r="BN81" s="26">
        <f>SUM(BO81*2) + (BP81*1) + SUMIFS(MATCH_INPUT!$G$22:$G$25, MATCH_INPUT!$F$22:$F$25, BK81) + SUMIFS(MATCH_INPUT!$I$22:$I$25, MATCH_INPUT!$J$22:$J$25, BK81)
</f>
        <v>0</v>
      </c>
      <c r="BO81" s="26">
        <f>IF(BK81&lt;&gt;"",
    COUNTIFS(MATCH_INPUT!$K$22:$K$25,BK81),
0)</f>
        <v>0</v>
      </c>
      <c r="BP81" s="26">
        <f>IF(BK81&lt;&gt;"",
    COUNTIFS(MATCH_INPUT!$F$22:$F$25, BK81, MATCH_INPUT!$K$22:$K$25, "Draw") +
    COUNTIFS(MATCH_INPUT!$J$22:$J$25, BK81, MATCH_INPUT!$K$22:$K$25, "Draw"),
0)</f>
        <v>0</v>
      </c>
      <c r="BQ81" s="26">
        <f>IF(BK81&lt;&gt;"",
    COUNTIFS(MATCH_INPUT!$F$22:$F$25, BK81, MATCH_INPUT!$K$22:$K$25, "&lt;&gt;"&amp;BK81, MATCH_INPUT!$K$22:$K$25, "&lt;&gt;Draw", MATCH_INPUT!$K$22:$K$25, "&lt;&gt;""") +
    COUNTIFS(MATCH_INPUT!$J$22:$J$25, BK81, MATCH_INPUT!$K$22:$K$25, "&lt;&gt;"&amp;BK81, MATCH_INPUT!$K$22:$K$25, "&lt;&gt;Draw", MATCH_INPUT!$K$22:$K$25, "&lt;&gt;"""),
0)</f>
        <v>0</v>
      </c>
      <c r="BR81" s="27"/>
      <c r="BS81" s="27"/>
      <c r="BT81" s="28"/>
      <c r="BU81" s="26">
        <f t="shared" si="156"/>
        <v>14</v>
      </c>
      <c r="BV81" s="29" t="str">
        <f t="shared" si="31"/>
        <v>↓</v>
      </c>
      <c r="BW81" s="35"/>
      <c r="BX81" s="23">
        <f t="shared" si="32"/>
        <v>0</v>
      </c>
      <c r="BY81" s="20">
        <f t="shared" si="33"/>
        <v>0</v>
      </c>
      <c r="BZ81" s="20">
        <f>SUM(CA81*2)+(CB81*1) + SUMIFS(MATCH_INPUT!$G$26:$G$29, MATCH_INPUT!$F$26:$F$29, BW81) + SUMIFS(MATCH_INPUT!$I$26:$I$29, MATCH_INPUT!$J$26:$J$29, BW81)
</f>
        <v>0</v>
      </c>
      <c r="CA81" s="20">
        <f>IF(BW81&lt;&gt;"",
    COUNTIFS(MATCH_INPUT!$K$26:$K$29,BW81),
0)</f>
        <v>0</v>
      </c>
      <c r="CB81" s="20">
        <f>IF(BW81&lt;&gt;"",
    COUNTIFS(MATCH_INPUT!$F$26:$F$29, BW81, MATCH_INPUT!$K$26:$K$29, "Draw") +
    COUNTIFS(MATCH_INPUT!$J$26:$J$29, BW81, MATCH_INPUT!$K$26:$K$29, "Draw"),
0)</f>
        <v>0</v>
      </c>
      <c r="CC81" s="20">
        <f>IF(BW81&lt;&gt;"",
    COUNTIFS(MATCH_INPUT!$F$26:$F$29, BW81, MATCH_INPUT!$K$26:$K$29, "&lt;&gt;"&amp;BW81, MATCH_INPUT!$K$26:$K$29, "&lt;&gt;Draw", MATCH_INPUT!$K$26:$K$29, "&lt;&gt;""") +
    COUNTIFS(MATCH_INPUT!$J$26:$J$29, BW81, MATCH_INPUT!$K$26:$K$29, "&lt;&gt;"&amp;BW81, MATCH_INPUT!$K$26:$K$29, "&lt;&gt;Draw", MATCH_INPUT!$K$26:$K$29, "&lt;&gt;"""),
0)</f>
        <v>0</v>
      </c>
      <c r="CD81" s="21"/>
      <c r="CE81" s="21"/>
      <c r="CF81" s="30"/>
      <c r="CG81" s="23">
        <f t="shared" si="157"/>
        <v>15</v>
      </c>
      <c r="CH81" s="24" t="str">
        <f t="shared" si="35"/>
        <v>↓</v>
      </c>
      <c r="CI81" s="25"/>
      <c r="CJ81" s="26">
        <f t="shared" si="36"/>
        <v>0</v>
      </c>
      <c r="CK81" s="26">
        <f t="shared" si="37"/>
        <v>0</v>
      </c>
      <c r="CL81" s="26">
        <f>SUM(CM81*2)+(CN81*1) + SUMIFS(MATCH_INPUT!$G$30:$G$33, MATCH_INPUT!$F$30:$F$33, CI81) + SUMIFS(MATCH_INPUT!$I$30:$I$33, MATCH_INPUT!$J$30:$J$33, CI81)
</f>
        <v>0</v>
      </c>
      <c r="CM81" s="26">
        <f>IF(CI81&lt;&gt;"",
    COUNTIFS(MATCH_INPUT!$K$30:$K$33,CI81),
0)</f>
        <v>0</v>
      </c>
      <c r="CN81" s="26">
        <f>IF(CI81&lt;&gt;"",
    COUNTIFS(MATCH_INPUT!$F$30:$F$33, CI81, MATCH_INPUT!$K$30:$K$33, "Draw") +
    COUNTIFS(MATCH_INPUT!$J$30:$J$33, CI81, MATCH_INPUT!$K$30:$K$33, "Draw"),
0)</f>
        <v>0</v>
      </c>
      <c r="CO81" s="26">
        <f>IF(CI81&lt;&gt;"",
    COUNTIFS(MATCH_INPUT!$F$30:$F$33, CI81, MATCH_INPUT!$K$30:$K$33, "&lt;&gt;"&amp;CI81, MATCH_INPUT!$K$30:$K$33, "&lt;&gt;Draw", MATCH_INPUT!$K$30:$K$33, "&lt;&gt;""") +
    COUNTIFS(MATCH_INPUT!$J$30:$J$33, CI81, MATCH_INPUT!$K$30:$K$33, "&lt;&gt;"&amp;CI81, MATCH_INPUT!$K$30:$K$33, "&lt;&gt;Draw", MATCH_INPUT!$K$30:$K$33, "&lt;&gt;"""),
0)</f>
        <v>0</v>
      </c>
      <c r="CP81" s="27" t="str">
        <f t="array" ref="CP81">IFERROR(INDEX(Form_Response!E:E, MATCH(1, (Form_Response!C:C='MATCH DATES'!$B$9)*(Form_Response!D:D=B81), 0)), "")
</f>
        <v/>
      </c>
      <c r="CQ81" s="27">
        <f t="array" ref="CQ81">IFERROR(IF(INDEX(Form_Response!F:F, MATCH(1, (Form_Response!C:C='MATCH DATES'!$B$9)*(Form_Response!D:D=B81), 0))="Yes", 1, 0), 0)
</f>
        <v>0</v>
      </c>
      <c r="CR81" s="28" t="str">
        <f t="array" ref="CR81">IFERROR(INDEX(Form_Response!G:G, MATCH(1, (Form_Response!C:C='MATCH DATES'!$B$9)*(Form_Response!D:D=B81), 0)), "")
</f>
        <v/>
      </c>
      <c r="CS81" s="31">
        <f t="shared" si="158"/>
        <v>18</v>
      </c>
      <c r="CT81" s="31" t="str">
        <f t="shared" si="39"/>
        <v>↓</v>
      </c>
      <c r="CU81" s="32">
        <f t="shared" si="40"/>
        <v>0</v>
      </c>
      <c r="CV81" s="32" t="str">
        <f t="shared" ref="CV81:CW81" si="282">A81</f>
        <v/>
      </c>
      <c r="CW81" s="33" t="str">
        <f t="shared" si="282"/>
        <v/>
      </c>
      <c r="CX81" s="33">
        <f t="shared" si="42"/>
        <v>0</v>
      </c>
      <c r="CY81" s="32">
        <f>SUM(
  IF(AND('MATCH DATES'!$A$2 &lt;= TODAY(), NOW() &gt;= 'MATCH DATES'!$A$2 + TIME(22, 0, 0)), E81, 0),
  IF(AND('MATCH DATES'!$A$3 &lt;= TODAY(), NOW() &gt;= 'MATCH DATES'!$A$3 + TIME(22, 0, 0)), Q81, 0),
  IF(AND('MATCH DATES'!$A$4 &lt;= TODAY(), NOW() &gt;= 'MATCH DATES'!$A$4 + TIME(22, 0, 0)), AC81, 0),
  IF(AND('MATCH DATES'!$A$5 &lt;= TODAY(), NOW() &gt;= 'MATCH DATES'!$A$5 + TIME(22, 0, 0)), AO81, 0),
  IF(AND('MATCH DATES'!$A$6 &lt;= TODAY(), NOW() &gt;= 'MATCH DATES'!$A$6 + TIME(22, 0, 0)), BA81, 0),
  IF(AND('MATCH DATES'!$A$7 &lt;= TODAY(), NOW() &gt;= 'MATCH DATES'!$A$7 + TIME(22, 0, 0)), BM81, 0),
  IF(AND('MATCH DATES'!$A$8 &lt;= TODAY(), NOW() &gt;= 'MATCH DATES'!$A$8 + TIME(22, 0, 0)), BY81, 0),
  IF(AND('MATCH DATES'!$A$9 &lt;= TODAY(), NOW() &gt;= 'MATCH DATES'!$A$9 + TIME(22, 0, 0)), CK81, 0)
)
</f>
        <v>0</v>
      </c>
      <c r="CZ81" s="33">
        <f t="shared" ref="CZ81:DA81" si="283">SUM(G81,S81,AE81,AQ81,BC81,BO81,CA81,CM81)</f>
        <v>0</v>
      </c>
      <c r="DA81" s="33">
        <f t="shared" si="283"/>
        <v>0</v>
      </c>
      <c r="DB81" s="33">
        <f>SUM(
  IF(AND('MATCH DATES'!$A$2 &lt;= TODAY(), NOW() &gt;= 'MATCH DATES'!$A$2 + TIME(22, 0, 0)), I81, 0),
  IF(AND('MATCH DATES'!$A$3 &lt;= TODAY(), NOW() &gt;= 'MATCH DATES'!$A$3 + TIME(22, 0, 0)), U81, 0),
  IF(AND('MATCH DATES'!$A$4 &lt;= TODAY(), NOW() &gt;= 'MATCH DATES'!$A$4 + TIME(22, 0, 0)), AG81, 0),
  IF(AND('MATCH DATES'!$A$5 &lt;= TODAY(), NOW() &gt;= 'MATCH DATES'!$A$5 + TIME(22, 0, 0)), AS81, 0),
  IF(AND('MATCH DATES'!$A$6 &lt;= TODAY(), NOW() &gt;= 'MATCH DATES'!$A$6 + TIME(22, 0, 0)), BE81, 0),
  IF(AND('MATCH DATES'!$A$7 &lt;= TODAY(), NOW() &gt;= 'MATCH DATES'!$A$7 + TIME(22, 0, 0)), BQ81, 0),
  IF(AND('MATCH DATES'!$A$8 &lt;= TODAY(), NOW() &gt;= 'MATCH DATES'!$A$8 + TIME(22, 0, 0)), CC81, 0),
  IF(AND('MATCH DATES'!$A$9 &lt;= TODAY(), NOW() &gt;= 'MATCH DATES'!$A$9 + TIME(22, 0, 0)), CO81, 0)
)</f>
        <v>0</v>
      </c>
      <c r="DC81" s="33">
        <f t="shared" si="44"/>
        <v>0</v>
      </c>
      <c r="DD81" s="33">
        <f t="shared" ref="DD81:DE81" si="284">SUM(K81,W81,AI81,AU81,BG81,BS81,CE81,CQ81)</f>
        <v>0</v>
      </c>
      <c r="DE81" s="33">
        <f t="shared" si="284"/>
        <v>0</v>
      </c>
    </row>
    <row r="82" ht="24.75" customHeight="1">
      <c r="A82" s="31"/>
      <c r="B82" s="39"/>
      <c r="C82" s="35"/>
      <c r="D82" s="20">
        <f t="shared" si="4"/>
        <v>0</v>
      </c>
      <c r="E82" s="20">
        <f t="shared" si="5"/>
        <v>0</v>
      </c>
      <c r="F82" s="20">
        <f t="shared" si="6"/>
        <v>0</v>
      </c>
      <c r="G82" s="20">
        <f>IF(C82&lt;&gt;"",
    COUNTIFS(MATCH_INPUT!$K$2:$K$5,C82),
0)</f>
        <v>0</v>
      </c>
      <c r="H82" s="20">
        <f>IF(C82&lt;&gt;"",
    COUNTIFS(MATCH_INPUT!$F$2:$F$5, C82, MATCH_INPUT!$K$2:$K$5, "Draw") +
    COUNTIFS(MATCH_INPUT!$J$2:$J$5, C82, MATCH_INPUT!$K$2:$K$5, "Draw"),
0)</f>
        <v>0</v>
      </c>
      <c r="I82" s="20">
        <f>IF(C82&lt;&gt;"",
    COUNTIFS(MATCH_INPUT!$F$2:$F$5, C82, MATCH_INPUT!$K$2:$K$5, "&lt;&gt;"&amp;C82, MATCH_INPUT!$K$2:$K$5, "&lt;&gt;Draw", MATCH_INPUT!$K$2:$K$5, "&lt;&gt;""") +
    COUNTIFS(MATCH_INPUT!$J$2:$J$5, C82, MATCH_INPUT!$K$2:$K$5, "&lt;&gt;"&amp;C82, MATCH_INPUT!$K$2:$K$5, "&lt;&gt;Draw", MATCH_INPUT!$K$2:$K$5, "&lt;&gt;"""),
0)</f>
        <v>0</v>
      </c>
      <c r="J82" s="21"/>
      <c r="K82" s="21"/>
      <c r="L82" s="22"/>
      <c r="M82" s="23">
        <f t="shared" si="151"/>
        <v>4</v>
      </c>
      <c r="N82" s="24" t="str">
        <f t="shared" si="8"/>
        <v>↓</v>
      </c>
      <c r="O82" s="25"/>
      <c r="P82" s="26">
        <f t="shared" si="9"/>
        <v>0</v>
      </c>
      <c r="Q82" s="26">
        <f t="shared" si="10"/>
        <v>0</v>
      </c>
      <c r="R82" s="26">
        <f t="shared" si="11"/>
        <v>0</v>
      </c>
      <c r="S82" s="26">
        <f>IF(O82&lt;&gt;"",
    COUNTIFS(MATCH_INPUT!$K$6:$K$9,O82),
0)</f>
        <v>0</v>
      </c>
      <c r="T82" s="26">
        <f>IF(O82&lt;&gt;"",
    COUNTIFS(MATCH_INPUT!$F$6:$F$9, O82, MATCH_INPUT!$K$6:$K$9, "Draw") +
    COUNTIFS(MATCH_INPUT!$J$6:$J$9, O82, MATCH_INPUT!$K$6:$K$9, "Draw"),
0)</f>
        <v>0</v>
      </c>
      <c r="U82" s="26">
        <f>IF(O82&lt;&gt;"",
    COUNTIFS(MATCH_INPUT!$F$6:$F$9, O82, MATCH_INPUT!$K$6:$K$9, "&lt;&gt;"&amp;O82, MATCH_INPUT!$K$6:$K$9, "&lt;&gt;Draw", MATCH_INPUT!$K$6:$K$9, "&lt;&gt;""") +
    COUNTIFS(MATCH_INPUT!$J$6:$J$9, O82, MATCH_INPUT!$K$6:$K$9, "&lt;&gt;"&amp;O82, MATCH_INPUT!$K$6:$K$9, "&lt;&gt;Draw", MATCH_INPUT!$K$6:$K$9, "&lt;&gt;"""),
0)</f>
        <v>0</v>
      </c>
      <c r="V82" s="27"/>
      <c r="W82" s="27"/>
      <c r="X82" s="28"/>
      <c r="Y82" s="26">
        <f t="shared" si="152"/>
        <v>7</v>
      </c>
      <c r="Z82" s="29" t="str">
        <f t="shared" si="13"/>
        <v>↓</v>
      </c>
      <c r="AA82" s="19"/>
      <c r="AB82" s="23">
        <f t="shared" si="14"/>
        <v>0</v>
      </c>
      <c r="AC82" s="20">
        <f t="shared" si="15"/>
        <v>0</v>
      </c>
      <c r="AD82" s="20">
        <f t="shared" si="16"/>
        <v>0</v>
      </c>
      <c r="AE82" s="20">
        <f>IF(AA82&lt;&gt;"",
    COUNTIFS(MATCH_INPUT!$K$10:$K$13,AA82),
0)</f>
        <v>0</v>
      </c>
      <c r="AF82" s="20">
        <f>IF(AA82&lt;&gt;"",
    COUNTIFS(MATCH_INPUT!$F$10:$F$13, AA82, MATCH_INPUT!$K$10:$K$13, "Draw") +
    COUNTIFS(MATCH_INPUT!$J$10:$J$13, AA82, MATCH_INPUT!$K$10:$K$13, "Draw"),
0)</f>
        <v>0</v>
      </c>
      <c r="AG82" s="20">
        <f>IF(AA82&lt;&gt;"",
    COUNTIFS(MATCH_INPUT!$F$10:$F$13, AA82, MATCH_INPUT!$K$10:$K$13, "&lt;&gt;"&amp;AA82, MATCH_INPUT!$K$10:$K$13, "&lt;&gt;Draw", MATCH_INPUT!$K$10:$K$13, "&lt;&gt;""") +
    COUNTIFS(MATCH_INPUT!$J$10:$J$13, AA82, MATCH_INPUT!$K$10:$K$13, "&lt;&gt;"&amp;AA82, MATCH_INPUT!$K$10:$K$13, "&lt;&gt;Draw", MATCH_INPUT!$K$10:$K$13, "&lt;&gt;"""),
0)</f>
        <v>0</v>
      </c>
      <c r="AH82" s="21"/>
      <c r="AI82" s="21"/>
      <c r="AJ82" s="30"/>
      <c r="AK82" s="23">
        <f t="shared" si="153"/>
        <v>8</v>
      </c>
      <c r="AL82" s="24" t="str">
        <f t="shared" si="18"/>
        <v>↓</v>
      </c>
      <c r="AM82" s="25"/>
      <c r="AN82" s="26">
        <f t="shared" si="19"/>
        <v>0</v>
      </c>
      <c r="AO82" s="26">
        <f t="shared" si="20"/>
        <v>0</v>
      </c>
      <c r="AP82" s="26">
        <f t="shared" si="21"/>
        <v>0</v>
      </c>
      <c r="AQ82" s="26">
        <f>IF(AM82&lt;&gt;"",
    COUNTIFS(MATCH_INPUT!$K$14:$K$17,AM82),
0)</f>
        <v>0</v>
      </c>
      <c r="AR82" s="26">
        <f>IF(AM82&lt;&gt;"",
    COUNTIFS(MATCH_INPUT!$F$14:$F$17, AM82, MATCH_INPUT!$K$14:$K$17, "Draw") +
    COUNTIFS(MATCH_INPUT!$J$14:$J$17, AM82, MATCH_INPUT!$K$14:$K$17, "Draw"),
0)</f>
        <v>0</v>
      </c>
      <c r="AS82" s="26">
        <f>IF(AM82&lt;&gt;"",
    COUNTIFS(MATCH_INPUT!$F$14:$F$17, AM82, MATCH_INPUT!$K$14:$K$17, "&lt;&gt;"&amp;AM82, MATCH_INPUT!$K$14:$K$17, "&lt;&gt;Draw", MATCH_INPUT!$K$14:$K$17, "&lt;&gt;""") +
    COUNTIFS(MATCH_INPUT!$J$14:$J$17, AM82, MATCH_INPUT!$K$14:$K$17, "&lt;&gt;"&amp;AM82, MATCH_INPUT!$K$14:$K$17, "&lt;&gt;Draw", MATCH_INPUT!$K$14:$K$17, "&lt;&gt;"""),
0)</f>
        <v>0</v>
      </c>
      <c r="AT82" s="27"/>
      <c r="AU82" s="27"/>
      <c r="AV82" s="28"/>
      <c r="AW82" s="26">
        <f t="shared" si="154"/>
        <v>10</v>
      </c>
      <c r="AX82" s="29" t="str">
        <f t="shared" si="23"/>
        <v>↓</v>
      </c>
      <c r="AY82" s="19"/>
      <c r="AZ82" s="23">
        <f t="shared" si="24"/>
        <v>0</v>
      </c>
      <c r="BA82" s="20">
        <f t="shared" si="25"/>
        <v>0</v>
      </c>
      <c r="BB82" s="20">
        <f>SUM(BC82*2) + (BD82*1) + SUMIFS(MATCH_INPUT!$G$18:$G$21, MATCH_INPUT!$F$18:$F$21, AY82) + SUMIFS(MATCH_INPUT!$I$18:$I$21, MATCH_INPUT!$J$18:$J$21, AY82)
</f>
        <v>0</v>
      </c>
      <c r="BC82" s="20">
        <f>IF(AY82&lt;&gt;"",
    COUNTIFS(MATCH_INPUT!$K$18:$K$21,AY82),
0)</f>
        <v>0</v>
      </c>
      <c r="BD82" s="20">
        <f>IF(AY82&lt;&gt;"",
    COUNTIFS(MATCH_INPUT!$F$18:$F$21, AY82, MATCH_INPUT!$K$18:$K$21, "Draw") +
    COUNTIFS(MATCH_INPUT!$J$18:$J$21, AY82, MATCH_INPUT!$K$18:$K$21, "Draw"),
0)</f>
        <v>0</v>
      </c>
      <c r="BE82" s="20">
        <f>IF(AY82&lt;&gt;"",
    COUNTIFS(MATCH_INPUT!$F$18:$F$21, AY82, MATCH_INPUT!$K$18:$K$21, "&lt;&gt;"&amp;AY82, MATCH_INPUT!$K$18:$K$21, "&lt;&gt;Draw", MATCH_INPUT!$K$18:$K$21, "&lt;&gt;""") +
    COUNTIFS(MATCH_INPUT!$J$18:$J$21, AY82, MATCH_INPUT!$K$18:$K$21, "&lt;&gt;"&amp;AY82, MATCH_INPUT!$K$18:$K$21, "&lt;&gt;Draw", MATCH_INPUT!$K$18:$K$21, "&lt;&gt;"""),
0)</f>
        <v>0</v>
      </c>
      <c r="BF82" s="21" t="str">
        <f t="array" ref="BF82">IFERROR(INDEX(Form_Response!E:E, MATCH(1, (Form_Response!C:C='MATCH DATES'!$B$6)*(Form_Response!D:D=B82), 0)), "")
</f>
        <v/>
      </c>
      <c r="BG82" s="21">
        <f t="array" ref="BG82">IFERROR(IF(INDEX(Form_Response!F:F, MATCH(1, (Form_Response!C:C='MATCH DATES'!$B$6)*(Form_Response!D:D=B82), 0))="Yes", 1, 0), 0)
</f>
        <v>0</v>
      </c>
      <c r="BH82" s="30" t="str">
        <f t="array" ref="BH82">IFERROR(INDEX(Form_Response!G:G, MATCH(1, (Form_Response!C:C='MATCH DATES'!$B$6)*(Form_Response!D:D=B82), 0)), "")
</f>
        <v/>
      </c>
      <c r="BI82" s="23">
        <f t="shared" si="155"/>
        <v>11</v>
      </c>
      <c r="BJ82" s="24" t="str">
        <f t="shared" si="27"/>
        <v>↓</v>
      </c>
      <c r="BK82" s="34"/>
      <c r="BL82" s="26">
        <f t="shared" si="28"/>
        <v>0</v>
      </c>
      <c r="BM82" s="26">
        <f t="shared" si="29"/>
        <v>0</v>
      </c>
      <c r="BN82" s="26">
        <f>SUM(BO82*2) + (BP82*1) + SUMIFS(MATCH_INPUT!$G$22:$G$25, MATCH_INPUT!$F$22:$F$25, BK82) + SUMIFS(MATCH_INPUT!$I$22:$I$25, MATCH_INPUT!$J$22:$J$25, BK82)
</f>
        <v>0</v>
      </c>
      <c r="BO82" s="26">
        <f>IF(BK82&lt;&gt;"",
    COUNTIFS(MATCH_INPUT!$K$22:$K$25,BK82),
0)</f>
        <v>0</v>
      </c>
      <c r="BP82" s="26">
        <f>IF(BK82&lt;&gt;"",
    COUNTIFS(MATCH_INPUT!$F$22:$F$25, BK82, MATCH_INPUT!$K$22:$K$25, "Draw") +
    COUNTIFS(MATCH_INPUT!$J$22:$J$25, BK82, MATCH_INPUT!$K$22:$K$25, "Draw"),
0)</f>
        <v>0</v>
      </c>
      <c r="BQ82" s="26">
        <f>IF(BK82&lt;&gt;"",
    COUNTIFS(MATCH_INPUT!$F$22:$F$25, BK82, MATCH_INPUT!$K$22:$K$25, "&lt;&gt;"&amp;BK82, MATCH_INPUT!$K$22:$K$25, "&lt;&gt;Draw", MATCH_INPUT!$K$22:$K$25, "&lt;&gt;""") +
    COUNTIFS(MATCH_INPUT!$J$22:$J$25, BK82, MATCH_INPUT!$K$22:$K$25, "&lt;&gt;"&amp;BK82, MATCH_INPUT!$K$22:$K$25, "&lt;&gt;Draw", MATCH_INPUT!$K$22:$K$25, "&lt;&gt;"""),
0)</f>
        <v>0</v>
      </c>
      <c r="BR82" s="27"/>
      <c r="BS82" s="27"/>
      <c r="BT82" s="28"/>
      <c r="BU82" s="26">
        <f t="shared" si="156"/>
        <v>14</v>
      </c>
      <c r="BV82" s="29" t="str">
        <f t="shared" si="31"/>
        <v>↓</v>
      </c>
      <c r="BW82" s="35"/>
      <c r="BX82" s="23">
        <f t="shared" si="32"/>
        <v>0</v>
      </c>
      <c r="BY82" s="20">
        <f t="shared" si="33"/>
        <v>0</v>
      </c>
      <c r="BZ82" s="20">
        <f>SUM(CA82*2)+(CB82*1) + SUMIFS(MATCH_INPUT!$G$26:$G$29, MATCH_INPUT!$F$26:$F$29, BW82) + SUMIFS(MATCH_INPUT!$I$26:$I$29, MATCH_INPUT!$J$26:$J$29, BW82)
</f>
        <v>0</v>
      </c>
      <c r="CA82" s="20">
        <f>IF(BW82&lt;&gt;"",
    COUNTIFS(MATCH_INPUT!$K$26:$K$29,BW82),
0)</f>
        <v>0</v>
      </c>
      <c r="CB82" s="20">
        <f>IF(BW82&lt;&gt;"",
    COUNTIFS(MATCH_INPUT!$F$26:$F$29, BW82, MATCH_INPUT!$K$26:$K$29, "Draw") +
    COUNTIFS(MATCH_INPUT!$J$26:$J$29, BW82, MATCH_INPUT!$K$26:$K$29, "Draw"),
0)</f>
        <v>0</v>
      </c>
      <c r="CC82" s="20">
        <f>IF(BW82&lt;&gt;"",
    COUNTIFS(MATCH_INPUT!$F$26:$F$29, BW82, MATCH_INPUT!$K$26:$K$29, "&lt;&gt;"&amp;BW82, MATCH_INPUT!$K$26:$K$29, "&lt;&gt;Draw", MATCH_INPUT!$K$26:$K$29, "&lt;&gt;""") +
    COUNTIFS(MATCH_INPUT!$J$26:$J$29, BW82, MATCH_INPUT!$K$26:$K$29, "&lt;&gt;"&amp;BW82, MATCH_INPUT!$K$26:$K$29, "&lt;&gt;Draw", MATCH_INPUT!$K$26:$K$29, "&lt;&gt;"""),
0)</f>
        <v>0</v>
      </c>
      <c r="CD82" s="21"/>
      <c r="CE82" s="21"/>
      <c r="CF82" s="30"/>
      <c r="CG82" s="23">
        <f t="shared" si="157"/>
        <v>15</v>
      </c>
      <c r="CH82" s="24" t="str">
        <f t="shared" si="35"/>
        <v>↓</v>
      </c>
      <c r="CI82" s="25"/>
      <c r="CJ82" s="26">
        <f t="shared" si="36"/>
        <v>0</v>
      </c>
      <c r="CK82" s="26">
        <f t="shared" si="37"/>
        <v>0</v>
      </c>
      <c r="CL82" s="26">
        <f>SUM(CM82*2)+(CN82*1) + SUMIFS(MATCH_INPUT!$G$30:$G$33, MATCH_INPUT!$F$30:$F$33, CI82) + SUMIFS(MATCH_INPUT!$I$30:$I$33, MATCH_INPUT!$J$30:$J$33, CI82)
</f>
        <v>0</v>
      </c>
      <c r="CM82" s="26">
        <f>IF(CI82&lt;&gt;"",
    COUNTIFS(MATCH_INPUT!$K$30:$K$33,CI82),
0)</f>
        <v>0</v>
      </c>
      <c r="CN82" s="26">
        <f>IF(CI82&lt;&gt;"",
    COUNTIFS(MATCH_INPUT!$F$30:$F$33, CI82, MATCH_INPUT!$K$30:$K$33, "Draw") +
    COUNTIFS(MATCH_INPUT!$J$30:$J$33, CI82, MATCH_INPUT!$K$30:$K$33, "Draw"),
0)</f>
        <v>0</v>
      </c>
      <c r="CO82" s="26">
        <f>IF(CI82&lt;&gt;"",
    COUNTIFS(MATCH_INPUT!$F$30:$F$33, CI82, MATCH_INPUT!$K$30:$K$33, "&lt;&gt;"&amp;CI82, MATCH_INPUT!$K$30:$K$33, "&lt;&gt;Draw", MATCH_INPUT!$K$30:$K$33, "&lt;&gt;""") +
    COUNTIFS(MATCH_INPUT!$J$30:$J$33, CI82, MATCH_INPUT!$K$30:$K$33, "&lt;&gt;"&amp;CI82, MATCH_INPUT!$K$30:$K$33, "&lt;&gt;Draw", MATCH_INPUT!$K$30:$K$33, "&lt;&gt;"""),
0)</f>
        <v>0</v>
      </c>
      <c r="CP82" s="27" t="str">
        <f t="array" ref="CP82">IFERROR(INDEX(Form_Response!E:E, MATCH(1, (Form_Response!C:C='MATCH DATES'!$B$9)*(Form_Response!D:D=B82), 0)), "")
</f>
        <v/>
      </c>
      <c r="CQ82" s="27">
        <f t="array" ref="CQ82">IFERROR(IF(INDEX(Form_Response!F:F, MATCH(1, (Form_Response!C:C='MATCH DATES'!$B$9)*(Form_Response!D:D=B82), 0))="Yes", 1, 0), 0)
</f>
        <v>0</v>
      </c>
      <c r="CR82" s="28" t="str">
        <f t="array" ref="CR82">IFERROR(INDEX(Form_Response!G:G, MATCH(1, (Form_Response!C:C='MATCH DATES'!$B$9)*(Form_Response!D:D=B82), 0)), "")
</f>
        <v/>
      </c>
      <c r="CS82" s="31">
        <f t="shared" si="158"/>
        <v>18</v>
      </c>
      <c r="CT82" s="31" t="str">
        <f t="shared" si="39"/>
        <v>↓</v>
      </c>
      <c r="CU82" s="32">
        <f t="shared" si="40"/>
        <v>0</v>
      </c>
      <c r="CV82" s="32" t="str">
        <f t="shared" ref="CV82:CW82" si="285">A82</f>
        <v/>
      </c>
      <c r="CW82" s="33" t="str">
        <f t="shared" si="285"/>
        <v/>
      </c>
      <c r="CX82" s="33">
        <f t="shared" si="42"/>
        <v>0</v>
      </c>
      <c r="CY82" s="32">
        <f>SUM(
  IF(AND('MATCH DATES'!$A$2 &lt;= TODAY(), NOW() &gt;= 'MATCH DATES'!$A$2 + TIME(22, 0, 0)), E82, 0),
  IF(AND('MATCH DATES'!$A$3 &lt;= TODAY(), NOW() &gt;= 'MATCH DATES'!$A$3 + TIME(22, 0, 0)), Q82, 0),
  IF(AND('MATCH DATES'!$A$4 &lt;= TODAY(), NOW() &gt;= 'MATCH DATES'!$A$4 + TIME(22, 0, 0)), AC82, 0),
  IF(AND('MATCH DATES'!$A$5 &lt;= TODAY(), NOW() &gt;= 'MATCH DATES'!$A$5 + TIME(22, 0, 0)), AO82, 0),
  IF(AND('MATCH DATES'!$A$6 &lt;= TODAY(), NOW() &gt;= 'MATCH DATES'!$A$6 + TIME(22, 0, 0)), BA82, 0),
  IF(AND('MATCH DATES'!$A$7 &lt;= TODAY(), NOW() &gt;= 'MATCH DATES'!$A$7 + TIME(22, 0, 0)), BM82, 0),
  IF(AND('MATCH DATES'!$A$8 &lt;= TODAY(), NOW() &gt;= 'MATCH DATES'!$A$8 + TIME(22, 0, 0)), BY82, 0),
  IF(AND('MATCH DATES'!$A$9 &lt;= TODAY(), NOW() &gt;= 'MATCH DATES'!$A$9 + TIME(22, 0, 0)), CK82, 0)
)
</f>
        <v>0</v>
      </c>
      <c r="CZ82" s="33">
        <f t="shared" ref="CZ82:DA82" si="286">SUM(G82,S82,AE82,AQ82,BC82,BO82,CA82,CM82)</f>
        <v>0</v>
      </c>
      <c r="DA82" s="33">
        <f t="shared" si="286"/>
        <v>0</v>
      </c>
      <c r="DB82" s="33">
        <f>SUM(
  IF(AND('MATCH DATES'!$A$2 &lt;= TODAY(), NOW() &gt;= 'MATCH DATES'!$A$2 + TIME(22, 0, 0)), I82, 0),
  IF(AND('MATCH DATES'!$A$3 &lt;= TODAY(), NOW() &gt;= 'MATCH DATES'!$A$3 + TIME(22, 0, 0)), U82, 0),
  IF(AND('MATCH DATES'!$A$4 &lt;= TODAY(), NOW() &gt;= 'MATCH DATES'!$A$4 + TIME(22, 0, 0)), AG82, 0),
  IF(AND('MATCH DATES'!$A$5 &lt;= TODAY(), NOW() &gt;= 'MATCH DATES'!$A$5 + TIME(22, 0, 0)), AS82, 0),
  IF(AND('MATCH DATES'!$A$6 &lt;= TODAY(), NOW() &gt;= 'MATCH DATES'!$A$6 + TIME(22, 0, 0)), BE82, 0),
  IF(AND('MATCH DATES'!$A$7 &lt;= TODAY(), NOW() &gt;= 'MATCH DATES'!$A$7 + TIME(22, 0, 0)), BQ82, 0),
  IF(AND('MATCH DATES'!$A$8 &lt;= TODAY(), NOW() &gt;= 'MATCH DATES'!$A$8 + TIME(22, 0, 0)), CC82, 0),
  IF(AND('MATCH DATES'!$A$9 &lt;= TODAY(), NOW() &gt;= 'MATCH DATES'!$A$9 + TIME(22, 0, 0)), CO82, 0)
)</f>
        <v>0</v>
      </c>
      <c r="DC82" s="33">
        <f t="shared" si="44"/>
        <v>0</v>
      </c>
      <c r="DD82" s="33">
        <f t="shared" ref="DD82:DE82" si="287">SUM(K82,W82,AI82,AU82,BG82,BS82,CE82,CQ82)</f>
        <v>0</v>
      </c>
      <c r="DE82" s="33">
        <f t="shared" si="287"/>
        <v>0</v>
      </c>
    </row>
    <row r="83" ht="24.75" customHeight="1">
      <c r="A83" s="31"/>
      <c r="B83" s="39"/>
      <c r="C83" s="35"/>
      <c r="D83" s="20">
        <f t="shared" si="4"/>
        <v>0</v>
      </c>
      <c r="E83" s="20">
        <f t="shared" si="5"/>
        <v>0</v>
      </c>
      <c r="F83" s="20">
        <f t="shared" si="6"/>
        <v>0</v>
      </c>
      <c r="G83" s="20">
        <f>IF(C83&lt;&gt;"",
    COUNTIFS(MATCH_INPUT!$K$2:$K$5,C83),
0)</f>
        <v>0</v>
      </c>
      <c r="H83" s="20">
        <f>IF(C83&lt;&gt;"",
    COUNTIFS(MATCH_INPUT!$F$2:$F$5, C83, MATCH_INPUT!$K$2:$K$5, "Draw") +
    COUNTIFS(MATCH_INPUT!$J$2:$J$5, C83, MATCH_INPUT!$K$2:$K$5, "Draw"),
0)</f>
        <v>0</v>
      </c>
      <c r="I83" s="20">
        <f>IF(C83&lt;&gt;"",
    COUNTIFS(MATCH_INPUT!$F$2:$F$5, C83, MATCH_INPUT!$K$2:$K$5, "&lt;&gt;"&amp;C83, MATCH_INPUT!$K$2:$K$5, "&lt;&gt;Draw", MATCH_INPUT!$K$2:$K$5, "&lt;&gt;""") +
    COUNTIFS(MATCH_INPUT!$J$2:$J$5, C83, MATCH_INPUT!$K$2:$K$5, "&lt;&gt;"&amp;C83, MATCH_INPUT!$K$2:$K$5, "&lt;&gt;Draw", MATCH_INPUT!$K$2:$K$5, "&lt;&gt;"""),
0)</f>
        <v>0</v>
      </c>
      <c r="J83" s="21"/>
      <c r="K83" s="21"/>
      <c r="L83" s="22"/>
      <c r="M83" s="23">
        <f t="shared" si="151"/>
        <v>4</v>
      </c>
      <c r="N83" s="24" t="str">
        <f t="shared" si="8"/>
        <v>↓</v>
      </c>
      <c r="O83" s="25"/>
      <c r="P83" s="26">
        <f t="shared" si="9"/>
        <v>0</v>
      </c>
      <c r="Q83" s="26">
        <f t="shared" si="10"/>
        <v>0</v>
      </c>
      <c r="R83" s="26">
        <f t="shared" si="11"/>
        <v>0</v>
      </c>
      <c r="S83" s="26">
        <f>IF(O83&lt;&gt;"",
    COUNTIFS(MATCH_INPUT!$K$6:$K$9,O83),
0)</f>
        <v>0</v>
      </c>
      <c r="T83" s="26">
        <f>IF(O83&lt;&gt;"",
    COUNTIFS(MATCH_INPUT!$F$6:$F$9, O83, MATCH_INPUT!$K$6:$K$9, "Draw") +
    COUNTIFS(MATCH_INPUT!$J$6:$J$9, O83, MATCH_INPUT!$K$6:$K$9, "Draw"),
0)</f>
        <v>0</v>
      </c>
      <c r="U83" s="26">
        <f>IF(O83&lt;&gt;"",
    COUNTIFS(MATCH_INPUT!$F$6:$F$9, O83, MATCH_INPUT!$K$6:$K$9, "&lt;&gt;"&amp;O83, MATCH_INPUT!$K$6:$K$9, "&lt;&gt;Draw", MATCH_INPUT!$K$6:$K$9, "&lt;&gt;""") +
    COUNTIFS(MATCH_INPUT!$J$6:$J$9, O83, MATCH_INPUT!$K$6:$K$9, "&lt;&gt;"&amp;O83, MATCH_INPUT!$K$6:$K$9, "&lt;&gt;Draw", MATCH_INPUT!$K$6:$K$9, "&lt;&gt;"""),
0)</f>
        <v>0</v>
      </c>
      <c r="V83" s="27"/>
      <c r="W83" s="27"/>
      <c r="X83" s="28"/>
      <c r="Y83" s="26">
        <f t="shared" si="152"/>
        <v>7</v>
      </c>
      <c r="Z83" s="29" t="str">
        <f t="shared" si="13"/>
        <v>↓</v>
      </c>
      <c r="AA83" s="19"/>
      <c r="AB83" s="23">
        <f t="shared" si="14"/>
        <v>0</v>
      </c>
      <c r="AC83" s="20">
        <f t="shared" si="15"/>
        <v>0</v>
      </c>
      <c r="AD83" s="20">
        <f t="shared" si="16"/>
        <v>0</v>
      </c>
      <c r="AE83" s="20">
        <f>IF(AA83&lt;&gt;"",
    COUNTIFS(MATCH_INPUT!$K$10:$K$13,AA83),
0)</f>
        <v>0</v>
      </c>
      <c r="AF83" s="20">
        <f>IF(AA83&lt;&gt;"",
    COUNTIFS(MATCH_INPUT!$F$10:$F$13, AA83, MATCH_INPUT!$K$10:$K$13, "Draw") +
    COUNTIFS(MATCH_INPUT!$J$10:$J$13, AA83, MATCH_INPUT!$K$10:$K$13, "Draw"),
0)</f>
        <v>0</v>
      </c>
      <c r="AG83" s="20">
        <f>IF(AA83&lt;&gt;"",
    COUNTIFS(MATCH_INPUT!$F$10:$F$13, AA83, MATCH_INPUT!$K$10:$K$13, "&lt;&gt;"&amp;AA83, MATCH_INPUT!$K$10:$K$13, "&lt;&gt;Draw", MATCH_INPUT!$K$10:$K$13, "&lt;&gt;""") +
    COUNTIFS(MATCH_INPUT!$J$10:$J$13, AA83, MATCH_INPUT!$K$10:$K$13, "&lt;&gt;"&amp;AA83, MATCH_INPUT!$K$10:$K$13, "&lt;&gt;Draw", MATCH_INPUT!$K$10:$K$13, "&lt;&gt;"""),
0)</f>
        <v>0</v>
      </c>
      <c r="AH83" s="21"/>
      <c r="AI83" s="21"/>
      <c r="AJ83" s="30"/>
      <c r="AK83" s="23">
        <f t="shared" si="153"/>
        <v>8</v>
      </c>
      <c r="AL83" s="24" t="str">
        <f t="shared" si="18"/>
        <v>↓</v>
      </c>
      <c r="AM83" s="25"/>
      <c r="AN83" s="26">
        <f t="shared" si="19"/>
        <v>0</v>
      </c>
      <c r="AO83" s="26">
        <f t="shared" si="20"/>
        <v>0</v>
      </c>
      <c r="AP83" s="26">
        <f t="shared" si="21"/>
        <v>0</v>
      </c>
      <c r="AQ83" s="26">
        <f>IF(AM83&lt;&gt;"",
    COUNTIFS(MATCH_INPUT!$K$14:$K$17,AM83),
0)</f>
        <v>0</v>
      </c>
      <c r="AR83" s="26">
        <f>IF(AM83&lt;&gt;"",
    COUNTIFS(MATCH_INPUT!$F$14:$F$17, AM83, MATCH_INPUT!$K$14:$K$17, "Draw") +
    COUNTIFS(MATCH_INPUT!$J$14:$J$17, AM83, MATCH_INPUT!$K$14:$K$17, "Draw"),
0)</f>
        <v>0</v>
      </c>
      <c r="AS83" s="26">
        <f>IF(AM83&lt;&gt;"",
    COUNTIFS(MATCH_INPUT!$F$14:$F$17, AM83, MATCH_INPUT!$K$14:$K$17, "&lt;&gt;"&amp;AM83, MATCH_INPUT!$K$14:$K$17, "&lt;&gt;Draw", MATCH_INPUT!$K$14:$K$17, "&lt;&gt;""") +
    COUNTIFS(MATCH_INPUT!$J$14:$J$17, AM83, MATCH_INPUT!$K$14:$K$17, "&lt;&gt;"&amp;AM83, MATCH_INPUT!$K$14:$K$17, "&lt;&gt;Draw", MATCH_INPUT!$K$14:$K$17, "&lt;&gt;"""),
0)</f>
        <v>0</v>
      </c>
      <c r="AT83" s="27"/>
      <c r="AU83" s="27"/>
      <c r="AV83" s="28"/>
      <c r="AW83" s="26">
        <f t="shared" si="154"/>
        <v>10</v>
      </c>
      <c r="AX83" s="29" t="str">
        <f t="shared" si="23"/>
        <v>↓</v>
      </c>
      <c r="AY83" s="19"/>
      <c r="AZ83" s="23">
        <f t="shared" si="24"/>
        <v>0</v>
      </c>
      <c r="BA83" s="20">
        <f t="shared" si="25"/>
        <v>0</v>
      </c>
      <c r="BB83" s="20">
        <f>SUM(BC83*2) + (BD83*1) + SUMIFS(MATCH_INPUT!$G$18:$G$21, MATCH_INPUT!$F$18:$F$21, AY83) + SUMIFS(MATCH_INPUT!$I$18:$I$21, MATCH_INPUT!$J$18:$J$21, AY83)
</f>
        <v>0</v>
      </c>
      <c r="BC83" s="20">
        <f>IF(AY83&lt;&gt;"",
    COUNTIFS(MATCH_INPUT!$K$18:$K$21,AY83),
0)</f>
        <v>0</v>
      </c>
      <c r="BD83" s="20">
        <f>IF(AY83&lt;&gt;"",
    COUNTIFS(MATCH_INPUT!$F$18:$F$21, AY83, MATCH_INPUT!$K$18:$K$21, "Draw") +
    COUNTIFS(MATCH_INPUT!$J$18:$J$21, AY83, MATCH_INPUT!$K$18:$K$21, "Draw"),
0)</f>
        <v>0</v>
      </c>
      <c r="BE83" s="20">
        <f>IF(AY83&lt;&gt;"",
    COUNTIFS(MATCH_INPUT!$F$18:$F$21, AY83, MATCH_INPUT!$K$18:$K$21, "&lt;&gt;"&amp;AY83, MATCH_INPUT!$K$18:$K$21, "&lt;&gt;Draw", MATCH_INPUT!$K$18:$K$21, "&lt;&gt;""") +
    COUNTIFS(MATCH_INPUT!$J$18:$J$21, AY83, MATCH_INPUT!$K$18:$K$21, "&lt;&gt;"&amp;AY83, MATCH_INPUT!$K$18:$K$21, "&lt;&gt;Draw", MATCH_INPUT!$K$18:$K$21, "&lt;&gt;"""),
0)</f>
        <v>0</v>
      </c>
      <c r="BF83" s="21" t="str">
        <f t="array" ref="BF83">IFERROR(INDEX(Form_Response!E:E, MATCH(1, (Form_Response!C:C='MATCH DATES'!$B$6)*(Form_Response!D:D=B83), 0)), "")
</f>
        <v/>
      </c>
      <c r="BG83" s="21">
        <f t="array" ref="BG83">IFERROR(IF(INDEX(Form_Response!F:F, MATCH(1, (Form_Response!C:C='MATCH DATES'!$B$6)*(Form_Response!D:D=B83), 0))="Yes", 1, 0), 0)
</f>
        <v>0</v>
      </c>
      <c r="BH83" s="30" t="str">
        <f t="array" ref="BH83">IFERROR(INDEX(Form_Response!G:G, MATCH(1, (Form_Response!C:C='MATCH DATES'!$B$6)*(Form_Response!D:D=B83), 0)), "")
</f>
        <v/>
      </c>
      <c r="BI83" s="23">
        <f t="shared" si="155"/>
        <v>11</v>
      </c>
      <c r="BJ83" s="24" t="str">
        <f t="shared" si="27"/>
        <v>↓</v>
      </c>
      <c r="BK83" s="34"/>
      <c r="BL83" s="26">
        <f t="shared" si="28"/>
        <v>0</v>
      </c>
      <c r="BM83" s="26">
        <f t="shared" si="29"/>
        <v>0</v>
      </c>
      <c r="BN83" s="26">
        <f>SUM(BO83*2) + (BP83*1) + SUMIFS(MATCH_INPUT!$G$22:$G$25, MATCH_INPUT!$F$22:$F$25, BK83) + SUMIFS(MATCH_INPUT!$I$22:$I$25, MATCH_INPUT!$J$22:$J$25, BK83)
</f>
        <v>0</v>
      </c>
      <c r="BO83" s="26">
        <f>IF(BK83&lt;&gt;"",
    COUNTIFS(MATCH_INPUT!$K$22:$K$25,BK83),
0)</f>
        <v>0</v>
      </c>
      <c r="BP83" s="26">
        <f>IF(BK83&lt;&gt;"",
    COUNTIFS(MATCH_INPUT!$F$22:$F$25, BK83, MATCH_INPUT!$K$22:$K$25, "Draw") +
    COUNTIFS(MATCH_INPUT!$J$22:$J$25, BK83, MATCH_INPUT!$K$22:$K$25, "Draw"),
0)</f>
        <v>0</v>
      </c>
      <c r="BQ83" s="26">
        <f>IF(BK83&lt;&gt;"",
    COUNTIFS(MATCH_INPUT!$F$22:$F$25, BK83, MATCH_INPUT!$K$22:$K$25, "&lt;&gt;"&amp;BK83, MATCH_INPUT!$K$22:$K$25, "&lt;&gt;Draw", MATCH_INPUT!$K$22:$K$25, "&lt;&gt;""") +
    COUNTIFS(MATCH_INPUT!$J$22:$J$25, BK83, MATCH_INPUT!$K$22:$K$25, "&lt;&gt;"&amp;BK83, MATCH_INPUT!$K$22:$K$25, "&lt;&gt;Draw", MATCH_INPUT!$K$22:$K$25, "&lt;&gt;"""),
0)</f>
        <v>0</v>
      </c>
      <c r="BR83" s="27"/>
      <c r="BS83" s="27"/>
      <c r="BT83" s="28"/>
      <c r="BU83" s="26">
        <f t="shared" si="156"/>
        <v>14</v>
      </c>
      <c r="BV83" s="29" t="str">
        <f t="shared" si="31"/>
        <v>↓</v>
      </c>
      <c r="BW83" s="35"/>
      <c r="BX83" s="23">
        <f t="shared" si="32"/>
        <v>0</v>
      </c>
      <c r="BY83" s="20">
        <f t="shared" si="33"/>
        <v>0</v>
      </c>
      <c r="BZ83" s="20">
        <f>SUM(CA83*2)+(CB83*1) + SUMIFS(MATCH_INPUT!$G$26:$G$29, MATCH_INPUT!$F$26:$F$29, BW83) + SUMIFS(MATCH_INPUT!$I$26:$I$29, MATCH_INPUT!$J$26:$J$29, BW83)
</f>
        <v>0</v>
      </c>
      <c r="CA83" s="20">
        <f>IF(BW83&lt;&gt;"",
    COUNTIFS(MATCH_INPUT!$K$26:$K$29,BW83),
0)</f>
        <v>0</v>
      </c>
      <c r="CB83" s="20">
        <f>IF(BW83&lt;&gt;"",
    COUNTIFS(MATCH_INPUT!$F$26:$F$29, BW83, MATCH_INPUT!$K$26:$K$29, "Draw") +
    COUNTIFS(MATCH_INPUT!$J$26:$J$29, BW83, MATCH_INPUT!$K$26:$K$29, "Draw"),
0)</f>
        <v>0</v>
      </c>
      <c r="CC83" s="20">
        <f>IF(BW83&lt;&gt;"",
    COUNTIFS(MATCH_INPUT!$F$26:$F$29, BW83, MATCH_INPUT!$K$26:$K$29, "&lt;&gt;"&amp;BW83, MATCH_INPUT!$K$26:$K$29, "&lt;&gt;Draw", MATCH_INPUT!$K$26:$K$29, "&lt;&gt;""") +
    COUNTIFS(MATCH_INPUT!$J$26:$J$29, BW83, MATCH_INPUT!$K$26:$K$29, "&lt;&gt;"&amp;BW83, MATCH_INPUT!$K$26:$K$29, "&lt;&gt;Draw", MATCH_INPUT!$K$26:$K$29, "&lt;&gt;"""),
0)</f>
        <v>0</v>
      </c>
      <c r="CD83" s="21"/>
      <c r="CE83" s="21"/>
      <c r="CF83" s="30"/>
      <c r="CG83" s="23">
        <f t="shared" si="157"/>
        <v>15</v>
      </c>
      <c r="CH83" s="24" t="str">
        <f t="shared" si="35"/>
        <v>↓</v>
      </c>
      <c r="CI83" s="25"/>
      <c r="CJ83" s="26">
        <f t="shared" ref="CJ83:CJ98" si="291">SUM(CK83:CL83)+CQ83</f>
        <v>0</v>
      </c>
      <c r="CK83" s="26">
        <f t="shared" si="37"/>
        <v>0</v>
      </c>
      <c r="CL83" s="26">
        <f>SUM(CM83*2)+(CN83*1) + SUMIFS(MATCH_INPUT!$G$30:$G$33, MATCH_INPUT!$F$30:$F$33, CI83) + SUMIFS(MATCH_INPUT!$I$30:$I$33, MATCH_INPUT!$J$30:$J$33, CI83)
</f>
        <v>0</v>
      </c>
      <c r="CM83" s="26">
        <f>IF(CI83&lt;&gt;"",
    COUNTIFS(MATCH_INPUT!$K$30:$K$33,CI83),
0)</f>
        <v>0</v>
      </c>
      <c r="CN83" s="26">
        <f>IF(CI83&lt;&gt;"",
    COUNTIFS(MATCH_INPUT!$F$30:$F$33, CI83, MATCH_INPUT!$K$30:$K$33, "Draw") +
    COUNTIFS(MATCH_INPUT!$J$30:$J$33, CI83, MATCH_INPUT!$K$30:$K$33, "Draw"),
0)</f>
        <v>0</v>
      </c>
      <c r="CO83" s="26">
        <f>IF(CI83&lt;&gt;"",
    COUNTIFS(MATCH_INPUT!$F$30:$F$33, CI83, MATCH_INPUT!$K$30:$K$33, "&lt;&gt;"&amp;CI83, MATCH_INPUT!$K$30:$K$33, "&lt;&gt;Draw", MATCH_INPUT!$K$30:$K$33, "&lt;&gt;""") +
    COUNTIFS(MATCH_INPUT!$J$30:$J$33, CI83, MATCH_INPUT!$K$30:$K$33, "&lt;&gt;"&amp;CI83, MATCH_INPUT!$K$30:$K$33, "&lt;&gt;Draw", MATCH_INPUT!$K$30:$K$33, "&lt;&gt;"""),
0)</f>
        <v>0</v>
      </c>
      <c r="CP83" s="27" t="str">
        <f t="array" ref="CP83">IFERROR(INDEX(Form_Response!E:E, MATCH(1, (Form_Response!C:C='MATCH DATES'!$B$9)*(Form_Response!D:D=B83), 0)), "")
</f>
        <v/>
      </c>
      <c r="CQ83" s="27">
        <f t="array" ref="CQ83">IFERROR(IF(INDEX(Form_Response!F:F, MATCH(1, (Form_Response!C:C='MATCH DATES'!$B$9)*(Form_Response!D:D=B83), 0))="Yes", 1, 0), 0)
</f>
        <v>0</v>
      </c>
      <c r="CR83" s="28" t="str">
        <f t="array" ref="CR83">IFERROR(INDEX(Form_Response!G:G, MATCH(1, (Form_Response!C:C='MATCH DATES'!$B$9)*(Form_Response!D:D=B83), 0)), "")
</f>
        <v/>
      </c>
      <c r="CS83" s="31">
        <f t="shared" si="158"/>
        <v>18</v>
      </c>
      <c r="CT83" s="31" t="str">
        <f t="shared" si="39"/>
        <v>↓</v>
      </c>
      <c r="CU83" s="32">
        <f t="shared" si="40"/>
        <v>0</v>
      </c>
      <c r="CV83" s="32" t="str">
        <f t="shared" ref="CV83:CW83" si="288">A83</f>
        <v/>
      </c>
      <c r="CW83" s="33" t="str">
        <f t="shared" si="288"/>
        <v/>
      </c>
      <c r="CX83" s="33">
        <f t="shared" si="42"/>
        <v>0</v>
      </c>
      <c r="CY83" s="32">
        <f>SUM(
  IF(AND('MATCH DATES'!$A$2 &lt;= TODAY(), NOW() &gt;= 'MATCH DATES'!$A$2 + TIME(22, 0, 0)), E83, 0),
  IF(AND('MATCH DATES'!$A$3 &lt;= TODAY(), NOW() &gt;= 'MATCH DATES'!$A$3 + TIME(22, 0, 0)), Q83, 0),
  IF(AND('MATCH DATES'!$A$4 &lt;= TODAY(), NOW() &gt;= 'MATCH DATES'!$A$4 + TIME(22, 0, 0)), AC83, 0),
  IF(AND('MATCH DATES'!$A$5 &lt;= TODAY(), NOW() &gt;= 'MATCH DATES'!$A$5 + TIME(22, 0, 0)), AO83, 0),
  IF(AND('MATCH DATES'!$A$6 &lt;= TODAY(), NOW() &gt;= 'MATCH DATES'!$A$6 + TIME(22, 0, 0)), BA83, 0),
  IF(AND('MATCH DATES'!$A$7 &lt;= TODAY(), NOW() &gt;= 'MATCH DATES'!$A$7 + TIME(22, 0, 0)), BM83, 0),
  IF(AND('MATCH DATES'!$A$8 &lt;= TODAY(), NOW() &gt;= 'MATCH DATES'!$A$8 + TIME(22, 0, 0)), BY83, 0),
  IF(AND('MATCH DATES'!$A$9 &lt;= TODAY(), NOW() &gt;= 'MATCH DATES'!$A$9 + TIME(22, 0, 0)), CK83, 0)
)
</f>
        <v>0</v>
      </c>
      <c r="CZ83" s="33">
        <f t="shared" ref="CZ83:DA83" si="289">SUM(G83,S83,AE83,AQ83,BC83,BO83,CA83,CM83)</f>
        <v>0</v>
      </c>
      <c r="DA83" s="33">
        <f t="shared" si="289"/>
        <v>0</v>
      </c>
      <c r="DB83" s="33">
        <f>SUM(
  IF(AND('MATCH DATES'!$A$2 &lt;= TODAY(), NOW() &gt;= 'MATCH DATES'!$A$2 + TIME(22, 0, 0)), I83, 0),
  IF(AND('MATCH DATES'!$A$3 &lt;= TODAY(), NOW() &gt;= 'MATCH DATES'!$A$3 + TIME(22, 0, 0)), U83, 0),
  IF(AND('MATCH DATES'!$A$4 &lt;= TODAY(), NOW() &gt;= 'MATCH DATES'!$A$4 + TIME(22, 0, 0)), AG83, 0),
  IF(AND('MATCH DATES'!$A$5 &lt;= TODAY(), NOW() &gt;= 'MATCH DATES'!$A$5 + TIME(22, 0, 0)), AS83, 0),
  IF(AND('MATCH DATES'!$A$6 &lt;= TODAY(), NOW() &gt;= 'MATCH DATES'!$A$6 + TIME(22, 0, 0)), BE83, 0),
  IF(AND('MATCH DATES'!$A$7 &lt;= TODAY(), NOW() &gt;= 'MATCH DATES'!$A$7 + TIME(22, 0, 0)), BQ83, 0),
  IF(AND('MATCH DATES'!$A$8 &lt;= TODAY(), NOW() &gt;= 'MATCH DATES'!$A$8 + TIME(22, 0, 0)), CC83, 0),
  IF(AND('MATCH DATES'!$A$9 &lt;= TODAY(), NOW() &gt;= 'MATCH DATES'!$A$9 + TIME(22, 0, 0)), CO83, 0)
)</f>
        <v>0</v>
      </c>
      <c r="DC83" s="33">
        <f t="shared" si="44"/>
        <v>0</v>
      </c>
      <c r="DD83" s="33">
        <f t="shared" ref="DD83:DE83" si="290">SUM(K83,W83,AI83,AU83,BG83,BS83,CE83,CQ83)</f>
        <v>0</v>
      </c>
      <c r="DE83" s="33">
        <f t="shared" si="290"/>
        <v>0</v>
      </c>
    </row>
    <row r="84" ht="24.75" customHeight="1">
      <c r="A84" s="31"/>
      <c r="B84" s="39"/>
      <c r="C84" s="35"/>
      <c r="D84" s="20">
        <f t="shared" si="4"/>
        <v>0</v>
      </c>
      <c r="E84" s="20">
        <f t="shared" si="5"/>
        <v>0</v>
      </c>
      <c r="F84" s="20">
        <f t="shared" si="6"/>
        <v>0</v>
      </c>
      <c r="G84" s="20">
        <f>IF(C84&lt;&gt;"",
    COUNTIFS(MATCH_INPUT!$K$2:$K$5,C84),
0)</f>
        <v>0</v>
      </c>
      <c r="H84" s="20">
        <f>IF(C84&lt;&gt;"",
    COUNTIFS(MATCH_INPUT!$F$2:$F$5, C84, MATCH_INPUT!$K$2:$K$5, "Draw") +
    COUNTIFS(MATCH_INPUT!$J$2:$J$5, C84, MATCH_INPUT!$K$2:$K$5, "Draw"),
0)</f>
        <v>0</v>
      </c>
      <c r="I84" s="20">
        <f>IF(C84&lt;&gt;"",
    COUNTIFS(MATCH_INPUT!$F$2:$F$5, C84, MATCH_INPUT!$K$2:$K$5, "&lt;&gt;"&amp;C84, MATCH_INPUT!$K$2:$K$5, "&lt;&gt;Draw", MATCH_INPUT!$K$2:$K$5, "&lt;&gt;""") +
    COUNTIFS(MATCH_INPUT!$J$2:$J$5, C84, MATCH_INPUT!$K$2:$K$5, "&lt;&gt;"&amp;C84, MATCH_INPUT!$K$2:$K$5, "&lt;&gt;Draw", MATCH_INPUT!$K$2:$K$5, "&lt;&gt;"""),
0)</f>
        <v>0</v>
      </c>
      <c r="J84" s="21"/>
      <c r="K84" s="21"/>
      <c r="L84" s="22"/>
      <c r="M84" s="23">
        <f t="shared" si="151"/>
        <v>4</v>
      </c>
      <c r="N84" s="24" t="str">
        <f t="shared" si="8"/>
        <v>↓</v>
      </c>
      <c r="O84" s="25"/>
      <c r="P84" s="26">
        <f t="shared" si="9"/>
        <v>0</v>
      </c>
      <c r="Q84" s="26">
        <f t="shared" si="10"/>
        <v>0</v>
      </c>
      <c r="R84" s="26">
        <f t="shared" si="11"/>
        <v>0</v>
      </c>
      <c r="S84" s="26">
        <f>IF(O84&lt;&gt;"",
    COUNTIFS(MATCH_INPUT!$K$6:$K$9,O84),
0)</f>
        <v>0</v>
      </c>
      <c r="T84" s="26">
        <f>IF(O84&lt;&gt;"",
    COUNTIFS(MATCH_INPUT!$F$6:$F$9, O84, MATCH_INPUT!$K$6:$K$9, "Draw") +
    COUNTIFS(MATCH_INPUT!$J$6:$J$9, O84, MATCH_INPUT!$K$6:$K$9, "Draw"),
0)</f>
        <v>0</v>
      </c>
      <c r="U84" s="26">
        <f>IF(O84&lt;&gt;"",
    COUNTIFS(MATCH_INPUT!$F$6:$F$9, O84, MATCH_INPUT!$K$6:$K$9, "&lt;&gt;"&amp;O84, MATCH_INPUT!$K$6:$K$9, "&lt;&gt;Draw", MATCH_INPUT!$K$6:$K$9, "&lt;&gt;""") +
    COUNTIFS(MATCH_INPUT!$J$6:$J$9, O84, MATCH_INPUT!$K$6:$K$9, "&lt;&gt;"&amp;O84, MATCH_INPUT!$K$6:$K$9, "&lt;&gt;Draw", MATCH_INPUT!$K$6:$K$9, "&lt;&gt;"""),
0)</f>
        <v>0</v>
      </c>
      <c r="V84" s="27"/>
      <c r="W84" s="27"/>
      <c r="X84" s="28"/>
      <c r="Y84" s="26">
        <f t="shared" si="152"/>
        <v>7</v>
      </c>
      <c r="Z84" s="29" t="str">
        <f t="shared" si="13"/>
        <v>↓</v>
      </c>
      <c r="AA84" s="19"/>
      <c r="AB84" s="23">
        <f t="shared" si="14"/>
        <v>0</v>
      </c>
      <c r="AC84" s="20">
        <f t="shared" si="15"/>
        <v>0</v>
      </c>
      <c r="AD84" s="20">
        <f t="shared" si="16"/>
        <v>0</v>
      </c>
      <c r="AE84" s="20">
        <f>IF(AA84&lt;&gt;"",
    COUNTIFS(MATCH_INPUT!$K$10:$K$13,AA84),
0)</f>
        <v>0</v>
      </c>
      <c r="AF84" s="20">
        <f>IF(AA84&lt;&gt;"",
    COUNTIFS(MATCH_INPUT!$F$10:$F$13, AA84, MATCH_INPUT!$K$10:$K$13, "Draw") +
    COUNTIFS(MATCH_INPUT!$J$10:$J$13, AA84, MATCH_INPUT!$K$10:$K$13, "Draw"),
0)</f>
        <v>0</v>
      </c>
      <c r="AG84" s="20">
        <f>IF(AA84&lt;&gt;"",
    COUNTIFS(MATCH_INPUT!$F$10:$F$13, AA84, MATCH_INPUT!$K$10:$K$13, "&lt;&gt;"&amp;AA84, MATCH_INPUT!$K$10:$K$13, "&lt;&gt;Draw", MATCH_INPUT!$K$10:$K$13, "&lt;&gt;""") +
    COUNTIFS(MATCH_INPUT!$J$10:$J$13, AA84, MATCH_INPUT!$K$10:$K$13, "&lt;&gt;"&amp;AA84, MATCH_INPUT!$K$10:$K$13, "&lt;&gt;Draw", MATCH_INPUT!$K$10:$K$13, "&lt;&gt;"""),
0)</f>
        <v>0</v>
      </c>
      <c r="AH84" s="21"/>
      <c r="AI84" s="21"/>
      <c r="AJ84" s="30"/>
      <c r="AK84" s="23">
        <f t="shared" si="153"/>
        <v>8</v>
      </c>
      <c r="AL84" s="24" t="str">
        <f t="shared" si="18"/>
        <v>↓</v>
      </c>
      <c r="AM84" s="25"/>
      <c r="AN84" s="26">
        <f t="shared" si="19"/>
        <v>0</v>
      </c>
      <c r="AO84" s="26">
        <f t="shared" si="20"/>
        <v>0</v>
      </c>
      <c r="AP84" s="26">
        <f t="shared" si="21"/>
        <v>0</v>
      </c>
      <c r="AQ84" s="26">
        <f>IF(AM84&lt;&gt;"",
    COUNTIFS(MATCH_INPUT!$K$14:$K$17,AM84),
0)</f>
        <v>0</v>
      </c>
      <c r="AR84" s="26">
        <f>IF(AM84&lt;&gt;"",
    COUNTIFS(MATCH_INPUT!$F$14:$F$17, AM84, MATCH_INPUT!$K$14:$K$17, "Draw") +
    COUNTIFS(MATCH_INPUT!$J$14:$J$17, AM84, MATCH_INPUT!$K$14:$K$17, "Draw"),
0)</f>
        <v>0</v>
      </c>
      <c r="AS84" s="26">
        <f>IF(AM84&lt;&gt;"",
    COUNTIFS(MATCH_INPUT!$F$14:$F$17, AM84, MATCH_INPUT!$K$14:$K$17, "&lt;&gt;"&amp;AM84, MATCH_INPUT!$K$14:$K$17, "&lt;&gt;Draw", MATCH_INPUT!$K$14:$K$17, "&lt;&gt;""") +
    COUNTIFS(MATCH_INPUT!$J$14:$J$17, AM84, MATCH_INPUT!$K$14:$K$17, "&lt;&gt;"&amp;AM84, MATCH_INPUT!$K$14:$K$17, "&lt;&gt;Draw", MATCH_INPUT!$K$14:$K$17, "&lt;&gt;"""),
0)</f>
        <v>0</v>
      </c>
      <c r="AT84" s="27"/>
      <c r="AU84" s="27"/>
      <c r="AV84" s="28"/>
      <c r="AW84" s="26">
        <f t="shared" si="154"/>
        <v>10</v>
      </c>
      <c r="AX84" s="29" t="str">
        <f t="shared" si="23"/>
        <v>↓</v>
      </c>
      <c r="AY84" s="19"/>
      <c r="AZ84" s="23">
        <f t="shared" si="24"/>
        <v>0</v>
      </c>
      <c r="BA84" s="20">
        <f t="shared" si="25"/>
        <v>0</v>
      </c>
      <c r="BB84" s="20">
        <f>SUM(BC84*2) + (BD84*1) + SUMIFS(MATCH_INPUT!$G$18:$G$21, MATCH_INPUT!$F$18:$F$21, AY84) + SUMIFS(MATCH_INPUT!$I$18:$I$21, MATCH_INPUT!$J$18:$J$21, AY84)
</f>
        <v>0</v>
      </c>
      <c r="BC84" s="20">
        <f>IF(AY84&lt;&gt;"",
    COUNTIFS(MATCH_INPUT!$K$18:$K$21,AY84),
0)</f>
        <v>0</v>
      </c>
      <c r="BD84" s="20">
        <f>IF(AY84&lt;&gt;"",
    COUNTIFS(MATCH_INPUT!$F$18:$F$21, AY84, MATCH_INPUT!$K$18:$K$21, "Draw") +
    COUNTIFS(MATCH_INPUT!$J$18:$J$21, AY84, MATCH_INPUT!$K$18:$K$21, "Draw"),
0)</f>
        <v>0</v>
      </c>
      <c r="BE84" s="20">
        <f>IF(AY84&lt;&gt;"",
    COUNTIFS(MATCH_INPUT!$F$18:$F$21, AY84, MATCH_INPUT!$K$18:$K$21, "&lt;&gt;"&amp;AY84, MATCH_INPUT!$K$18:$K$21, "&lt;&gt;Draw", MATCH_INPUT!$K$18:$K$21, "&lt;&gt;""") +
    COUNTIFS(MATCH_INPUT!$J$18:$J$21, AY84, MATCH_INPUT!$K$18:$K$21, "&lt;&gt;"&amp;AY84, MATCH_INPUT!$K$18:$K$21, "&lt;&gt;Draw", MATCH_INPUT!$K$18:$K$21, "&lt;&gt;"""),
0)</f>
        <v>0</v>
      </c>
      <c r="BF84" s="21" t="str">
        <f t="array" ref="BF84">IFERROR(INDEX(Form_Response!E:E, MATCH(1, (Form_Response!C:C='MATCH DATES'!$B$6)*(Form_Response!D:D=B84), 0)), "")
</f>
        <v/>
      </c>
      <c r="BG84" s="21">
        <f t="array" ref="BG84">IFERROR(IF(INDEX(Form_Response!F:F, MATCH(1, (Form_Response!C:C='MATCH DATES'!$B$6)*(Form_Response!D:D=B84), 0))="Yes", 1, 0), 0)
</f>
        <v>0</v>
      </c>
      <c r="BH84" s="30" t="str">
        <f t="array" ref="BH84">IFERROR(INDEX(Form_Response!G:G, MATCH(1, (Form_Response!C:C='MATCH DATES'!$B$6)*(Form_Response!D:D=B84), 0)), "")
</f>
        <v/>
      </c>
      <c r="BI84" s="23">
        <f t="shared" si="155"/>
        <v>11</v>
      </c>
      <c r="BJ84" s="24" t="str">
        <f t="shared" si="27"/>
        <v>↓</v>
      </c>
      <c r="BK84" s="34"/>
      <c r="BL84" s="26">
        <f t="shared" si="28"/>
        <v>0</v>
      </c>
      <c r="BM84" s="26">
        <f t="shared" si="29"/>
        <v>0</v>
      </c>
      <c r="BN84" s="26">
        <f>SUM(BO84*2) + (BP84*1) + SUMIFS(MATCH_INPUT!$G$22:$G$25, MATCH_INPUT!$F$22:$F$25, BK84) + SUMIFS(MATCH_INPUT!$I$22:$I$25, MATCH_INPUT!$J$22:$J$25, BK84)
</f>
        <v>0</v>
      </c>
      <c r="BO84" s="26">
        <f>IF(BK84&lt;&gt;"",
    COUNTIFS(MATCH_INPUT!$K$22:$K$25,BK84),
0)</f>
        <v>0</v>
      </c>
      <c r="BP84" s="26">
        <f>IF(BK84&lt;&gt;"",
    COUNTIFS(MATCH_INPUT!$F$22:$F$25, BK84, MATCH_INPUT!$K$22:$K$25, "Draw") +
    COUNTIFS(MATCH_INPUT!$J$22:$J$25, BK84, MATCH_INPUT!$K$22:$K$25, "Draw"),
0)</f>
        <v>0</v>
      </c>
      <c r="BQ84" s="26">
        <f>IF(BK84&lt;&gt;"",
    COUNTIFS(MATCH_INPUT!$F$22:$F$25, BK84, MATCH_INPUT!$K$22:$K$25, "&lt;&gt;"&amp;BK84, MATCH_INPUT!$K$22:$K$25, "&lt;&gt;Draw", MATCH_INPUT!$K$22:$K$25, "&lt;&gt;""") +
    COUNTIFS(MATCH_INPUT!$J$22:$J$25, BK84, MATCH_INPUT!$K$22:$K$25, "&lt;&gt;"&amp;BK84, MATCH_INPUT!$K$22:$K$25, "&lt;&gt;Draw", MATCH_INPUT!$K$22:$K$25, "&lt;&gt;"""),
0)</f>
        <v>0</v>
      </c>
      <c r="BR84" s="27"/>
      <c r="BS84" s="27"/>
      <c r="BT84" s="28"/>
      <c r="BU84" s="26">
        <f t="shared" si="156"/>
        <v>14</v>
      </c>
      <c r="BV84" s="29" t="str">
        <f t="shared" si="31"/>
        <v>↓</v>
      </c>
      <c r="BW84" s="35"/>
      <c r="BX84" s="23">
        <f t="shared" si="32"/>
        <v>0</v>
      </c>
      <c r="BY84" s="20">
        <f t="shared" si="33"/>
        <v>0</v>
      </c>
      <c r="BZ84" s="20">
        <f>SUM(CA84*2)+(CB84*1) + SUMIFS(MATCH_INPUT!$G$26:$G$29, MATCH_INPUT!$F$26:$F$29, BW84) + SUMIFS(MATCH_INPUT!$I$26:$I$29, MATCH_INPUT!$J$26:$J$29, BW84)
</f>
        <v>0</v>
      </c>
      <c r="CA84" s="20">
        <f>IF(BW84&lt;&gt;"",
    COUNTIFS(MATCH_INPUT!$K$26:$K$29,BW84),
0)</f>
        <v>0</v>
      </c>
      <c r="CB84" s="20">
        <f>IF(BW84&lt;&gt;"",
    COUNTIFS(MATCH_INPUT!$F$26:$F$29, BW84, MATCH_INPUT!$K$26:$K$29, "Draw") +
    COUNTIFS(MATCH_INPUT!$J$26:$J$29, BW84, MATCH_INPUT!$K$26:$K$29, "Draw"),
0)</f>
        <v>0</v>
      </c>
      <c r="CC84" s="20">
        <f>IF(BW84&lt;&gt;"",
    COUNTIFS(MATCH_INPUT!$F$26:$F$29, BW84, MATCH_INPUT!$K$26:$K$29, "&lt;&gt;"&amp;BW84, MATCH_INPUT!$K$26:$K$29, "&lt;&gt;Draw", MATCH_INPUT!$K$26:$K$29, "&lt;&gt;""") +
    COUNTIFS(MATCH_INPUT!$J$26:$J$29, BW84, MATCH_INPUT!$K$26:$K$29, "&lt;&gt;"&amp;BW84, MATCH_INPUT!$K$26:$K$29, "&lt;&gt;Draw", MATCH_INPUT!$K$26:$K$29, "&lt;&gt;"""),
0)</f>
        <v>0</v>
      </c>
      <c r="CD84" s="21"/>
      <c r="CE84" s="21"/>
      <c r="CF84" s="30"/>
      <c r="CG84" s="23">
        <f t="shared" si="157"/>
        <v>15</v>
      </c>
      <c r="CH84" s="24" t="str">
        <f t="shared" si="35"/>
        <v>↓</v>
      </c>
      <c r="CI84" s="25"/>
      <c r="CJ84" s="26">
        <f t="shared" si="291"/>
        <v>0</v>
      </c>
      <c r="CK84" s="26">
        <f t="shared" si="37"/>
        <v>0</v>
      </c>
      <c r="CL84" s="26">
        <f>SUM(CM84*2)+(CN84*1) + SUMIFS(MATCH_INPUT!$G$30:$G$33, MATCH_INPUT!$F$30:$F$33, CI84) + SUMIFS(MATCH_INPUT!$I$30:$I$33, MATCH_INPUT!$J$30:$J$33, CI84)
</f>
        <v>0</v>
      </c>
      <c r="CM84" s="26">
        <f>IF(CI84&lt;&gt;"",
    COUNTIFS(MATCH_INPUT!$K$30:$K$33,CI84),
0)</f>
        <v>0</v>
      </c>
      <c r="CN84" s="26">
        <f>IF(CI84&lt;&gt;"",
    COUNTIFS(MATCH_INPUT!$F$30:$F$33, CI84, MATCH_INPUT!$K$30:$K$33, "Draw") +
    COUNTIFS(MATCH_INPUT!$J$30:$J$33, CI84, MATCH_INPUT!$K$30:$K$33, "Draw"),
0)</f>
        <v>0</v>
      </c>
      <c r="CO84" s="26">
        <f>IF(CI84&lt;&gt;"",
    COUNTIFS(MATCH_INPUT!$F$30:$F$33, CI84, MATCH_INPUT!$K$30:$K$33, "&lt;&gt;"&amp;CI84, MATCH_INPUT!$K$30:$K$33, "&lt;&gt;Draw", MATCH_INPUT!$K$30:$K$33, "&lt;&gt;""") +
    COUNTIFS(MATCH_INPUT!$J$30:$J$33, CI84, MATCH_INPUT!$K$30:$K$33, "&lt;&gt;"&amp;CI84, MATCH_INPUT!$K$30:$K$33, "&lt;&gt;Draw", MATCH_INPUT!$K$30:$K$33, "&lt;&gt;"""),
0)</f>
        <v>0</v>
      </c>
      <c r="CP84" s="27" t="str">
        <f t="array" ref="CP84">IFERROR(INDEX(Form_Response!E:E, MATCH(1, (Form_Response!C:C='MATCH DATES'!$B$9)*(Form_Response!D:D=B84), 0)), "")
</f>
        <v/>
      </c>
      <c r="CQ84" s="27">
        <f t="array" ref="CQ84">IFERROR(IF(INDEX(Form_Response!F:F, MATCH(1, (Form_Response!C:C='MATCH DATES'!$B$9)*(Form_Response!D:D=B84), 0))="Yes", 1, 0), 0)
</f>
        <v>0</v>
      </c>
      <c r="CR84" s="28" t="str">
        <f t="array" ref="CR84">IFERROR(INDEX(Form_Response!G:G, MATCH(1, (Form_Response!C:C='MATCH DATES'!$B$9)*(Form_Response!D:D=B84), 0)), "")
</f>
        <v/>
      </c>
      <c r="CS84" s="31">
        <f t="shared" si="158"/>
        <v>18</v>
      </c>
      <c r="CT84" s="31" t="str">
        <f t="shared" si="39"/>
        <v>↓</v>
      </c>
      <c r="CU84" s="32">
        <f t="shared" si="40"/>
        <v>0</v>
      </c>
      <c r="CV84" s="32" t="str">
        <f t="shared" ref="CV84:CW84" si="292">A84</f>
        <v/>
      </c>
      <c r="CW84" s="33" t="str">
        <f t="shared" si="292"/>
        <v/>
      </c>
      <c r="CX84" s="33">
        <f t="shared" si="42"/>
        <v>0</v>
      </c>
      <c r="CY84" s="32">
        <f>SUM(
  IF(AND('MATCH DATES'!$A$2 &lt;= TODAY(), NOW() &gt;= 'MATCH DATES'!$A$2 + TIME(22, 0, 0)), E84, 0),
  IF(AND('MATCH DATES'!$A$3 &lt;= TODAY(), NOW() &gt;= 'MATCH DATES'!$A$3 + TIME(22, 0, 0)), Q84, 0),
  IF(AND('MATCH DATES'!$A$4 &lt;= TODAY(), NOW() &gt;= 'MATCH DATES'!$A$4 + TIME(22, 0, 0)), AC84, 0),
  IF(AND('MATCH DATES'!$A$5 &lt;= TODAY(), NOW() &gt;= 'MATCH DATES'!$A$5 + TIME(22, 0, 0)), AO84, 0),
  IF(AND('MATCH DATES'!$A$6 &lt;= TODAY(), NOW() &gt;= 'MATCH DATES'!$A$6 + TIME(22, 0, 0)), BA84, 0),
  IF(AND('MATCH DATES'!$A$7 &lt;= TODAY(), NOW() &gt;= 'MATCH DATES'!$A$7 + TIME(22, 0, 0)), BM84, 0),
  IF(AND('MATCH DATES'!$A$8 &lt;= TODAY(), NOW() &gt;= 'MATCH DATES'!$A$8 + TIME(22, 0, 0)), BY84, 0),
  IF(AND('MATCH DATES'!$A$9 &lt;= TODAY(), NOW() &gt;= 'MATCH DATES'!$A$9 + TIME(22, 0, 0)), CK84, 0)
)
</f>
        <v>0</v>
      </c>
      <c r="CZ84" s="33">
        <f t="shared" ref="CZ84:DA84" si="293">SUM(G84,S84,AE84,AQ84,BC84,BO84,CA84,CM84)</f>
        <v>0</v>
      </c>
      <c r="DA84" s="33">
        <f t="shared" si="293"/>
        <v>0</v>
      </c>
      <c r="DB84" s="33">
        <f>SUM(
  IF(AND('MATCH DATES'!$A$2 &lt;= TODAY(), NOW() &gt;= 'MATCH DATES'!$A$2 + TIME(22, 0, 0)), I84, 0),
  IF(AND('MATCH DATES'!$A$3 &lt;= TODAY(), NOW() &gt;= 'MATCH DATES'!$A$3 + TIME(22, 0, 0)), U84, 0),
  IF(AND('MATCH DATES'!$A$4 &lt;= TODAY(), NOW() &gt;= 'MATCH DATES'!$A$4 + TIME(22, 0, 0)), AG84, 0),
  IF(AND('MATCH DATES'!$A$5 &lt;= TODAY(), NOW() &gt;= 'MATCH DATES'!$A$5 + TIME(22, 0, 0)), AS84, 0),
  IF(AND('MATCH DATES'!$A$6 &lt;= TODAY(), NOW() &gt;= 'MATCH DATES'!$A$6 + TIME(22, 0, 0)), BE84, 0),
  IF(AND('MATCH DATES'!$A$7 &lt;= TODAY(), NOW() &gt;= 'MATCH DATES'!$A$7 + TIME(22, 0, 0)), BQ84, 0),
  IF(AND('MATCH DATES'!$A$8 &lt;= TODAY(), NOW() &gt;= 'MATCH DATES'!$A$8 + TIME(22, 0, 0)), CC84, 0),
  IF(AND('MATCH DATES'!$A$9 &lt;= TODAY(), NOW() &gt;= 'MATCH DATES'!$A$9 + TIME(22, 0, 0)), CO84, 0)
)</f>
        <v>0</v>
      </c>
      <c r="DC84" s="33">
        <f t="shared" si="44"/>
        <v>0</v>
      </c>
      <c r="DD84" s="33">
        <f t="shared" ref="DD84:DE84" si="294">SUM(K84,W84,AI84,AU84,BG84,BS84,CE84,CQ84)</f>
        <v>0</v>
      </c>
      <c r="DE84" s="33">
        <f t="shared" si="294"/>
        <v>0</v>
      </c>
    </row>
    <row r="85" ht="24.75" customHeight="1">
      <c r="A85" s="31"/>
      <c r="B85" s="39"/>
      <c r="C85" s="35"/>
      <c r="D85" s="20">
        <f t="shared" si="4"/>
        <v>0</v>
      </c>
      <c r="E85" s="20">
        <f t="shared" si="5"/>
        <v>0</v>
      </c>
      <c r="F85" s="20">
        <f t="shared" si="6"/>
        <v>0</v>
      </c>
      <c r="G85" s="20">
        <f>IF(C85&lt;&gt;"",
    COUNTIFS(MATCH_INPUT!$K$2:$K$5,C85),
0)</f>
        <v>0</v>
      </c>
      <c r="H85" s="20">
        <f>IF(C85&lt;&gt;"",
    COUNTIFS(MATCH_INPUT!$F$2:$F$5, C85, MATCH_INPUT!$K$2:$K$5, "Draw") +
    COUNTIFS(MATCH_INPUT!$J$2:$J$5, C85, MATCH_INPUT!$K$2:$K$5, "Draw"),
0)</f>
        <v>0</v>
      </c>
      <c r="I85" s="20">
        <f>IF(C85&lt;&gt;"",
    COUNTIFS(MATCH_INPUT!$F$2:$F$5, C85, MATCH_INPUT!$K$2:$K$5, "&lt;&gt;"&amp;C85, MATCH_INPUT!$K$2:$K$5, "&lt;&gt;Draw", MATCH_INPUT!$K$2:$K$5, "&lt;&gt;""") +
    COUNTIFS(MATCH_INPUT!$J$2:$J$5, C85, MATCH_INPUT!$K$2:$K$5, "&lt;&gt;"&amp;C85, MATCH_INPUT!$K$2:$K$5, "&lt;&gt;Draw", MATCH_INPUT!$K$2:$K$5, "&lt;&gt;"""),
0)</f>
        <v>0</v>
      </c>
      <c r="J85" s="21"/>
      <c r="K85" s="21"/>
      <c r="L85" s="22"/>
      <c r="M85" s="23">
        <f t="shared" si="151"/>
        <v>4</v>
      </c>
      <c r="N85" s="24" t="str">
        <f t="shared" si="8"/>
        <v>↓</v>
      </c>
      <c r="O85" s="25"/>
      <c r="P85" s="26">
        <f t="shared" si="9"/>
        <v>0</v>
      </c>
      <c r="Q85" s="26">
        <f t="shared" si="10"/>
        <v>0</v>
      </c>
      <c r="R85" s="26">
        <f t="shared" si="11"/>
        <v>0</v>
      </c>
      <c r="S85" s="26">
        <f>IF(O85&lt;&gt;"",
    COUNTIFS(MATCH_INPUT!$K$6:$K$9,O85),
0)</f>
        <v>0</v>
      </c>
      <c r="T85" s="26">
        <f>IF(O85&lt;&gt;"",
    COUNTIFS(MATCH_INPUT!$F$6:$F$9, O85, MATCH_INPUT!$K$6:$K$9, "Draw") +
    COUNTIFS(MATCH_INPUT!$J$6:$J$9, O85, MATCH_INPUT!$K$6:$K$9, "Draw"),
0)</f>
        <v>0</v>
      </c>
      <c r="U85" s="26">
        <f>IF(O85&lt;&gt;"",
    COUNTIFS(MATCH_INPUT!$F$6:$F$9, O85, MATCH_INPUT!$K$6:$K$9, "&lt;&gt;"&amp;O85, MATCH_INPUT!$K$6:$K$9, "&lt;&gt;Draw", MATCH_INPUT!$K$6:$K$9, "&lt;&gt;""") +
    COUNTIFS(MATCH_INPUT!$J$6:$J$9, O85, MATCH_INPUT!$K$6:$K$9, "&lt;&gt;"&amp;O85, MATCH_INPUT!$K$6:$K$9, "&lt;&gt;Draw", MATCH_INPUT!$K$6:$K$9, "&lt;&gt;"""),
0)</f>
        <v>0</v>
      </c>
      <c r="V85" s="27"/>
      <c r="W85" s="27"/>
      <c r="X85" s="28"/>
      <c r="Y85" s="26">
        <f t="shared" si="152"/>
        <v>7</v>
      </c>
      <c r="Z85" s="29" t="str">
        <f t="shared" si="13"/>
        <v>↓</v>
      </c>
      <c r="AA85" s="19"/>
      <c r="AB85" s="23">
        <f t="shared" si="14"/>
        <v>0</v>
      </c>
      <c r="AC85" s="20">
        <f t="shared" si="15"/>
        <v>0</v>
      </c>
      <c r="AD85" s="20">
        <f t="shared" si="16"/>
        <v>0</v>
      </c>
      <c r="AE85" s="20">
        <f>IF(AA85&lt;&gt;"",
    COUNTIFS(MATCH_INPUT!$K$10:$K$13,AA85),
0)</f>
        <v>0</v>
      </c>
      <c r="AF85" s="20">
        <f>IF(AA85&lt;&gt;"",
    COUNTIFS(MATCH_INPUT!$F$10:$F$13, AA85, MATCH_INPUT!$K$10:$K$13, "Draw") +
    COUNTIFS(MATCH_INPUT!$J$10:$J$13, AA85, MATCH_INPUT!$K$10:$K$13, "Draw"),
0)</f>
        <v>0</v>
      </c>
      <c r="AG85" s="20">
        <f>IF(AA85&lt;&gt;"",
    COUNTIFS(MATCH_INPUT!$F$10:$F$13, AA85, MATCH_INPUT!$K$10:$K$13, "&lt;&gt;"&amp;AA85, MATCH_INPUT!$K$10:$K$13, "&lt;&gt;Draw", MATCH_INPUT!$K$10:$K$13, "&lt;&gt;""") +
    COUNTIFS(MATCH_INPUT!$J$10:$J$13, AA85, MATCH_INPUT!$K$10:$K$13, "&lt;&gt;"&amp;AA85, MATCH_INPUT!$K$10:$K$13, "&lt;&gt;Draw", MATCH_INPUT!$K$10:$K$13, "&lt;&gt;"""),
0)</f>
        <v>0</v>
      </c>
      <c r="AH85" s="21"/>
      <c r="AI85" s="21"/>
      <c r="AJ85" s="30"/>
      <c r="AK85" s="23">
        <f t="shared" si="153"/>
        <v>8</v>
      </c>
      <c r="AL85" s="24" t="str">
        <f t="shared" si="18"/>
        <v>↓</v>
      </c>
      <c r="AM85" s="25"/>
      <c r="AN85" s="26">
        <f t="shared" si="19"/>
        <v>0</v>
      </c>
      <c r="AO85" s="26">
        <f t="shared" si="20"/>
        <v>0</v>
      </c>
      <c r="AP85" s="26">
        <f t="shared" si="21"/>
        <v>0</v>
      </c>
      <c r="AQ85" s="26">
        <f>IF(AM85&lt;&gt;"",
    COUNTIFS(MATCH_INPUT!$K$14:$K$17,AM85),
0)</f>
        <v>0</v>
      </c>
      <c r="AR85" s="26">
        <f>IF(AM85&lt;&gt;"",
    COUNTIFS(MATCH_INPUT!$F$14:$F$17, AM85, MATCH_INPUT!$K$14:$K$17, "Draw") +
    COUNTIFS(MATCH_INPUT!$J$14:$J$17, AM85, MATCH_INPUT!$K$14:$K$17, "Draw"),
0)</f>
        <v>0</v>
      </c>
      <c r="AS85" s="26">
        <f>IF(AM85&lt;&gt;"",
    COUNTIFS(MATCH_INPUT!$F$14:$F$17, AM85, MATCH_INPUT!$K$14:$K$17, "&lt;&gt;"&amp;AM85, MATCH_INPUT!$K$14:$K$17, "&lt;&gt;Draw", MATCH_INPUT!$K$14:$K$17, "&lt;&gt;""") +
    COUNTIFS(MATCH_INPUT!$J$14:$J$17, AM85, MATCH_INPUT!$K$14:$K$17, "&lt;&gt;"&amp;AM85, MATCH_INPUT!$K$14:$K$17, "&lt;&gt;Draw", MATCH_INPUT!$K$14:$K$17, "&lt;&gt;"""),
0)</f>
        <v>0</v>
      </c>
      <c r="AT85" s="27"/>
      <c r="AU85" s="27"/>
      <c r="AV85" s="28"/>
      <c r="AW85" s="26">
        <f t="shared" si="154"/>
        <v>10</v>
      </c>
      <c r="AX85" s="29" t="str">
        <f t="shared" si="23"/>
        <v>↓</v>
      </c>
      <c r="AY85" s="19"/>
      <c r="AZ85" s="23">
        <f t="shared" si="24"/>
        <v>0</v>
      </c>
      <c r="BA85" s="20">
        <f t="shared" si="25"/>
        <v>0</v>
      </c>
      <c r="BB85" s="20">
        <f>SUM(BC85*2) + (BD85*1) + SUMIFS(MATCH_INPUT!$G$18:$G$21, MATCH_INPUT!$F$18:$F$21, AY85) + SUMIFS(MATCH_INPUT!$I$18:$I$21, MATCH_INPUT!$J$18:$J$21, AY85)
</f>
        <v>0</v>
      </c>
      <c r="BC85" s="20">
        <f>IF(AY85&lt;&gt;"",
    COUNTIFS(MATCH_INPUT!$K$18:$K$21,AY85),
0)</f>
        <v>0</v>
      </c>
      <c r="BD85" s="20">
        <f>IF(AY85&lt;&gt;"",
    COUNTIFS(MATCH_INPUT!$F$18:$F$21, AY85, MATCH_INPUT!$K$18:$K$21, "Draw") +
    COUNTIFS(MATCH_INPUT!$J$18:$J$21, AY85, MATCH_INPUT!$K$18:$K$21, "Draw"),
0)</f>
        <v>0</v>
      </c>
      <c r="BE85" s="20">
        <f>IF(AY85&lt;&gt;"",
    COUNTIFS(MATCH_INPUT!$F$18:$F$21, AY85, MATCH_INPUT!$K$18:$K$21, "&lt;&gt;"&amp;AY85, MATCH_INPUT!$K$18:$K$21, "&lt;&gt;Draw", MATCH_INPUT!$K$18:$K$21, "&lt;&gt;""") +
    COUNTIFS(MATCH_INPUT!$J$18:$J$21, AY85, MATCH_INPUT!$K$18:$K$21, "&lt;&gt;"&amp;AY85, MATCH_INPUT!$K$18:$K$21, "&lt;&gt;Draw", MATCH_INPUT!$K$18:$K$21, "&lt;&gt;"""),
0)</f>
        <v>0</v>
      </c>
      <c r="BF85" s="21" t="str">
        <f t="array" ref="BF85">IFERROR(INDEX(Form_Response!E:E, MATCH(1, (Form_Response!C:C='MATCH DATES'!$B$6)*(Form_Response!D:D=B85), 0)), "")
</f>
        <v/>
      </c>
      <c r="BG85" s="21">
        <f t="array" ref="BG85">IFERROR(IF(INDEX(Form_Response!F:F, MATCH(1, (Form_Response!C:C='MATCH DATES'!$B$6)*(Form_Response!D:D=B85), 0))="Yes", 1, 0), 0)
</f>
        <v>0</v>
      </c>
      <c r="BH85" s="30" t="str">
        <f t="array" ref="BH85">IFERROR(INDEX(Form_Response!G:G, MATCH(1, (Form_Response!C:C='MATCH DATES'!$B$6)*(Form_Response!D:D=B85), 0)), "")
</f>
        <v/>
      </c>
      <c r="BI85" s="23">
        <f t="shared" si="155"/>
        <v>11</v>
      </c>
      <c r="BJ85" s="24" t="str">
        <f t="shared" si="27"/>
        <v>↓</v>
      </c>
      <c r="BK85" s="34"/>
      <c r="BL85" s="26">
        <f t="shared" si="28"/>
        <v>0</v>
      </c>
      <c r="BM85" s="26">
        <f t="shared" si="29"/>
        <v>0</v>
      </c>
      <c r="BN85" s="26">
        <f>SUM(BO85*2) + (BP85*1) + SUMIFS(MATCH_INPUT!$G$22:$G$25, MATCH_INPUT!$F$22:$F$25, BK85) + SUMIFS(MATCH_INPUT!$I$22:$I$25, MATCH_INPUT!$J$22:$J$25, BK85)
</f>
        <v>0</v>
      </c>
      <c r="BO85" s="26">
        <f>IF(BK85&lt;&gt;"",
    COUNTIFS(MATCH_INPUT!$K$22:$K$25,BK85),
0)</f>
        <v>0</v>
      </c>
      <c r="BP85" s="26">
        <f>IF(BK85&lt;&gt;"",
    COUNTIFS(MATCH_INPUT!$F$22:$F$25, BK85, MATCH_INPUT!$K$22:$K$25, "Draw") +
    COUNTIFS(MATCH_INPUT!$J$22:$J$25, BK85, MATCH_INPUT!$K$22:$K$25, "Draw"),
0)</f>
        <v>0</v>
      </c>
      <c r="BQ85" s="26">
        <f>IF(BK85&lt;&gt;"",
    COUNTIFS(MATCH_INPUT!$F$22:$F$25, BK85, MATCH_INPUT!$K$22:$K$25, "&lt;&gt;"&amp;BK85, MATCH_INPUT!$K$22:$K$25, "&lt;&gt;Draw", MATCH_INPUT!$K$22:$K$25, "&lt;&gt;""") +
    COUNTIFS(MATCH_INPUT!$J$22:$J$25, BK85, MATCH_INPUT!$K$22:$K$25, "&lt;&gt;"&amp;BK85, MATCH_INPUT!$K$22:$K$25, "&lt;&gt;Draw", MATCH_INPUT!$K$22:$K$25, "&lt;&gt;"""),
0)</f>
        <v>0</v>
      </c>
      <c r="BR85" s="27"/>
      <c r="BS85" s="27"/>
      <c r="BT85" s="28"/>
      <c r="BU85" s="26">
        <f t="shared" si="156"/>
        <v>14</v>
      </c>
      <c r="BV85" s="29" t="str">
        <f t="shared" si="31"/>
        <v>↓</v>
      </c>
      <c r="BW85" s="35"/>
      <c r="BX85" s="23">
        <f t="shared" si="32"/>
        <v>0</v>
      </c>
      <c r="BY85" s="20">
        <f t="shared" si="33"/>
        <v>0</v>
      </c>
      <c r="BZ85" s="20">
        <f>SUM(CA85*2)+(CB85*1) + SUMIFS(MATCH_INPUT!$G$26:$G$29, MATCH_INPUT!$F$26:$F$29, BW85) + SUMIFS(MATCH_INPUT!$I$26:$I$29, MATCH_INPUT!$J$26:$J$29, BW85)
</f>
        <v>0</v>
      </c>
      <c r="CA85" s="20">
        <f>IF(BW85&lt;&gt;"",
    COUNTIFS(MATCH_INPUT!$K$26:$K$29,BW85),
0)</f>
        <v>0</v>
      </c>
      <c r="CB85" s="20">
        <f>IF(BW85&lt;&gt;"",
    COUNTIFS(MATCH_INPUT!$F$26:$F$29, BW85, MATCH_INPUT!$K$26:$K$29, "Draw") +
    COUNTIFS(MATCH_INPUT!$J$26:$J$29, BW85, MATCH_INPUT!$K$26:$K$29, "Draw"),
0)</f>
        <v>0</v>
      </c>
      <c r="CC85" s="20">
        <f>IF(BW85&lt;&gt;"",
    COUNTIFS(MATCH_INPUT!$F$26:$F$29, BW85, MATCH_INPUT!$K$26:$K$29, "&lt;&gt;"&amp;BW85, MATCH_INPUT!$K$26:$K$29, "&lt;&gt;Draw", MATCH_INPUT!$K$26:$K$29, "&lt;&gt;""") +
    COUNTIFS(MATCH_INPUT!$J$26:$J$29, BW85, MATCH_INPUT!$K$26:$K$29, "&lt;&gt;"&amp;BW85, MATCH_INPUT!$K$26:$K$29, "&lt;&gt;Draw", MATCH_INPUT!$K$26:$K$29, "&lt;&gt;"""),
0)</f>
        <v>0</v>
      </c>
      <c r="CD85" s="21"/>
      <c r="CE85" s="21"/>
      <c r="CF85" s="30"/>
      <c r="CG85" s="23">
        <f t="shared" si="157"/>
        <v>15</v>
      </c>
      <c r="CH85" s="24" t="str">
        <f t="shared" si="35"/>
        <v>↓</v>
      </c>
      <c r="CI85" s="25"/>
      <c r="CJ85" s="26">
        <f t="shared" si="291"/>
        <v>0</v>
      </c>
      <c r="CK85" s="26">
        <f t="shared" si="37"/>
        <v>0</v>
      </c>
      <c r="CL85" s="26">
        <f>SUM(CM85*2)+(CN85*1) + SUMIFS(MATCH_INPUT!$G$30:$G$33, MATCH_INPUT!$F$30:$F$33, CI85) + SUMIFS(MATCH_INPUT!$I$30:$I$33, MATCH_INPUT!$J$30:$J$33, CI85)
</f>
        <v>0</v>
      </c>
      <c r="CM85" s="26">
        <f>IF(CI85&lt;&gt;"",
    COUNTIFS(MATCH_INPUT!$K$30:$K$33,CI85),
0)</f>
        <v>0</v>
      </c>
      <c r="CN85" s="26">
        <f>IF(CI85&lt;&gt;"",
    COUNTIFS(MATCH_INPUT!$F$30:$F$33, CI85, MATCH_INPUT!$K$30:$K$33, "Draw") +
    COUNTIFS(MATCH_INPUT!$J$30:$J$33, CI85, MATCH_INPUT!$K$30:$K$33, "Draw"),
0)</f>
        <v>0</v>
      </c>
      <c r="CO85" s="26">
        <f>IF(CI85&lt;&gt;"",
    COUNTIFS(MATCH_INPUT!$F$30:$F$33, CI85, MATCH_INPUT!$K$30:$K$33, "&lt;&gt;"&amp;CI85, MATCH_INPUT!$K$30:$K$33, "&lt;&gt;Draw", MATCH_INPUT!$K$30:$K$33, "&lt;&gt;""") +
    COUNTIFS(MATCH_INPUT!$J$30:$J$33, CI85, MATCH_INPUT!$K$30:$K$33, "&lt;&gt;"&amp;CI85, MATCH_INPUT!$K$30:$K$33, "&lt;&gt;Draw", MATCH_INPUT!$K$30:$K$33, "&lt;&gt;"""),
0)</f>
        <v>0</v>
      </c>
      <c r="CP85" s="27" t="str">
        <f t="array" ref="CP85">IFERROR(INDEX(Form_Response!E:E, MATCH(1, (Form_Response!C:C='MATCH DATES'!$B$9)*(Form_Response!D:D=B85), 0)), "")
</f>
        <v/>
      </c>
      <c r="CQ85" s="27">
        <f t="array" ref="CQ85">IFERROR(IF(INDEX(Form_Response!F:F, MATCH(1, (Form_Response!C:C='MATCH DATES'!$B$9)*(Form_Response!D:D=B85), 0))="Yes", 1, 0), 0)
</f>
        <v>0</v>
      </c>
      <c r="CR85" s="28" t="str">
        <f t="array" ref="CR85">IFERROR(INDEX(Form_Response!G:G, MATCH(1, (Form_Response!C:C='MATCH DATES'!$B$9)*(Form_Response!D:D=B85), 0)), "")
</f>
        <v/>
      </c>
      <c r="CS85" s="31">
        <f t="shared" si="158"/>
        <v>18</v>
      </c>
      <c r="CT85" s="31" t="str">
        <f t="shared" si="39"/>
        <v>↓</v>
      </c>
      <c r="CU85" s="32">
        <f t="shared" si="40"/>
        <v>0</v>
      </c>
      <c r="CV85" s="32" t="str">
        <f t="shared" ref="CV85:CW85" si="295">A85</f>
        <v/>
      </c>
      <c r="CW85" s="33" t="str">
        <f t="shared" si="295"/>
        <v/>
      </c>
      <c r="CX85" s="33">
        <f t="shared" si="42"/>
        <v>0</v>
      </c>
      <c r="CY85" s="32">
        <f>SUM(
  IF(AND('MATCH DATES'!$A$2 &lt;= TODAY(), NOW() &gt;= 'MATCH DATES'!$A$2 + TIME(22, 0, 0)), E85, 0),
  IF(AND('MATCH DATES'!$A$3 &lt;= TODAY(), NOW() &gt;= 'MATCH DATES'!$A$3 + TIME(22, 0, 0)), Q85, 0),
  IF(AND('MATCH DATES'!$A$4 &lt;= TODAY(), NOW() &gt;= 'MATCH DATES'!$A$4 + TIME(22, 0, 0)), AC85, 0),
  IF(AND('MATCH DATES'!$A$5 &lt;= TODAY(), NOW() &gt;= 'MATCH DATES'!$A$5 + TIME(22, 0, 0)), AO85, 0),
  IF(AND('MATCH DATES'!$A$6 &lt;= TODAY(), NOW() &gt;= 'MATCH DATES'!$A$6 + TIME(22, 0, 0)), BA85, 0),
  IF(AND('MATCH DATES'!$A$7 &lt;= TODAY(), NOW() &gt;= 'MATCH DATES'!$A$7 + TIME(22, 0, 0)), BM85, 0),
  IF(AND('MATCH DATES'!$A$8 &lt;= TODAY(), NOW() &gt;= 'MATCH DATES'!$A$8 + TIME(22, 0, 0)), BY85, 0),
  IF(AND('MATCH DATES'!$A$9 &lt;= TODAY(), NOW() &gt;= 'MATCH DATES'!$A$9 + TIME(22, 0, 0)), CK85, 0)
)
</f>
        <v>0</v>
      </c>
      <c r="CZ85" s="33">
        <f t="shared" ref="CZ85:DA85" si="296">SUM(G85,S85,AE85,AQ85,BC85,BO85,CA85,CM85)</f>
        <v>0</v>
      </c>
      <c r="DA85" s="33">
        <f t="shared" si="296"/>
        <v>0</v>
      </c>
      <c r="DB85" s="33">
        <f>SUM(
  IF(AND('MATCH DATES'!$A$2 &lt;= TODAY(), NOW() &gt;= 'MATCH DATES'!$A$2 + TIME(22, 0, 0)), I85, 0),
  IF(AND('MATCH DATES'!$A$3 &lt;= TODAY(), NOW() &gt;= 'MATCH DATES'!$A$3 + TIME(22, 0, 0)), U85, 0),
  IF(AND('MATCH DATES'!$A$4 &lt;= TODAY(), NOW() &gt;= 'MATCH DATES'!$A$4 + TIME(22, 0, 0)), AG85, 0),
  IF(AND('MATCH DATES'!$A$5 &lt;= TODAY(), NOW() &gt;= 'MATCH DATES'!$A$5 + TIME(22, 0, 0)), AS85, 0),
  IF(AND('MATCH DATES'!$A$6 &lt;= TODAY(), NOW() &gt;= 'MATCH DATES'!$A$6 + TIME(22, 0, 0)), BE85, 0),
  IF(AND('MATCH DATES'!$A$7 &lt;= TODAY(), NOW() &gt;= 'MATCH DATES'!$A$7 + TIME(22, 0, 0)), BQ85, 0),
  IF(AND('MATCH DATES'!$A$8 &lt;= TODAY(), NOW() &gt;= 'MATCH DATES'!$A$8 + TIME(22, 0, 0)), CC85, 0),
  IF(AND('MATCH DATES'!$A$9 &lt;= TODAY(), NOW() &gt;= 'MATCH DATES'!$A$9 + TIME(22, 0, 0)), CO85, 0)
)</f>
        <v>0</v>
      </c>
      <c r="DC85" s="33">
        <f t="shared" si="44"/>
        <v>0</v>
      </c>
      <c r="DD85" s="33">
        <f t="shared" ref="DD85:DE85" si="297">SUM(K85,W85,AI85,AU85,BG85,BS85,CE85,CQ85)</f>
        <v>0</v>
      </c>
      <c r="DE85" s="33">
        <f t="shared" si="297"/>
        <v>0</v>
      </c>
    </row>
    <row r="86" ht="24.75" customHeight="1">
      <c r="A86" s="31"/>
      <c r="B86" s="39"/>
      <c r="C86" s="35"/>
      <c r="D86" s="20">
        <f t="shared" si="4"/>
        <v>0</v>
      </c>
      <c r="E86" s="20">
        <f t="shared" si="5"/>
        <v>0</v>
      </c>
      <c r="F86" s="20">
        <f t="shared" si="6"/>
        <v>0</v>
      </c>
      <c r="G86" s="20">
        <f>IF(C86&lt;&gt;"",
    COUNTIFS(MATCH_INPUT!$K$2:$K$5,C86),
0)</f>
        <v>0</v>
      </c>
      <c r="H86" s="20">
        <f>IF(C86&lt;&gt;"",
    COUNTIFS(MATCH_INPUT!$F$2:$F$5, C86, MATCH_INPUT!$K$2:$K$5, "Draw") +
    COUNTIFS(MATCH_INPUT!$J$2:$J$5, C86, MATCH_INPUT!$K$2:$K$5, "Draw"),
0)</f>
        <v>0</v>
      </c>
      <c r="I86" s="20">
        <f>IF(C86&lt;&gt;"",
    COUNTIFS(MATCH_INPUT!$F$2:$F$5, C86, MATCH_INPUT!$K$2:$K$5, "&lt;&gt;"&amp;C86, MATCH_INPUT!$K$2:$K$5, "&lt;&gt;Draw", MATCH_INPUT!$K$2:$K$5, "&lt;&gt;""") +
    COUNTIFS(MATCH_INPUT!$J$2:$J$5, C86, MATCH_INPUT!$K$2:$K$5, "&lt;&gt;"&amp;C86, MATCH_INPUT!$K$2:$K$5, "&lt;&gt;Draw", MATCH_INPUT!$K$2:$K$5, "&lt;&gt;"""),
0)</f>
        <v>0</v>
      </c>
      <c r="J86" s="21"/>
      <c r="K86" s="21"/>
      <c r="L86" s="22"/>
      <c r="M86" s="23">
        <f t="shared" si="151"/>
        <v>4</v>
      </c>
      <c r="N86" s="24" t="str">
        <f t="shared" si="8"/>
        <v>↓</v>
      </c>
      <c r="O86" s="25"/>
      <c r="P86" s="26">
        <f t="shared" si="9"/>
        <v>0</v>
      </c>
      <c r="Q86" s="26">
        <f t="shared" si="10"/>
        <v>0</v>
      </c>
      <c r="R86" s="26">
        <f t="shared" si="11"/>
        <v>0</v>
      </c>
      <c r="S86" s="26">
        <f>IF(O86&lt;&gt;"",
    COUNTIFS(MATCH_INPUT!$K$6:$K$9,O86),
0)</f>
        <v>0</v>
      </c>
      <c r="T86" s="26">
        <f>IF(O86&lt;&gt;"",
    COUNTIFS(MATCH_INPUT!$F$6:$F$9, O86, MATCH_INPUT!$K$6:$K$9, "Draw") +
    COUNTIFS(MATCH_INPUT!$J$6:$J$9, O86, MATCH_INPUT!$K$6:$K$9, "Draw"),
0)</f>
        <v>0</v>
      </c>
      <c r="U86" s="26">
        <f>IF(O86&lt;&gt;"",
    COUNTIFS(MATCH_INPUT!$F$6:$F$9, O86, MATCH_INPUT!$K$6:$K$9, "&lt;&gt;"&amp;O86, MATCH_INPUT!$K$6:$K$9, "&lt;&gt;Draw", MATCH_INPUT!$K$6:$K$9, "&lt;&gt;""") +
    COUNTIFS(MATCH_INPUT!$J$6:$J$9, O86, MATCH_INPUT!$K$6:$K$9, "&lt;&gt;"&amp;O86, MATCH_INPUT!$K$6:$K$9, "&lt;&gt;Draw", MATCH_INPUT!$K$6:$K$9, "&lt;&gt;"""),
0)</f>
        <v>0</v>
      </c>
      <c r="V86" s="27"/>
      <c r="W86" s="27"/>
      <c r="X86" s="28"/>
      <c r="Y86" s="26">
        <f t="shared" si="152"/>
        <v>7</v>
      </c>
      <c r="Z86" s="29" t="str">
        <f t="shared" si="13"/>
        <v>↓</v>
      </c>
      <c r="AA86" s="19"/>
      <c r="AB86" s="23">
        <f t="shared" si="14"/>
        <v>0</v>
      </c>
      <c r="AC86" s="20">
        <f t="shared" si="15"/>
        <v>0</v>
      </c>
      <c r="AD86" s="20">
        <f t="shared" si="16"/>
        <v>0</v>
      </c>
      <c r="AE86" s="20">
        <f>IF(AA86&lt;&gt;"",
    COUNTIFS(MATCH_INPUT!$K$10:$K$13,AA86),
0)</f>
        <v>0</v>
      </c>
      <c r="AF86" s="20">
        <f>IF(AA86&lt;&gt;"",
    COUNTIFS(MATCH_INPUT!$F$10:$F$13, AA86, MATCH_INPUT!$K$10:$K$13, "Draw") +
    COUNTIFS(MATCH_INPUT!$J$10:$J$13, AA86, MATCH_INPUT!$K$10:$K$13, "Draw"),
0)</f>
        <v>0</v>
      </c>
      <c r="AG86" s="20">
        <f>IF(AA86&lt;&gt;"",
    COUNTIFS(MATCH_INPUT!$F$10:$F$13, AA86, MATCH_INPUT!$K$10:$K$13, "&lt;&gt;"&amp;AA86, MATCH_INPUT!$K$10:$K$13, "&lt;&gt;Draw", MATCH_INPUT!$K$10:$K$13, "&lt;&gt;""") +
    COUNTIFS(MATCH_INPUT!$J$10:$J$13, AA86, MATCH_INPUT!$K$10:$K$13, "&lt;&gt;"&amp;AA86, MATCH_INPUT!$K$10:$K$13, "&lt;&gt;Draw", MATCH_INPUT!$K$10:$K$13, "&lt;&gt;"""),
0)</f>
        <v>0</v>
      </c>
      <c r="AH86" s="21"/>
      <c r="AI86" s="21"/>
      <c r="AJ86" s="30"/>
      <c r="AK86" s="23">
        <f t="shared" si="153"/>
        <v>8</v>
      </c>
      <c r="AL86" s="24" t="str">
        <f t="shared" si="18"/>
        <v>↓</v>
      </c>
      <c r="AM86" s="25"/>
      <c r="AN86" s="26">
        <f t="shared" si="19"/>
        <v>0</v>
      </c>
      <c r="AO86" s="26">
        <f t="shared" si="20"/>
        <v>0</v>
      </c>
      <c r="AP86" s="26">
        <f t="shared" si="21"/>
        <v>0</v>
      </c>
      <c r="AQ86" s="26">
        <f>IF(AM86&lt;&gt;"",
    COUNTIFS(MATCH_INPUT!$K$14:$K$17,AM86),
0)</f>
        <v>0</v>
      </c>
      <c r="AR86" s="26">
        <f>IF(AM86&lt;&gt;"",
    COUNTIFS(MATCH_INPUT!$F$14:$F$17, AM86, MATCH_INPUT!$K$14:$K$17, "Draw") +
    COUNTIFS(MATCH_INPUT!$J$14:$J$17, AM86, MATCH_INPUT!$K$14:$K$17, "Draw"),
0)</f>
        <v>0</v>
      </c>
      <c r="AS86" s="26">
        <f>IF(AM86&lt;&gt;"",
    COUNTIFS(MATCH_INPUT!$F$14:$F$17, AM86, MATCH_INPUT!$K$14:$K$17, "&lt;&gt;"&amp;AM86, MATCH_INPUT!$K$14:$K$17, "&lt;&gt;Draw", MATCH_INPUT!$K$14:$K$17, "&lt;&gt;""") +
    COUNTIFS(MATCH_INPUT!$J$14:$J$17, AM86, MATCH_INPUT!$K$14:$K$17, "&lt;&gt;"&amp;AM86, MATCH_INPUT!$K$14:$K$17, "&lt;&gt;Draw", MATCH_INPUT!$K$14:$K$17, "&lt;&gt;"""),
0)</f>
        <v>0</v>
      </c>
      <c r="AT86" s="27"/>
      <c r="AU86" s="27"/>
      <c r="AV86" s="28"/>
      <c r="AW86" s="26">
        <f t="shared" si="154"/>
        <v>10</v>
      </c>
      <c r="AX86" s="29" t="str">
        <f t="shared" si="23"/>
        <v>↓</v>
      </c>
      <c r="AY86" s="19"/>
      <c r="AZ86" s="23">
        <f t="shared" si="24"/>
        <v>0</v>
      </c>
      <c r="BA86" s="20">
        <f t="shared" si="25"/>
        <v>0</v>
      </c>
      <c r="BB86" s="20">
        <f>SUM(BC86*2) + (BD86*1) + SUMIFS(MATCH_INPUT!$G$18:$G$21, MATCH_INPUT!$F$18:$F$21, AY86) + SUMIFS(MATCH_INPUT!$I$18:$I$21, MATCH_INPUT!$J$18:$J$21, AY86)
</f>
        <v>0</v>
      </c>
      <c r="BC86" s="20">
        <f>IF(AY86&lt;&gt;"",
    COUNTIFS(MATCH_INPUT!$K$18:$K$21,AY86),
0)</f>
        <v>0</v>
      </c>
      <c r="BD86" s="20">
        <f>IF(AY86&lt;&gt;"",
    COUNTIFS(MATCH_INPUT!$F$18:$F$21, AY86, MATCH_INPUT!$K$18:$K$21, "Draw") +
    COUNTIFS(MATCH_INPUT!$J$18:$J$21, AY86, MATCH_INPUT!$K$18:$K$21, "Draw"),
0)</f>
        <v>0</v>
      </c>
      <c r="BE86" s="20">
        <f>IF(AY86&lt;&gt;"",
    COUNTIFS(MATCH_INPUT!$F$18:$F$21, AY86, MATCH_INPUT!$K$18:$K$21, "&lt;&gt;"&amp;AY86, MATCH_INPUT!$K$18:$K$21, "&lt;&gt;Draw", MATCH_INPUT!$K$18:$K$21, "&lt;&gt;""") +
    COUNTIFS(MATCH_INPUT!$J$18:$J$21, AY86, MATCH_INPUT!$K$18:$K$21, "&lt;&gt;"&amp;AY86, MATCH_INPUT!$K$18:$K$21, "&lt;&gt;Draw", MATCH_INPUT!$K$18:$K$21, "&lt;&gt;"""),
0)</f>
        <v>0</v>
      </c>
      <c r="BF86" s="21" t="str">
        <f t="array" ref="BF86">IFERROR(INDEX(Form_Response!E:E, MATCH(1, (Form_Response!C:C='MATCH DATES'!$B$6)*(Form_Response!D:D=B86), 0)), "")
</f>
        <v/>
      </c>
      <c r="BG86" s="21">
        <f t="array" ref="BG86">IFERROR(IF(INDEX(Form_Response!F:F, MATCH(1, (Form_Response!C:C='MATCH DATES'!$B$6)*(Form_Response!D:D=B86), 0))="Yes", 1, 0), 0)
</f>
        <v>0</v>
      </c>
      <c r="BH86" s="30" t="str">
        <f t="array" ref="BH86">IFERROR(INDEX(Form_Response!G:G, MATCH(1, (Form_Response!C:C='MATCH DATES'!$B$6)*(Form_Response!D:D=B86), 0)), "")
</f>
        <v/>
      </c>
      <c r="BI86" s="23">
        <f t="shared" si="155"/>
        <v>11</v>
      </c>
      <c r="BJ86" s="24" t="str">
        <f t="shared" si="27"/>
        <v>↓</v>
      </c>
      <c r="BK86" s="34"/>
      <c r="BL86" s="26">
        <f t="shared" si="28"/>
        <v>0</v>
      </c>
      <c r="BM86" s="26">
        <f t="shared" si="29"/>
        <v>0</v>
      </c>
      <c r="BN86" s="26">
        <f>SUM(BO86*2) + (BP86*1) + SUMIFS(MATCH_INPUT!$G$22:$G$25, MATCH_INPUT!$F$22:$F$25, BK86) + SUMIFS(MATCH_INPUT!$I$22:$I$25, MATCH_INPUT!$J$22:$J$25, BK86)
</f>
        <v>0</v>
      </c>
      <c r="BO86" s="26">
        <f>IF(BK86&lt;&gt;"",
    COUNTIFS(MATCH_INPUT!$K$22:$K$25,BK86),
0)</f>
        <v>0</v>
      </c>
      <c r="BP86" s="26">
        <f>IF(BK86&lt;&gt;"",
    COUNTIFS(MATCH_INPUT!$F$22:$F$25, BK86, MATCH_INPUT!$K$22:$K$25, "Draw") +
    COUNTIFS(MATCH_INPUT!$J$22:$J$25, BK86, MATCH_INPUT!$K$22:$K$25, "Draw"),
0)</f>
        <v>0</v>
      </c>
      <c r="BQ86" s="26">
        <f>IF(BK86&lt;&gt;"",
    COUNTIFS(MATCH_INPUT!$F$22:$F$25, BK86, MATCH_INPUT!$K$22:$K$25, "&lt;&gt;"&amp;BK86, MATCH_INPUT!$K$22:$K$25, "&lt;&gt;Draw", MATCH_INPUT!$K$22:$K$25, "&lt;&gt;""") +
    COUNTIFS(MATCH_INPUT!$J$22:$J$25, BK86, MATCH_INPUT!$K$22:$K$25, "&lt;&gt;"&amp;BK86, MATCH_INPUT!$K$22:$K$25, "&lt;&gt;Draw", MATCH_INPUT!$K$22:$K$25, "&lt;&gt;"""),
0)</f>
        <v>0</v>
      </c>
      <c r="BR86" s="27"/>
      <c r="BS86" s="27"/>
      <c r="BT86" s="28"/>
      <c r="BU86" s="26">
        <f t="shared" si="156"/>
        <v>14</v>
      </c>
      <c r="BV86" s="29" t="str">
        <f t="shared" si="31"/>
        <v>↓</v>
      </c>
      <c r="BW86" s="35"/>
      <c r="BX86" s="23">
        <f t="shared" si="32"/>
        <v>0</v>
      </c>
      <c r="BY86" s="20">
        <f t="shared" si="33"/>
        <v>0</v>
      </c>
      <c r="BZ86" s="20">
        <f>SUM(CA86*2)+(CB86*1) + SUMIFS(MATCH_INPUT!$G$26:$G$29, MATCH_INPUT!$F$26:$F$29, BW86) + SUMIFS(MATCH_INPUT!$I$26:$I$29, MATCH_INPUT!$J$26:$J$29, BW86)
</f>
        <v>0</v>
      </c>
      <c r="CA86" s="20">
        <f>IF(BW86&lt;&gt;"",
    COUNTIFS(MATCH_INPUT!$K$26:$K$29,BW86),
0)</f>
        <v>0</v>
      </c>
      <c r="CB86" s="20">
        <f>IF(BW86&lt;&gt;"",
    COUNTIFS(MATCH_INPUT!$F$26:$F$29, BW86, MATCH_INPUT!$K$26:$K$29, "Draw") +
    COUNTIFS(MATCH_INPUT!$J$26:$J$29, BW86, MATCH_INPUT!$K$26:$K$29, "Draw"),
0)</f>
        <v>0</v>
      </c>
      <c r="CC86" s="20">
        <f>IF(BW86&lt;&gt;"",
    COUNTIFS(MATCH_INPUT!$F$26:$F$29, BW86, MATCH_INPUT!$K$26:$K$29, "&lt;&gt;"&amp;BW86, MATCH_INPUT!$K$26:$K$29, "&lt;&gt;Draw", MATCH_INPUT!$K$26:$K$29, "&lt;&gt;""") +
    COUNTIFS(MATCH_INPUT!$J$26:$J$29, BW86, MATCH_INPUT!$K$26:$K$29, "&lt;&gt;"&amp;BW86, MATCH_INPUT!$K$26:$K$29, "&lt;&gt;Draw", MATCH_INPUT!$K$26:$K$29, "&lt;&gt;"""),
0)</f>
        <v>0</v>
      </c>
      <c r="CD86" s="21"/>
      <c r="CE86" s="21"/>
      <c r="CF86" s="30"/>
      <c r="CG86" s="23">
        <f t="shared" si="157"/>
        <v>15</v>
      </c>
      <c r="CH86" s="24" t="str">
        <f t="shared" si="35"/>
        <v>↓</v>
      </c>
      <c r="CI86" s="25"/>
      <c r="CJ86" s="26">
        <f t="shared" si="291"/>
        <v>0</v>
      </c>
      <c r="CK86" s="26">
        <f t="shared" si="37"/>
        <v>0</v>
      </c>
      <c r="CL86" s="26">
        <f>SUM(CM86*2)+(CN86*1) + SUMIFS(MATCH_INPUT!$G$30:$G$33, MATCH_INPUT!$F$30:$F$33, CI86) + SUMIFS(MATCH_INPUT!$I$30:$I$33, MATCH_INPUT!$J$30:$J$33, CI86)
</f>
        <v>0</v>
      </c>
      <c r="CM86" s="26">
        <f>IF(CI86&lt;&gt;"",
    COUNTIFS(MATCH_INPUT!$K$30:$K$33,CI86),
0)</f>
        <v>0</v>
      </c>
      <c r="CN86" s="26">
        <f>IF(CI86&lt;&gt;"",
    COUNTIFS(MATCH_INPUT!$F$30:$F$33, CI86, MATCH_INPUT!$K$30:$K$33, "Draw") +
    COUNTIFS(MATCH_INPUT!$J$30:$J$33, CI86, MATCH_INPUT!$K$30:$K$33, "Draw"),
0)</f>
        <v>0</v>
      </c>
      <c r="CO86" s="26">
        <f>IF(CI86&lt;&gt;"",
    COUNTIFS(MATCH_INPUT!$F$30:$F$33, CI86, MATCH_INPUT!$K$30:$K$33, "&lt;&gt;"&amp;CI86, MATCH_INPUT!$K$30:$K$33, "&lt;&gt;Draw", MATCH_INPUT!$K$30:$K$33, "&lt;&gt;""") +
    COUNTIFS(MATCH_INPUT!$J$30:$J$33, CI86, MATCH_INPUT!$K$30:$K$33, "&lt;&gt;"&amp;CI86, MATCH_INPUT!$K$30:$K$33, "&lt;&gt;Draw", MATCH_INPUT!$K$30:$K$33, "&lt;&gt;"""),
0)</f>
        <v>0</v>
      </c>
      <c r="CP86" s="27" t="str">
        <f t="array" ref="CP86">IFERROR(INDEX(Form_Response!E:E, MATCH(1, (Form_Response!C:C='MATCH DATES'!$B$9)*(Form_Response!D:D=B86), 0)), "")
</f>
        <v/>
      </c>
      <c r="CQ86" s="27">
        <f t="array" ref="CQ86">IFERROR(IF(INDEX(Form_Response!F:F, MATCH(1, (Form_Response!C:C='MATCH DATES'!$B$9)*(Form_Response!D:D=B86), 0))="Yes", 1, 0), 0)
</f>
        <v>0</v>
      </c>
      <c r="CR86" s="28" t="str">
        <f t="array" ref="CR86">IFERROR(INDEX(Form_Response!G:G, MATCH(1, (Form_Response!C:C='MATCH DATES'!$B$9)*(Form_Response!D:D=B86), 0)), "")
</f>
        <v/>
      </c>
      <c r="CS86" s="31">
        <f t="shared" si="158"/>
        <v>18</v>
      </c>
      <c r="CT86" s="31" t="str">
        <f t="shared" si="39"/>
        <v>↓</v>
      </c>
      <c r="CU86" s="32">
        <f t="shared" si="40"/>
        <v>0</v>
      </c>
      <c r="CV86" s="32" t="str">
        <f t="shared" ref="CV86:CW86" si="298">A86</f>
        <v/>
      </c>
      <c r="CW86" s="33" t="str">
        <f t="shared" si="298"/>
        <v/>
      </c>
      <c r="CX86" s="33">
        <f t="shared" si="42"/>
        <v>0</v>
      </c>
      <c r="CY86" s="32">
        <f>SUM(
  IF(AND('MATCH DATES'!$A$2 &lt;= TODAY(), NOW() &gt;= 'MATCH DATES'!$A$2 + TIME(22, 0, 0)), E86, 0),
  IF(AND('MATCH DATES'!$A$3 &lt;= TODAY(), NOW() &gt;= 'MATCH DATES'!$A$3 + TIME(22, 0, 0)), Q86, 0),
  IF(AND('MATCH DATES'!$A$4 &lt;= TODAY(), NOW() &gt;= 'MATCH DATES'!$A$4 + TIME(22, 0, 0)), AC86, 0),
  IF(AND('MATCH DATES'!$A$5 &lt;= TODAY(), NOW() &gt;= 'MATCH DATES'!$A$5 + TIME(22, 0, 0)), AO86, 0),
  IF(AND('MATCH DATES'!$A$6 &lt;= TODAY(), NOW() &gt;= 'MATCH DATES'!$A$6 + TIME(22, 0, 0)), BA86, 0),
  IF(AND('MATCH DATES'!$A$7 &lt;= TODAY(), NOW() &gt;= 'MATCH DATES'!$A$7 + TIME(22, 0, 0)), BM86, 0),
  IF(AND('MATCH DATES'!$A$8 &lt;= TODAY(), NOW() &gt;= 'MATCH DATES'!$A$8 + TIME(22, 0, 0)), BY86, 0),
  IF(AND('MATCH DATES'!$A$9 &lt;= TODAY(), NOW() &gt;= 'MATCH DATES'!$A$9 + TIME(22, 0, 0)), CK86, 0)
)
</f>
        <v>0</v>
      </c>
      <c r="CZ86" s="33">
        <f t="shared" ref="CZ86:DA86" si="299">SUM(G86,S86,AE86,AQ86,BC86,BO86,CA86,CM86)</f>
        <v>0</v>
      </c>
      <c r="DA86" s="33">
        <f t="shared" si="299"/>
        <v>0</v>
      </c>
      <c r="DB86" s="33">
        <f>SUM(
  IF(AND('MATCH DATES'!$A$2 &lt;= TODAY(), NOW() &gt;= 'MATCH DATES'!$A$2 + TIME(22, 0, 0)), I86, 0),
  IF(AND('MATCH DATES'!$A$3 &lt;= TODAY(), NOW() &gt;= 'MATCH DATES'!$A$3 + TIME(22, 0, 0)), U86, 0),
  IF(AND('MATCH DATES'!$A$4 &lt;= TODAY(), NOW() &gt;= 'MATCH DATES'!$A$4 + TIME(22, 0, 0)), AG86, 0),
  IF(AND('MATCH DATES'!$A$5 &lt;= TODAY(), NOW() &gt;= 'MATCH DATES'!$A$5 + TIME(22, 0, 0)), AS86, 0),
  IF(AND('MATCH DATES'!$A$6 &lt;= TODAY(), NOW() &gt;= 'MATCH DATES'!$A$6 + TIME(22, 0, 0)), BE86, 0),
  IF(AND('MATCH DATES'!$A$7 &lt;= TODAY(), NOW() &gt;= 'MATCH DATES'!$A$7 + TIME(22, 0, 0)), BQ86, 0),
  IF(AND('MATCH DATES'!$A$8 &lt;= TODAY(), NOW() &gt;= 'MATCH DATES'!$A$8 + TIME(22, 0, 0)), CC86, 0),
  IF(AND('MATCH DATES'!$A$9 &lt;= TODAY(), NOW() &gt;= 'MATCH DATES'!$A$9 + TIME(22, 0, 0)), CO86, 0)
)</f>
        <v>0</v>
      </c>
      <c r="DC86" s="33">
        <f t="shared" si="44"/>
        <v>0</v>
      </c>
      <c r="DD86" s="33">
        <f t="shared" ref="DD86:DE86" si="300">SUM(K86,W86,AI86,AU86,BG86,BS86,CE86,CQ86)</f>
        <v>0</v>
      </c>
      <c r="DE86" s="33">
        <f t="shared" si="300"/>
        <v>0</v>
      </c>
    </row>
    <row r="87" ht="24.75" customHeight="1">
      <c r="A87" s="31"/>
      <c r="B87" s="39"/>
      <c r="C87" s="35"/>
      <c r="D87" s="20">
        <f t="shared" si="4"/>
        <v>0</v>
      </c>
      <c r="E87" s="20">
        <f t="shared" si="5"/>
        <v>0</v>
      </c>
      <c r="F87" s="20">
        <f t="shared" si="6"/>
        <v>0</v>
      </c>
      <c r="G87" s="20">
        <f>IF(C87&lt;&gt;"",
    COUNTIFS(MATCH_INPUT!$K$2:$K$5,C87),
0)</f>
        <v>0</v>
      </c>
      <c r="H87" s="20">
        <f>IF(C87&lt;&gt;"",
    COUNTIFS(MATCH_INPUT!$F$2:$F$5, C87, MATCH_INPUT!$K$2:$K$5, "Draw") +
    COUNTIFS(MATCH_INPUT!$J$2:$J$5, C87, MATCH_INPUT!$K$2:$K$5, "Draw"),
0)</f>
        <v>0</v>
      </c>
      <c r="I87" s="20">
        <f>IF(C87&lt;&gt;"",
    COUNTIFS(MATCH_INPUT!$F$2:$F$5, C87, MATCH_INPUT!$K$2:$K$5, "&lt;&gt;"&amp;C87, MATCH_INPUT!$K$2:$K$5, "&lt;&gt;Draw", MATCH_INPUT!$K$2:$K$5, "&lt;&gt;""") +
    COUNTIFS(MATCH_INPUT!$J$2:$J$5, C87, MATCH_INPUT!$K$2:$K$5, "&lt;&gt;"&amp;C87, MATCH_INPUT!$K$2:$K$5, "&lt;&gt;Draw", MATCH_INPUT!$K$2:$K$5, "&lt;&gt;"""),
0)</f>
        <v>0</v>
      </c>
      <c r="J87" s="21"/>
      <c r="K87" s="21"/>
      <c r="L87" s="22"/>
      <c r="M87" s="23">
        <f t="shared" si="151"/>
        <v>4</v>
      </c>
      <c r="N87" s="24" t="str">
        <f t="shared" si="8"/>
        <v>↓</v>
      </c>
      <c r="O87" s="25"/>
      <c r="P87" s="26">
        <f t="shared" si="9"/>
        <v>0</v>
      </c>
      <c r="Q87" s="26">
        <f t="shared" si="10"/>
        <v>0</v>
      </c>
      <c r="R87" s="26">
        <f t="shared" si="11"/>
        <v>0</v>
      </c>
      <c r="S87" s="26">
        <f>IF(O87&lt;&gt;"",
    COUNTIFS(MATCH_INPUT!$K$6:$K$9,O87),
0)</f>
        <v>0</v>
      </c>
      <c r="T87" s="26">
        <f>IF(O87&lt;&gt;"",
    COUNTIFS(MATCH_INPUT!$F$6:$F$9, O87, MATCH_INPUT!$K$6:$K$9, "Draw") +
    COUNTIFS(MATCH_INPUT!$J$6:$J$9, O87, MATCH_INPUT!$K$6:$K$9, "Draw"),
0)</f>
        <v>0</v>
      </c>
      <c r="U87" s="26">
        <f>IF(O87&lt;&gt;"",
    COUNTIFS(MATCH_INPUT!$F$6:$F$9, O87, MATCH_INPUT!$K$6:$K$9, "&lt;&gt;"&amp;O87, MATCH_INPUT!$K$6:$K$9, "&lt;&gt;Draw", MATCH_INPUT!$K$6:$K$9, "&lt;&gt;""") +
    COUNTIFS(MATCH_INPUT!$J$6:$J$9, O87, MATCH_INPUT!$K$6:$K$9, "&lt;&gt;"&amp;O87, MATCH_INPUT!$K$6:$K$9, "&lt;&gt;Draw", MATCH_INPUT!$K$6:$K$9, "&lt;&gt;"""),
0)</f>
        <v>0</v>
      </c>
      <c r="V87" s="27"/>
      <c r="W87" s="27"/>
      <c r="X87" s="28"/>
      <c r="Y87" s="26">
        <f t="shared" si="152"/>
        <v>7</v>
      </c>
      <c r="Z87" s="29" t="str">
        <f t="shared" si="13"/>
        <v>↓</v>
      </c>
      <c r="AA87" s="19"/>
      <c r="AB87" s="23">
        <f t="shared" si="14"/>
        <v>0</v>
      </c>
      <c r="AC87" s="20">
        <f t="shared" si="15"/>
        <v>0</v>
      </c>
      <c r="AD87" s="20">
        <f t="shared" si="16"/>
        <v>0</v>
      </c>
      <c r="AE87" s="20">
        <f>IF(AA87&lt;&gt;"",
    COUNTIFS(MATCH_INPUT!$K$10:$K$13,AA87),
0)</f>
        <v>0</v>
      </c>
      <c r="AF87" s="20">
        <f>IF(AA87&lt;&gt;"",
    COUNTIFS(MATCH_INPUT!$F$10:$F$13, AA87, MATCH_INPUT!$K$10:$K$13, "Draw") +
    COUNTIFS(MATCH_INPUT!$J$10:$J$13, AA87, MATCH_INPUT!$K$10:$K$13, "Draw"),
0)</f>
        <v>0</v>
      </c>
      <c r="AG87" s="20">
        <f>IF(AA87&lt;&gt;"",
    COUNTIFS(MATCH_INPUT!$F$10:$F$13, AA87, MATCH_INPUT!$K$10:$K$13, "&lt;&gt;"&amp;AA87, MATCH_INPUT!$K$10:$K$13, "&lt;&gt;Draw", MATCH_INPUT!$K$10:$K$13, "&lt;&gt;""") +
    COUNTIFS(MATCH_INPUT!$J$10:$J$13, AA87, MATCH_INPUT!$K$10:$K$13, "&lt;&gt;"&amp;AA87, MATCH_INPUT!$K$10:$K$13, "&lt;&gt;Draw", MATCH_INPUT!$K$10:$K$13, "&lt;&gt;"""),
0)</f>
        <v>0</v>
      </c>
      <c r="AH87" s="21"/>
      <c r="AI87" s="21"/>
      <c r="AJ87" s="30"/>
      <c r="AK87" s="23">
        <f t="shared" si="153"/>
        <v>8</v>
      </c>
      <c r="AL87" s="24" t="str">
        <f t="shared" si="18"/>
        <v>↓</v>
      </c>
      <c r="AM87" s="25"/>
      <c r="AN87" s="26">
        <f t="shared" si="19"/>
        <v>0</v>
      </c>
      <c r="AO87" s="26">
        <f t="shared" si="20"/>
        <v>0</v>
      </c>
      <c r="AP87" s="26">
        <f t="shared" si="21"/>
        <v>0</v>
      </c>
      <c r="AQ87" s="26">
        <f>IF(AM87&lt;&gt;"",
    COUNTIFS(MATCH_INPUT!$K$14:$K$17,AM87),
0)</f>
        <v>0</v>
      </c>
      <c r="AR87" s="26">
        <f>IF(AM87&lt;&gt;"",
    COUNTIFS(MATCH_INPUT!$F$14:$F$17, AM87, MATCH_INPUT!$K$14:$K$17, "Draw") +
    COUNTIFS(MATCH_INPUT!$J$14:$J$17, AM87, MATCH_INPUT!$K$14:$K$17, "Draw"),
0)</f>
        <v>0</v>
      </c>
      <c r="AS87" s="26">
        <f>IF(AM87&lt;&gt;"",
    COUNTIFS(MATCH_INPUT!$F$14:$F$17, AM87, MATCH_INPUT!$K$14:$K$17, "&lt;&gt;"&amp;AM87, MATCH_INPUT!$K$14:$K$17, "&lt;&gt;Draw", MATCH_INPUT!$K$14:$K$17, "&lt;&gt;""") +
    COUNTIFS(MATCH_INPUT!$J$14:$J$17, AM87, MATCH_INPUT!$K$14:$K$17, "&lt;&gt;"&amp;AM87, MATCH_INPUT!$K$14:$K$17, "&lt;&gt;Draw", MATCH_INPUT!$K$14:$K$17, "&lt;&gt;"""),
0)</f>
        <v>0</v>
      </c>
      <c r="AT87" s="27"/>
      <c r="AU87" s="27"/>
      <c r="AV87" s="28"/>
      <c r="AW87" s="26">
        <f t="shared" si="154"/>
        <v>10</v>
      </c>
      <c r="AX87" s="29" t="str">
        <f t="shared" si="23"/>
        <v>↓</v>
      </c>
      <c r="AY87" s="19"/>
      <c r="AZ87" s="23">
        <f t="shared" si="24"/>
        <v>0</v>
      </c>
      <c r="BA87" s="20">
        <f t="shared" si="25"/>
        <v>0</v>
      </c>
      <c r="BB87" s="20">
        <f>SUM(BC87*2) + (BD87*1) + SUMIFS(MATCH_INPUT!$G$18:$G$21, MATCH_INPUT!$F$18:$F$21, AY87) + SUMIFS(MATCH_INPUT!$I$18:$I$21, MATCH_INPUT!$J$18:$J$21, AY87)
</f>
        <v>0</v>
      </c>
      <c r="BC87" s="20">
        <f>IF(AY87&lt;&gt;"",
    COUNTIFS(MATCH_INPUT!$K$18:$K$21,AY87),
0)</f>
        <v>0</v>
      </c>
      <c r="BD87" s="20">
        <f>IF(AY87&lt;&gt;"",
    COUNTIFS(MATCH_INPUT!$F$18:$F$21, AY87, MATCH_INPUT!$K$18:$K$21, "Draw") +
    COUNTIFS(MATCH_INPUT!$J$18:$J$21, AY87, MATCH_INPUT!$K$18:$K$21, "Draw"),
0)</f>
        <v>0</v>
      </c>
      <c r="BE87" s="20">
        <f>IF(AY87&lt;&gt;"",
    COUNTIFS(MATCH_INPUT!$F$18:$F$21, AY87, MATCH_INPUT!$K$18:$K$21, "&lt;&gt;"&amp;AY87, MATCH_INPUT!$K$18:$K$21, "&lt;&gt;Draw", MATCH_INPUT!$K$18:$K$21, "&lt;&gt;""") +
    COUNTIFS(MATCH_INPUT!$J$18:$J$21, AY87, MATCH_INPUT!$K$18:$K$21, "&lt;&gt;"&amp;AY87, MATCH_INPUT!$K$18:$K$21, "&lt;&gt;Draw", MATCH_INPUT!$K$18:$K$21, "&lt;&gt;"""),
0)</f>
        <v>0</v>
      </c>
      <c r="BF87" s="21" t="str">
        <f t="array" ref="BF87">IFERROR(INDEX(Form_Response!E:E, MATCH(1, (Form_Response!C:C='MATCH DATES'!$B$6)*(Form_Response!D:D=B87), 0)), "")
</f>
        <v/>
      </c>
      <c r="BG87" s="21">
        <f t="array" ref="BG87">IFERROR(IF(INDEX(Form_Response!F:F, MATCH(1, (Form_Response!C:C='MATCH DATES'!$B$6)*(Form_Response!D:D=B87), 0))="Yes", 1, 0), 0)
</f>
        <v>0</v>
      </c>
      <c r="BH87" s="30" t="str">
        <f t="array" ref="BH87">IFERROR(INDEX(Form_Response!G:G, MATCH(1, (Form_Response!C:C='MATCH DATES'!$B$6)*(Form_Response!D:D=B87), 0)), "")
</f>
        <v/>
      </c>
      <c r="BI87" s="23">
        <f t="shared" si="155"/>
        <v>11</v>
      </c>
      <c r="BJ87" s="24" t="str">
        <f t="shared" si="27"/>
        <v>↓</v>
      </c>
      <c r="BK87" s="34"/>
      <c r="BL87" s="26">
        <f t="shared" si="28"/>
        <v>0</v>
      </c>
      <c r="BM87" s="26">
        <f t="shared" si="29"/>
        <v>0</v>
      </c>
      <c r="BN87" s="26">
        <f>SUM(BO87*2) + (BP87*1) + SUMIFS(MATCH_INPUT!$G$22:$G$25, MATCH_INPUT!$F$22:$F$25, BK87) + SUMIFS(MATCH_INPUT!$I$22:$I$25, MATCH_INPUT!$J$22:$J$25, BK87)
</f>
        <v>0</v>
      </c>
      <c r="BO87" s="26">
        <f>IF(BK87&lt;&gt;"",
    COUNTIFS(MATCH_INPUT!$K$22:$K$25,BK87),
0)</f>
        <v>0</v>
      </c>
      <c r="BP87" s="26">
        <f>IF(BK87&lt;&gt;"",
    COUNTIFS(MATCH_INPUT!$F$22:$F$25, BK87, MATCH_INPUT!$K$22:$K$25, "Draw") +
    COUNTIFS(MATCH_INPUT!$J$22:$J$25, BK87, MATCH_INPUT!$K$22:$K$25, "Draw"),
0)</f>
        <v>0</v>
      </c>
      <c r="BQ87" s="26">
        <f>IF(BK87&lt;&gt;"",
    COUNTIFS(MATCH_INPUT!$F$22:$F$25, BK87, MATCH_INPUT!$K$22:$K$25, "&lt;&gt;"&amp;BK87, MATCH_INPUT!$K$22:$K$25, "&lt;&gt;Draw", MATCH_INPUT!$K$22:$K$25, "&lt;&gt;""") +
    COUNTIFS(MATCH_INPUT!$J$22:$J$25, BK87, MATCH_INPUT!$K$22:$K$25, "&lt;&gt;"&amp;BK87, MATCH_INPUT!$K$22:$K$25, "&lt;&gt;Draw", MATCH_INPUT!$K$22:$K$25, "&lt;&gt;"""),
0)</f>
        <v>0</v>
      </c>
      <c r="BR87" s="27"/>
      <c r="BS87" s="27"/>
      <c r="BT87" s="28"/>
      <c r="BU87" s="26">
        <f t="shared" si="156"/>
        <v>14</v>
      </c>
      <c r="BV87" s="29" t="str">
        <f t="shared" si="31"/>
        <v>↓</v>
      </c>
      <c r="BW87" s="35"/>
      <c r="BX87" s="23">
        <f t="shared" si="32"/>
        <v>0</v>
      </c>
      <c r="BY87" s="20">
        <f t="shared" si="33"/>
        <v>0</v>
      </c>
      <c r="BZ87" s="20">
        <f>SUM(CA87*2)+(CB87*1) + SUMIFS(MATCH_INPUT!$G$26:$G$29, MATCH_INPUT!$F$26:$F$29, BW87) + SUMIFS(MATCH_INPUT!$I$26:$I$29, MATCH_INPUT!$J$26:$J$29, BW87)
</f>
        <v>0</v>
      </c>
      <c r="CA87" s="20">
        <f>IF(BW87&lt;&gt;"",
    COUNTIFS(MATCH_INPUT!$K$26:$K$29,BW87),
0)</f>
        <v>0</v>
      </c>
      <c r="CB87" s="20">
        <f>IF(BW87&lt;&gt;"",
    COUNTIFS(MATCH_INPUT!$F$26:$F$29, BW87, MATCH_INPUT!$K$26:$K$29, "Draw") +
    COUNTIFS(MATCH_INPUT!$J$26:$J$29, BW87, MATCH_INPUT!$K$26:$K$29, "Draw"),
0)</f>
        <v>0</v>
      </c>
      <c r="CC87" s="20">
        <f>IF(BW87&lt;&gt;"",
    COUNTIFS(MATCH_INPUT!$F$26:$F$29, BW87, MATCH_INPUT!$K$26:$K$29, "&lt;&gt;"&amp;BW87, MATCH_INPUT!$K$26:$K$29, "&lt;&gt;Draw", MATCH_INPUT!$K$26:$K$29, "&lt;&gt;""") +
    COUNTIFS(MATCH_INPUT!$J$26:$J$29, BW87, MATCH_INPUT!$K$26:$K$29, "&lt;&gt;"&amp;BW87, MATCH_INPUT!$K$26:$K$29, "&lt;&gt;Draw", MATCH_INPUT!$K$26:$K$29, "&lt;&gt;"""),
0)</f>
        <v>0</v>
      </c>
      <c r="CD87" s="21"/>
      <c r="CE87" s="21"/>
      <c r="CF87" s="30"/>
      <c r="CG87" s="23">
        <f t="shared" si="157"/>
        <v>15</v>
      </c>
      <c r="CH87" s="24" t="str">
        <f t="shared" si="35"/>
        <v>↓</v>
      </c>
      <c r="CI87" s="25"/>
      <c r="CJ87" s="26">
        <f t="shared" si="291"/>
        <v>0</v>
      </c>
      <c r="CK87" s="26">
        <f t="shared" si="37"/>
        <v>0</v>
      </c>
      <c r="CL87" s="26">
        <f>SUM(CM87*2)+(CN87*1) + SUMIFS(MATCH_INPUT!$G$30:$G$33, MATCH_INPUT!$F$30:$F$33, CI87) + SUMIFS(MATCH_INPUT!$I$30:$I$33, MATCH_INPUT!$J$30:$J$33, CI87)
</f>
        <v>0</v>
      </c>
      <c r="CM87" s="26">
        <f>IF(CI87&lt;&gt;"",
    COUNTIFS(MATCH_INPUT!$K$30:$K$33,CI87),
0)</f>
        <v>0</v>
      </c>
      <c r="CN87" s="26">
        <f>IF(CI87&lt;&gt;"",
    COUNTIFS(MATCH_INPUT!$F$30:$F$33, CI87, MATCH_INPUT!$K$30:$K$33, "Draw") +
    COUNTIFS(MATCH_INPUT!$J$30:$J$33, CI87, MATCH_INPUT!$K$30:$K$33, "Draw"),
0)</f>
        <v>0</v>
      </c>
      <c r="CO87" s="26">
        <f>IF(CI87&lt;&gt;"",
    COUNTIFS(MATCH_INPUT!$F$30:$F$33, CI87, MATCH_INPUT!$K$30:$K$33, "&lt;&gt;"&amp;CI87, MATCH_INPUT!$K$30:$K$33, "&lt;&gt;Draw", MATCH_INPUT!$K$30:$K$33, "&lt;&gt;""") +
    COUNTIFS(MATCH_INPUT!$J$30:$J$33, CI87, MATCH_INPUT!$K$30:$K$33, "&lt;&gt;"&amp;CI87, MATCH_INPUT!$K$30:$K$33, "&lt;&gt;Draw", MATCH_INPUT!$K$30:$K$33, "&lt;&gt;"""),
0)</f>
        <v>0</v>
      </c>
      <c r="CP87" s="27" t="str">
        <f t="array" ref="CP87">IFERROR(INDEX(Form_Response!E:E, MATCH(1, (Form_Response!C:C='MATCH DATES'!$B$9)*(Form_Response!D:D=B87), 0)), "")
</f>
        <v/>
      </c>
      <c r="CQ87" s="27">
        <f t="array" ref="CQ87">IFERROR(IF(INDEX(Form_Response!F:F, MATCH(1, (Form_Response!C:C='MATCH DATES'!$B$9)*(Form_Response!D:D=B87), 0))="Yes", 1, 0), 0)
</f>
        <v>0</v>
      </c>
      <c r="CR87" s="28" t="str">
        <f t="array" ref="CR87">IFERROR(INDEX(Form_Response!G:G, MATCH(1, (Form_Response!C:C='MATCH DATES'!$B$9)*(Form_Response!D:D=B87), 0)), "")
</f>
        <v/>
      </c>
      <c r="CS87" s="31">
        <f t="shared" si="158"/>
        <v>18</v>
      </c>
      <c r="CT87" s="31" t="str">
        <f t="shared" si="39"/>
        <v>↓</v>
      </c>
      <c r="CU87" s="32">
        <f t="shared" si="40"/>
        <v>0</v>
      </c>
      <c r="CV87" s="32" t="str">
        <f t="shared" ref="CV87:CW87" si="301">A87</f>
        <v/>
      </c>
      <c r="CW87" s="33" t="str">
        <f t="shared" si="301"/>
        <v/>
      </c>
      <c r="CX87" s="33">
        <f t="shared" si="42"/>
        <v>0</v>
      </c>
      <c r="CY87" s="32">
        <f>SUM(
  IF(AND('MATCH DATES'!$A$2 &lt;= TODAY(), NOW() &gt;= 'MATCH DATES'!$A$2 + TIME(22, 0, 0)), E87, 0),
  IF(AND('MATCH DATES'!$A$3 &lt;= TODAY(), NOW() &gt;= 'MATCH DATES'!$A$3 + TIME(22, 0, 0)), Q87, 0),
  IF(AND('MATCH DATES'!$A$4 &lt;= TODAY(), NOW() &gt;= 'MATCH DATES'!$A$4 + TIME(22, 0, 0)), AC87, 0),
  IF(AND('MATCH DATES'!$A$5 &lt;= TODAY(), NOW() &gt;= 'MATCH DATES'!$A$5 + TIME(22, 0, 0)), AO87, 0),
  IF(AND('MATCH DATES'!$A$6 &lt;= TODAY(), NOW() &gt;= 'MATCH DATES'!$A$6 + TIME(22, 0, 0)), BA87, 0),
  IF(AND('MATCH DATES'!$A$7 &lt;= TODAY(), NOW() &gt;= 'MATCH DATES'!$A$7 + TIME(22, 0, 0)), BM87, 0),
  IF(AND('MATCH DATES'!$A$8 &lt;= TODAY(), NOW() &gt;= 'MATCH DATES'!$A$8 + TIME(22, 0, 0)), BY87, 0),
  IF(AND('MATCH DATES'!$A$9 &lt;= TODAY(), NOW() &gt;= 'MATCH DATES'!$A$9 + TIME(22, 0, 0)), CK87, 0)
)
</f>
        <v>0</v>
      </c>
      <c r="CZ87" s="33">
        <f t="shared" ref="CZ87:DA87" si="302">SUM(G87,S87,AE87,AQ87,BC87,BO87,CA87,CM87)</f>
        <v>0</v>
      </c>
      <c r="DA87" s="33">
        <f t="shared" si="302"/>
        <v>0</v>
      </c>
      <c r="DB87" s="33">
        <f>SUM(
  IF(AND('MATCH DATES'!$A$2 &lt;= TODAY(), NOW() &gt;= 'MATCH DATES'!$A$2 + TIME(22, 0, 0)), I87, 0),
  IF(AND('MATCH DATES'!$A$3 &lt;= TODAY(), NOW() &gt;= 'MATCH DATES'!$A$3 + TIME(22, 0, 0)), U87, 0),
  IF(AND('MATCH DATES'!$A$4 &lt;= TODAY(), NOW() &gt;= 'MATCH DATES'!$A$4 + TIME(22, 0, 0)), AG87, 0),
  IF(AND('MATCH DATES'!$A$5 &lt;= TODAY(), NOW() &gt;= 'MATCH DATES'!$A$5 + TIME(22, 0, 0)), AS87, 0),
  IF(AND('MATCH DATES'!$A$6 &lt;= TODAY(), NOW() &gt;= 'MATCH DATES'!$A$6 + TIME(22, 0, 0)), BE87, 0),
  IF(AND('MATCH DATES'!$A$7 &lt;= TODAY(), NOW() &gt;= 'MATCH DATES'!$A$7 + TIME(22, 0, 0)), BQ87, 0),
  IF(AND('MATCH DATES'!$A$8 &lt;= TODAY(), NOW() &gt;= 'MATCH DATES'!$A$8 + TIME(22, 0, 0)), CC87, 0),
  IF(AND('MATCH DATES'!$A$9 &lt;= TODAY(), NOW() &gt;= 'MATCH DATES'!$A$9 + TIME(22, 0, 0)), CO87, 0)
)</f>
        <v>0</v>
      </c>
      <c r="DC87" s="33">
        <f t="shared" si="44"/>
        <v>0</v>
      </c>
      <c r="DD87" s="33">
        <f t="shared" ref="DD87:DE87" si="303">SUM(K87,W87,AI87,AU87,BG87,BS87,CE87,CQ87)</f>
        <v>0</v>
      </c>
      <c r="DE87" s="33">
        <f t="shared" si="303"/>
        <v>0</v>
      </c>
    </row>
    <row r="88" ht="24.75" customHeight="1">
      <c r="A88" s="31"/>
      <c r="B88" s="39"/>
      <c r="C88" s="35"/>
      <c r="D88" s="20">
        <f t="shared" si="4"/>
        <v>0</v>
      </c>
      <c r="E88" s="20">
        <f t="shared" si="5"/>
        <v>0</v>
      </c>
      <c r="F88" s="20">
        <f t="shared" si="6"/>
        <v>0</v>
      </c>
      <c r="G88" s="20">
        <f>IF(C88&lt;&gt;"",
    COUNTIFS(MATCH_INPUT!$K$2:$K$5,C88),
0)</f>
        <v>0</v>
      </c>
      <c r="H88" s="20">
        <f>IF(C88&lt;&gt;"",
    COUNTIFS(MATCH_INPUT!$F$2:$F$5, C88, MATCH_INPUT!$K$2:$K$5, "Draw") +
    COUNTIFS(MATCH_INPUT!$J$2:$J$5, C88, MATCH_INPUT!$K$2:$K$5, "Draw"),
0)</f>
        <v>0</v>
      </c>
      <c r="I88" s="20">
        <f>IF(C88&lt;&gt;"",
    COUNTIFS(MATCH_INPUT!$F$2:$F$5, C88, MATCH_INPUT!$K$2:$K$5, "&lt;&gt;"&amp;C88, MATCH_INPUT!$K$2:$K$5, "&lt;&gt;Draw", MATCH_INPUT!$K$2:$K$5, "&lt;&gt;""") +
    COUNTIFS(MATCH_INPUT!$J$2:$J$5, C88, MATCH_INPUT!$K$2:$K$5, "&lt;&gt;"&amp;C88, MATCH_INPUT!$K$2:$K$5, "&lt;&gt;Draw", MATCH_INPUT!$K$2:$K$5, "&lt;&gt;"""),
0)</f>
        <v>0</v>
      </c>
      <c r="J88" s="21"/>
      <c r="K88" s="21"/>
      <c r="L88" s="22"/>
      <c r="M88" s="23">
        <f t="shared" si="151"/>
        <v>4</v>
      </c>
      <c r="N88" s="24" t="str">
        <f t="shared" si="8"/>
        <v>↓</v>
      </c>
      <c r="O88" s="25"/>
      <c r="P88" s="26">
        <f t="shared" si="9"/>
        <v>0</v>
      </c>
      <c r="Q88" s="26">
        <f t="shared" si="10"/>
        <v>0</v>
      </c>
      <c r="R88" s="26">
        <f t="shared" si="11"/>
        <v>0</v>
      </c>
      <c r="S88" s="26">
        <f>IF(O88&lt;&gt;"",
    COUNTIFS(MATCH_INPUT!$K$6:$K$9,O88),
0)</f>
        <v>0</v>
      </c>
      <c r="T88" s="26">
        <f>IF(O88&lt;&gt;"",
    COUNTIFS(MATCH_INPUT!$F$6:$F$9, O88, MATCH_INPUT!$K$6:$K$9, "Draw") +
    COUNTIFS(MATCH_INPUT!$J$6:$J$9, O88, MATCH_INPUT!$K$6:$K$9, "Draw"),
0)</f>
        <v>0</v>
      </c>
      <c r="U88" s="26">
        <f>IF(O88&lt;&gt;"",
    COUNTIFS(MATCH_INPUT!$F$6:$F$9, O88, MATCH_INPUT!$K$6:$K$9, "&lt;&gt;"&amp;O88, MATCH_INPUT!$K$6:$K$9, "&lt;&gt;Draw", MATCH_INPUT!$K$6:$K$9, "&lt;&gt;""") +
    COUNTIFS(MATCH_INPUT!$J$6:$J$9, O88, MATCH_INPUT!$K$6:$K$9, "&lt;&gt;"&amp;O88, MATCH_INPUT!$K$6:$K$9, "&lt;&gt;Draw", MATCH_INPUT!$K$6:$K$9, "&lt;&gt;"""),
0)</f>
        <v>0</v>
      </c>
      <c r="V88" s="27"/>
      <c r="W88" s="27"/>
      <c r="X88" s="28"/>
      <c r="Y88" s="26">
        <f t="shared" si="152"/>
        <v>7</v>
      </c>
      <c r="Z88" s="29" t="str">
        <f t="shared" si="13"/>
        <v>↓</v>
      </c>
      <c r="AA88" s="19"/>
      <c r="AB88" s="23">
        <f t="shared" si="14"/>
        <v>0</v>
      </c>
      <c r="AC88" s="20">
        <f t="shared" si="15"/>
        <v>0</v>
      </c>
      <c r="AD88" s="20">
        <f t="shared" si="16"/>
        <v>0</v>
      </c>
      <c r="AE88" s="20">
        <f>IF(AA88&lt;&gt;"",
    COUNTIFS(MATCH_INPUT!$K$10:$K$13,AA88),
0)</f>
        <v>0</v>
      </c>
      <c r="AF88" s="20">
        <f>IF(AA88&lt;&gt;"",
    COUNTIFS(MATCH_INPUT!$F$10:$F$13, AA88, MATCH_INPUT!$K$10:$K$13, "Draw") +
    COUNTIFS(MATCH_INPUT!$J$10:$J$13, AA88, MATCH_INPUT!$K$10:$K$13, "Draw"),
0)</f>
        <v>0</v>
      </c>
      <c r="AG88" s="20">
        <f>IF(AA88&lt;&gt;"",
    COUNTIFS(MATCH_INPUT!$F$10:$F$13, AA88, MATCH_INPUT!$K$10:$K$13, "&lt;&gt;"&amp;AA88, MATCH_INPUT!$K$10:$K$13, "&lt;&gt;Draw", MATCH_INPUT!$K$10:$K$13, "&lt;&gt;""") +
    COUNTIFS(MATCH_INPUT!$J$10:$J$13, AA88, MATCH_INPUT!$K$10:$K$13, "&lt;&gt;"&amp;AA88, MATCH_INPUT!$K$10:$K$13, "&lt;&gt;Draw", MATCH_INPUT!$K$10:$K$13, "&lt;&gt;"""),
0)</f>
        <v>0</v>
      </c>
      <c r="AH88" s="21"/>
      <c r="AI88" s="21"/>
      <c r="AJ88" s="30"/>
      <c r="AK88" s="23">
        <f t="shared" si="153"/>
        <v>8</v>
      </c>
      <c r="AL88" s="24" t="str">
        <f t="shared" si="18"/>
        <v>↓</v>
      </c>
      <c r="AM88" s="25"/>
      <c r="AN88" s="26">
        <f t="shared" si="19"/>
        <v>0</v>
      </c>
      <c r="AO88" s="26">
        <f t="shared" si="20"/>
        <v>0</v>
      </c>
      <c r="AP88" s="26">
        <f t="shared" si="21"/>
        <v>0</v>
      </c>
      <c r="AQ88" s="26">
        <f>IF(AM88&lt;&gt;"",
    COUNTIFS(MATCH_INPUT!$K$14:$K$17,AM88),
0)</f>
        <v>0</v>
      </c>
      <c r="AR88" s="26">
        <f>IF(AM88&lt;&gt;"",
    COUNTIFS(MATCH_INPUT!$F$14:$F$17, AM88, MATCH_INPUT!$K$14:$K$17, "Draw") +
    COUNTIFS(MATCH_INPUT!$J$14:$J$17, AM88, MATCH_INPUT!$K$14:$K$17, "Draw"),
0)</f>
        <v>0</v>
      </c>
      <c r="AS88" s="26">
        <f>IF(AM88&lt;&gt;"",
    COUNTIFS(MATCH_INPUT!$F$14:$F$17, AM88, MATCH_INPUT!$K$14:$K$17, "&lt;&gt;"&amp;AM88, MATCH_INPUT!$K$14:$K$17, "&lt;&gt;Draw", MATCH_INPUT!$K$14:$K$17, "&lt;&gt;""") +
    COUNTIFS(MATCH_INPUT!$J$14:$J$17, AM88, MATCH_INPUT!$K$14:$K$17, "&lt;&gt;"&amp;AM88, MATCH_INPUT!$K$14:$K$17, "&lt;&gt;Draw", MATCH_INPUT!$K$14:$K$17, "&lt;&gt;"""),
0)</f>
        <v>0</v>
      </c>
      <c r="AT88" s="27"/>
      <c r="AU88" s="27"/>
      <c r="AV88" s="28"/>
      <c r="AW88" s="26">
        <f t="shared" si="154"/>
        <v>10</v>
      </c>
      <c r="AX88" s="29" t="str">
        <f t="shared" si="23"/>
        <v>↓</v>
      </c>
      <c r="AY88" s="19"/>
      <c r="AZ88" s="23">
        <f t="shared" si="24"/>
        <v>0</v>
      </c>
      <c r="BA88" s="20">
        <f t="shared" si="25"/>
        <v>0</v>
      </c>
      <c r="BB88" s="20">
        <f>SUM(BC88*2) + (BD88*1) + SUMIFS(MATCH_INPUT!$G$18:$G$21, MATCH_INPUT!$F$18:$F$21, AY88) + SUMIFS(MATCH_INPUT!$I$18:$I$21, MATCH_INPUT!$J$18:$J$21, AY88)
</f>
        <v>0</v>
      </c>
      <c r="BC88" s="20">
        <f>IF(AY88&lt;&gt;"",
    COUNTIFS(MATCH_INPUT!$K$18:$K$21,AY88),
0)</f>
        <v>0</v>
      </c>
      <c r="BD88" s="20">
        <f>IF(AY88&lt;&gt;"",
    COUNTIFS(MATCH_INPUT!$F$18:$F$21, AY88, MATCH_INPUT!$K$18:$K$21, "Draw") +
    COUNTIFS(MATCH_INPUT!$J$18:$J$21, AY88, MATCH_INPUT!$K$18:$K$21, "Draw"),
0)</f>
        <v>0</v>
      </c>
      <c r="BE88" s="20">
        <f>IF(AY88&lt;&gt;"",
    COUNTIFS(MATCH_INPUT!$F$18:$F$21, AY88, MATCH_INPUT!$K$18:$K$21, "&lt;&gt;"&amp;AY88, MATCH_INPUT!$K$18:$K$21, "&lt;&gt;Draw", MATCH_INPUT!$K$18:$K$21, "&lt;&gt;""") +
    COUNTIFS(MATCH_INPUT!$J$18:$J$21, AY88, MATCH_INPUT!$K$18:$K$21, "&lt;&gt;"&amp;AY88, MATCH_INPUT!$K$18:$K$21, "&lt;&gt;Draw", MATCH_INPUT!$K$18:$K$21, "&lt;&gt;"""),
0)</f>
        <v>0</v>
      </c>
      <c r="BF88" s="21" t="str">
        <f t="array" ref="BF88">IFERROR(INDEX(Form_Response!E:E, MATCH(1, (Form_Response!C:C='MATCH DATES'!$B$6)*(Form_Response!D:D=B88), 0)), "")
</f>
        <v/>
      </c>
      <c r="BG88" s="21">
        <f t="array" ref="BG88">IFERROR(IF(INDEX(Form_Response!F:F, MATCH(1, (Form_Response!C:C='MATCH DATES'!$B$6)*(Form_Response!D:D=B88), 0))="Yes", 1, 0), 0)
</f>
        <v>0</v>
      </c>
      <c r="BH88" s="30" t="str">
        <f t="array" ref="BH88">IFERROR(INDEX(Form_Response!G:G, MATCH(1, (Form_Response!C:C='MATCH DATES'!$B$6)*(Form_Response!D:D=B88), 0)), "")
</f>
        <v/>
      </c>
      <c r="BI88" s="23">
        <f t="shared" si="155"/>
        <v>11</v>
      </c>
      <c r="BJ88" s="24" t="str">
        <f t="shared" si="27"/>
        <v>↓</v>
      </c>
      <c r="BK88" s="34"/>
      <c r="BL88" s="26">
        <f t="shared" si="28"/>
        <v>0</v>
      </c>
      <c r="BM88" s="26">
        <f t="shared" si="29"/>
        <v>0</v>
      </c>
      <c r="BN88" s="26">
        <f>SUM(BO88*2) + (BP88*1) + SUMIFS(MATCH_INPUT!$G$22:$G$25, MATCH_INPUT!$F$22:$F$25, BK88) + SUMIFS(MATCH_INPUT!$I$22:$I$25, MATCH_INPUT!$J$22:$J$25, BK88)
</f>
        <v>0</v>
      </c>
      <c r="BO88" s="26">
        <f>IF(BK88&lt;&gt;"",
    COUNTIFS(MATCH_INPUT!$K$22:$K$25,BK88),
0)</f>
        <v>0</v>
      </c>
      <c r="BP88" s="26">
        <f>IF(BK88&lt;&gt;"",
    COUNTIFS(MATCH_INPUT!$F$22:$F$25, BK88, MATCH_INPUT!$K$22:$K$25, "Draw") +
    COUNTIFS(MATCH_INPUT!$J$22:$J$25, BK88, MATCH_INPUT!$K$22:$K$25, "Draw"),
0)</f>
        <v>0</v>
      </c>
      <c r="BQ88" s="26">
        <f>IF(BK88&lt;&gt;"",
    COUNTIFS(MATCH_INPUT!$F$22:$F$25, BK88, MATCH_INPUT!$K$22:$K$25, "&lt;&gt;"&amp;BK88, MATCH_INPUT!$K$22:$K$25, "&lt;&gt;Draw", MATCH_INPUT!$K$22:$K$25, "&lt;&gt;""") +
    COUNTIFS(MATCH_INPUT!$J$22:$J$25, BK88, MATCH_INPUT!$K$22:$K$25, "&lt;&gt;"&amp;BK88, MATCH_INPUT!$K$22:$K$25, "&lt;&gt;Draw", MATCH_INPUT!$K$22:$K$25, "&lt;&gt;"""),
0)</f>
        <v>0</v>
      </c>
      <c r="BR88" s="27"/>
      <c r="BS88" s="27"/>
      <c r="BT88" s="28"/>
      <c r="BU88" s="26">
        <f t="shared" si="156"/>
        <v>14</v>
      </c>
      <c r="BV88" s="29" t="str">
        <f t="shared" si="31"/>
        <v>↓</v>
      </c>
      <c r="BW88" s="35"/>
      <c r="BX88" s="23">
        <f t="shared" si="32"/>
        <v>0</v>
      </c>
      <c r="BY88" s="20">
        <f t="shared" si="33"/>
        <v>0</v>
      </c>
      <c r="BZ88" s="20">
        <f>SUM(CA88*2)+(CB88*1) + SUMIFS(MATCH_INPUT!$G$26:$G$29, MATCH_INPUT!$F$26:$F$29, BW88) + SUMIFS(MATCH_INPUT!$I$26:$I$29, MATCH_INPUT!$J$26:$J$29, BW88)
</f>
        <v>0</v>
      </c>
      <c r="CA88" s="20">
        <f>IF(BW88&lt;&gt;"",
    COUNTIFS(MATCH_INPUT!$K$26:$K$29,BW88),
0)</f>
        <v>0</v>
      </c>
      <c r="CB88" s="20">
        <f>IF(BW88&lt;&gt;"",
    COUNTIFS(MATCH_INPUT!$F$26:$F$29, BW88, MATCH_INPUT!$K$26:$K$29, "Draw") +
    COUNTIFS(MATCH_INPUT!$J$26:$J$29, BW88, MATCH_INPUT!$K$26:$K$29, "Draw"),
0)</f>
        <v>0</v>
      </c>
      <c r="CC88" s="20">
        <f>IF(BW88&lt;&gt;"",
    COUNTIFS(MATCH_INPUT!$F$26:$F$29, BW88, MATCH_INPUT!$K$26:$K$29, "&lt;&gt;"&amp;BW88, MATCH_INPUT!$K$26:$K$29, "&lt;&gt;Draw", MATCH_INPUT!$K$26:$K$29, "&lt;&gt;""") +
    COUNTIFS(MATCH_INPUT!$J$26:$J$29, BW88, MATCH_INPUT!$K$26:$K$29, "&lt;&gt;"&amp;BW88, MATCH_INPUT!$K$26:$K$29, "&lt;&gt;Draw", MATCH_INPUT!$K$26:$K$29, "&lt;&gt;"""),
0)</f>
        <v>0</v>
      </c>
      <c r="CD88" s="21"/>
      <c r="CE88" s="21"/>
      <c r="CF88" s="30"/>
      <c r="CG88" s="23">
        <f t="shared" si="157"/>
        <v>15</v>
      </c>
      <c r="CH88" s="24" t="str">
        <f t="shared" si="35"/>
        <v>↓</v>
      </c>
      <c r="CI88" s="25"/>
      <c r="CJ88" s="26">
        <f t="shared" si="291"/>
        <v>0</v>
      </c>
      <c r="CK88" s="26">
        <f t="shared" si="37"/>
        <v>0</v>
      </c>
      <c r="CL88" s="26">
        <f>SUM(CM88*2)+(CN88*1) + SUMIFS(MATCH_INPUT!$G$30:$G$33, MATCH_INPUT!$F$30:$F$33, CI88) + SUMIFS(MATCH_INPUT!$I$30:$I$33, MATCH_INPUT!$J$30:$J$33, CI88)
</f>
        <v>0</v>
      </c>
      <c r="CM88" s="26">
        <f>IF(CI88&lt;&gt;"",
    COUNTIFS(MATCH_INPUT!$K$30:$K$33,CI88),
0)</f>
        <v>0</v>
      </c>
      <c r="CN88" s="26">
        <f>IF(CI88&lt;&gt;"",
    COUNTIFS(MATCH_INPUT!$F$30:$F$33, CI88, MATCH_INPUT!$K$30:$K$33, "Draw") +
    COUNTIFS(MATCH_INPUT!$J$30:$J$33, CI88, MATCH_INPUT!$K$30:$K$33, "Draw"),
0)</f>
        <v>0</v>
      </c>
      <c r="CO88" s="26">
        <f>IF(CI88&lt;&gt;"",
    COUNTIFS(MATCH_INPUT!$F$30:$F$33, CI88, MATCH_INPUT!$K$30:$K$33, "&lt;&gt;"&amp;CI88, MATCH_INPUT!$K$30:$K$33, "&lt;&gt;Draw", MATCH_INPUT!$K$30:$K$33, "&lt;&gt;""") +
    COUNTIFS(MATCH_INPUT!$J$30:$J$33, CI88, MATCH_INPUT!$K$30:$K$33, "&lt;&gt;"&amp;CI88, MATCH_INPUT!$K$30:$K$33, "&lt;&gt;Draw", MATCH_INPUT!$K$30:$K$33, "&lt;&gt;"""),
0)</f>
        <v>0</v>
      </c>
      <c r="CP88" s="27" t="str">
        <f t="array" ref="CP88">IFERROR(INDEX(Form_Response!E:E, MATCH(1, (Form_Response!C:C='MATCH DATES'!$B$9)*(Form_Response!D:D=B88), 0)), "")
</f>
        <v/>
      </c>
      <c r="CQ88" s="27">
        <f t="array" ref="CQ88">IFERROR(IF(INDEX(Form_Response!F:F, MATCH(1, (Form_Response!C:C='MATCH DATES'!$B$9)*(Form_Response!D:D=B88), 0))="Yes", 1, 0), 0)
</f>
        <v>0</v>
      </c>
      <c r="CR88" s="28" t="str">
        <f t="array" ref="CR88">IFERROR(INDEX(Form_Response!G:G, MATCH(1, (Form_Response!C:C='MATCH DATES'!$B$9)*(Form_Response!D:D=B88), 0)), "")
</f>
        <v/>
      </c>
      <c r="CS88" s="31">
        <f t="shared" si="158"/>
        <v>18</v>
      </c>
      <c r="CT88" s="31" t="str">
        <f t="shared" si="39"/>
        <v>↓</v>
      </c>
      <c r="CU88" s="32">
        <f t="shared" si="40"/>
        <v>0</v>
      </c>
      <c r="CV88" s="32" t="str">
        <f t="shared" ref="CV88:CW88" si="304">A88</f>
        <v/>
      </c>
      <c r="CW88" s="33" t="str">
        <f t="shared" si="304"/>
        <v/>
      </c>
      <c r="CX88" s="33">
        <f t="shared" si="42"/>
        <v>0</v>
      </c>
      <c r="CY88" s="32">
        <f>SUM(
  IF(AND('MATCH DATES'!$A$2 &lt;= TODAY(), NOW() &gt;= 'MATCH DATES'!$A$2 + TIME(22, 0, 0)), E88, 0),
  IF(AND('MATCH DATES'!$A$3 &lt;= TODAY(), NOW() &gt;= 'MATCH DATES'!$A$3 + TIME(22, 0, 0)), Q88, 0),
  IF(AND('MATCH DATES'!$A$4 &lt;= TODAY(), NOW() &gt;= 'MATCH DATES'!$A$4 + TIME(22, 0, 0)), AC88, 0),
  IF(AND('MATCH DATES'!$A$5 &lt;= TODAY(), NOW() &gt;= 'MATCH DATES'!$A$5 + TIME(22, 0, 0)), AO88, 0),
  IF(AND('MATCH DATES'!$A$6 &lt;= TODAY(), NOW() &gt;= 'MATCH DATES'!$A$6 + TIME(22, 0, 0)), BA88, 0),
  IF(AND('MATCH DATES'!$A$7 &lt;= TODAY(), NOW() &gt;= 'MATCH DATES'!$A$7 + TIME(22, 0, 0)), BM88, 0),
  IF(AND('MATCH DATES'!$A$8 &lt;= TODAY(), NOW() &gt;= 'MATCH DATES'!$A$8 + TIME(22, 0, 0)), BY88, 0),
  IF(AND('MATCH DATES'!$A$9 &lt;= TODAY(), NOW() &gt;= 'MATCH DATES'!$A$9 + TIME(22, 0, 0)), CK88, 0)
)
</f>
        <v>0</v>
      </c>
      <c r="CZ88" s="33">
        <f t="shared" ref="CZ88:DA88" si="305">SUM(G88,S88,AE88,AQ88,BC88,BO88,CA88,CM88)</f>
        <v>0</v>
      </c>
      <c r="DA88" s="33">
        <f t="shared" si="305"/>
        <v>0</v>
      </c>
      <c r="DB88" s="33">
        <f>SUM(
  IF(AND('MATCH DATES'!$A$2 &lt;= TODAY(), NOW() &gt;= 'MATCH DATES'!$A$2 + TIME(22, 0, 0)), I88, 0),
  IF(AND('MATCH DATES'!$A$3 &lt;= TODAY(), NOW() &gt;= 'MATCH DATES'!$A$3 + TIME(22, 0, 0)), U88, 0),
  IF(AND('MATCH DATES'!$A$4 &lt;= TODAY(), NOW() &gt;= 'MATCH DATES'!$A$4 + TIME(22, 0, 0)), AG88, 0),
  IF(AND('MATCH DATES'!$A$5 &lt;= TODAY(), NOW() &gt;= 'MATCH DATES'!$A$5 + TIME(22, 0, 0)), AS88, 0),
  IF(AND('MATCH DATES'!$A$6 &lt;= TODAY(), NOW() &gt;= 'MATCH DATES'!$A$6 + TIME(22, 0, 0)), BE88, 0),
  IF(AND('MATCH DATES'!$A$7 &lt;= TODAY(), NOW() &gt;= 'MATCH DATES'!$A$7 + TIME(22, 0, 0)), BQ88, 0),
  IF(AND('MATCH DATES'!$A$8 &lt;= TODAY(), NOW() &gt;= 'MATCH DATES'!$A$8 + TIME(22, 0, 0)), CC88, 0),
  IF(AND('MATCH DATES'!$A$9 &lt;= TODAY(), NOW() &gt;= 'MATCH DATES'!$A$9 + TIME(22, 0, 0)), CO88, 0)
)</f>
        <v>0</v>
      </c>
      <c r="DC88" s="33">
        <f t="shared" si="44"/>
        <v>0</v>
      </c>
      <c r="DD88" s="33">
        <f t="shared" ref="DD88:DE88" si="306">SUM(K88,W88,AI88,AU88,BG88,BS88,CE88,CQ88)</f>
        <v>0</v>
      </c>
      <c r="DE88" s="33">
        <f t="shared" si="306"/>
        <v>0</v>
      </c>
    </row>
    <row r="89" ht="24.75" customHeight="1">
      <c r="A89" s="31"/>
      <c r="B89" s="39"/>
      <c r="C89" s="35"/>
      <c r="D89" s="20">
        <f t="shared" si="4"/>
        <v>0</v>
      </c>
      <c r="E89" s="20">
        <f t="shared" si="5"/>
        <v>0</v>
      </c>
      <c r="F89" s="20">
        <f t="shared" si="6"/>
        <v>0</v>
      </c>
      <c r="G89" s="20">
        <f>IF(C89&lt;&gt;"",
    COUNTIFS(MATCH_INPUT!$K$2:$K$5,C89),
0)</f>
        <v>0</v>
      </c>
      <c r="H89" s="20">
        <f>IF(C89&lt;&gt;"",
    COUNTIFS(MATCH_INPUT!$F$2:$F$5, C89, MATCH_INPUT!$K$2:$K$5, "Draw") +
    COUNTIFS(MATCH_INPUT!$J$2:$J$5, C89, MATCH_INPUT!$K$2:$K$5, "Draw"),
0)</f>
        <v>0</v>
      </c>
      <c r="I89" s="20">
        <f>IF(C89&lt;&gt;"",
    COUNTIFS(MATCH_INPUT!$F$2:$F$5, C89, MATCH_INPUT!$K$2:$K$5, "&lt;&gt;"&amp;C89, MATCH_INPUT!$K$2:$K$5, "&lt;&gt;Draw", MATCH_INPUT!$K$2:$K$5, "&lt;&gt;""") +
    COUNTIFS(MATCH_INPUT!$J$2:$J$5, C89, MATCH_INPUT!$K$2:$K$5, "&lt;&gt;"&amp;C89, MATCH_INPUT!$K$2:$K$5, "&lt;&gt;Draw", MATCH_INPUT!$K$2:$K$5, "&lt;&gt;"""),
0)</f>
        <v>0</v>
      </c>
      <c r="J89" s="21"/>
      <c r="K89" s="21"/>
      <c r="L89" s="22"/>
      <c r="M89" s="23">
        <f t="shared" si="151"/>
        <v>4</v>
      </c>
      <c r="N89" s="24" t="str">
        <f t="shared" si="8"/>
        <v>↓</v>
      </c>
      <c r="O89" s="25"/>
      <c r="P89" s="26">
        <f t="shared" si="9"/>
        <v>0</v>
      </c>
      <c r="Q89" s="26">
        <f t="shared" si="10"/>
        <v>0</v>
      </c>
      <c r="R89" s="26">
        <f t="shared" si="11"/>
        <v>0</v>
      </c>
      <c r="S89" s="26">
        <f>IF(O89&lt;&gt;"",
    COUNTIFS(MATCH_INPUT!$K$6:$K$9,O89),
0)</f>
        <v>0</v>
      </c>
      <c r="T89" s="26">
        <f>IF(O89&lt;&gt;"",
    COUNTIFS(MATCH_INPUT!$F$6:$F$9, O89, MATCH_INPUT!$K$6:$K$9, "Draw") +
    COUNTIFS(MATCH_INPUT!$J$6:$J$9, O89, MATCH_INPUT!$K$6:$K$9, "Draw"),
0)</f>
        <v>0</v>
      </c>
      <c r="U89" s="26">
        <f>IF(O89&lt;&gt;"",
    COUNTIFS(MATCH_INPUT!$F$6:$F$9, O89, MATCH_INPUT!$K$6:$K$9, "&lt;&gt;"&amp;O89, MATCH_INPUT!$K$6:$K$9, "&lt;&gt;Draw", MATCH_INPUT!$K$6:$K$9, "&lt;&gt;""") +
    COUNTIFS(MATCH_INPUT!$J$6:$J$9, O89, MATCH_INPUT!$K$6:$K$9, "&lt;&gt;"&amp;O89, MATCH_INPUT!$K$6:$K$9, "&lt;&gt;Draw", MATCH_INPUT!$K$6:$K$9, "&lt;&gt;"""),
0)</f>
        <v>0</v>
      </c>
      <c r="V89" s="27"/>
      <c r="W89" s="27"/>
      <c r="X89" s="28"/>
      <c r="Y89" s="26">
        <f t="shared" si="152"/>
        <v>7</v>
      </c>
      <c r="Z89" s="29" t="str">
        <f t="shared" si="13"/>
        <v>↓</v>
      </c>
      <c r="AA89" s="19"/>
      <c r="AB89" s="23">
        <f t="shared" si="14"/>
        <v>0</v>
      </c>
      <c r="AC89" s="20">
        <f t="shared" si="15"/>
        <v>0</v>
      </c>
      <c r="AD89" s="20">
        <f t="shared" si="16"/>
        <v>0</v>
      </c>
      <c r="AE89" s="20">
        <f>IF(AA89&lt;&gt;"",
    COUNTIFS(MATCH_INPUT!$K$10:$K$13,AA89),
0)</f>
        <v>0</v>
      </c>
      <c r="AF89" s="20">
        <f>IF(AA89&lt;&gt;"",
    COUNTIFS(MATCH_INPUT!$F$10:$F$13, AA89, MATCH_INPUT!$K$10:$K$13, "Draw") +
    COUNTIFS(MATCH_INPUT!$J$10:$J$13, AA89, MATCH_INPUT!$K$10:$K$13, "Draw"),
0)</f>
        <v>0</v>
      </c>
      <c r="AG89" s="20">
        <f>IF(AA89&lt;&gt;"",
    COUNTIFS(MATCH_INPUT!$F$10:$F$13, AA89, MATCH_INPUT!$K$10:$K$13, "&lt;&gt;"&amp;AA89, MATCH_INPUT!$K$10:$K$13, "&lt;&gt;Draw", MATCH_INPUT!$K$10:$K$13, "&lt;&gt;""") +
    COUNTIFS(MATCH_INPUT!$J$10:$J$13, AA89, MATCH_INPUT!$K$10:$K$13, "&lt;&gt;"&amp;AA89, MATCH_INPUT!$K$10:$K$13, "&lt;&gt;Draw", MATCH_INPUT!$K$10:$K$13, "&lt;&gt;"""),
0)</f>
        <v>0</v>
      </c>
      <c r="AH89" s="21"/>
      <c r="AI89" s="21"/>
      <c r="AJ89" s="30"/>
      <c r="AK89" s="23">
        <f t="shared" si="153"/>
        <v>8</v>
      </c>
      <c r="AL89" s="24" t="str">
        <f t="shared" si="18"/>
        <v>↓</v>
      </c>
      <c r="AM89" s="25"/>
      <c r="AN89" s="26">
        <f t="shared" si="19"/>
        <v>0</v>
      </c>
      <c r="AO89" s="26">
        <f t="shared" si="20"/>
        <v>0</v>
      </c>
      <c r="AP89" s="26">
        <f t="shared" si="21"/>
        <v>0</v>
      </c>
      <c r="AQ89" s="26">
        <f>IF(AM89&lt;&gt;"",
    COUNTIFS(MATCH_INPUT!$K$14:$K$17,AM89),
0)</f>
        <v>0</v>
      </c>
      <c r="AR89" s="26">
        <f>IF(AM89&lt;&gt;"",
    COUNTIFS(MATCH_INPUT!$F$14:$F$17, AM89, MATCH_INPUT!$K$14:$K$17, "Draw") +
    COUNTIFS(MATCH_INPUT!$J$14:$J$17, AM89, MATCH_INPUT!$K$14:$K$17, "Draw"),
0)</f>
        <v>0</v>
      </c>
      <c r="AS89" s="26">
        <f>IF(AM89&lt;&gt;"",
    COUNTIFS(MATCH_INPUT!$F$14:$F$17, AM89, MATCH_INPUT!$K$14:$K$17, "&lt;&gt;"&amp;AM89, MATCH_INPUT!$K$14:$K$17, "&lt;&gt;Draw", MATCH_INPUT!$K$14:$K$17, "&lt;&gt;""") +
    COUNTIFS(MATCH_INPUT!$J$14:$J$17, AM89, MATCH_INPUT!$K$14:$K$17, "&lt;&gt;"&amp;AM89, MATCH_INPUT!$K$14:$K$17, "&lt;&gt;Draw", MATCH_INPUT!$K$14:$K$17, "&lt;&gt;"""),
0)</f>
        <v>0</v>
      </c>
      <c r="AT89" s="27"/>
      <c r="AU89" s="27"/>
      <c r="AV89" s="28"/>
      <c r="AW89" s="26">
        <f t="shared" si="154"/>
        <v>10</v>
      </c>
      <c r="AX89" s="29" t="str">
        <f t="shared" si="23"/>
        <v>↓</v>
      </c>
      <c r="AY89" s="19"/>
      <c r="AZ89" s="23">
        <f t="shared" si="24"/>
        <v>0</v>
      </c>
      <c r="BA89" s="20">
        <f t="shared" si="25"/>
        <v>0</v>
      </c>
      <c r="BB89" s="20">
        <f>SUM(BC89*2) + (BD89*1) + SUMIFS(MATCH_INPUT!$G$18:$G$21, MATCH_INPUT!$F$18:$F$21, AY89) + SUMIFS(MATCH_INPUT!$I$18:$I$21, MATCH_INPUT!$J$18:$J$21, AY89)
</f>
        <v>0</v>
      </c>
      <c r="BC89" s="20">
        <f>IF(AY89&lt;&gt;"",
    COUNTIFS(MATCH_INPUT!$K$18:$K$21,AY89),
0)</f>
        <v>0</v>
      </c>
      <c r="BD89" s="20">
        <f>IF(AY89&lt;&gt;"",
    COUNTIFS(MATCH_INPUT!$F$18:$F$21, AY89, MATCH_INPUT!$K$18:$K$21, "Draw") +
    COUNTIFS(MATCH_INPUT!$J$18:$J$21, AY89, MATCH_INPUT!$K$18:$K$21, "Draw"),
0)</f>
        <v>0</v>
      </c>
      <c r="BE89" s="20">
        <f>IF(AY89&lt;&gt;"",
    COUNTIFS(MATCH_INPUT!$F$18:$F$21, AY89, MATCH_INPUT!$K$18:$K$21, "&lt;&gt;"&amp;AY89, MATCH_INPUT!$K$18:$K$21, "&lt;&gt;Draw", MATCH_INPUT!$K$18:$K$21, "&lt;&gt;""") +
    COUNTIFS(MATCH_INPUT!$J$18:$J$21, AY89, MATCH_INPUT!$K$18:$K$21, "&lt;&gt;"&amp;AY89, MATCH_INPUT!$K$18:$K$21, "&lt;&gt;Draw", MATCH_INPUT!$K$18:$K$21, "&lt;&gt;"""),
0)</f>
        <v>0</v>
      </c>
      <c r="BF89" s="21" t="str">
        <f t="array" ref="BF89">IFERROR(INDEX(Form_Response!E:E, MATCH(1, (Form_Response!C:C='MATCH DATES'!$B$6)*(Form_Response!D:D=B89), 0)), "")
</f>
        <v/>
      </c>
      <c r="BG89" s="21">
        <f t="array" ref="BG89">IFERROR(IF(INDEX(Form_Response!F:F, MATCH(1, (Form_Response!C:C='MATCH DATES'!$B$6)*(Form_Response!D:D=B89), 0))="Yes", 1, 0), 0)
</f>
        <v>0</v>
      </c>
      <c r="BH89" s="30" t="str">
        <f t="array" ref="BH89">IFERROR(INDEX(Form_Response!G:G, MATCH(1, (Form_Response!C:C='MATCH DATES'!$B$6)*(Form_Response!D:D=B89), 0)), "")
</f>
        <v/>
      </c>
      <c r="BI89" s="23">
        <f t="shared" si="155"/>
        <v>11</v>
      </c>
      <c r="BJ89" s="24" t="str">
        <f t="shared" si="27"/>
        <v>↓</v>
      </c>
      <c r="BK89" s="34"/>
      <c r="BL89" s="26">
        <f t="shared" si="28"/>
        <v>0</v>
      </c>
      <c r="BM89" s="26">
        <f t="shared" si="29"/>
        <v>0</v>
      </c>
      <c r="BN89" s="26">
        <f>SUM(BO89*2) + (BP89*1) + SUMIFS(MATCH_INPUT!$G$22:$G$25, MATCH_INPUT!$F$22:$F$25, BK89) + SUMIFS(MATCH_INPUT!$I$22:$I$25, MATCH_INPUT!$J$22:$J$25, BK89)
</f>
        <v>0</v>
      </c>
      <c r="BO89" s="26">
        <f>IF(BK89&lt;&gt;"",
    COUNTIFS(MATCH_INPUT!$K$22:$K$25,BK89),
0)</f>
        <v>0</v>
      </c>
      <c r="BP89" s="26">
        <f>IF(BK89&lt;&gt;"",
    COUNTIFS(MATCH_INPUT!$F$22:$F$25, BK89, MATCH_INPUT!$K$22:$K$25, "Draw") +
    COUNTIFS(MATCH_INPUT!$J$22:$J$25, BK89, MATCH_INPUT!$K$22:$K$25, "Draw"),
0)</f>
        <v>0</v>
      </c>
      <c r="BQ89" s="26">
        <f>IF(BK89&lt;&gt;"",
    COUNTIFS(MATCH_INPUT!$F$22:$F$25, BK89, MATCH_INPUT!$K$22:$K$25, "&lt;&gt;"&amp;BK89, MATCH_INPUT!$K$22:$K$25, "&lt;&gt;Draw", MATCH_INPUT!$K$22:$K$25, "&lt;&gt;""") +
    COUNTIFS(MATCH_INPUT!$J$22:$J$25, BK89, MATCH_INPUT!$K$22:$K$25, "&lt;&gt;"&amp;BK89, MATCH_INPUT!$K$22:$K$25, "&lt;&gt;Draw", MATCH_INPUT!$K$22:$K$25, "&lt;&gt;"""),
0)</f>
        <v>0</v>
      </c>
      <c r="BR89" s="27"/>
      <c r="BS89" s="27"/>
      <c r="BT89" s="28"/>
      <c r="BU89" s="26">
        <f t="shared" si="156"/>
        <v>14</v>
      </c>
      <c r="BV89" s="29" t="str">
        <f t="shared" si="31"/>
        <v>↓</v>
      </c>
      <c r="BW89" s="35"/>
      <c r="BX89" s="23">
        <f t="shared" si="32"/>
        <v>0</v>
      </c>
      <c r="BY89" s="20">
        <f t="shared" si="33"/>
        <v>0</v>
      </c>
      <c r="BZ89" s="20">
        <f>SUM(CA89*2)+(CB89*1) + SUMIFS(MATCH_INPUT!$G$26:$G$29, MATCH_INPUT!$F$26:$F$29, BW89) + SUMIFS(MATCH_INPUT!$I$26:$I$29, MATCH_INPUT!$J$26:$J$29, BW89)
</f>
        <v>0</v>
      </c>
      <c r="CA89" s="20">
        <f>IF(BW89&lt;&gt;"",
    COUNTIFS(MATCH_INPUT!$K$26:$K$29,BW89),
0)</f>
        <v>0</v>
      </c>
      <c r="CB89" s="20">
        <f>IF(BW89&lt;&gt;"",
    COUNTIFS(MATCH_INPUT!$F$26:$F$29, BW89, MATCH_INPUT!$K$26:$K$29, "Draw") +
    COUNTIFS(MATCH_INPUT!$J$26:$J$29, BW89, MATCH_INPUT!$K$26:$K$29, "Draw"),
0)</f>
        <v>0</v>
      </c>
      <c r="CC89" s="20">
        <f>IF(BW89&lt;&gt;"",
    COUNTIFS(MATCH_INPUT!$F$26:$F$29, BW89, MATCH_INPUT!$K$26:$K$29, "&lt;&gt;"&amp;BW89, MATCH_INPUT!$K$26:$K$29, "&lt;&gt;Draw", MATCH_INPUT!$K$26:$K$29, "&lt;&gt;""") +
    COUNTIFS(MATCH_INPUT!$J$26:$J$29, BW89, MATCH_INPUT!$K$26:$K$29, "&lt;&gt;"&amp;BW89, MATCH_INPUT!$K$26:$K$29, "&lt;&gt;Draw", MATCH_INPUT!$K$26:$K$29, "&lt;&gt;"""),
0)</f>
        <v>0</v>
      </c>
      <c r="CD89" s="21"/>
      <c r="CE89" s="21"/>
      <c r="CF89" s="30"/>
      <c r="CG89" s="23">
        <f t="shared" si="157"/>
        <v>15</v>
      </c>
      <c r="CH89" s="24" t="str">
        <f t="shared" si="35"/>
        <v>↓</v>
      </c>
      <c r="CI89" s="25"/>
      <c r="CJ89" s="26">
        <f t="shared" si="291"/>
        <v>0</v>
      </c>
      <c r="CK89" s="26">
        <f t="shared" si="37"/>
        <v>0</v>
      </c>
      <c r="CL89" s="26">
        <f>SUM(CM89*2)+(CN89*1) + SUMIFS(MATCH_INPUT!$G$30:$G$33, MATCH_INPUT!$F$30:$F$33, CI89) + SUMIFS(MATCH_INPUT!$I$30:$I$33, MATCH_INPUT!$J$30:$J$33, CI89)
</f>
        <v>0</v>
      </c>
      <c r="CM89" s="26">
        <f>IF(CI89&lt;&gt;"",
    COUNTIFS(MATCH_INPUT!$K$30:$K$33,CI89),
0)</f>
        <v>0</v>
      </c>
      <c r="CN89" s="26">
        <f>IF(CI89&lt;&gt;"",
    COUNTIFS(MATCH_INPUT!$F$30:$F$33, CI89, MATCH_INPUT!$K$30:$K$33, "Draw") +
    COUNTIFS(MATCH_INPUT!$J$30:$J$33, CI89, MATCH_INPUT!$K$30:$K$33, "Draw"),
0)</f>
        <v>0</v>
      </c>
      <c r="CO89" s="26">
        <f>IF(CI89&lt;&gt;"",
    COUNTIFS(MATCH_INPUT!$F$30:$F$33, CI89, MATCH_INPUT!$K$30:$K$33, "&lt;&gt;"&amp;CI89, MATCH_INPUT!$K$30:$K$33, "&lt;&gt;Draw", MATCH_INPUT!$K$30:$K$33, "&lt;&gt;""") +
    COUNTIFS(MATCH_INPUT!$J$30:$J$33, CI89, MATCH_INPUT!$K$30:$K$33, "&lt;&gt;"&amp;CI89, MATCH_INPUT!$K$30:$K$33, "&lt;&gt;Draw", MATCH_INPUT!$K$30:$K$33, "&lt;&gt;"""),
0)</f>
        <v>0</v>
      </c>
      <c r="CP89" s="27" t="str">
        <f t="array" ref="CP89">IFERROR(INDEX(Form_Response!E:E, MATCH(1, (Form_Response!C:C='MATCH DATES'!$B$9)*(Form_Response!D:D=B89), 0)), "")
</f>
        <v/>
      </c>
      <c r="CQ89" s="27">
        <f t="array" ref="CQ89">IFERROR(IF(INDEX(Form_Response!F:F, MATCH(1, (Form_Response!C:C='MATCH DATES'!$B$9)*(Form_Response!D:D=B89), 0))="Yes", 1, 0), 0)
</f>
        <v>0</v>
      </c>
      <c r="CR89" s="28" t="str">
        <f t="array" ref="CR89">IFERROR(INDEX(Form_Response!G:G, MATCH(1, (Form_Response!C:C='MATCH DATES'!$B$9)*(Form_Response!D:D=B89), 0)), "")
</f>
        <v/>
      </c>
      <c r="CS89" s="31">
        <f t="shared" si="158"/>
        <v>18</v>
      </c>
      <c r="CT89" s="31" t="str">
        <f t="shared" si="39"/>
        <v>↓</v>
      </c>
      <c r="CU89" s="32">
        <f t="shared" si="40"/>
        <v>0</v>
      </c>
      <c r="CV89" s="32" t="str">
        <f t="shared" ref="CV89:CW89" si="307">A89</f>
        <v/>
      </c>
      <c r="CW89" s="33" t="str">
        <f t="shared" si="307"/>
        <v/>
      </c>
      <c r="CX89" s="33">
        <f t="shared" si="42"/>
        <v>0</v>
      </c>
      <c r="CY89" s="32">
        <f>SUM(
  IF(AND('MATCH DATES'!$A$2 &lt;= TODAY(), NOW() &gt;= 'MATCH DATES'!$A$2 + TIME(22, 0, 0)), E89, 0),
  IF(AND('MATCH DATES'!$A$3 &lt;= TODAY(), NOW() &gt;= 'MATCH DATES'!$A$3 + TIME(22, 0, 0)), Q89, 0),
  IF(AND('MATCH DATES'!$A$4 &lt;= TODAY(), NOW() &gt;= 'MATCH DATES'!$A$4 + TIME(22, 0, 0)), AC89, 0),
  IF(AND('MATCH DATES'!$A$5 &lt;= TODAY(), NOW() &gt;= 'MATCH DATES'!$A$5 + TIME(22, 0, 0)), AO89, 0),
  IF(AND('MATCH DATES'!$A$6 &lt;= TODAY(), NOW() &gt;= 'MATCH DATES'!$A$6 + TIME(22, 0, 0)), BA89, 0),
  IF(AND('MATCH DATES'!$A$7 &lt;= TODAY(), NOW() &gt;= 'MATCH DATES'!$A$7 + TIME(22, 0, 0)), BM89, 0),
  IF(AND('MATCH DATES'!$A$8 &lt;= TODAY(), NOW() &gt;= 'MATCH DATES'!$A$8 + TIME(22, 0, 0)), BY89, 0),
  IF(AND('MATCH DATES'!$A$9 &lt;= TODAY(), NOW() &gt;= 'MATCH DATES'!$A$9 + TIME(22, 0, 0)), CK89, 0)
)
</f>
        <v>0</v>
      </c>
      <c r="CZ89" s="33">
        <f t="shared" ref="CZ89:DA89" si="308">SUM(G89,S89,AE89,AQ89,BC89,BO89,CA89,CM89)</f>
        <v>0</v>
      </c>
      <c r="DA89" s="33">
        <f t="shared" si="308"/>
        <v>0</v>
      </c>
      <c r="DB89" s="33">
        <f>SUM(
  IF(AND('MATCH DATES'!$A$2 &lt;= TODAY(), NOW() &gt;= 'MATCH DATES'!$A$2 + TIME(22, 0, 0)), I89, 0),
  IF(AND('MATCH DATES'!$A$3 &lt;= TODAY(), NOW() &gt;= 'MATCH DATES'!$A$3 + TIME(22, 0, 0)), U89, 0),
  IF(AND('MATCH DATES'!$A$4 &lt;= TODAY(), NOW() &gt;= 'MATCH DATES'!$A$4 + TIME(22, 0, 0)), AG89, 0),
  IF(AND('MATCH DATES'!$A$5 &lt;= TODAY(), NOW() &gt;= 'MATCH DATES'!$A$5 + TIME(22, 0, 0)), AS89, 0),
  IF(AND('MATCH DATES'!$A$6 &lt;= TODAY(), NOW() &gt;= 'MATCH DATES'!$A$6 + TIME(22, 0, 0)), BE89, 0),
  IF(AND('MATCH DATES'!$A$7 &lt;= TODAY(), NOW() &gt;= 'MATCH DATES'!$A$7 + TIME(22, 0, 0)), BQ89, 0),
  IF(AND('MATCH DATES'!$A$8 &lt;= TODAY(), NOW() &gt;= 'MATCH DATES'!$A$8 + TIME(22, 0, 0)), CC89, 0),
  IF(AND('MATCH DATES'!$A$9 &lt;= TODAY(), NOW() &gt;= 'MATCH DATES'!$A$9 + TIME(22, 0, 0)), CO89, 0)
)</f>
        <v>0</v>
      </c>
      <c r="DC89" s="33">
        <f t="shared" si="44"/>
        <v>0</v>
      </c>
      <c r="DD89" s="33">
        <f t="shared" ref="DD89:DE89" si="309">SUM(K89,W89,AI89,AU89,BG89,BS89,CE89,CQ89)</f>
        <v>0</v>
      </c>
      <c r="DE89" s="33">
        <f t="shared" si="309"/>
        <v>0</v>
      </c>
    </row>
    <row r="90" ht="24.75" customHeight="1">
      <c r="A90" s="31"/>
      <c r="B90" s="39"/>
      <c r="C90" s="35"/>
      <c r="D90" s="20">
        <f t="shared" si="4"/>
        <v>0</v>
      </c>
      <c r="E90" s="20">
        <f t="shared" si="5"/>
        <v>0</v>
      </c>
      <c r="F90" s="20">
        <f t="shared" si="6"/>
        <v>0</v>
      </c>
      <c r="G90" s="20">
        <f>IF(C90&lt;&gt;"",
    COUNTIFS(MATCH_INPUT!$K$2:$K$5,C90),
0)</f>
        <v>0</v>
      </c>
      <c r="H90" s="20">
        <f>IF(C90&lt;&gt;"",
    COUNTIFS(MATCH_INPUT!$F$2:$F$5, C90, MATCH_INPUT!$K$2:$K$5, "Draw") +
    COUNTIFS(MATCH_INPUT!$J$2:$J$5, C90, MATCH_INPUT!$K$2:$K$5, "Draw"),
0)</f>
        <v>0</v>
      </c>
      <c r="I90" s="20">
        <f>IF(C90&lt;&gt;"",
    COUNTIFS(MATCH_INPUT!$F$2:$F$5, C90, MATCH_INPUT!$K$2:$K$5, "&lt;&gt;"&amp;C90, MATCH_INPUT!$K$2:$K$5, "&lt;&gt;Draw", MATCH_INPUT!$K$2:$K$5, "&lt;&gt;""") +
    COUNTIFS(MATCH_INPUT!$J$2:$J$5, C90, MATCH_INPUT!$K$2:$K$5, "&lt;&gt;"&amp;C90, MATCH_INPUT!$K$2:$K$5, "&lt;&gt;Draw", MATCH_INPUT!$K$2:$K$5, "&lt;&gt;"""),
0)</f>
        <v>0</v>
      </c>
      <c r="J90" s="21"/>
      <c r="K90" s="21"/>
      <c r="L90" s="22"/>
      <c r="M90" s="23">
        <f t="shared" si="151"/>
        <v>4</v>
      </c>
      <c r="N90" s="24" t="str">
        <f t="shared" si="8"/>
        <v>↓</v>
      </c>
      <c r="O90" s="25"/>
      <c r="P90" s="26">
        <f t="shared" si="9"/>
        <v>0</v>
      </c>
      <c r="Q90" s="26">
        <f t="shared" si="10"/>
        <v>0</v>
      </c>
      <c r="R90" s="26">
        <f t="shared" si="11"/>
        <v>0</v>
      </c>
      <c r="S90" s="26">
        <f>IF(O90&lt;&gt;"",
    COUNTIFS(MATCH_INPUT!$K$6:$K$9,O90),
0)</f>
        <v>0</v>
      </c>
      <c r="T90" s="26">
        <f>IF(O90&lt;&gt;"",
    COUNTIFS(MATCH_INPUT!$F$6:$F$9, O90, MATCH_INPUT!$K$6:$K$9, "Draw") +
    COUNTIFS(MATCH_INPUT!$J$6:$J$9, O90, MATCH_INPUT!$K$6:$K$9, "Draw"),
0)</f>
        <v>0</v>
      </c>
      <c r="U90" s="26">
        <f>IF(O90&lt;&gt;"",
    COUNTIFS(MATCH_INPUT!$F$6:$F$9, O90, MATCH_INPUT!$K$6:$K$9, "&lt;&gt;"&amp;O90, MATCH_INPUT!$K$6:$K$9, "&lt;&gt;Draw", MATCH_INPUT!$K$6:$K$9, "&lt;&gt;""") +
    COUNTIFS(MATCH_INPUT!$J$6:$J$9, O90, MATCH_INPUT!$K$6:$K$9, "&lt;&gt;"&amp;O90, MATCH_INPUT!$K$6:$K$9, "&lt;&gt;Draw", MATCH_INPUT!$K$6:$K$9, "&lt;&gt;"""),
0)</f>
        <v>0</v>
      </c>
      <c r="V90" s="27"/>
      <c r="W90" s="27"/>
      <c r="X90" s="28"/>
      <c r="Y90" s="26">
        <f t="shared" si="152"/>
        <v>7</v>
      </c>
      <c r="Z90" s="29" t="str">
        <f t="shared" si="13"/>
        <v>↓</v>
      </c>
      <c r="AA90" s="19"/>
      <c r="AB90" s="23">
        <f t="shared" si="14"/>
        <v>0</v>
      </c>
      <c r="AC90" s="20">
        <f t="shared" si="15"/>
        <v>0</v>
      </c>
      <c r="AD90" s="20">
        <f t="shared" si="16"/>
        <v>0</v>
      </c>
      <c r="AE90" s="20">
        <f>IF(AA90&lt;&gt;"",
    COUNTIFS(MATCH_INPUT!$K$10:$K$13,AA90),
0)</f>
        <v>0</v>
      </c>
      <c r="AF90" s="20">
        <f>IF(AA90&lt;&gt;"",
    COUNTIFS(MATCH_INPUT!$F$10:$F$13, AA90, MATCH_INPUT!$K$10:$K$13, "Draw") +
    COUNTIFS(MATCH_INPUT!$J$10:$J$13, AA90, MATCH_INPUT!$K$10:$K$13, "Draw"),
0)</f>
        <v>0</v>
      </c>
      <c r="AG90" s="20">
        <f>IF(AA90&lt;&gt;"",
    COUNTIFS(MATCH_INPUT!$F$10:$F$13, AA90, MATCH_INPUT!$K$10:$K$13, "&lt;&gt;"&amp;AA90, MATCH_INPUT!$K$10:$K$13, "&lt;&gt;Draw", MATCH_INPUT!$K$10:$K$13, "&lt;&gt;""") +
    COUNTIFS(MATCH_INPUT!$J$10:$J$13, AA90, MATCH_INPUT!$K$10:$K$13, "&lt;&gt;"&amp;AA90, MATCH_INPUT!$K$10:$K$13, "&lt;&gt;Draw", MATCH_INPUT!$K$10:$K$13, "&lt;&gt;"""),
0)</f>
        <v>0</v>
      </c>
      <c r="AH90" s="21"/>
      <c r="AI90" s="21"/>
      <c r="AJ90" s="30"/>
      <c r="AK90" s="23">
        <f t="shared" si="153"/>
        <v>8</v>
      </c>
      <c r="AL90" s="24" t="str">
        <f t="shared" si="18"/>
        <v>↓</v>
      </c>
      <c r="AM90" s="25"/>
      <c r="AN90" s="26">
        <f t="shared" si="19"/>
        <v>0</v>
      </c>
      <c r="AO90" s="26">
        <f t="shared" si="20"/>
        <v>0</v>
      </c>
      <c r="AP90" s="26">
        <f t="shared" si="21"/>
        <v>0</v>
      </c>
      <c r="AQ90" s="26">
        <f>IF(AM90&lt;&gt;"",
    COUNTIFS(MATCH_INPUT!$K$14:$K$17,AM90),
0)</f>
        <v>0</v>
      </c>
      <c r="AR90" s="26">
        <f>IF(AM90&lt;&gt;"",
    COUNTIFS(MATCH_INPUT!$F$14:$F$17, AM90, MATCH_INPUT!$K$14:$K$17, "Draw") +
    COUNTIFS(MATCH_INPUT!$J$14:$J$17, AM90, MATCH_INPUT!$K$14:$K$17, "Draw"),
0)</f>
        <v>0</v>
      </c>
      <c r="AS90" s="26">
        <f>IF(AM90&lt;&gt;"",
    COUNTIFS(MATCH_INPUT!$F$14:$F$17, AM90, MATCH_INPUT!$K$14:$K$17, "&lt;&gt;"&amp;AM90, MATCH_INPUT!$K$14:$K$17, "&lt;&gt;Draw", MATCH_INPUT!$K$14:$K$17, "&lt;&gt;""") +
    COUNTIFS(MATCH_INPUT!$J$14:$J$17, AM90, MATCH_INPUT!$K$14:$K$17, "&lt;&gt;"&amp;AM90, MATCH_INPUT!$K$14:$K$17, "&lt;&gt;Draw", MATCH_INPUT!$K$14:$K$17, "&lt;&gt;"""),
0)</f>
        <v>0</v>
      </c>
      <c r="AT90" s="27"/>
      <c r="AU90" s="27"/>
      <c r="AV90" s="28"/>
      <c r="AW90" s="26">
        <f t="shared" si="154"/>
        <v>10</v>
      </c>
      <c r="AX90" s="29" t="str">
        <f t="shared" si="23"/>
        <v>↓</v>
      </c>
      <c r="AY90" s="19"/>
      <c r="AZ90" s="23">
        <f t="shared" si="24"/>
        <v>0</v>
      </c>
      <c r="BA90" s="20">
        <f t="shared" si="25"/>
        <v>0</v>
      </c>
      <c r="BB90" s="20">
        <f>SUM(BC90*2) + (BD90*1) + SUMIFS(MATCH_INPUT!$G$18:$G$21, MATCH_INPUT!$F$18:$F$21, AY90) + SUMIFS(MATCH_INPUT!$I$18:$I$21, MATCH_INPUT!$J$18:$J$21, AY90)
</f>
        <v>0</v>
      </c>
      <c r="BC90" s="20">
        <f>IF(AY90&lt;&gt;"",
    COUNTIFS(MATCH_INPUT!$K$18:$K$21,AY90),
0)</f>
        <v>0</v>
      </c>
      <c r="BD90" s="20">
        <f>IF(AY90&lt;&gt;"",
    COUNTIFS(MATCH_INPUT!$F$18:$F$21, AY90, MATCH_INPUT!$K$18:$K$21, "Draw") +
    COUNTIFS(MATCH_INPUT!$J$18:$J$21, AY90, MATCH_INPUT!$K$18:$K$21, "Draw"),
0)</f>
        <v>0</v>
      </c>
      <c r="BE90" s="20">
        <f>IF(AY90&lt;&gt;"",
    COUNTIFS(MATCH_INPUT!$F$18:$F$21, AY90, MATCH_INPUT!$K$18:$K$21, "&lt;&gt;"&amp;AY90, MATCH_INPUT!$K$18:$K$21, "&lt;&gt;Draw", MATCH_INPUT!$K$18:$K$21, "&lt;&gt;""") +
    COUNTIFS(MATCH_INPUT!$J$18:$J$21, AY90, MATCH_INPUT!$K$18:$K$21, "&lt;&gt;"&amp;AY90, MATCH_INPUT!$K$18:$K$21, "&lt;&gt;Draw", MATCH_INPUT!$K$18:$K$21, "&lt;&gt;"""),
0)</f>
        <v>0</v>
      </c>
      <c r="BF90" s="21" t="str">
        <f t="array" ref="BF90">IFERROR(INDEX(Form_Response!E:E, MATCH(1, (Form_Response!C:C='MATCH DATES'!$B$6)*(Form_Response!D:D=B90), 0)), "")
</f>
        <v/>
      </c>
      <c r="BG90" s="21">
        <f t="array" ref="BG90">IFERROR(IF(INDEX(Form_Response!F:F, MATCH(1, (Form_Response!C:C='MATCH DATES'!$B$6)*(Form_Response!D:D=B90), 0))="Yes", 1, 0), 0)
</f>
        <v>0</v>
      </c>
      <c r="BH90" s="30" t="str">
        <f t="array" ref="BH90">IFERROR(INDEX(Form_Response!G:G, MATCH(1, (Form_Response!C:C='MATCH DATES'!$B$6)*(Form_Response!D:D=B90), 0)), "")
</f>
        <v/>
      </c>
      <c r="BI90" s="23">
        <f t="shared" si="155"/>
        <v>11</v>
      </c>
      <c r="BJ90" s="24" t="str">
        <f t="shared" si="27"/>
        <v>↓</v>
      </c>
      <c r="BK90" s="34"/>
      <c r="BL90" s="26">
        <f t="shared" si="28"/>
        <v>0</v>
      </c>
      <c r="BM90" s="26">
        <f t="shared" si="29"/>
        <v>0</v>
      </c>
      <c r="BN90" s="26">
        <f>SUM(BO90*2) + (BP90*1) + SUMIFS(MATCH_INPUT!$G$22:$G$25, MATCH_INPUT!$F$22:$F$25, BK90) + SUMIFS(MATCH_INPUT!$I$22:$I$25, MATCH_INPUT!$J$22:$J$25, BK90)
</f>
        <v>0</v>
      </c>
      <c r="BO90" s="26">
        <f>IF(BK90&lt;&gt;"",
    COUNTIFS(MATCH_INPUT!$K$22:$K$25,BK90),
0)</f>
        <v>0</v>
      </c>
      <c r="BP90" s="26">
        <f>IF(BK90&lt;&gt;"",
    COUNTIFS(MATCH_INPUT!$F$22:$F$25, BK90, MATCH_INPUT!$K$22:$K$25, "Draw") +
    COUNTIFS(MATCH_INPUT!$J$22:$J$25, BK90, MATCH_INPUT!$K$22:$K$25, "Draw"),
0)</f>
        <v>0</v>
      </c>
      <c r="BQ90" s="26">
        <f>IF(BK90&lt;&gt;"",
    COUNTIFS(MATCH_INPUT!$F$22:$F$25, BK90, MATCH_INPUT!$K$22:$K$25, "&lt;&gt;"&amp;BK90, MATCH_INPUT!$K$22:$K$25, "&lt;&gt;Draw", MATCH_INPUT!$K$22:$K$25, "&lt;&gt;""") +
    COUNTIFS(MATCH_INPUT!$J$22:$J$25, BK90, MATCH_INPUT!$K$22:$K$25, "&lt;&gt;"&amp;BK90, MATCH_INPUT!$K$22:$K$25, "&lt;&gt;Draw", MATCH_INPUT!$K$22:$K$25, "&lt;&gt;"""),
0)</f>
        <v>0</v>
      </c>
      <c r="BR90" s="27"/>
      <c r="BS90" s="27"/>
      <c r="BT90" s="28"/>
      <c r="BU90" s="26">
        <f t="shared" si="156"/>
        <v>14</v>
      </c>
      <c r="BV90" s="29" t="str">
        <f t="shared" si="31"/>
        <v>↓</v>
      </c>
      <c r="BW90" s="35"/>
      <c r="BX90" s="23">
        <f t="shared" si="32"/>
        <v>0</v>
      </c>
      <c r="BY90" s="20">
        <f t="shared" si="33"/>
        <v>0</v>
      </c>
      <c r="BZ90" s="20">
        <f>SUM(CA90*2)+(CB90*1) + SUMIFS(MATCH_INPUT!$G$26:$G$29, MATCH_INPUT!$F$26:$F$29, BW90) + SUMIFS(MATCH_INPUT!$I$26:$I$29, MATCH_INPUT!$J$26:$J$29, BW90)
</f>
        <v>0</v>
      </c>
      <c r="CA90" s="20">
        <f>IF(BW90&lt;&gt;"",
    COUNTIFS(MATCH_INPUT!$K$26:$K$29,BW90),
0)</f>
        <v>0</v>
      </c>
      <c r="CB90" s="20">
        <f>IF(BW90&lt;&gt;"",
    COUNTIFS(MATCH_INPUT!$F$26:$F$29, BW90, MATCH_INPUT!$K$26:$K$29, "Draw") +
    COUNTIFS(MATCH_INPUT!$J$26:$J$29, BW90, MATCH_INPUT!$K$26:$K$29, "Draw"),
0)</f>
        <v>0</v>
      </c>
      <c r="CC90" s="20">
        <f>IF(BW90&lt;&gt;"",
    COUNTIFS(MATCH_INPUT!$F$26:$F$29, BW90, MATCH_INPUT!$K$26:$K$29, "&lt;&gt;"&amp;BW90, MATCH_INPUT!$K$26:$K$29, "&lt;&gt;Draw", MATCH_INPUT!$K$26:$K$29, "&lt;&gt;""") +
    COUNTIFS(MATCH_INPUT!$J$26:$J$29, BW90, MATCH_INPUT!$K$26:$K$29, "&lt;&gt;"&amp;BW90, MATCH_INPUT!$K$26:$K$29, "&lt;&gt;Draw", MATCH_INPUT!$K$26:$K$29, "&lt;&gt;"""),
0)</f>
        <v>0</v>
      </c>
      <c r="CD90" s="21"/>
      <c r="CE90" s="21"/>
      <c r="CF90" s="30"/>
      <c r="CG90" s="23">
        <f t="shared" si="157"/>
        <v>15</v>
      </c>
      <c r="CH90" s="24" t="str">
        <f t="shared" si="35"/>
        <v>↓</v>
      </c>
      <c r="CI90" s="25"/>
      <c r="CJ90" s="26">
        <f t="shared" si="291"/>
        <v>0</v>
      </c>
      <c r="CK90" s="26">
        <f t="shared" si="37"/>
        <v>0</v>
      </c>
      <c r="CL90" s="26">
        <f>SUM(CM90*2)+(CN90*1) + SUMIFS(MATCH_INPUT!$G$30:$G$33, MATCH_INPUT!$F$30:$F$33, CI90) + SUMIFS(MATCH_INPUT!$I$30:$I$33, MATCH_INPUT!$J$30:$J$33, CI90)
</f>
        <v>0</v>
      </c>
      <c r="CM90" s="26">
        <f>IF(CI90&lt;&gt;"",
    COUNTIFS(MATCH_INPUT!$K$30:$K$33,CI90),
0)</f>
        <v>0</v>
      </c>
      <c r="CN90" s="26">
        <f>IF(CI90&lt;&gt;"",
    COUNTIFS(MATCH_INPUT!$F$30:$F$33, CI90, MATCH_INPUT!$K$30:$K$33, "Draw") +
    COUNTIFS(MATCH_INPUT!$J$30:$J$33, CI90, MATCH_INPUT!$K$30:$K$33, "Draw"),
0)</f>
        <v>0</v>
      </c>
      <c r="CO90" s="26">
        <f>IF(CI90&lt;&gt;"",
    COUNTIFS(MATCH_INPUT!$F$30:$F$33, CI90, MATCH_INPUT!$K$30:$K$33, "&lt;&gt;"&amp;CI90, MATCH_INPUT!$K$30:$K$33, "&lt;&gt;Draw", MATCH_INPUT!$K$30:$K$33, "&lt;&gt;""") +
    COUNTIFS(MATCH_INPUT!$J$30:$J$33, CI90, MATCH_INPUT!$K$30:$K$33, "&lt;&gt;"&amp;CI90, MATCH_INPUT!$K$30:$K$33, "&lt;&gt;Draw", MATCH_INPUT!$K$30:$K$33, "&lt;&gt;"""),
0)</f>
        <v>0</v>
      </c>
      <c r="CP90" s="27" t="str">
        <f t="array" ref="CP90">IFERROR(INDEX(Form_Response!E:E, MATCH(1, (Form_Response!C:C='MATCH DATES'!$B$9)*(Form_Response!D:D=B90), 0)), "")
</f>
        <v/>
      </c>
      <c r="CQ90" s="27">
        <f t="array" ref="CQ90">IFERROR(IF(INDEX(Form_Response!F:F, MATCH(1, (Form_Response!C:C='MATCH DATES'!$B$9)*(Form_Response!D:D=B90), 0))="Yes", 1, 0), 0)
</f>
        <v>0</v>
      </c>
      <c r="CR90" s="28" t="str">
        <f t="array" ref="CR90">IFERROR(INDEX(Form_Response!G:G, MATCH(1, (Form_Response!C:C='MATCH DATES'!$B$9)*(Form_Response!D:D=B90), 0)), "")
</f>
        <v/>
      </c>
      <c r="CS90" s="31">
        <f t="shared" si="158"/>
        <v>18</v>
      </c>
      <c r="CT90" s="31" t="str">
        <f t="shared" si="39"/>
        <v>↓</v>
      </c>
      <c r="CU90" s="32">
        <f t="shared" si="40"/>
        <v>0</v>
      </c>
      <c r="CV90" s="32" t="str">
        <f t="shared" ref="CV90:CW90" si="310">A90</f>
        <v/>
      </c>
      <c r="CW90" s="33" t="str">
        <f t="shared" si="310"/>
        <v/>
      </c>
      <c r="CX90" s="33">
        <f t="shared" si="42"/>
        <v>0</v>
      </c>
      <c r="CY90" s="32">
        <f>SUM(
  IF(AND('MATCH DATES'!$A$2 &lt;= TODAY(), NOW() &gt;= 'MATCH DATES'!$A$2 + TIME(22, 0, 0)), E90, 0),
  IF(AND('MATCH DATES'!$A$3 &lt;= TODAY(), NOW() &gt;= 'MATCH DATES'!$A$3 + TIME(22, 0, 0)), Q90, 0),
  IF(AND('MATCH DATES'!$A$4 &lt;= TODAY(), NOW() &gt;= 'MATCH DATES'!$A$4 + TIME(22, 0, 0)), AC90, 0),
  IF(AND('MATCH DATES'!$A$5 &lt;= TODAY(), NOW() &gt;= 'MATCH DATES'!$A$5 + TIME(22, 0, 0)), AO90, 0),
  IF(AND('MATCH DATES'!$A$6 &lt;= TODAY(), NOW() &gt;= 'MATCH DATES'!$A$6 + TIME(22, 0, 0)), BA90, 0),
  IF(AND('MATCH DATES'!$A$7 &lt;= TODAY(), NOW() &gt;= 'MATCH DATES'!$A$7 + TIME(22, 0, 0)), BM90, 0),
  IF(AND('MATCH DATES'!$A$8 &lt;= TODAY(), NOW() &gt;= 'MATCH DATES'!$A$8 + TIME(22, 0, 0)), BY90, 0),
  IF(AND('MATCH DATES'!$A$9 &lt;= TODAY(), NOW() &gt;= 'MATCH DATES'!$A$9 + TIME(22, 0, 0)), CK90, 0)
)
</f>
        <v>0</v>
      </c>
      <c r="CZ90" s="33">
        <f t="shared" ref="CZ90:DA90" si="311">SUM(G90,S90,AE90,AQ90,BC90,BO90,CA90,CM90)</f>
        <v>0</v>
      </c>
      <c r="DA90" s="33">
        <f t="shared" si="311"/>
        <v>0</v>
      </c>
      <c r="DB90" s="33">
        <f>SUM(
  IF(AND('MATCH DATES'!$A$2 &lt;= TODAY(), NOW() &gt;= 'MATCH DATES'!$A$2 + TIME(22, 0, 0)), I90, 0),
  IF(AND('MATCH DATES'!$A$3 &lt;= TODAY(), NOW() &gt;= 'MATCH DATES'!$A$3 + TIME(22, 0, 0)), U90, 0),
  IF(AND('MATCH DATES'!$A$4 &lt;= TODAY(), NOW() &gt;= 'MATCH DATES'!$A$4 + TIME(22, 0, 0)), AG90, 0),
  IF(AND('MATCH DATES'!$A$5 &lt;= TODAY(), NOW() &gt;= 'MATCH DATES'!$A$5 + TIME(22, 0, 0)), AS90, 0),
  IF(AND('MATCH DATES'!$A$6 &lt;= TODAY(), NOW() &gt;= 'MATCH DATES'!$A$6 + TIME(22, 0, 0)), BE90, 0),
  IF(AND('MATCH DATES'!$A$7 &lt;= TODAY(), NOW() &gt;= 'MATCH DATES'!$A$7 + TIME(22, 0, 0)), BQ90, 0),
  IF(AND('MATCH DATES'!$A$8 &lt;= TODAY(), NOW() &gt;= 'MATCH DATES'!$A$8 + TIME(22, 0, 0)), CC90, 0),
  IF(AND('MATCH DATES'!$A$9 &lt;= TODAY(), NOW() &gt;= 'MATCH DATES'!$A$9 + TIME(22, 0, 0)), CO90, 0)
)</f>
        <v>0</v>
      </c>
      <c r="DC90" s="33">
        <f t="shared" si="44"/>
        <v>0</v>
      </c>
      <c r="DD90" s="33">
        <f t="shared" ref="DD90:DE90" si="312">SUM(K90,W90,AI90,AU90,BG90,BS90,CE90,CQ90)</f>
        <v>0</v>
      </c>
      <c r="DE90" s="33">
        <f t="shared" si="312"/>
        <v>0</v>
      </c>
    </row>
    <row r="91" ht="24.75" customHeight="1">
      <c r="A91" s="31"/>
      <c r="B91" s="39"/>
      <c r="C91" s="35"/>
      <c r="D91" s="20">
        <f t="shared" si="4"/>
        <v>0</v>
      </c>
      <c r="E91" s="20">
        <f t="shared" si="5"/>
        <v>0</v>
      </c>
      <c r="F91" s="20">
        <f t="shared" si="6"/>
        <v>0</v>
      </c>
      <c r="G91" s="20">
        <f>IF(C91&lt;&gt;"",
    COUNTIFS(MATCH_INPUT!$K$2:$K$5,C91),
0)</f>
        <v>0</v>
      </c>
      <c r="H91" s="20">
        <f>IF(C91&lt;&gt;"",
    COUNTIFS(MATCH_INPUT!$F$2:$F$5, C91, MATCH_INPUT!$K$2:$K$5, "Draw") +
    COUNTIFS(MATCH_INPUT!$J$2:$J$5, C91, MATCH_INPUT!$K$2:$K$5, "Draw"),
0)</f>
        <v>0</v>
      </c>
      <c r="I91" s="20">
        <f>IF(C91&lt;&gt;"",
    COUNTIFS(MATCH_INPUT!$F$2:$F$5, C91, MATCH_INPUT!$K$2:$K$5, "&lt;&gt;"&amp;C91, MATCH_INPUT!$K$2:$K$5, "&lt;&gt;Draw", MATCH_INPUT!$K$2:$K$5, "&lt;&gt;""") +
    COUNTIFS(MATCH_INPUT!$J$2:$J$5, C91, MATCH_INPUT!$K$2:$K$5, "&lt;&gt;"&amp;C91, MATCH_INPUT!$K$2:$K$5, "&lt;&gt;Draw", MATCH_INPUT!$K$2:$K$5, "&lt;&gt;"""),
0)</f>
        <v>0</v>
      </c>
      <c r="J91" s="21"/>
      <c r="K91" s="21"/>
      <c r="L91" s="22"/>
      <c r="M91" s="23">
        <f t="shared" si="151"/>
        <v>4</v>
      </c>
      <c r="N91" s="24" t="str">
        <f t="shared" si="8"/>
        <v>↓</v>
      </c>
      <c r="O91" s="25"/>
      <c r="P91" s="26">
        <f t="shared" si="9"/>
        <v>0</v>
      </c>
      <c r="Q91" s="26">
        <f t="shared" si="10"/>
        <v>0</v>
      </c>
      <c r="R91" s="26">
        <f t="shared" si="11"/>
        <v>0</v>
      </c>
      <c r="S91" s="26">
        <f>IF(O91&lt;&gt;"",
    COUNTIFS(MATCH_INPUT!$K$6:$K$9,O91),
0)</f>
        <v>0</v>
      </c>
      <c r="T91" s="26">
        <f>IF(O91&lt;&gt;"",
    COUNTIFS(MATCH_INPUT!$F$6:$F$9, O91, MATCH_INPUT!$K$6:$K$9, "Draw") +
    COUNTIFS(MATCH_INPUT!$J$6:$J$9, O91, MATCH_INPUT!$K$6:$K$9, "Draw"),
0)</f>
        <v>0</v>
      </c>
      <c r="U91" s="26">
        <f>IF(O91&lt;&gt;"",
    COUNTIFS(MATCH_INPUT!$F$6:$F$9, O91, MATCH_INPUT!$K$6:$K$9, "&lt;&gt;"&amp;O91, MATCH_INPUT!$K$6:$K$9, "&lt;&gt;Draw", MATCH_INPUT!$K$6:$K$9, "&lt;&gt;""") +
    COUNTIFS(MATCH_INPUT!$J$6:$J$9, O91, MATCH_INPUT!$K$6:$K$9, "&lt;&gt;"&amp;O91, MATCH_INPUT!$K$6:$K$9, "&lt;&gt;Draw", MATCH_INPUT!$K$6:$K$9, "&lt;&gt;"""),
0)</f>
        <v>0</v>
      </c>
      <c r="V91" s="27"/>
      <c r="W91" s="27"/>
      <c r="X91" s="28"/>
      <c r="Y91" s="26">
        <f t="shared" si="152"/>
        <v>7</v>
      </c>
      <c r="Z91" s="29" t="str">
        <f t="shared" si="13"/>
        <v>↓</v>
      </c>
      <c r="AA91" s="19"/>
      <c r="AB91" s="23">
        <f t="shared" si="14"/>
        <v>0</v>
      </c>
      <c r="AC91" s="20">
        <f t="shared" si="15"/>
        <v>0</v>
      </c>
      <c r="AD91" s="20">
        <f t="shared" si="16"/>
        <v>0</v>
      </c>
      <c r="AE91" s="20">
        <f>IF(AA91&lt;&gt;"",
    COUNTIFS(MATCH_INPUT!$K$10:$K$13,AA91),
0)</f>
        <v>0</v>
      </c>
      <c r="AF91" s="20">
        <f>IF(AA91&lt;&gt;"",
    COUNTIFS(MATCH_INPUT!$F$10:$F$13, AA91, MATCH_INPUT!$K$10:$K$13, "Draw") +
    COUNTIFS(MATCH_INPUT!$J$10:$J$13, AA91, MATCH_INPUT!$K$10:$K$13, "Draw"),
0)</f>
        <v>0</v>
      </c>
      <c r="AG91" s="20">
        <f>IF(AA91&lt;&gt;"",
    COUNTIFS(MATCH_INPUT!$F$10:$F$13, AA91, MATCH_INPUT!$K$10:$K$13, "&lt;&gt;"&amp;AA91, MATCH_INPUT!$K$10:$K$13, "&lt;&gt;Draw", MATCH_INPUT!$K$10:$K$13, "&lt;&gt;""") +
    COUNTIFS(MATCH_INPUT!$J$10:$J$13, AA91, MATCH_INPUT!$K$10:$K$13, "&lt;&gt;"&amp;AA91, MATCH_INPUT!$K$10:$K$13, "&lt;&gt;Draw", MATCH_INPUT!$K$10:$K$13, "&lt;&gt;"""),
0)</f>
        <v>0</v>
      </c>
      <c r="AH91" s="21"/>
      <c r="AI91" s="21"/>
      <c r="AJ91" s="30"/>
      <c r="AK91" s="23">
        <f t="shared" si="153"/>
        <v>8</v>
      </c>
      <c r="AL91" s="24" t="str">
        <f t="shared" si="18"/>
        <v>↓</v>
      </c>
      <c r="AM91" s="25"/>
      <c r="AN91" s="26">
        <f t="shared" si="19"/>
        <v>0</v>
      </c>
      <c r="AO91" s="26">
        <f t="shared" si="20"/>
        <v>0</v>
      </c>
      <c r="AP91" s="26">
        <f t="shared" si="21"/>
        <v>0</v>
      </c>
      <c r="AQ91" s="26">
        <f>IF(AM91&lt;&gt;"",
    COUNTIFS(MATCH_INPUT!$K$14:$K$17,AM91),
0)</f>
        <v>0</v>
      </c>
      <c r="AR91" s="26">
        <f>IF(AM91&lt;&gt;"",
    COUNTIFS(MATCH_INPUT!$F$14:$F$17, AM91, MATCH_INPUT!$K$14:$K$17, "Draw") +
    COUNTIFS(MATCH_INPUT!$J$14:$J$17, AM91, MATCH_INPUT!$K$14:$K$17, "Draw"),
0)</f>
        <v>0</v>
      </c>
      <c r="AS91" s="26">
        <f>IF(AM91&lt;&gt;"",
    COUNTIFS(MATCH_INPUT!$F$14:$F$17, AM91, MATCH_INPUT!$K$14:$K$17, "&lt;&gt;"&amp;AM91, MATCH_INPUT!$K$14:$K$17, "&lt;&gt;Draw", MATCH_INPUT!$K$14:$K$17, "&lt;&gt;""") +
    COUNTIFS(MATCH_INPUT!$J$14:$J$17, AM91, MATCH_INPUT!$K$14:$K$17, "&lt;&gt;"&amp;AM91, MATCH_INPUT!$K$14:$K$17, "&lt;&gt;Draw", MATCH_INPUT!$K$14:$K$17, "&lt;&gt;"""),
0)</f>
        <v>0</v>
      </c>
      <c r="AT91" s="27"/>
      <c r="AU91" s="27"/>
      <c r="AV91" s="28"/>
      <c r="AW91" s="26">
        <f t="shared" si="154"/>
        <v>10</v>
      </c>
      <c r="AX91" s="29" t="str">
        <f t="shared" si="23"/>
        <v>↓</v>
      </c>
      <c r="AY91" s="19"/>
      <c r="AZ91" s="23">
        <f t="shared" si="24"/>
        <v>0</v>
      </c>
      <c r="BA91" s="20">
        <f t="shared" si="25"/>
        <v>0</v>
      </c>
      <c r="BB91" s="20">
        <f>SUM(BC91*2) + (BD91*1) + SUMIFS(MATCH_INPUT!$G$18:$G$21, MATCH_INPUT!$F$18:$F$21, AY91) + SUMIFS(MATCH_INPUT!$I$18:$I$21, MATCH_INPUT!$J$18:$J$21, AY91)
</f>
        <v>0</v>
      </c>
      <c r="BC91" s="20">
        <f>IF(AY91&lt;&gt;"",
    COUNTIFS(MATCH_INPUT!$K$18:$K$21,AY91),
0)</f>
        <v>0</v>
      </c>
      <c r="BD91" s="20">
        <f>IF(AY91&lt;&gt;"",
    COUNTIFS(MATCH_INPUT!$F$18:$F$21, AY91, MATCH_INPUT!$K$18:$K$21, "Draw") +
    COUNTIFS(MATCH_INPUT!$J$18:$J$21, AY91, MATCH_INPUT!$K$18:$K$21, "Draw"),
0)</f>
        <v>0</v>
      </c>
      <c r="BE91" s="20">
        <f>IF(AY91&lt;&gt;"",
    COUNTIFS(MATCH_INPUT!$F$18:$F$21, AY91, MATCH_INPUT!$K$18:$K$21, "&lt;&gt;"&amp;AY91, MATCH_INPUT!$K$18:$K$21, "&lt;&gt;Draw", MATCH_INPUT!$K$18:$K$21, "&lt;&gt;""") +
    COUNTIFS(MATCH_INPUT!$J$18:$J$21, AY91, MATCH_INPUT!$K$18:$K$21, "&lt;&gt;"&amp;AY91, MATCH_INPUT!$K$18:$K$21, "&lt;&gt;Draw", MATCH_INPUT!$K$18:$K$21, "&lt;&gt;"""),
0)</f>
        <v>0</v>
      </c>
      <c r="BF91" s="21" t="str">
        <f t="array" ref="BF91">IFERROR(INDEX(Form_Response!E:E, MATCH(1, (Form_Response!C:C='MATCH DATES'!$B$6)*(Form_Response!D:D=B91), 0)), "")
</f>
        <v/>
      </c>
      <c r="BG91" s="21">
        <f t="array" ref="BG91">IFERROR(IF(INDEX(Form_Response!F:F, MATCH(1, (Form_Response!C:C='MATCH DATES'!$B$6)*(Form_Response!D:D=B91), 0))="Yes", 1, 0), 0)
</f>
        <v>0</v>
      </c>
      <c r="BH91" s="30" t="str">
        <f t="array" ref="BH91">IFERROR(INDEX(Form_Response!G:G, MATCH(1, (Form_Response!C:C='MATCH DATES'!$B$6)*(Form_Response!D:D=B91), 0)), "")
</f>
        <v/>
      </c>
      <c r="BI91" s="23">
        <f t="shared" si="155"/>
        <v>11</v>
      </c>
      <c r="BJ91" s="24" t="str">
        <f t="shared" si="27"/>
        <v>↓</v>
      </c>
      <c r="BK91" s="34"/>
      <c r="BL91" s="26">
        <f t="shared" si="28"/>
        <v>0</v>
      </c>
      <c r="BM91" s="26">
        <f t="shared" si="29"/>
        <v>0</v>
      </c>
      <c r="BN91" s="26">
        <f>SUM(BO91*2) + (BP91*1) + SUMIFS(MATCH_INPUT!$G$22:$G$25, MATCH_INPUT!$F$22:$F$25, BK91) + SUMIFS(MATCH_INPUT!$I$22:$I$25, MATCH_INPUT!$J$22:$J$25, BK91)
</f>
        <v>0</v>
      </c>
      <c r="BO91" s="26">
        <f>IF(BK91&lt;&gt;"",
    COUNTIFS(MATCH_INPUT!$K$22:$K$25,BK91),
0)</f>
        <v>0</v>
      </c>
      <c r="BP91" s="26">
        <f>IF(BK91&lt;&gt;"",
    COUNTIFS(MATCH_INPUT!$F$22:$F$25, BK91, MATCH_INPUT!$K$22:$K$25, "Draw") +
    COUNTIFS(MATCH_INPUT!$J$22:$J$25, BK91, MATCH_INPUT!$K$22:$K$25, "Draw"),
0)</f>
        <v>0</v>
      </c>
      <c r="BQ91" s="26">
        <f>IF(BK91&lt;&gt;"",
    COUNTIFS(MATCH_INPUT!$F$22:$F$25, BK91, MATCH_INPUT!$K$22:$K$25, "&lt;&gt;"&amp;BK91, MATCH_INPUT!$K$22:$K$25, "&lt;&gt;Draw", MATCH_INPUT!$K$22:$K$25, "&lt;&gt;""") +
    COUNTIFS(MATCH_INPUT!$J$22:$J$25, BK91, MATCH_INPUT!$K$22:$K$25, "&lt;&gt;"&amp;BK91, MATCH_INPUT!$K$22:$K$25, "&lt;&gt;Draw", MATCH_INPUT!$K$22:$K$25, "&lt;&gt;"""),
0)</f>
        <v>0</v>
      </c>
      <c r="BR91" s="27"/>
      <c r="BS91" s="27"/>
      <c r="BT91" s="28"/>
      <c r="BU91" s="26">
        <f t="shared" si="156"/>
        <v>14</v>
      </c>
      <c r="BV91" s="29" t="str">
        <f t="shared" si="31"/>
        <v>↓</v>
      </c>
      <c r="BW91" s="35"/>
      <c r="BX91" s="23">
        <f t="shared" si="32"/>
        <v>0</v>
      </c>
      <c r="BY91" s="20">
        <f t="shared" si="33"/>
        <v>0</v>
      </c>
      <c r="BZ91" s="20">
        <f>SUM(CA91*2)+(CB91*1) + SUMIFS(MATCH_INPUT!$G$26:$G$29, MATCH_INPUT!$F$26:$F$29, BW91) + SUMIFS(MATCH_INPUT!$I$26:$I$29, MATCH_INPUT!$J$26:$J$29, BW91)
</f>
        <v>0</v>
      </c>
      <c r="CA91" s="20">
        <f>IF(BW91&lt;&gt;"",
    COUNTIFS(MATCH_INPUT!$K$26:$K$29,BW91),
0)</f>
        <v>0</v>
      </c>
      <c r="CB91" s="20">
        <f>IF(BW91&lt;&gt;"",
    COUNTIFS(MATCH_INPUT!$F$26:$F$29, BW91, MATCH_INPUT!$K$26:$K$29, "Draw") +
    COUNTIFS(MATCH_INPUT!$J$26:$J$29, BW91, MATCH_INPUT!$K$26:$K$29, "Draw"),
0)</f>
        <v>0</v>
      </c>
      <c r="CC91" s="20">
        <f>IF(BW91&lt;&gt;"",
    COUNTIFS(MATCH_INPUT!$F$26:$F$29, BW91, MATCH_INPUT!$K$26:$K$29, "&lt;&gt;"&amp;BW91, MATCH_INPUT!$K$26:$K$29, "&lt;&gt;Draw", MATCH_INPUT!$K$26:$K$29, "&lt;&gt;""") +
    COUNTIFS(MATCH_INPUT!$J$26:$J$29, BW91, MATCH_INPUT!$K$26:$K$29, "&lt;&gt;"&amp;BW91, MATCH_INPUT!$K$26:$K$29, "&lt;&gt;Draw", MATCH_INPUT!$K$26:$K$29, "&lt;&gt;"""),
0)</f>
        <v>0</v>
      </c>
      <c r="CD91" s="21"/>
      <c r="CE91" s="21"/>
      <c r="CF91" s="30"/>
      <c r="CG91" s="23">
        <f t="shared" si="157"/>
        <v>15</v>
      </c>
      <c r="CH91" s="24" t="str">
        <f t="shared" si="35"/>
        <v>↓</v>
      </c>
      <c r="CI91" s="25"/>
      <c r="CJ91" s="26">
        <f t="shared" si="291"/>
        <v>0</v>
      </c>
      <c r="CK91" s="26">
        <f t="shared" si="37"/>
        <v>0</v>
      </c>
      <c r="CL91" s="26">
        <f>SUM(CM91*2)+(CN91*1) + SUMIFS(MATCH_INPUT!$G$30:$G$33, MATCH_INPUT!$F$30:$F$33, CI91) + SUMIFS(MATCH_INPUT!$I$30:$I$33, MATCH_INPUT!$J$30:$J$33, CI91)
</f>
        <v>0</v>
      </c>
      <c r="CM91" s="26">
        <f>IF(CI91&lt;&gt;"",
    COUNTIFS(MATCH_INPUT!$K$30:$K$33,CI91),
0)</f>
        <v>0</v>
      </c>
      <c r="CN91" s="26">
        <f>IF(CI91&lt;&gt;"",
    COUNTIFS(MATCH_INPUT!$F$30:$F$33, CI91, MATCH_INPUT!$K$30:$K$33, "Draw") +
    COUNTIFS(MATCH_INPUT!$J$30:$J$33, CI91, MATCH_INPUT!$K$30:$K$33, "Draw"),
0)</f>
        <v>0</v>
      </c>
      <c r="CO91" s="26">
        <f>IF(CI91&lt;&gt;"",
    COUNTIFS(MATCH_INPUT!$F$30:$F$33, CI91, MATCH_INPUT!$K$30:$K$33, "&lt;&gt;"&amp;CI91, MATCH_INPUT!$K$30:$K$33, "&lt;&gt;Draw", MATCH_INPUT!$K$30:$K$33, "&lt;&gt;""") +
    COUNTIFS(MATCH_INPUT!$J$30:$J$33, CI91, MATCH_INPUT!$K$30:$K$33, "&lt;&gt;"&amp;CI91, MATCH_INPUT!$K$30:$K$33, "&lt;&gt;Draw", MATCH_INPUT!$K$30:$K$33, "&lt;&gt;"""),
0)</f>
        <v>0</v>
      </c>
      <c r="CP91" s="27" t="str">
        <f t="array" ref="CP91">IFERROR(INDEX(Form_Response!E:E, MATCH(1, (Form_Response!C:C='MATCH DATES'!$B$9)*(Form_Response!D:D=B91), 0)), "")
</f>
        <v/>
      </c>
      <c r="CQ91" s="27">
        <f t="array" ref="CQ91">IFERROR(IF(INDEX(Form_Response!F:F, MATCH(1, (Form_Response!C:C='MATCH DATES'!$B$9)*(Form_Response!D:D=B91), 0))="Yes", 1, 0), 0)
</f>
        <v>0</v>
      </c>
      <c r="CR91" s="28" t="str">
        <f t="array" ref="CR91">IFERROR(INDEX(Form_Response!G:G, MATCH(1, (Form_Response!C:C='MATCH DATES'!$B$9)*(Form_Response!D:D=B91), 0)), "")
</f>
        <v/>
      </c>
      <c r="CS91" s="31">
        <f t="shared" si="158"/>
        <v>18</v>
      </c>
      <c r="CT91" s="31" t="str">
        <f t="shared" si="39"/>
        <v>↓</v>
      </c>
      <c r="CU91" s="32">
        <f t="shared" si="40"/>
        <v>0</v>
      </c>
      <c r="CV91" s="32" t="str">
        <f t="shared" ref="CV91:CW91" si="313">A91</f>
        <v/>
      </c>
      <c r="CW91" s="33" t="str">
        <f t="shared" si="313"/>
        <v/>
      </c>
      <c r="CX91" s="33">
        <f t="shared" si="42"/>
        <v>0</v>
      </c>
      <c r="CY91" s="32">
        <f>SUM(
  IF(AND('MATCH DATES'!$A$2 &lt;= TODAY(), NOW() &gt;= 'MATCH DATES'!$A$2 + TIME(22, 0, 0)), E91, 0),
  IF(AND('MATCH DATES'!$A$3 &lt;= TODAY(), NOW() &gt;= 'MATCH DATES'!$A$3 + TIME(22, 0, 0)), Q91, 0),
  IF(AND('MATCH DATES'!$A$4 &lt;= TODAY(), NOW() &gt;= 'MATCH DATES'!$A$4 + TIME(22, 0, 0)), AC91, 0),
  IF(AND('MATCH DATES'!$A$5 &lt;= TODAY(), NOW() &gt;= 'MATCH DATES'!$A$5 + TIME(22, 0, 0)), AO91, 0),
  IF(AND('MATCH DATES'!$A$6 &lt;= TODAY(), NOW() &gt;= 'MATCH DATES'!$A$6 + TIME(22, 0, 0)), BA91, 0),
  IF(AND('MATCH DATES'!$A$7 &lt;= TODAY(), NOW() &gt;= 'MATCH DATES'!$A$7 + TIME(22, 0, 0)), BM91, 0),
  IF(AND('MATCH DATES'!$A$8 &lt;= TODAY(), NOW() &gt;= 'MATCH DATES'!$A$8 + TIME(22, 0, 0)), BY91, 0),
  IF(AND('MATCH DATES'!$A$9 &lt;= TODAY(), NOW() &gt;= 'MATCH DATES'!$A$9 + TIME(22, 0, 0)), CK91, 0)
)
</f>
        <v>0</v>
      </c>
      <c r="CZ91" s="33">
        <f t="shared" ref="CZ91:DA91" si="314">SUM(G91,S91,AE91,AQ91,BC91,BO91,CA91,CM91)</f>
        <v>0</v>
      </c>
      <c r="DA91" s="33">
        <f t="shared" si="314"/>
        <v>0</v>
      </c>
      <c r="DB91" s="33">
        <f>SUM(
  IF(AND('MATCH DATES'!$A$2 &lt;= TODAY(), NOW() &gt;= 'MATCH DATES'!$A$2 + TIME(22, 0, 0)), I91, 0),
  IF(AND('MATCH DATES'!$A$3 &lt;= TODAY(), NOW() &gt;= 'MATCH DATES'!$A$3 + TIME(22, 0, 0)), U91, 0),
  IF(AND('MATCH DATES'!$A$4 &lt;= TODAY(), NOW() &gt;= 'MATCH DATES'!$A$4 + TIME(22, 0, 0)), AG91, 0),
  IF(AND('MATCH DATES'!$A$5 &lt;= TODAY(), NOW() &gt;= 'MATCH DATES'!$A$5 + TIME(22, 0, 0)), AS91, 0),
  IF(AND('MATCH DATES'!$A$6 &lt;= TODAY(), NOW() &gt;= 'MATCH DATES'!$A$6 + TIME(22, 0, 0)), BE91, 0),
  IF(AND('MATCH DATES'!$A$7 &lt;= TODAY(), NOW() &gt;= 'MATCH DATES'!$A$7 + TIME(22, 0, 0)), BQ91, 0),
  IF(AND('MATCH DATES'!$A$8 &lt;= TODAY(), NOW() &gt;= 'MATCH DATES'!$A$8 + TIME(22, 0, 0)), CC91, 0),
  IF(AND('MATCH DATES'!$A$9 &lt;= TODAY(), NOW() &gt;= 'MATCH DATES'!$A$9 + TIME(22, 0, 0)), CO91, 0)
)</f>
        <v>0</v>
      </c>
      <c r="DC91" s="33">
        <f t="shared" si="44"/>
        <v>0</v>
      </c>
      <c r="DD91" s="33">
        <f t="shared" ref="DD91:DE91" si="315">SUM(K91,W91,AI91,AU91,BG91,BS91,CE91,CQ91)</f>
        <v>0</v>
      </c>
      <c r="DE91" s="33">
        <f t="shared" si="315"/>
        <v>0</v>
      </c>
    </row>
    <row r="92" ht="24.75" customHeight="1">
      <c r="A92" s="31"/>
      <c r="B92" s="39"/>
      <c r="C92" s="35"/>
      <c r="D92" s="20">
        <f t="shared" si="4"/>
        <v>0</v>
      </c>
      <c r="E92" s="20">
        <f t="shared" si="5"/>
        <v>0</v>
      </c>
      <c r="F92" s="20">
        <f t="shared" si="6"/>
        <v>0</v>
      </c>
      <c r="G92" s="20">
        <f>IF(C92&lt;&gt;"",
    COUNTIFS(MATCH_INPUT!$K$2:$K$5,C92),
0)</f>
        <v>0</v>
      </c>
      <c r="H92" s="20">
        <f>IF(C92&lt;&gt;"",
    COUNTIFS(MATCH_INPUT!$F$2:$F$5, C92, MATCH_INPUT!$K$2:$K$5, "Draw") +
    COUNTIFS(MATCH_INPUT!$J$2:$J$5, C92, MATCH_INPUT!$K$2:$K$5, "Draw"),
0)</f>
        <v>0</v>
      </c>
      <c r="I92" s="20">
        <f>IF(C92&lt;&gt;"",
    COUNTIFS(MATCH_INPUT!$F$2:$F$5, C92, MATCH_INPUT!$K$2:$K$5, "&lt;&gt;"&amp;C92, MATCH_INPUT!$K$2:$K$5, "&lt;&gt;Draw", MATCH_INPUT!$K$2:$K$5, "&lt;&gt;""") +
    COUNTIFS(MATCH_INPUT!$J$2:$J$5, C92, MATCH_INPUT!$K$2:$K$5, "&lt;&gt;"&amp;C92, MATCH_INPUT!$K$2:$K$5, "&lt;&gt;Draw", MATCH_INPUT!$K$2:$K$5, "&lt;&gt;"""),
0)</f>
        <v>0</v>
      </c>
      <c r="J92" s="21"/>
      <c r="K92" s="21"/>
      <c r="L92" s="22"/>
      <c r="M92" s="23">
        <f t="shared" si="151"/>
        <v>4</v>
      </c>
      <c r="N92" s="24" t="str">
        <f t="shared" si="8"/>
        <v>↓</v>
      </c>
      <c r="O92" s="25"/>
      <c r="P92" s="26">
        <f t="shared" si="9"/>
        <v>0</v>
      </c>
      <c r="Q92" s="26">
        <f t="shared" si="10"/>
        <v>0</v>
      </c>
      <c r="R92" s="26">
        <f t="shared" si="11"/>
        <v>0</v>
      </c>
      <c r="S92" s="26">
        <f>IF(O92&lt;&gt;"",
    COUNTIFS(MATCH_INPUT!$K$6:$K$9,O92),
0)</f>
        <v>0</v>
      </c>
      <c r="T92" s="26">
        <f>IF(O92&lt;&gt;"",
    COUNTIFS(MATCH_INPUT!$F$6:$F$9, O92, MATCH_INPUT!$K$6:$K$9, "Draw") +
    COUNTIFS(MATCH_INPUT!$J$6:$J$9, O92, MATCH_INPUT!$K$6:$K$9, "Draw"),
0)</f>
        <v>0</v>
      </c>
      <c r="U92" s="26">
        <f>IF(O92&lt;&gt;"",
    COUNTIFS(MATCH_INPUT!$F$6:$F$9, O92, MATCH_INPUT!$K$6:$K$9, "&lt;&gt;"&amp;O92, MATCH_INPUT!$K$6:$K$9, "&lt;&gt;Draw", MATCH_INPUT!$K$6:$K$9, "&lt;&gt;""") +
    COUNTIFS(MATCH_INPUT!$J$6:$J$9, O92, MATCH_INPUT!$K$6:$K$9, "&lt;&gt;"&amp;O92, MATCH_INPUT!$K$6:$K$9, "&lt;&gt;Draw", MATCH_INPUT!$K$6:$K$9, "&lt;&gt;"""),
0)</f>
        <v>0</v>
      </c>
      <c r="V92" s="27"/>
      <c r="W92" s="27"/>
      <c r="X92" s="28"/>
      <c r="Y92" s="26">
        <f t="shared" si="152"/>
        <v>7</v>
      </c>
      <c r="Z92" s="29" t="str">
        <f t="shared" si="13"/>
        <v>↓</v>
      </c>
      <c r="AA92" s="19"/>
      <c r="AB92" s="23">
        <f t="shared" si="14"/>
        <v>0</v>
      </c>
      <c r="AC92" s="20">
        <f t="shared" si="15"/>
        <v>0</v>
      </c>
      <c r="AD92" s="20">
        <f t="shared" si="16"/>
        <v>0</v>
      </c>
      <c r="AE92" s="20">
        <f>IF(AA92&lt;&gt;"",
    COUNTIFS(MATCH_INPUT!$K$10:$K$13,AA92),
0)</f>
        <v>0</v>
      </c>
      <c r="AF92" s="20">
        <f>IF(AA92&lt;&gt;"",
    COUNTIFS(MATCH_INPUT!$F$10:$F$13, AA92, MATCH_INPUT!$K$10:$K$13, "Draw") +
    COUNTIFS(MATCH_INPUT!$J$10:$J$13, AA92, MATCH_INPUT!$K$10:$K$13, "Draw"),
0)</f>
        <v>0</v>
      </c>
      <c r="AG92" s="20">
        <f>IF(AA92&lt;&gt;"",
    COUNTIFS(MATCH_INPUT!$F$10:$F$13, AA92, MATCH_INPUT!$K$10:$K$13, "&lt;&gt;"&amp;AA92, MATCH_INPUT!$K$10:$K$13, "&lt;&gt;Draw", MATCH_INPUT!$K$10:$K$13, "&lt;&gt;""") +
    COUNTIFS(MATCH_INPUT!$J$10:$J$13, AA92, MATCH_INPUT!$K$10:$K$13, "&lt;&gt;"&amp;AA92, MATCH_INPUT!$K$10:$K$13, "&lt;&gt;Draw", MATCH_INPUT!$K$10:$K$13, "&lt;&gt;"""),
0)</f>
        <v>0</v>
      </c>
      <c r="AH92" s="21"/>
      <c r="AI92" s="21"/>
      <c r="AJ92" s="30"/>
      <c r="AK92" s="23">
        <f t="shared" si="153"/>
        <v>8</v>
      </c>
      <c r="AL92" s="24" t="str">
        <f t="shared" si="18"/>
        <v>↓</v>
      </c>
      <c r="AM92" s="25"/>
      <c r="AN92" s="26">
        <f t="shared" si="19"/>
        <v>0</v>
      </c>
      <c r="AO92" s="26">
        <f t="shared" si="20"/>
        <v>0</v>
      </c>
      <c r="AP92" s="26">
        <f t="shared" si="21"/>
        <v>0</v>
      </c>
      <c r="AQ92" s="26">
        <f>IF(AM92&lt;&gt;"",
    COUNTIFS(MATCH_INPUT!$K$14:$K$17,AM92),
0)</f>
        <v>0</v>
      </c>
      <c r="AR92" s="26">
        <f>IF(AM92&lt;&gt;"",
    COUNTIFS(MATCH_INPUT!$F$14:$F$17, AM92, MATCH_INPUT!$K$14:$K$17, "Draw") +
    COUNTIFS(MATCH_INPUT!$J$14:$J$17, AM92, MATCH_INPUT!$K$14:$K$17, "Draw"),
0)</f>
        <v>0</v>
      </c>
      <c r="AS92" s="26">
        <f>IF(AM92&lt;&gt;"",
    COUNTIFS(MATCH_INPUT!$F$14:$F$17, AM92, MATCH_INPUT!$K$14:$K$17, "&lt;&gt;"&amp;AM92, MATCH_INPUT!$K$14:$K$17, "&lt;&gt;Draw", MATCH_INPUT!$K$14:$K$17, "&lt;&gt;""") +
    COUNTIFS(MATCH_INPUT!$J$14:$J$17, AM92, MATCH_INPUT!$K$14:$K$17, "&lt;&gt;"&amp;AM92, MATCH_INPUT!$K$14:$K$17, "&lt;&gt;Draw", MATCH_INPUT!$K$14:$K$17, "&lt;&gt;"""),
0)</f>
        <v>0</v>
      </c>
      <c r="AT92" s="27"/>
      <c r="AU92" s="27"/>
      <c r="AV92" s="28"/>
      <c r="AW92" s="26">
        <f t="shared" si="154"/>
        <v>10</v>
      </c>
      <c r="AX92" s="29" t="str">
        <f t="shared" si="23"/>
        <v>↓</v>
      </c>
      <c r="AY92" s="19"/>
      <c r="AZ92" s="23">
        <f t="shared" si="24"/>
        <v>0</v>
      </c>
      <c r="BA92" s="20">
        <f t="shared" si="25"/>
        <v>0</v>
      </c>
      <c r="BB92" s="20">
        <f>SUM(BC92*2) + (BD92*1) + SUMIFS(MATCH_INPUT!$G$18:$G$21, MATCH_INPUT!$F$18:$F$21, AY92) + SUMIFS(MATCH_INPUT!$I$18:$I$21, MATCH_INPUT!$J$18:$J$21, AY92)
</f>
        <v>0</v>
      </c>
      <c r="BC92" s="20">
        <f>IF(AY92&lt;&gt;"",
    COUNTIFS(MATCH_INPUT!$K$18:$K$21,AY92),
0)</f>
        <v>0</v>
      </c>
      <c r="BD92" s="20">
        <f>IF(AY92&lt;&gt;"",
    COUNTIFS(MATCH_INPUT!$F$18:$F$21, AY92, MATCH_INPUT!$K$18:$K$21, "Draw") +
    COUNTIFS(MATCH_INPUT!$J$18:$J$21, AY92, MATCH_INPUT!$K$18:$K$21, "Draw"),
0)</f>
        <v>0</v>
      </c>
      <c r="BE92" s="20">
        <f>IF(AY92&lt;&gt;"",
    COUNTIFS(MATCH_INPUT!$F$18:$F$21, AY92, MATCH_INPUT!$K$18:$K$21, "&lt;&gt;"&amp;AY92, MATCH_INPUT!$K$18:$K$21, "&lt;&gt;Draw", MATCH_INPUT!$K$18:$K$21, "&lt;&gt;""") +
    COUNTIFS(MATCH_INPUT!$J$18:$J$21, AY92, MATCH_INPUT!$K$18:$K$21, "&lt;&gt;"&amp;AY92, MATCH_INPUT!$K$18:$K$21, "&lt;&gt;Draw", MATCH_INPUT!$K$18:$K$21, "&lt;&gt;"""),
0)</f>
        <v>0</v>
      </c>
      <c r="BF92" s="21" t="str">
        <f t="array" ref="BF92">IFERROR(INDEX(Form_Response!E:E, MATCH(1, (Form_Response!C:C='MATCH DATES'!$B$6)*(Form_Response!D:D=B92), 0)), "")
</f>
        <v/>
      </c>
      <c r="BG92" s="21">
        <f t="array" ref="BG92">IFERROR(IF(INDEX(Form_Response!F:F, MATCH(1, (Form_Response!C:C='MATCH DATES'!$B$6)*(Form_Response!D:D=B92), 0))="Yes", 1, 0), 0)
</f>
        <v>0</v>
      </c>
      <c r="BH92" s="30" t="str">
        <f t="array" ref="BH92">IFERROR(INDEX(Form_Response!G:G, MATCH(1, (Form_Response!C:C='MATCH DATES'!$B$6)*(Form_Response!D:D=B92), 0)), "")
</f>
        <v/>
      </c>
      <c r="BI92" s="23">
        <f t="shared" si="155"/>
        <v>11</v>
      </c>
      <c r="BJ92" s="24" t="str">
        <f t="shared" si="27"/>
        <v>↓</v>
      </c>
      <c r="BK92" s="34"/>
      <c r="BL92" s="26">
        <f t="shared" si="28"/>
        <v>0</v>
      </c>
      <c r="BM92" s="26">
        <f t="shared" si="29"/>
        <v>0</v>
      </c>
      <c r="BN92" s="26">
        <f>SUM(BO92*2) + (BP92*1) + SUMIFS(MATCH_INPUT!$G$22:$G$25, MATCH_INPUT!$F$22:$F$25, BK92) + SUMIFS(MATCH_INPUT!$I$22:$I$25, MATCH_INPUT!$J$22:$J$25, BK92)
</f>
        <v>0</v>
      </c>
      <c r="BO92" s="26">
        <f>IF(BK92&lt;&gt;"",
    COUNTIFS(MATCH_INPUT!$K$22:$K$25,BK92),
0)</f>
        <v>0</v>
      </c>
      <c r="BP92" s="26">
        <f>IF(BK92&lt;&gt;"",
    COUNTIFS(MATCH_INPUT!$F$22:$F$25, BK92, MATCH_INPUT!$K$22:$K$25, "Draw") +
    COUNTIFS(MATCH_INPUT!$J$22:$J$25, BK92, MATCH_INPUT!$K$22:$K$25, "Draw"),
0)</f>
        <v>0</v>
      </c>
      <c r="BQ92" s="26">
        <f>IF(BK92&lt;&gt;"",
    COUNTIFS(MATCH_INPUT!$F$22:$F$25, BK92, MATCH_INPUT!$K$22:$K$25, "&lt;&gt;"&amp;BK92, MATCH_INPUT!$K$22:$K$25, "&lt;&gt;Draw", MATCH_INPUT!$K$22:$K$25, "&lt;&gt;""") +
    COUNTIFS(MATCH_INPUT!$J$22:$J$25, BK92, MATCH_INPUT!$K$22:$K$25, "&lt;&gt;"&amp;BK92, MATCH_INPUT!$K$22:$K$25, "&lt;&gt;Draw", MATCH_INPUT!$K$22:$K$25, "&lt;&gt;"""),
0)</f>
        <v>0</v>
      </c>
      <c r="BR92" s="27"/>
      <c r="BS92" s="27"/>
      <c r="BT92" s="28"/>
      <c r="BU92" s="26">
        <f t="shared" si="156"/>
        <v>14</v>
      </c>
      <c r="BV92" s="29" t="str">
        <f t="shared" si="31"/>
        <v>↓</v>
      </c>
      <c r="BW92" s="35"/>
      <c r="BX92" s="23">
        <f t="shared" si="32"/>
        <v>0</v>
      </c>
      <c r="BY92" s="20">
        <f t="shared" si="33"/>
        <v>0</v>
      </c>
      <c r="BZ92" s="20">
        <f>SUM(CA92*2)+(CB92*1) + SUMIFS(MATCH_INPUT!$G$26:$G$29, MATCH_INPUT!$F$26:$F$29, BW92) + SUMIFS(MATCH_INPUT!$I$26:$I$29, MATCH_INPUT!$J$26:$J$29, BW92)
</f>
        <v>0</v>
      </c>
      <c r="CA92" s="20">
        <f>IF(BW92&lt;&gt;"",
    COUNTIFS(MATCH_INPUT!$K$26:$K$29,BW92),
0)</f>
        <v>0</v>
      </c>
      <c r="CB92" s="20">
        <f>IF(BW92&lt;&gt;"",
    COUNTIFS(MATCH_INPUT!$F$26:$F$29, BW92, MATCH_INPUT!$K$26:$K$29, "Draw") +
    COUNTIFS(MATCH_INPUT!$J$26:$J$29, BW92, MATCH_INPUT!$K$26:$K$29, "Draw"),
0)</f>
        <v>0</v>
      </c>
      <c r="CC92" s="20">
        <f>IF(BW92&lt;&gt;"",
    COUNTIFS(MATCH_INPUT!$F$26:$F$29, BW92, MATCH_INPUT!$K$26:$K$29, "&lt;&gt;"&amp;BW92, MATCH_INPUT!$K$26:$K$29, "&lt;&gt;Draw", MATCH_INPUT!$K$26:$K$29, "&lt;&gt;""") +
    COUNTIFS(MATCH_INPUT!$J$26:$J$29, BW92, MATCH_INPUT!$K$26:$K$29, "&lt;&gt;"&amp;BW92, MATCH_INPUT!$K$26:$K$29, "&lt;&gt;Draw", MATCH_INPUT!$K$26:$K$29, "&lt;&gt;"""),
0)</f>
        <v>0</v>
      </c>
      <c r="CD92" s="21"/>
      <c r="CE92" s="21"/>
      <c r="CF92" s="30"/>
      <c r="CG92" s="23">
        <f t="shared" si="157"/>
        <v>15</v>
      </c>
      <c r="CH92" s="24" t="str">
        <f t="shared" si="35"/>
        <v>↓</v>
      </c>
      <c r="CI92" s="25"/>
      <c r="CJ92" s="26">
        <f t="shared" si="291"/>
        <v>0</v>
      </c>
      <c r="CK92" s="26">
        <f t="shared" si="37"/>
        <v>0</v>
      </c>
      <c r="CL92" s="26">
        <f>SUM(CM92*2)+(CN92*1) + SUMIFS(MATCH_INPUT!$G$30:$G$33, MATCH_INPUT!$F$30:$F$33, CI92) + SUMIFS(MATCH_INPUT!$I$30:$I$33, MATCH_INPUT!$J$30:$J$33, CI92)
</f>
        <v>0</v>
      </c>
      <c r="CM92" s="26">
        <f>IF(CI92&lt;&gt;"",
    COUNTIFS(MATCH_INPUT!$K$30:$K$33,CI92),
0)</f>
        <v>0</v>
      </c>
      <c r="CN92" s="26">
        <f>IF(CI92&lt;&gt;"",
    COUNTIFS(MATCH_INPUT!$F$30:$F$33, CI92, MATCH_INPUT!$K$30:$K$33, "Draw") +
    COUNTIFS(MATCH_INPUT!$J$30:$J$33, CI92, MATCH_INPUT!$K$30:$K$33, "Draw"),
0)</f>
        <v>0</v>
      </c>
      <c r="CO92" s="26">
        <f>IF(CI92&lt;&gt;"",
    COUNTIFS(MATCH_INPUT!$F$30:$F$33, CI92, MATCH_INPUT!$K$30:$K$33, "&lt;&gt;"&amp;CI92, MATCH_INPUT!$K$30:$K$33, "&lt;&gt;Draw", MATCH_INPUT!$K$30:$K$33, "&lt;&gt;""") +
    COUNTIFS(MATCH_INPUT!$J$30:$J$33, CI92, MATCH_INPUT!$K$30:$K$33, "&lt;&gt;"&amp;CI92, MATCH_INPUT!$K$30:$K$33, "&lt;&gt;Draw", MATCH_INPUT!$K$30:$K$33, "&lt;&gt;"""),
0)</f>
        <v>0</v>
      </c>
      <c r="CP92" s="27" t="str">
        <f t="array" ref="CP92">IFERROR(INDEX(Form_Response!E:E, MATCH(1, (Form_Response!C:C='MATCH DATES'!$B$9)*(Form_Response!D:D=B92), 0)), "")
</f>
        <v/>
      </c>
      <c r="CQ92" s="27">
        <f t="array" ref="CQ92">IFERROR(IF(INDEX(Form_Response!F:F, MATCH(1, (Form_Response!C:C='MATCH DATES'!$B$9)*(Form_Response!D:D=B92), 0))="Yes", 1, 0), 0)
</f>
        <v>0</v>
      </c>
      <c r="CR92" s="28" t="str">
        <f t="array" ref="CR92">IFERROR(INDEX(Form_Response!G:G, MATCH(1, (Form_Response!C:C='MATCH DATES'!$B$9)*(Form_Response!D:D=B92), 0)), "")
</f>
        <v/>
      </c>
      <c r="CS92" s="31">
        <f t="shared" si="158"/>
        <v>18</v>
      </c>
      <c r="CT92" s="31" t="str">
        <f t="shared" si="39"/>
        <v>↓</v>
      </c>
      <c r="CU92" s="32">
        <f t="shared" si="40"/>
        <v>0</v>
      </c>
      <c r="CV92" s="32" t="str">
        <f t="shared" ref="CV92:CW92" si="316">A92</f>
        <v/>
      </c>
      <c r="CW92" s="33" t="str">
        <f t="shared" si="316"/>
        <v/>
      </c>
      <c r="CX92" s="33">
        <f t="shared" si="42"/>
        <v>0</v>
      </c>
      <c r="CY92" s="32">
        <f>SUM(
  IF(AND('MATCH DATES'!$A$2 &lt;= TODAY(), NOW() &gt;= 'MATCH DATES'!$A$2 + TIME(22, 0, 0)), E92, 0),
  IF(AND('MATCH DATES'!$A$3 &lt;= TODAY(), NOW() &gt;= 'MATCH DATES'!$A$3 + TIME(22, 0, 0)), Q92, 0),
  IF(AND('MATCH DATES'!$A$4 &lt;= TODAY(), NOW() &gt;= 'MATCH DATES'!$A$4 + TIME(22, 0, 0)), AC92, 0),
  IF(AND('MATCH DATES'!$A$5 &lt;= TODAY(), NOW() &gt;= 'MATCH DATES'!$A$5 + TIME(22, 0, 0)), AO92, 0),
  IF(AND('MATCH DATES'!$A$6 &lt;= TODAY(), NOW() &gt;= 'MATCH DATES'!$A$6 + TIME(22, 0, 0)), BA92, 0),
  IF(AND('MATCH DATES'!$A$7 &lt;= TODAY(), NOW() &gt;= 'MATCH DATES'!$A$7 + TIME(22, 0, 0)), BM92, 0),
  IF(AND('MATCH DATES'!$A$8 &lt;= TODAY(), NOW() &gt;= 'MATCH DATES'!$A$8 + TIME(22, 0, 0)), BY92, 0),
  IF(AND('MATCH DATES'!$A$9 &lt;= TODAY(), NOW() &gt;= 'MATCH DATES'!$A$9 + TIME(22, 0, 0)), CK92, 0)
)
</f>
        <v>0</v>
      </c>
      <c r="CZ92" s="33">
        <f t="shared" ref="CZ92:DA92" si="317">SUM(G92,S92,AE92,AQ92,BC92,BO92,CA92,CM92)</f>
        <v>0</v>
      </c>
      <c r="DA92" s="33">
        <f t="shared" si="317"/>
        <v>0</v>
      </c>
      <c r="DB92" s="33">
        <f>SUM(
  IF(AND('MATCH DATES'!$A$2 &lt;= TODAY(), NOW() &gt;= 'MATCH DATES'!$A$2 + TIME(22, 0, 0)), I92, 0),
  IF(AND('MATCH DATES'!$A$3 &lt;= TODAY(), NOW() &gt;= 'MATCH DATES'!$A$3 + TIME(22, 0, 0)), U92, 0),
  IF(AND('MATCH DATES'!$A$4 &lt;= TODAY(), NOW() &gt;= 'MATCH DATES'!$A$4 + TIME(22, 0, 0)), AG92, 0),
  IF(AND('MATCH DATES'!$A$5 &lt;= TODAY(), NOW() &gt;= 'MATCH DATES'!$A$5 + TIME(22, 0, 0)), AS92, 0),
  IF(AND('MATCH DATES'!$A$6 &lt;= TODAY(), NOW() &gt;= 'MATCH DATES'!$A$6 + TIME(22, 0, 0)), BE92, 0),
  IF(AND('MATCH DATES'!$A$7 &lt;= TODAY(), NOW() &gt;= 'MATCH DATES'!$A$7 + TIME(22, 0, 0)), BQ92, 0),
  IF(AND('MATCH DATES'!$A$8 &lt;= TODAY(), NOW() &gt;= 'MATCH DATES'!$A$8 + TIME(22, 0, 0)), CC92, 0),
  IF(AND('MATCH DATES'!$A$9 &lt;= TODAY(), NOW() &gt;= 'MATCH DATES'!$A$9 + TIME(22, 0, 0)), CO92, 0)
)</f>
        <v>0</v>
      </c>
      <c r="DC92" s="33">
        <f t="shared" si="44"/>
        <v>0</v>
      </c>
      <c r="DD92" s="33">
        <f t="shared" ref="DD92:DE92" si="318">SUM(K92,W92,AI92,AU92,BG92,BS92,CE92,CQ92)</f>
        <v>0</v>
      </c>
      <c r="DE92" s="33">
        <f t="shared" si="318"/>
        <v>0</v>
      </c>
    </row>
    <row r="93" ht="24.75" customHeight="1">
      <c r="A93" s="31"/>
      <c r="B93" s="39"/>
      <c r="C93" s="35"/>
      <c r="D93" s="20">
        <f t="shared" si="4"/>
        <v>0</v>
      </c>
      <c r="E93" s="20">
        <f t="shared" si="5"/>
        <v>0</v>
      </c>
      <c r="F93" s="20">
        <f t="shared" si="6"/>
        <v>0</v>
      </c>
      <c r="G93" s="20">
        <f>IF(C93&lt;&gt;"",
    COUNTIFS(MATCH_INPUT!$K$2:$K$5,C93),
0)</f>
        <v>0</v>
      </c>
      <c r="H93" s="20">
        <f>IF(C93&lt;&gt;"",
    COUNTIFS(MATCH_INPUT!$F$2:$F$5, C93, MATCH_INPUT!$K$2:$K$5, "Draw") +
    COUNTIFS(MATCH_INPUT!$J$2:$J$5, C93, MATCH_INPUT!$K$2:$K$5, "Draw"),
0)</f>
        <v>0</v>
      </c>
      <c r="I93" s="20">
        <f>IF(C93&lt;&gt;"",
    COUNTIFS(MATCH_INPUT!$F$2:$F$5, C93, MATCH_INPUT!$K$2:$K$5, "&lt;&gt;"&amp;C93, MATCH_INPUT!$K$2:$K$5, "&lt;&gt;Draw", MATCH_INPUT!$K$2:$K$5, "&lt;&gt;""") +
    COUNTIFS(MATCH_INPUT!$J$2:$J$5, C93, MATCH_INPUT!$K$2:$K$5, "&lt;&gt;"&amp;C93, MATCH_INPUT!$K$2:$K$5, "&lt;&gt;Draw", MATCH_INPUT!$K$2:$K$5, "&lt;&gt;"""),
0)</f>
        <v>0</v>
      </c>
      <c r="J93" s="21"/>
      <c r="K93" s="21"/>
      <c r="L93" s="22"/>
      <c r="M93" s="23">
        <f t="shared" si="151"/>
        <v>4</v>
      </c>
      <c r="N93" s="24" t="str">
        <f t="shared" si="8"/>
        <v>↓</v>
      </c>
      <c r="O93" s="25"/>
      <c r="P93" s="26">
        <f t="shared" si="9"/>
        <v>0</v>
      </c>
      <c r="Q93" s="26">
        <f t="shared" si="10"/>
        <v>0</v>
      </c>
      <c r="R93" s="26">
        <f t="shared" si="11"/>
        <v>0</v>
      </c>
      <c r="S93" s="26">
        <f>IF(O93&lt;&gt;"",
    COUNTIFS(MATCH_INPUT!$K$6:$K$9,O93),
0)</f>
        <v>0</v>
      </c>
      <c r="T93" s="26">
        <f>IF(O93&lt;&gt;"",
    COUNTIFS(MATCH_INPUT!$F$6:$F$9, O93, MATCH_INPUT!$K$6:$K$9, "Draw") +
    COUNTIFS(MATCH_INPUT!$J$6:$J$9, O93, MATCH_INPUT!$K$6:$K$9, "Draw"),
0)</f>
        <v>0</v>
      </c>
      <c r="U93" s="26">
        <f>IF(O93&lt;&gt;"",
    COUNTIFS(MATCH_INPUT!$F$6:$F$9, O93, MATCH_INPUT!$K$6:$K$9, "&lt;&gt;"&amp;O93, MATCH_INPUT!$K$6:$K$9, "&lt;&gt;Draw", MATCH_INPUT!$K$6:$K$9, "&lt;&gt;""") +
    COUNTIFS(MATCH_INPUT!$J$6:$J$9, O93, MATCH_INPUT!$K$6:$K$9, "&lt;&gt;"&amp;O93, MATCH_INPUT!$K$6:$K$9, "&lt;&gt;Draw", MATCH_INPUT!$K$6:$K$9, "&lt;&gt;"""),
0)</f>
        <v>0</v>
      </c>
      <c r="V93" s="27"/>
      <c r="W93" s="27"/>
      <c r="X93" s="28"/>
      <c r="Y93" s="26">
        <f t="shared" si="152"/>
        <v>7</v>
      </c>
      <c r="Z93" s="29" t="str">
        <f t="shared" si="13"/>
        <v>↓</v>
      </c>
      <c r="AA93" s="19"/>
      <c r="AB93" s="23">
        <f t="shared" si="14"/>
        <v>0</v>
      </c>
      <c r="AC93" s="20">
        <f t="shared" si="15"/>
        <v>0</v>
      </c>
      <c r="AD93" s="20">
        <f t="shared" si="16"/>
        <v>0</v>
      </c>
      <c r="AE93" s="20">
        <f>IF(AA93&lt;&gt;"",
    COUNTIFS(MATCH_INPUT!$K$10:$K$13,AA93),
0)</f>
        <v>0</v>
      </c>
      <c r="AF93" s="20">
        <f>IF(AA93&lt;&gt;"",
    COUNTIFS(MATCH_INPUT!$F$10:$F$13, AA93, MATCH_INPUT!$K$10:$K$13, "Draw") +
    COUNTIFS(MATCH_INPUT!$J$10:$J$13, AA93, MATCH_INPUT!$K$10:$K$13, "Draw"),
0)</f>
        <v>0</v>
      </c>
      <c r="AG93" s="20">
        <f>IF(AA93&lt;&gt;"",
    COUNTIFS(MATCH_INPUT!$F$10:$F$13, AA93, MATCH_INPUT!$K$10:$K$13, "&lt;&gt;"&amp;AA93, MATCH_INPUT!$K$10:$K$13, "&lt;&gt;Draw", MATCH_INPUT!$K$10:$K$13, "&lt;&gt;""") +
    COUNTIFS(MATCH_INPUT!$J$10:$J$13, AA93, MATCH_INPUT!$K$10:$K$13, "&lt;&gt;"&amp;AA93, MATCH_INPUT!$K$10:$K$13, "&lt;&gt;Draw", MATCH_INPUT!$K$10:$K$13, "&lt;&gt;"""),
0)</f>
        <v>0</v>
      </c>
      <c r="AH93" s="21"/>
      <c r="AI93" s="21"/>
      <c r="AJ93" s="30"/>
      <c r="AK93" s="23">
        <f t="shared" si="153"/>
        <v>8</v>
      </c>
      <c r="AL93" s="24" t="str">
        <f t="shared" si="18"/>
        <v>↓</v>
      </c>
      <c r="AM93" s="25"/>
      <c r="AN93" s="26">
        <f t="shared" si="19"/>
        <v>0</v>
      </c>
      <c r="AO93" s="26">
        <f t="shared" si="20"/>
        <v>0</v>
      </c>
      <c r="AP93" s="26">
        <f t="shared" si="21"/>
        <v>0</v>
      </c>
      <c r="AQ93" s="26">
        <f>IF(AM93&lt;&gt;"",
    COUNTIFS(MATCH_INPUT!$K$14:$K$17,AM93),
0)</f>
        <v>0</v>
      </c>
      <c r="AR93" s="26">
        <f>IF(AM93&lt;&gt;"",
    COUNTIFS(MATCH_INPUT!$F$14:$F$17, AM93, MATCH_INPUT!$K$14:$K$17, "Draw") +
    COUNTIFS(MATCH_INPUT!$J$14:$J$17, AM93, MATCH_INPUT!$K$14:$K$17, "Draw"),
0)</f>
        <v>0</v>
      </c>
      <c r="AS93" s="26">
        <f>IF(AM93&lt;&gt;"",
    COUNTIFS(MATCH_INPUT!$F$14:$F$17, AM93, MATCH_INPUT!$K$14:$K$17, "&lt;&gt;"&amp;AM93, MATCH_INPUT!$K$14:$K$17, "&lt;&gt;Draw", MATCH_INPUT!$K$14:$K$17, "&lt;&gt;""") +
    COUNTIFS(MATCH_INPUT!$J$14:$J$17, AM93, MATCH_INPUT!$K$14:$K$17, "&lt;&gt;"&amp;AM93, MATCH_INPUT!$K$14:$K$17, "&lt;&gt;Draw", MATCH_INPUT!$K$14:$K$17, "&lt;&gt;"""),
0)</f>
        <v>0</v>
      </c>
      <c r="AT93" s="27"/>
      <c r="AU93" s="27"/>
      <c r="AV93" s="28"/>
      <c r="AW93" s="26">
        <f t="shared" si="154"/>
        <v>10</v>
      </c>
      <c r="AX93" s="29" t="str">
        <f t="shared" si="23"/>
        <v>↓</v>
      </c>
      <c r="AY93" s="19"/>
      <c r="AZ93" s="23">
        <f t="shared" si="24"/>
        <v>0</v>
      </c>
      <c r="BA93" s="20">
        <f t="shared" si="25"/>
        <v>0</v>
      </c>
      <c r="BB93" s="20">
        <f>SUM(BC93*2) + (BD93*1) + SUMIFS(MATCH_INPUT!$G$18:$G$21, MATCH_INPUT!$F$18:$F$21, AY93) + SUMIFS(MATCH_INPUT!$I$18:$I$21, MATCH_INPUT!$J$18:$J$21, AY93)
</f>
        <v>0</v>
      </c>
      <c r="BC93" s="20">
        <f>IF(AY93&lt;&gt;"",
    COUNTIFS(MATCH_INPUT!$K$18:$K$21,AY93),
0)</f>
        <v>0</v>
      </c>
      <c r="BD93" s="20">
        <f>IF(AY93&lt;&gt;"",
    COUNTIFS(MATCH_INPUT!$F$18:$F$21, AY93, MATCH_INPUT!$K$18:$K$21, "Draw") +
    COUNTIFS(MATCH_INPUT!$J$18:$J$21, AY93, MATCH_INPUT!$K$18:$K$21, "Draw"),
0)</f>
        <v>0</v>
      </c>
      <c r="BE93" s="20">
        <f>IF(AY93&lt;&gt;"",
    COUNTIFS(MATCH_INPUT!$F$18:$F$21, AY93, MATCH_INPUT!$K$18:$K$21, "&lt;&gt;"&amp;AY93, MATCH_INPUT!$K$18:$K$21, "&lt;&gt;Draw", MATCH_INPUT!$K$18:$K$21, "&lt;&gt;""") +
    COUNTIFS(MATCH_INPUT!$J$18:$J$21, AY93, MATCH_INPUT!$K$18:$K$21, "&lt;&gt;"&amp;AY93, MATCH_INPUT!$K$18:$K$21, "&lt;&gt;Draw", MATCH_INPUT!$K$18:$K$21, "&lt;&gt;"""),
0)</f>
        <v>0</v>
      </c>
      <c r="BF93" s="21" t="str">
        <f t="array" ref="BF93">IFERROR(INDEX(Form_Response!E:E, MATCH(1, (Form_Response!C:C='MATCH DATES'!$B$6)*(Form_Response!D:D=B93), 0)), "")
</f>
        <v/>
      </c>
      <c r="BG93" s="21">
        <f t="array" ref="BG93">IFERROR(IF(INDEX(Form_Response!F:F, MATCH(1, (Form_Response!C:C='MATCH DATES'!$B$6)*(Form_Response!D:D=B93), 0))="Yes", 1, 0), 0)
</f>
        <v>0</v>
      </c>
      <c r="BH93" s="30" t="str">
        <f t="array" ref="BH93">IFERROR(INDEX(Form_Response!G:G, MATCH(1, (Form_Response!C:C='MATCH DATES'!$B$6)*(Form_Response!D:D=B93), 0)), "")
</f>
        <v/>
      </c>
      <c r="BI93" s="23">
        <f t="shared" si="155"/>
        <v>11</v>
      </c>
      <c r="BJ93" s="24" t="str">
        <f t="shared" si="27"/>
        <v>↓</v>
      </c>
      <c r="BK93" s="34"/>
      <c r="BL93" s="26">
        <f t="shared" si="28"/>
        <v>0</v>
      </c>
      <c r="BM93" s="26">
        <f t="shared" si="29"/>
        <v>0</v>
      </c>
      <c r="BN93" s="26">
        <f>SUM(BO93*2) + (BP93*1) + SUMIFS(MATCH_INPUT!$G$22:$G$25, MATCH_INPUT!$F$22:$F$25, BK93) + SUMIFS(MATCH_INPUT!$I$22:$I$25, MATCH_INPUT!$J$22:$J$25, BK93)
</f>
        <v>0</v>
      </c>
      <c r="BO93" s="26">
        <f>IF(BK93&lt;&gt;"",
    COUNTIFS(MATCH_INPUT!$K$22:$K$25,BK93),
0)</f>
        <v>0</v>
      </c>
      <c r="BP93" s="26">
        <f>IF(BK93&lt;&gt;"",
    COUNTIFS(MATCH_INPUT!$F$22:$F$25, BK93, MATCH_INPUT!$K$22:$K$25, "Draw") +
    COUNTIFS(MATCH_INPUT!$J$22:$J$25, BK93, MATCH_INPUT!$K$22:$K$25, "Draw"),
0)</f>
        <v>0</v>
      </c>
      <c r="BQ93" s="26">
        <f>IF(BK93&lt;&gt;"",
    COUNTIFS(MATCH_INPUT!$F$22:$F$25, BK93, MATCH_INPUT!$K$22:$K$25, "&lt;&gt;"&amp;BK93, MATCH_INPUT!$K$22:$K$25, "&lt;&gt;Draw", MATCH_INPUT!$K$22:$K$25, "&lt;&gt;""") +
    COUNTIFS(MATCH_INPUT!$J$22:$J$25, BK93, MATCH_INPUT!$K$22:$K$25, "&lt;&gt;"&amp;BK93, MATCH_INPUT!$K$22:$K$25, "&lt;&gt;Draw", MATCH_INPUT!$K$22:$K$25, "&lt;&gt;"""),
0)</f>
        <v>0</v>
      </c>
      <c r="BR93" s="27"/>
      <c r="BS93" s="27"/>
      <c r="BT93" s="28"/>
      <c r="BU93" s="26">
        <f t="shared" si="156"/>
        <v>14</v>
      </c>
      <c r="BV93" s="29" t="str">
        <f t="shared" si="31"/>
        <v>↓</v>
      </c>
      <c r="BW93" s="35"/>
      <c r="BX93" s="23">
        <f t="shared" si="32"/>
        <v>0</v>
      </c>
      <c r="BY93" s="20">
        <f t="shared" si="33"/>
        <v>0</v>
      </c>
      <c r="BZ93" s="20">
        <f>SUM(CA93*2)+(CB93*1) + SUMIFS(MATCH_INPUT!$G$26:$G$29, MATCH_INPUT!$F$26:$F$29, BW93) + SUMIFS(MATCH_INPUT!$I$26:$I$29, MATCH_INPUT!$J$26:$J$29, BW93)
</f>
        <v>0</v>
      </c>
      <c r="CA93" s="20">
        <f>IF(BW93&lt;&gt;"",
    COUNTIFS(MATCH_INPUT!$K$26:$K$29,BW93),
0)</f>
        <v>0</v>
      </c>
      <c r="CB93" s="20">
        <f>IF(BW93&lt;&gt;"",
    COUNTIFS(MATCH_INPUT!$F$26:$F$29, BW93, MATCH_INPUT!$K$26:$K$29, "Draw") +
    COUNTIFS(MATCH_INPUT!$J$26:$J$29, BW93, MATCH_INPUT!$K$26:$K$29, "Draw"),
0)</f>
        <v>0</v>
      </c>
      <c r="CC93" s="20">
        <f>IF(BW93&lt;&gt;"",
    COUNTIFS(MATCH_INPUT!$F$26:$F$29, BW93, MATCH_INPUT!$K$26:$K$29, "&lt;&gt;"&amp;BW93, MATCH_INPUT!$K$26:$K$29, "&lt;&gt;Draw", MATCH_INPUT!$K$26:$K$29, "&lt;&gt;""") +
    COUNTIFS(MATCH_INPUT!$J$26:$J$29, BW93, MATCH_INPUT!$K$26:$K$29, "&lt;&gt;"&amp;BW93, MATCH_INPUT!$K$26:$K$29, "&lt;&gt;Draw", MATCH_INPUT!$K$26:$K$29, "&lt;&gt;"""),
0)</f>
        <v>0</v>
      </c>
      <c r="CD93" s="21"/>
      <c r="CE93" s="21"/>
      <c r="CF93" s="30"/>
      <c r="CG93" s="23">
        <f t="shared" si="157"/>
        <v>15</v>
      </c>
      <c r="CH93" s="24" t="str">
        <f t="shared" si="35"/>
        <v>↓</v>
      </c>
      <c r="CI93" s="25"/>
      <c r="CJ93" s="26">
        <f t="shared" si="291"/>
        <v>0</v>
      </c>
      <c r="CK93" s="26">
        <f t="shared" si="37"/>
        <v>0</v>
      </c>
      <c r="CL93" s="26">
        <f>SUM(CM93*2)+(CN93*1) + SUMIFS(MATCH_INPUT!$G$30:$G$33, MATCH_INPUT!$F$30:$F$33, CI93) + SUMIFS(MATCH_INPUT!$I$30:$I$33, MATCH_INPUT!$J$30:$J$33, CI93)
</f>
        <v>0</v>
      </c>
      <c r="CM93" s="26">
        <f>IF(CI93&lt;&gt;"",
    COUNTIFS(MATCH_INPUT!$K$30:$K$33,CI93),
0)</f>
        <v>0</v>
      </c>
      <c r="CN93" s="26">
        <f>IF(CI93&lt;&gt;"",
    COUNTIFS(MATCH_INPUT!$F$30:$F$33, CI93, MATCH_INPUT!$K$30:$K$33, "Draw") +
    COUNTIFS(MATCH_INPUT!$J$30:$J$33, CI93, MATCH_INPUT!$K$30:$K$33, "Draw"),
0)</f>
        <v>0</v>
      </c>
      <c r="CO93" s="26">
        <f>IF(CI93&lt;&gt;"",
    COUNTIFS(MATCH_INPUT!$F$30:$F$33, CI93, MATCH_INPUT!$K$30:$K$33, "&lt;&gt;"&amp;CI93, MATCH_INPUT!$K$30:$K$33, "&lt;&gt;Draw", MATCH_INPUT!$K$30:$K$33, "&lt;&gt;""") +
    COUNTIFS(MATCH_INPUT!$J$30:$J$33, CI93, MATCH_INPUT!$K$30:$K$33, "&lt;&gt;"&amp;CI93, MATCH_INPUT!$K$30:$K$33, "&lt;&gt;Draw", MATCH_INPUT!$K$30:$K$33, "&lt;&gt;"""),
0)</f>
        <v>0</v>
      </c>
      <c r="CP93" s="27" t="str">
        <f t="array" ref="CP93">IFERROR(INDEX(Form_Response!E:E, MATCH(1, (Form_Response!C:C='MATCH DATES'!$B$9)*(Form_Response!D:D=B93), 0)), "")
</f>
        <v/>
      </c>
      <c r="CQ93" s="27">
        <f t="array" ref="CQ93">IFERROR(IF(INDEX(Form_Response!F:F, MATCH(1, (Form_Response!C:C='MATCH DATES'!$B$9)*(Form_Response!D:D=B93), 0))="Yes", 1, 0), 0)
</f>
        <v>0</v>
      </c>
      <c r="CR93" s="28" t="str">
        <f t="array" ref="CR93">IFERROR(INDEX(Form_Response!G:G, MATCH(1, (Form_Response!C:C='MATCH DATES'!$B$9)*(Form_Response!D:D=B93), 0)), "")
</f>
        <v/>
      </c>
      <c r="CS93" s="31">
        <f t="shared" si="158"/>
        <v>18</v>
      </c>
      <c r="CT93" s="31" t="str">
        <f t="shared" si="39"/>
        <v>↓</v>
      </c>
      <c r="CU93" s="32">
        <f t="shared" si="40"/>
        <v>0</v>
      </c>
      <c r="CV93" s="32" t="str">
        <f t="shared" ref="CV93:CW93" si="319">A93</f>
        <v/>
      </c>
      <c r="CW93" s="33" t="str">
        <f t="shared" si="319"/>
        <v/>
      </c>
      <c r="CX93" s="33">
        <f t="shared" si="42"/>
        <v>0</v>
      </c>
      <c r="CY93" s="32">
        <f>SUM(
  IF(AND('MATCH DATES'!$A$2 &lt;= TODAY(), NOW() &gt;= 'MATCH DATES'!$A$2 + TIME(22, 0, 0)), E93, 0),
  IF(AND('MATCH DATES'!$A$3 &lt;= TODAY(), NOW() &gt;= 'MATCH DATES'!$A$3 + TIME(22, 0, 0)), Q93, 0),
  IF(AND('MATCH DATES'!$A$4 &lt;= TODAY(), NOW() &gt;= 'MATCH DATES'!$A$4 + TIME(22, 0, 0)), AC93, 0),
  IF(AND('MATCH DATES'!$A$5 &lt;= TODAY(), NOW() &gt;= 'MATCH DATES'!$A$5 + TIME(22, 0, 0)), AO93, 0),
  IF(AND('MATCH DATES'!$A$6 &lt;= TODAY(), NOW() &gt;= 'MATCH DATES'!$A$6 + TIME(22, 0, 0)), BA93, 0),
  IF(AND('MATCH DATES'!$A$7 &lt;= TODAY(), NOW() &gt;= 'MATCH DATES'!$A$7 + TIME(22, 0, 0)), BM93, 0),
  IF(AND('MATCH DATES'!$A$8 &lt;= TODAY(), NOW() &gt;= 'MATCH DATES'!$A$8 + TIME(22, 0, 0)), BY93, 0),
  IF(AND('MATCH DATES'!$A$9 &lt;= TODAY(), NOW() &gt;= 'MATCH DATES'!$A$9 + TIME(22, 0, 0)), CK93, 0)
)
</f>
        <v>0</v>
      </c>
      <c r="CZ93" s="33">
        <f t="shared" ref="CZ93:DA93" si="320">SUM(G93,S93,AE93,AQ93,BC93,BO93,CA93,CM93)</f>
        <v>0</v>
      </c>
      <c r="DA93" s="33">
        <f t="shared" si="320"/>
        <v>0</v>
      </c>
      <c r="DB93" s="33">
        <f>SUM(
  IF(AND('MATCH DATES'!$A$2 &lt;= TODAY(), NOW() &gt;= 'MATCH DATES'!$A$2 + TIME(22, 0, 0)), I93, 0),
  IF(AND('MATCH DATES'!$A$3 &lt;= TODAY(), NOW() &gt;= 'MATCH DATES'!$A$3 + TIME(22, 0, 0)), U93, 0),
  IF(AND('MATCH DATES'!$A$4 &lt;= TODAY(), NOW() &gt;= 'MATCH DATES'!$A$4 + TIME(22, 0, 0)), AG93, 0),
  IF(AND('MATCH DATES'!$A$5 &lt;= TODAY(), NOW() &gt;= 'MATCH DATES'!$A$5 + TIME(22, 0, 0)), AS93, 0),
  IF(AND('MATCH DATES'!$A$6 &lt;= TODAY(), NOW() &gt;= 'MATCH DATES'!$A$6 + TIME(22, 0, 0)), BE93, 0),
  IF(AND('MATCH DATES'!$A$7 &lt;= TODAY(), NOW() &gt;= 'MATCH DATES'!$A$7 + TIME(22, 0, 0)), BQ93, 0),
  IF(AND('MATCH DATES'!$A$8 &lt;= TODAY(), NOW() &gt;= 'MATCH DATES'!$A$8 + TIME(22, 0, 0)), CC93, 0),
  IF(AND('MATCH DATES'!$A$9 &lt;= TODAY(), NOW() &gt;= 'MATCH DATES'!$A$9 + TIME(22, 0, 0)), CO93, 0)
)</f>
        <v>0</v>
      </c>
      <c r="DC93" s="33">
        <f t="shared" si="44"/>
        <v>0</v>
      </c>
      <c r="DD93" s="33">
        <f t="shared" ref="DD93:DE93" si="321">SUM(K93,W93,AI93,AU93,BG93,BS93,CE93,CQ93)</f>
        <v>0</v>
      </c>
      <c r="DE93" s="33">
        <f t="shared" si="321"/>
        <v>0</v>
      </c>
    </row>
    <row r="94" ht="24.75" customHeight="1">
      <c r="A94" s="31"/>
      <c r="B94" s="39"/>
      <c r="C94" s="35"/>
      <c r="D94" s="20">
        <f t="shared" si="4"/>
        <v>0</v>
      </c>
      <c r="E94" s="20">
        <f t="shared" si="5"/>
        <v>0</v>
      </c>
      <c r="F94" s="20">
        <f t="shared" si="6"/>
        <v>0</v>
      </c>
      <c r="G94" s="20">
        <f>IF(C94&lt;&gt;"",
    COUNTIFS(MATCH_INPUT!$K$2:$K$5,C94),
0)</f>
        <v>0</v>
      </c>
      <c r="H94" s="20">
        <f>IF(C94&lt;&gt;"",
    COUNTIFS(MATCH_INPUT!$F$2:$F$5, C94, MATCH_INPUT!$K$2:$K$5, "Draw") +
    COUNTIFS(MATCH_INPUT!$J$2:$J$5, C94, MATCH_INPUT!$K$2:$K$5, "Draw"),
0)</f>
        <v>0</v>
      </c>
      <c r="I94" s="20">
        <f>IF(C94&lt;&gt;"",
    COUNTIFS(MATCH_INPUT!$F$2:$F$5, C94, MATCH_INPUT!$K$2:$K$5, "&lt;&gt;"&amp;C94, MATCH_INPUT!$K$2:$K$5, "&lt;&gt;Draw", MATCH_INPUT!$K$2:$K$5, "&lt;&gt;""") +
    COUNTIFS(MATCH_INPUT!$J$2:$J$5, C94, MATCH_INPUT!$K$2:$K$5, "&lt;&gt;"&amp;C94, MATCH_INPUT!$K$2:$K$5, "&lt;&gt;Draw", MATCH_INPUT!$K$2:$K$5, "&lt;&gt;"""),
0)</f>
        <v>0</v>
      </c>
      <c r="J94" s="21"/>
      <c r="K94" s="21"/>
      <c r="L94" s="22"/>
      <c r="M94" s="23">
        <f t="shared" si="151"/>
        <v>4</v>
      </c>
      <c r="N94" s="24" t="str">
        <f t="shared" si="8"/>
        <v>↓</v>
      </c>
      <c r="O94" s="25"/>
      <c r="P94" s="26">
        <f t="shared" si="9"/>
        <v>0</v>
      </c>
      <c r="Q94" s="26">
        <f t="shared" si="10"/>
        <v>0</v>
      </c>
      <c r="R94" s="26">
        <f t="shared" si="11"/>
        <v>0</v>
      </c>
      <c r="S94" s="26">
        <f>IF(O94&lt;&gt;"",
    COUNTIFS(MATCH_INPUT!$K$6:$K$9,O94),
0)</f>
        <v>0</v>
      </c>
      <c r="T94" s="26">
        <f>IF(O94&lt;&gt;"",
    COUNTIFS(MATCH_INPUT!$F$6:$F$9, O94, MATCH_INPUT!$K$6:$K$9, "Draw") +
    COUNTIFS(MATCH_INPUT!$J$6:$J$9, O94, MATCH_INPUT!$K$6:$K$9, "Draw"),
0)</f>
        <v>0</v>
      </c>
      <c r="U94" s="26">
        <f>IF(O94&lt;&gt;"",
    COUNTIFS(MATCH_INPUT!$F$6:$F$9, O94, MATCH_INPUT!$K$6:$K$9, "&lt;&gt;"&amp;O94, MATCH_INPUT!$K$6:$K$9, "&lt;&gt;Draw", MATCH_INPUT!$K$6:$K$9, "&lt;&gt;""") +
    COUNTIFS(MATCH_INPUT!$J$6:$J$9, O94, MATCH_INPUT!$K$6:$K$9, "&lt;&gt;"&amp;O94, MATCH_INPUT!$K$6:$K$9, "&lt;&gt;Draw", MATCH_INPUT!$K$6:$K$9, "&lt;&gt;"""),
0)</f>
        <v>0</v>
      </c>
      <c r="V94" s="27"/>
      <c r="W94" s="27"/>
      <c r="X94" s="28"/>
      <c r="Y94" s="26">
        <f t="shared" si="152"/>
        <v>7</v>
      </c>
      <c r="Z94" s="29" t="str">
        <f t="shared" si="13"/>
        <v>↓</v>
      </c>
      <c r="AA94" s="19"/>
      <c r="AB94" s="23">
        <f t="shared" si="14"/>
        <v>0</v>
      </c>
      <c r="AC94" s="20">
        <f t="shared" si="15"/>
        <v>0</v>
      </c>
      <c r="AD94" s="20">
        <f t="shared" si="16"/>
        <v>0</v>
      </c>
      <c r="AE94" s="20">
        <f>IF(AA94&lt;&gt;"",
    COUNTIFS(MATCH_INPUT!$K$10:$K$13,AA94),
0)</f>
        <v>0</v>
      </c>
      <c r="AF94" s="20">
        <f>IF(AA94&lt;&gt;"",
    COUNTIFS(MATCH_INPUT!$F$10:$F$13, AA94, MATCH_INPUT!$K$10:$K$13, "Draw") +
    COUNTIFS(MATCH_INPUT!$J$10:$J$13, AA94, MATCH_INPUT!$K$10:$K$13, "Draw"),
0)</f>
        <v>0</v>
      </c>
      <c r="AG94" s="20">
        <f>IF(AA94&lt;&gt;"",
    COUNTIFS(MATCH_INPUT!$F$10:$F$13, AA94, MATCH_INPUT!$K$10:$K$13, "&lt;&gt;"&amp;AA94, MATCH_INPUT!$K$10:$K$13, "&lt;&gt;Draw", MATCH_INPUT!$K$10:$K$13, "&lt;&gt;""") +
    COUNTIFS(MATCH_INPUT!$J$10:$J$13, AA94, MATCH_INPUT!$K$10:$K$13, "&lt;&gt;"&amp;AA94, MATCH_INPUT!$K$10:$K$13, "&lt;&gt;Draw", MATCH_INPUT!$K$10:$K$13, "&lt;&gt;"""),
0)</f>
        <v>0</v>
      </c>
      <c r="AH94" s="21"/>
      <c r="AI94" s="21"/>
      <c r="AJ94" s="30"/>
      <c r="AK94" s="23">
        <f t="shared" si="153"/>
        <v>8</v>
      </c>
      <c r="AL94" s="24" t="str">
        <f t="shared" si="18"/>
        <v>↓</v>
      </c>
      <c r="AM94" s="25"/>
      <c r="AN94" s="26">
        <f t="shared" si="19"/>
        <v>0</v>
      </c>
      <c r="AO94" s="26">
        <f t="shared" si="20"/>
        <v>0</v>
      </c>
      <c r="AP94" s="26">
        <f t="shared" si="21"/>
        <v>0</v>
      </c>
      <c r="AQ94" s="26">
        <f>IF(AM94&lt;&gt;"",
    COUNTIFS(MATCH_INPUT!$K$14:$K$17,AM94),
0)</f>
        <v>0</v>
      </c>
      <c r="AR94" s="26">
        <f>IF(AM94&lt;&gt;"",
    COUNTIFS(MATCH_INPUT!$F$14:$F$17, AM94, MATCH_INPUT!$K$14:$K$17, "Draw") +
    COUNTIFS(MATCH_INPUT!$J$14:$J$17, AM94, MATCH_INPUT!$K$14:$K$17, "Draw"),
0)</f>
        <v>0</v>
      </c>
      <c r="AS94" s="26">
        <f>IF(AM94&lt;&gt;"",
    COUNTIFS(MATCH_INPUT!$F$14:$F$17, AM94, MATCH_INPUT!$K$14:$K$17, "&lt;&gt;"&amp;AM94, MATCH_INPUT!$K$14:$K$17, "&lt;&gt;Draw", MATCH_INPUT!$K$14:$K$17, "&lt;&gt;""") +
    COUNTIFS(MATCH_INPUT!$J$14:$J$17, AM94, MATCH_INPUT!$K$14:$K$17, "&lt;&gt;"&amp;AM94, MATCH_INPUT!$K$14:$K$17, "&lt;&gt;Draw", MATCH_INPUT!$K$14:$K$17, "&lt;&gt;"""),
0)</f>
        <v>0</v>
      </c>
      <c r="AT94" s="27"/>
      <c r="AU94" s="27"/>
      <c r="AV94" s="28"/>
      <c r="AW94" s="26">
        <f t="shared" si="154"/>
        <v>10</v>
      </c>
      <c r="AX94" s="29" t="str">
        <f t="shared" si="23"/>
        <v>↓</v>
      </c>
      <c r="AY94" s="19"/>
      <c r="AZ94" s="23">
        <f t="shared" si="24"/>
        <v>0</v>
      </c>
      <c r="BA94" s="20">
        <f t="shared" si="25"/>
        <v>0</v>
      </c>
      <c r="BB94" s="20">
        <f>SUM(BC94*2) + (BD94*1) + SUMIFS(MATCH_INPUT!$G$18:$G$21, MATCH_INPUT!$F$18:$F$21, AY94) + SUMIFS(MATCH_INPUT!$I$18:$I$21, MATCH_INPUT!$J$18:$J$21, AY94)
</f>
        <v>0</v>
      </c>
      <c r="BC94" s="20">
        <f>IF(AY94&lt;&gt;"",
    COUNTIFS(MATCH_INPUT!$K$18:$K$21,AY94),
0)</f>
        <v>0</v>
      </c>
      <c r="BD94" s="20">
        <f>IF(AY94&lt;&gt;"",
    COUNTIFS(MATCH_INPUT!$F$18:$F$21, AY94, MATCH_INPUT!$K$18:$K$21, "Draw") +
    COUNTIFS(MATCH_INPUT!$J$18:$J$21, AY94, MATCH_INPUT!$K$18:$K$21, "Draw"),
0)</f>
        <v>0</v>
      </c>
      <c r="BE94" s="20">
        <f>IF(AY94&lt;&gt;"",
    COUNTIFS(MATCH_INPUT!$F$18:$F$21, AY94, MATCH_INPUT!$K$18:$K$21, "&lt;&gt;"&amp;AY94, MATCH_INPUT!$K$18:$K$21, "&lt;&gt;Draw", MATCH_INPUT!$K$18:$K$21, "&lt;&gt;""") +
    COUNTIFS(MATCH_INPUT!$J$18:$J$21, AY94, MATCH_INPUT!$K$18:$K$21, "&lt;&gt;"&amp;AY94, MATCH_INPUT!$K$18:$K$21, "&lt;&gt;Draw", MATCH_INPUT!$K$18:$K$21, "&lt;&gt;"""),
0)</f>
        <v>0</v>
      </c>
      <c r="BF94" s="21" t="str">
        <f t="array" ref="BF94">IFERROR(INDEX(Form_Response!E:E, MATCH(1, (Form_Response!C:C='MATCH DATES'!$B$6)*(Form_Response!D:D=B94), 0)), "")
</f>
        <v/>
      </c>
      <c r="BG94" s="21">
        <f t="array" ref="BG94">IFERROR(IF(INDEX(Form_Response!F:F, MATCH(1, (Form_Response!C:C='MATCH DATES'!$B$6)*(Form_Response!D:D=B94), 0))="Yes", 1, 0), 0)
</f>
        <v>0</v>
      </c>
      <c r="BH94" s="30" t="str">
        <f t="array" ref="BH94">IFERROR(INDEX(Form_Response!G:G, MATCH(1, (Form_Response!C:C='MATCH DATES'!$B$6)*(Form_Response!D:D=B94), 0)), "")
</f>
        <v/>
      </c>
      <c r="BI94" s="23">
        <f t="shared" si="155"/>
        <v>11</v>
      </c>
      <c r="BJ94" s="24" t="str">
        <f t="shared" si="27"/>
        <v>↓</v>
      </c>
      <c r="BK94" s="34"/>
      <c r="BL94" s="26">
        <f t="shared" si="28"/>
        <v>0</v>
      </c>
      <c r="BM94" s="26">
        <f t="shared" si="29"/>
        <v>0</v>
      </c>
      <c r="BN94" s="26">
        <f>SUM(BO94*2) + (BP94*1) + SUMIFS(MATCH_INPUT!$G$22:$G$25, MATCH_INPUT!$F$22:$F$25, BK94) + SUMIFS(MATCH_INPUT!$I$22:$I$25, MATCH_INPUT!$J$22:$J$25, BK94)
</f>
        <v>0</v>
      </c>
      <c r="BO94" s="26">
        <f>IF(BK94&lt;&gt;"",
    COUNTIFS(MATCH_INPUT!$K$22:$K$25,BK94),
0)</f>
        <v>0</v>
      </c>
      <c r="BP94" s="26">
        <f>IF(BK94&lt;&gt;"",
    COUNTIFS(MATCH_INPUT!$F$22:$F$25, BK94, MATCH_INPUT!$K$22:$K$25, "Draw") +
    COUNTIFS(MATCH_INPUT!$J$22:$J$25, BK94, MATCH_INPUT!$K$22:$K$25, "Draw"),
0)</f>
        <v>0</v>
      </c>
      <c r="BQ94" s="26">
        <f>IF(BK94&lt;&gt;"",
    COUNTIFS(MATCH_INPUT!$F$22:$F$25, BK94, MATCH_INPUT!$K$22:$K$25, "&lt;&gt;"&amp;BK94, MATCH_INPUT!$K$22:$K$25, "&lt;&gt;Draw", MATCH_INPUT!$K$22:$K$25, "&lt;&gt;""") +
    COUNTIFS(MATCH_INPUT!$J$22:$J$25, BK94, MATCH_INPUT!$K$22:$K$25, "&lt;&gt;"&amp;BK94, MATCH_INPUT!$K$22:$K$25, "&lt;&gt;Draw", MATCH_INPUT!$K$22:$K$25, "&lt;&gt;"""),
0)</f>
        <v>0</v>
      </c>
      <c r="BR94" s="27"/>
      <c r="BS94" s="27"/>
      <c r="BT94" s="28"/>
      <c r="BU94" s="26">
        <f t="shared" si="156"/>
        <v>14</v>
      </c>
      <c r="BV94" s="29" t="str">
        <f t="shared" si="31"/>
        <v>↓</v>
      </c>
      <c r="BW94" s="35"/>
      <c r="BX94" s="23">
        <f t="shared" si="32"/>
        <v>0</v>
      </c>
      <c r="BY94" s="20">
        <f t="shared" si="33"/>
        <v>0</v>
      </c>
      <c r="BZ94" s="20">
        <f>SUM(CA94*2)+(CB94*1) + SUMIFS(MATCH_INPUT!$G$26:$G$29, MATCH_INPUT!$F$26:$F$29, BW94) + SUMIFS(MATCH_INPUT!$I$26:$I$29, MATCH_INPUT!$J$26:$J$29, BW94)
</f>
        <v>0</v>
      </c>
      <c r="CA94" s="20">
        <f>IF(BW94&lt;&gt;"",
    COUNTIFS(MATCH_INPUT!$K$26:$K$29,BW94),
0)</f>
        <v>0</v>
      </c>
      <c r="CB94" s="20">
        <f>IF(BW94&lt;&gt;"",
    COUNTIFS(MATCH_INPUT!$F$26:$F$29, BW94, MATCH_INPUT!$K$26:$K$29, "Draw") +
    COUNTIFS(MATCH_INPUT!$J$26:$J$29, BW94, MATCH_INPUT!$K$26:$K$29, "Draw"),
0)</f>
        <v>0</v>
      </c>
      <c r="CC94" s="20">
        <f>IF(BW94&lt;&gt;"",
    COUNTIFS(MATCH_INPUT!$F$26:$F$29, BW94, MATCH_INPUT!$K$26:$K$29, "&lt;&gt;"&amp;BW94, MATCH_INPUT!$K$26:$K$29, "&lt;&gt;Draw", MATCH_INPUT!$K$26:$K$29, "&lt;&gt;""") +
    COUNTIFS(MATCH_INPUT!$J$26:$J$29, BW94, MATCH_INPUT!$K$26:$K$29, "&lt;&gt;"&amp;BW94, MATCH_INPUT!$K$26:$K$29, "&lt;&gt;Draw", MATCH_INPUT!$K$26:$K$29, "&lt;&gt;"""),
0)</f>
        <v>0</v>
      </c>
      <c r="CD94" s="21"/>
      <c r="CE94" s="21"/>
      <c r="CF94" s="30"/>
      <c r="CG94" s="23">
        <f t="shared" si="157"/>
        <v>15</v>
      </c>
      <c r="CH94" s="24" t="str">
        <f t="shared" si="35"/>
        <v>↓</v>
      </c>
      <c r="CI94" s="25"/>
      <c r="CJ94" s="26">
        <f t="shared" si="291"/>
        <v>0</v>
      </c>
      <c r="CK94" s="26">
        <f t="shared" si="37"/>
        <v>0</v>
      </c>
      <c r="CL94" s="26">
        <f>SUM(CM94*2)+(CN94*1) + SUMIFS(MATCH_INPUT!$G$30:$G$33, MATCH_INPUT!$F$30:$F$33, CI94) + SUMIFS(MATCH_INPUT!$I$30:$I$33, MATCH_INPUT!$J$30:$J$33, CI94)
</f>
        <v>0</v>
      </c>
      <c r="CM94" s="26">
        <f>IF(CI94&lt;&gt;"",
    COUNTIFS(MATCH_INPUT!$K$30:$K$33,CI94),
0)</f>
        <v>0</v>
      </c>
      <c r="CN94" s="26">
        <f>IF(CI94&lt;&gt;"",
    COUNTIFS(MATCH_INPUT!$F$30:$F$33, CI94, MATCH_INPUT!$K$30:$K$33, "Draw") +
    COUNTIFS(MATCH_INPUT!$J$30:$J$33, CI94, MATCH_INPUT!$K$30:$K$33, "Draw"),
0)</f>
        <v>0</v>
      </c>
      <c r="CO94" s="26">
        <f>IF(CI94&lt;&gt;"",
    COUNTIFS(MATCH_INPUT!$F$30:$F$33, CI94, MATCH_INPUT!$K$30:$K$33, "&lt;&gt;"&amp;CI94, MATCH_INPUT!$K$30:$K$33, "&lt;&gt;Draw", MATCH_INPUT!$K$30:$K$33, "&lt;&gt;""") +
    COUNTIFS(MATCH_INPUT!$J$30:$J$33, CI94, MATCH_INPUT!$K$30:$K$33, "&lt;&gt;"&amp;CI94, MATCH_INPUT!$K$30:$K$33, "&lt;&gt;Draw", MATCH_INPUT!$K$30:$K$33, "&lt;&gt;"""),
0)</f>
        <v>0</v>
      </c>
      <c r="CP94" s="27" t="str">
        <f t="array" ref="CP94">IFERROR(INDEX(Form_Response!E:E, MATCH(1, (Form_Response!C:C='MATCH DATES'!$B$9)*(Form_Response!D:D=B94), 0)), "")
</f>
        <v/>
      </c>
      <c r="CQ94" s="27">
        <f t="array" ref="CQ94">IFERROR(IF(INDEX(Form_Response!F:F, MATCH(1, (Form_Response!C:C='MATCH DATES'!$B$9)*(Form_Response!D:D=B94), 0))="Yes", 1, 0), 0)
</f>
        <v>0</v>
      </c>
      <c r="CR94" s="28" t="str">
        <f t="array" ref="CR94">IFERROR(INDEX(Form_Response!G:G, MATCH(1, (Form_Response!C:C='MATCH DATES'!$B$9)*(Form_Response!D:D=B94), 0)), "")
</f>
        <v/>
      </c>
      <c r="CS94" s="31">
        <f t="shared" si="158"/>
        <v>18</v>
      </c>
      <c r="CT94" s="31" t="str">
        <f t="shared" si="39"/>
        <v>↓</v>
      </c>
      <c r="CU94" s="32">
        <f t="shared" si="40"/>
        <v>0</v>
      </c>
      <c r="CV94" s="32" t="str">
        <f t="shared" ref="CV94:CW94" si="322">A94</f>
        <v/>
      </c>
      <c r="CW94" s="33" t="str">
        <f t="shared" si="322"/>
        <v/>
      </c>
      <c r="CX94" s="33">
        <f t="shared" si="42"/>
        <v>0</v>
      </c>
      <c r="CY94" s="32">
        <f>SUM(
  IF(AND('MATCH DATES'!$A$2 &lt;= TODAY(), NOW() &gt;= 'MATCH DATES'!$A$2 + TIME(22, 0, 0)), E94, 0),
  IF(AND('MATCH DATES'!$A$3 &lt;= TODAY(), NOW() &gt;= 'MATCH DATES'!$A$3 + TIME(22, 0, 0)), Q94, 0),
  IF(AND('MATCH DATES'!$A$4 &lt;= TODAY(), NOW() &gt;= 'MATCH DATES'!$A$4 + TIME(22, 0, 0)), AC94, 0),
  IF(AND('MATCH DATES'!$A$5 &lt;= TODAY(), NOW() &gt;= 'MATCH DATES'!$A$5 + TIME(22, 0, 0)), AO94, 0),
  IF(AND('MATCH DATES'!$A$6 &lt;= TODAY(), NOW() &gt;= 'MATCH DATES'!$A$6 + TIME(22, 0, 0)), BA94, 0),
  IF(AND('MATCH DATES'!$A$7 &lt;= TODAY(), NOW() &gt;= 'MATCH DATES'!$A$7 + TIME(22, 0, 0)), BM94, 0),
  IF(AND('MATCH DATES'!$A$8 &lt;= TODAY(), NOW() &gt;= 'MATCH DATES'!$A$8 + TIME(22, 0, 0)), BY94, 0),
  IF(AND('MATCH DATES'!$A$9 &lt;= TODAY(), NOW() &gt;= 'MATCH DATES'!$A$9 + TIME(22, 0, 0)), CK94, 0)
)
</f>
        <v>0</v>
      </c>
      <c r="CZ94" s="33">
        <f t="shared" ref="CZ94:DA94" si="323">SUM(G94,S94,AE94,AQ94,BC94,BO94,CA94,CM94)</f>
        <v>0</v>
      </c>
      <c r="DA94" s="33">
        <f t="shared" si="323"/>
        <v>0</v>
      </c>
      <c r="DB94" s="33">
        <f>SUM(
  IF(AND('MATCH DATES'!$A$2 &lt;= TODAY(), NOW() &gt;= 'MATCH DATES'!$A$2 + TIME(22, 0, 0)), I94, 0),
  IF(AND('MATCH DATES'!$A$3 &lt;= TODAY(), NOW() &gt;= 'MATCH DATES'!$A$3 + TIME(22, 0, 0)), U94, 0),
  IF(AND('MATCH DATES'!$A$4 &lt;= TODAY(), NOW() &gt;= 'MATCH DATES'!$A$4 + TIME(22, 0, 0)), AG94, 0),
  IF(AND('MATCH DATES'!$A$5 &lt;= TODAY(), NOW() &gt;= 'MATCH DATES'!$A$5 + TIME(22, 0, 0)), AS94, 0),
  IF(AND('MATCH DATES'!$A$6 &lt;= TODAY(), NOW() &gt;= 'MATCH DATES'!$A$6 + TIME(22, 0, 0)), BE94, 0),
  IF(AND('MATCH DATES'!$A$7 &lt;= TODAY(), NOW() &gt;= 'MATCH DATES'!$A$7 + TIME(22, 0, 0)), BQ94, 0),
  IF(AND('MATCH DATES'!$A$8 &lt;= TODAY(), NOW() &gt;= 'MATCH DATES'!$A$8 + TIME(22, 0, 0)), CC94, 0),
  IF(AND('MATCH DATES'!$A$9 &lt;= TODAY(), NOW() &gt;= 'MATCH DATES'!$A$9 + TIME(22, 0, 0)), CO94, 0)
)</f>
        <v>0</v>
      </c>
      <c r="DC94" s="33">
        <f t="shared" si="44"/>
        <v>0</v>
      </c>
      <c r="DD94" s="33">
        <f t="shared" ref="DD94:DE94" si="324">SUM(K94,W94,AI94,AU94,BG94,BS94,CE94,CQ94)</f>
        <v>0</v>
      </c>
      <c r="DE94" s="33">
        <f t="shared" si="324"/>
        <v>0</v>
      </c>
    </row>
    <row r="95" ht="24.75" customHeight="1">
      <c r="A95" s="31"/>
      <c r="B95" s="39"/>
      <c r="C95" s="35"/>
      <c r="D95" s="20">
        <f t="shared" si="4"/>
        <v>0</v>
      </c>
      <c r="E95" s="20">
        <f t="shared" si="5"/>
        <v>0</v>
      </c>
      <c r="F95" s="20">
        <f t="shared" si="6"/>
        <v>0</v>
      </c>
      <c r="G95" s="20">
        <f>IF(C95&lt;&gt;"",
    COUNTIFS(MATCH_INPUT!$K$2:$K$5,C95),
0)</f>
        <v>0</v>
      </c>
      <c r="H95" s="20">
        <f>IF(C95&lt;&gt;"",
    COUNTIFS(MATCH_INPUT!$F$2:$F$5, C95, MATCH_INPUT!$K$2:$K$5, "Draw") +
    COUNTIFS(MATCH_INPUT!$J$2:$J$5, C95, MATCH_INPUT!$K$2:$K$5, "Draw"),
0)</f>
        <v>0</v>
      </c>
      <c r="I95" s="20">
        <f>IF(C95&lt;&gt;"",
    COUNTIFS(MATCH_INPUT!$F$2:$F$5, C95, MATCH_INPUT!$K$2:$K$5, "&lt;&gt;"&amp;C95, MATCH_INPUT!$K$2:$K$5, "&lt;&gt;Draw", MATCH_INPUT!$K$2:$K$5, "&lt;&gt;""") +
    COUNTIFS(MATCH_INPUT!$J$2:$J$5, C95, MATCH_INPUT!$K$2:$K$5, "&lt;&gt;"&amp;C95, MATCH_INPUT!$K$2:$K$5, "&lt;&gt;Draw", MATCH_INPUT!$K$2:$K$5, "&lt;&gt;"""),
0)</f>
        <v>0</v>
      </c>
      <c r="J95" s="21"/>
      <c r="K95" s="21"/>
      <c r="L95" s="22"/>
      <c r="M95" s="23">
        <f t="shared" si="151"/>
        <v>4</v>
      </c>
      <c r="N95" s="24" t="str">
        <f t="shared" si="8"/>
        <v>↓</v>
      </c>
      <c r="O95" s="25"/>
      <c r="P95" s="26">
        <f t="shared" si="9"/>
        <v>0</v>
      </c>
      <c r="Q95" s="26">
        <f t="shared" si="10"/>
        <v>0</v>
      </c>
      <c r="R95" s="26">
        <f t="shared" si="11"/>
        <v>0</v>
      </c>
      <c r="S95" s="26">
        <f>IF(O95&lt;&gt;"",
    COUNTIFS(MATCH_INPUT!$K$6:$K$9,O95),
0)</f>
        <v>0</v>
      </c>
      <c r="T95" s="26">
        <f>IF(O95&lt;&gt;"",
    COUNTIFS(MATCH_INPUT!$F$6:$F$9, O95, MATCH_INPUT!$K$6:$K$9, "Draw") +
    COUNTIFS(MATCH_INPUT!$J$6:$J$9, O95, MATCH_INPUT!$K$6:$K$9, "Draw"),
0)</f>
        <v>0</v>
      </c>
      <c r="U95" s="26">
        <f>IF(O95&lt;&gt;"",
    COUNTIFS(MATCH_INPUT!$F$6:$F$9, O95, MATCH_INPUT!$K$6:$K$9, "&lt;&gt;"&amp;O95, MATCH_INPUT!$K$6:$K$9, "&lt;&gt;Draw", MATCH_INPUT!$K$6:$K$9, "&lt;&gt;""") +
    COUNTIFS(MATCH_INPUT!$J$6:$J$9, O95, MATCH_INPUT!$K$6:$K$9, "&lt;&gt;"&amp;O95, MATCH_INPUT!$K$6:$K$9, "&lt;&gt;Draw", MATCH_INPUT!$K$6:$K$9, "&lt;&gt;"""),
0)</f>
        <v>0</v>
      </c>
      <c r="V95" s="27"/>
      <c r="W95" s="27"/>
      <c r="X95" s="28"/>
      <c r="Y95" s="26">
        <f t="shared" si="152"/>
        <v>7</v>
      </c>
      <c r="Z95" s="29" t="str">
        <f t="shared" si="13"/>
        <v>↓</v>
      </c>
      <c r="AA95" s="19"/>
      <c r="AB95" s="23">
        <f t="shared" si="14"/>
        <v>0</v>
      </c>
      <c r="AC95" s="20">
        <f t="shared" si="15"/>
        <v>0</v>
      </c>
      <c r="AD95" s="20">
        <f t="shared" si="16"/>
        <v>0</v>
      </c>
      <c r="AE95" s="20">
        <f>IF(AA95&lt;&gt;"",
    COUNTIFS(MATCH_INPUT!$K$10:$K$13,AA95),
0)</f>
        <v>0</v>
      </c>
      <c r="AF95" s="20">
        <f>IF(AA95&lt;&gt;"",
    COUNTIFS(MATCH_INPUT!$F$10:$F$13, AA95, MATCH_INPUT!$K$10:$K$13, "Draw") +
    COUNTIFS(MATCH_INPUT!$J$10:$J$13, AA95, MATCH_INPUT!$K$10:$K$13, "Draw"),
0)</f>
        <v>0</v>
      </c>
      <c r="AG95" s="20">
        <f>IF(AA95&lt;&gt;"",
    COUNTIFS(MATCH_INPUT!$F$10:$F$13, AA95, MATCH_INPUT!$K$10:$K$13, "&lt;&gt;"&amp;AA95, MATCH_INPUT!$K$10:$K$13, "&lt;&gt;Draw", MATCH_INPUT!$K$10:$K$13, "&lt;&gt;""") +
    COUNTIFS(MATCH_INPUT!$J$10:$J$13, AA95, MATCH_INPUT!$K$10:$K$13, "&lt;&gt;"&amp;AA95, MATCH_INPUT!$K$10:$K$13, "&lt;&gt;Draw", MATCH_INPUT!$K$10:$K$13, "&lt;&gt;"""),
0)</f>
        <v>0</v>
      </c>
      <c r="AH95" s="21"/>
      <c r="AI95" s="21"/>
      <c r="AJ95" s="30"/>
      <c r="AK95" s="23">
        <f t="shared" si="153"/>
        <v>8</v>
      </c>
      <c r="AL95" s="24" t="str">
        <f t="shared" si="18"/>
        <v>↓</v>
      </c>
      <c r="AM95" s="25"/>
      <c r="AN95" s="26">
        <f t="shared" si="19"/>
        <v>0</v>
      </c>
      <c r="AO95" s="26">
        <f t="shared" si="20"/>
        <v>0</v>
      </c>
      <c r="AP95" s="26">
        <f t="shared" si="21"/>
        <v>0</v>
      </c>
      <c r="AQ95" s="26">
        <f>IF(AM95&lt;&gt;"",
    COUNTIFS(MATCH_INPUT!$K$14:$K$17,AM95),
0)</f>
        <v>0</v>
      </c>
      <c r="AR95" s="26">
        <f>IF(AM95&lt;&gt;"",
    COUNTIFS(MATCH_INPUT!$F$14:$F$17, AM95, MATCH_INPUT!$K$14:$K$17, "Draw") +
    COUNTIFS(MATCH_INPUT!$J$14:$J$17, AM95, MATCH_INPUT!$K$14:$K$17, "Draw"),
0)</f>
        <v>0</v>
      </c>
      <c r="AS95" s="26">
        <f>IF(AM95&lt;&gt;"",
    COUNTIFS(MATCH_INPUT!$F$14:$F$17, AM95, MATCH_INPUT!$K$14:$K$17, "&lt;&gt;"&amp;AM95, MATCH_INPUT!$K$14:$K$17, "&lt;&gt;Draw", MATCH_INPUT!$K$14:$K$17, "&lt;&gt;""") +
    COUNTIFS(MATCH_INPUT!$J$14:$J$17, AM95, MATCH_INPUT!$K$14:$K$17, "&lt;&gt;"&amp;AM95, MATCH_INPUT!$K$14:$K$17, "&lt;&gt;Draw", MATCH_INPUT!$K$14:$K$17, "&lt;&gt;"""),
0)</f>
        <v>0</v>
      </c>
      <c r="AT95" s="27"/>
      <c r="AU95" s="27"/>
      <c r="AV95" s="28"/>
      <c r="AW95" s="26">
        <f t="shared" si="154"/>
        <v>10</v>
      </c>
      <c r="AX95" s="29" t="str">
        <f t="shared" si="23"/>
        <v>↓</v>
      </c>
      <c r="AY95" s="19"/>
      <c r="AZ95" s="23">
        <f t="shared" si="24"/>
        <v>0</v>
      </c>
      <c r="BA95" s="20">
        <f t="shared" si="25"/>
        <v>0</v>
      </c>
      <c r="BB95" s="20">
        <f>SUM(BC95*2) + (BD95*1) + SUMIFS(MATCH_INPUT!$G$18:$G$21, MATCH_INPUT!$F$18:$F$21, AY95) + SUMIFS(MATCH_INPUT!$I$18:$I$21, MATCH_INPUT!$J$18:$J$21, AY95)
</f>
        <v>0</v>
      </c>
      <c r="BC95" s="20">
        <f>IF(AY95&lt;&gt;"",
    COUNTIFS(MATCH_INPUT!$K$18:$K$21,AY95),
0)</f>
        <v>0</v>
      </c>
      <c r="BD95" s="20">
        <f>IF(AY95&lt;&gt;"",
    COUNTIFS(MATCH_INPUT!$F$18:$F$21, AY95, MATCH_INPUT!$K$18:$K$21, "Draw") +
    COUNTIFS(MATCH_INPUT!$J$18:$J$21, AY95, MATCH_INPUT!$K$18:$K$21, "Draw"),
0)</f>
        <v>0</v>
      </c>
      <c r="BE95" s="20">
        <f>IF(AY95&lt;&gt;"",
    COUNTIFS(MATCH_INPUT!$F$18:$F$21, AY95, MATCH_INPUT!$K$18:$K$21, "&lt;&gt;"&amp;AY95, MATCH_INPUT!$K$18:$K$21, "&lt;&gt;Draw", MATCH_INPUT!$K$18:$K$21, "&lt;&gt;""") +
    COUNTIFS(MATCH_INPUT!$J$18:$J$21, AY95, MATCH_INPUT!$K$18:$K$21, "&lt;&gt;"&amp;AY95, MATCH_INPUT!$K$18:$K$21, "&lt;&gt;Draw", MATCH_INPUT!$K$18:$K$21, "&lt;&gt;"""),
0)</f>
        <v>0</v>
      </c>
      <c r="BF95" s="21" t="str">
        <f t="array" ref="BF95">IFERROR(INDEX(Form_Response!E:E, MATCH(1, (Form_Response!C:C='MATCH DATES'!$B$6)*(Form_Response!D:D=B95), 0)), "")
</f>
        <v/>
      </c>
      <c r="BG95" s="21">
        <f t="array" ref="BG95">IFERROR(IF(INDEX(Form_Response!F:F, MATCH(1, (Form_Response!C:C='MATCH DATES'!$B$6)*(Form_Response!D:D=B95), 0))="Yes", 1, 0), 0)
</f>
        <v>0</v>
      </c>
      <c r="BH95" s="30" t="str">
        <f t="array" ref="BH95">IFERROR(INDEX(Form_Response!G:G, MATCH(1, (Form_Response!C:C='MATCH DATES'!$B$6)*(Form_Response!D:D=B95), 0)), "")
</f>
        <v/>
      </c>
      <c r="BI95" s="23">
        <f t="shared" si="155"/>
        <v>11</v>
      </c>
      <c r="BJ95" s="24" t="str">
        <f t="shared" si="27"/>
        <v>↓</v>
      </c>
      <c r="BK95" s="34"/>
      <c r="BL95" s="26">
        <f t="shared" si="28"/>
        <v>0</v>
      </c>
      <c r="BM95" s="26">
        <f t="shared" si="29"/>
        <v>0</v>
      </c>
      <c r="BN95" s="26">
        <f>SUM(BO95*2) + (BP95*1) + SUMIFS(MATCH_INPUT!$G$22:$G$25, MATCH_INPUT!$F$22:$F$25, BK95) + SUMIFS(MATCH_INPUT!$I$22:$I$25, MATCH_INPUT!$J$22:$J$25, BK95)
</f>
        <v>0</v>
      </c>
      <c r="BO95" s="26">
        <f>IF(BK95&lt;&gt;"",
    COUNTIFS(MATCH_INPUT!$K$22:$K$25,BK95),
0)</f>
        <v>0</v>
      </c>
      <c r="BP95" s="26">
        <f>IF(BK95&lt;&gt;"",
    COUNTIFS(MATCH_INPUT!$F$22:$F$25, BK95, MATCH_INPUT!$K$22:$K$25, "Draw") +
    COUNTIFS(MATCH_INPUT!$J$22:$J$25, BK95, MATCH_INPUT!$K$22:$K$25, "Draw"),
0)</f>
        <v>0</v>
      </c>
      <c r="BQ95" s="26">
        <f>IF(BK95&lt;&gt;"",
    COUNTIFS(MATCH_INPUT!$F$22:$F$25, BK95, MATCH_INPUT!$K$22:$K$25, "&lt;&gt;"&amp;BK95, MATCH_INPUT!$K$22:$K$25, "&lt;&gt;Draw", MATCH_INPUT!$K$22:$K$25, "&lt;&gt;""") +
    COUNTIFS(MATCH_INPUT!$J$22:$J$25, BK95, MATCH_INPUT!$K$22:$K$25, "&lt;&gt;"&amp;BK95, MATCH_INPUT!$K$22:$K$25, "&lt;&gt;Draw", MATCH_INPUT!$K$22:$K$25, "&lt;&gt;"""),
0)</f>
        <v>0</v>
      </c>
      <c r="BR95" s="27"/>
      <c r="BS95" s="27"/>
      <c r="BT95" s="28"/>
      <c r="BU95" s="26">
        <f t="shared" si="156"/>
        <v>14</v>
      </c>
      <c r="BV95" s="29" t="str">
        <f t="shared" si="31"/>
        <v>↓</v>
      </c>
      <c r="BW95" s="35"/>
      <c r="BX95" s="23">
        <f t="shared" si="32"/>
        <v>0</v>
      </c>
      <c r="BY95" s="20">
        <f t="shared" si="33"/>
        <v>0</v>
      </c>
      <c r="BZ95" s="20">
        <f>SUM(CA95*2)+(CB95*1) + SUMIFS(MATCH_INPUT!$G$26:$G$29, MATCH_INPUT!$F$26:$F$29, BW95) + SUMIFS(MATCH_INPUT!$I$26:$I$29, MATCH_INPUT!$J$26:$J$29, BW95)
</f>
        <v>0</v>
      </c>
      <c r="CA95" s="20">
        <f>IF(BW95&lt;&gt;"",
    COUNTIFS(MATCH_INPUT!$K$26:$K$29,BW95),
0)</f>
        <v>0</v>
      </c>
      <c r="CB95" s="20">
        <f>IF(BW95&lt;&gt;"",
    COUNTIFS(MATCH_INPUT!$F$26:$F$29, BW95, MATCH_INPUT!$K$26:$K$29, "Draw") +
    COUNTIFS(MATCH_INPUT!$J$26:$J$29, BW95, MATCH_INPUT!$K$26:$K$29, "Draw"),
0)</f>
        <v>0</v>
      </c>
      <c r="CC95" s="20">
        <f>IF(BW95&lt;&gt;"",
    COUNTIFS(MATCH_INPUT!$F$26:$F$29, BW95, MATCH_INPUT!$K$26:$K$29, "&lt;&gt;"&amp;BW95, MATCH_INPUT!$K$26:$K$29, "&lt;&gt;Draw", MATCH_INPUT!$K$26:$K$29, "&lt;&gt;""") +
    COUNTIFS(MATCH_INPUT!$J$26:$J$29, BW95, MATCH_INPUT!$K$26:$K$29, "&lt;&gt;"&amp;BW95, MATCH_INPUT!$K$26:$K$29, "&lt;&gt;Draw", MATCH_INPUT!$K$26:$K$29, "&lt;&gt;"""),
0)</f>
        <v>0</v>
      </c>
      <c r="CD95" s="21"/>
      <c r="CE95" s="21"/>
      <c r="CF95" s="30"/>
      <c r="CG95" s="23">
        <f t="shared" si="157"/>
        <v>15</v>
      </c>
      <c r="CH95" s="24" t="str">
        <f t="shared" si="35"/>
        <v>↓</v>
      </c>
      <c r="CI95" s="25"/>
      <c r="CJ95" s="26">
        <f t="shared" si="291"/>
        <v>0</v>
      </c>
      <c r="CK95" s="26">
        <f t="shared" si="37"/>
        <v>0</v>
      </c>
      <c r="CL95" s="26">
        <f>SUM(CM95*2)+(CN95*1) + SUMIFS(MATCH_INPUT!$G$30:$G$33, MATCH_INPUT!$F$30:$F$33, CI95) + SUMIFS(MATCH_INPUT!$I$30:$I$33, MATCH_INPUT!$J$30:$J$33, CI95)
</f>
        <v>0</v>
      </c>
      <c r="CM95" s="26">
        <f>IF(CI95&lt;&gt;"",
    COUNTIFS(MATCH_INPUT!$K$30:$K$33,CI95),
0)</f>
        <v>0</v>
      </c>
      <c r="CN95" s="26">
        <f>IF(CI95&lt;&gt;"",
    COUNTIFS(MATCH_INPUT!$F$30:$F$33, CI95, MATCH_INPUT!$K$30:$K$33, "Draw") +
    COUNTIFS(MATCH_INPUT!$J$30:$J$33, CI95, MATCH_INPUT!$K$30:$K$33, "Draw"),
0)</f>
        <v>0</v>
      </c>
      <c r="CO95" s="26">
        <f>IF(CI95&lt;&gt;"",
    COUNTIFS(MATCH_INPUT!$F$30:$F$33, CI95, MATCH_INPUT!$K$30:$K$33, "&lt;&gt;"&amp;CI95, MATCH_INPUT!$K$30:$K$33, "&lt;&gt;Draw", MATCH_INPUT!$K$30:$K$33, "&lt;&gt;""") +
    COUNTIFS(MATCH_INPUT!$J$30:$J$33, CI95, MATCH_INPUT!$K$30:$K$33, "&lt;&gt;"&amp;CI95, MATCH_INPUT!$K$30:$K$33, "&lt;&gt;Draw", MATCH_INPUT!$K$30:$K$33, "&lt;&gt;"""),
0)</f>
        <v>0</v>
      </c>
      <c r="CP95" s="27" t="str">
        <f t="array" ref="CP95">IFERROR(INDEX(Form_Response!E:E, MATCH(1, (Form_Response!C:C='MATCH DATES'!$B$9)*(Form_Response!D:D=B95), 0)), "")
</f>
        <v/>
      </c>
      <c r="CQ95" s="27">
        <f t="array" ref="CQ95">IFERROR(IF(INDEX(Form_Response!F:F, MATCH(1, (Form_Response!C:C='MATCH DATES'!$B$9)*(Form_Response!D:D=B95), 0))="Yes", 1, 0), 0)
</f>
        <v>0</v>
      </c>
      <c r="CR95" s="28" t="str">
        <f t="array" ref="CR95">IFERROR(INDEX(Form_Response!G:G, MATCH(1, (Form_Response!C:C='MATCH DATES'!$B$9)*(Form_Response!D:D=B95), 0)), "")
</f>
        <v/>
      </c>
      <c r="CS95" s="31">
        <f t="shared" si="158"/>
        <v>18</v>
      </c>
      <c r="CT95" s="31" t="str">
        <f t="shared" si="39"/>
        <v>↓</v>
      </c>
      <c r="CU95" s="32">
        <f t="shared" si="40"/>
        <v>0</v>
      </c>
      <c r="CV95" s="32" t="str">
        <f t="shared" ref="CV95:CW95" si="325">A95</f>
        <v/>
      </c>
      <c r="CW95" s="33" t="str">
        <f t="shared" si="325"/>
        <v/>
      </c>
      <c r="CX95" s="33">
        <f t="shared" si="42"/>
        <v>0</v>
      </c>
      <c r="CY95" s="32">
        <f>SUM(
  IF(AND('MATCH DATES'!$A$2 &lt;= TODAY(), NOW() &gt;= 'MATCH DATES'!$A$2 + TIME(22, 0, 0)), E95, 0),
  IF(AND('MATCH DATES'!$A$3 &lt;= TODAY(), NOW() &gt;= 'MATCH DATES'!$A$3 + TIME(22, 0, 0)), Q95, 0),
  IF(AND('MATCH DATES'!$A$4 &lt;= TODAY(), NOW() &gt;= 'MATCH DATES'!$A$4 + TIME(22, 0, 0)), AC95, 0),
  IF(AND('MATCH DATES'!$A$5 &lt;= TODAY(), NOW() &gt;= 'MATCH DATES'!$A$5 + TIME(22, 0, 0)), AO95, 0),
  IF(AND('MATCH DATES'!$A$6 &lt;= TODAY(), NOW() &gt;= 'MATCH DATES'!$A$6 + TIME(22, 0, 0)), BA95, 0),
  IF(AND('MATCH DATES'!$A$7 &lt;= TODAY(), NOW() &gt;= 'MATCH DATES'!$A$7 + TIME(22, 0, 0)), BM95, 0),
  IF(AND('MATCH DATES'!$A$8 &lt;= TODAY(), NOW() &gt;= 'MATCH DATES'!$A$8 + TIME(22, 0, 0)), BY95, 0),
  IF(AND('MATCH DATES'!$A$9 &lt;= TODAY(), NOW() &gt;= 'MATCH DATES'!$A$9 + TIME(22, 0, 0)), CK95, 0)
)
</f>
        <v>0</v>
      </c>
      <c r="CZ95" s="33">
        <f t="shared" ref="CZ95:DA95" si="326">SUM(G95,S95,AE95,AQ95,BC95,BO95,CA95,CM95)</f>
        <v>0</v>
      </c>
      <c r="DA95" s="33">
        <f t="shared" si="326"/>
        <v>0</v>
      </c>
      <c r="DB95" s="33">
        <f>SUM(
  IF(AND('MATCH DATES'!$A$2 &lt;= TODAY(), NOW() &gt;= 'MATCH DATES'!$A$2 + TIME(22, 0, 0)), I95, 0),
  IF(AND('MATCH DATES'!$A$3 &lt;= TODAY(), NOW() &gt;= 'MATCH DATES'!$A$3 + TIME(22, 0, 0)), U95, 0),
  IF(AND('MATCH DATES'!$A$4 &lt;= TODAY(), NOW() &gt;= 'MATCH DATES'!$A$4 + TIME(22, 0, 0)), AG95, 0),
  IF(AND('MATCH DATES'!$A$5 &lt;= TODAY(), NOW() &gt;= 'MATCH DATES'!$A$5 + TIME(22, 0, 0)), AS95, 0),
  IF(AND('MATCH DATES'!$A$6 &lt;= TODAY(), NOW() &gt;= 'MATCH DATES'!$A$6 + TIME(22, 0, 0)), BE95, 0),
  IF(AND('MATCH DATES'!$A$7 &lt;= TODAY(), NOW() &gt;= 'MATCH DATES'!$A$7 + TIME(22, 0, 0)), BQ95, 0),
  IF(AND('MATCH DATES'!$A$8 &lt;= TODAY(), NOW() &gt;= 'MATCH DATES'!$A$8 + TIME(22, 0, 0)), CC95, 0),
  IF(AND('MATCH DATES'!$A$9 &lt;= TODAY(), NOW() &gt;= 'MATCH DATES'!$A$9 + TIME(22, 0, 0)), CO95, 0)
)</f>
        <v>0</v>
      </c>
      <c r="DC95" s="33">
        <f t="shared" si="44"/>
        <v>0</v>
      </c>
      <c r="DD95" s="33">
        <f t="shared" ref="DD95:DE95" si="327">SUM(K95,W95,AI95,AU95,BG95,BS95,CE95,CQ95)</f>
        <v>0</v>
      </c>
      <c r="DE95" s="33">
        <f t="shared" si="327"/>
        <v>0</v>
      </c>
    </row>
    <row r="96" ht="24.75" customHeight="1">
      <c r="A96" s="31"/>
      <c r="B96" s="39"/>
      <c r="C96" s="35"/>
      <c r="D96" s="20">
        <f t="shared" si="4"/>
        <v>0</v>
      </c>
      <c r="E96" s="20">
        <f t="shared" si="5"/>
        <v>0</v>
      </c>
      <c r="F96" s="20">
        <f t="shared" si="6"/>
        <v>0</v>
      </c>
      <c r="G96" s="20">
        <f>IF(C96&lt;&gt;"",
    COUNTIFS(MATCH_INPUT!$K$2:$K$5,C96),
0)</f>
        <v>0</v>
      </c>
      <c r="H96" s="20">
        <f>IF(C96&lt;&gt;"",
    COUNTIFS(MATCH_INPUT!$F$2:$F$5, C96, MATCH_INPUT!$K$2:$K$5, "Draw") +
    COUNTIFS(MATCH_INPUT!$J$2:$J$5, C96, MATCH_INPUT!$K$2:$K$5, "Draw"),
0)</f>
        <v>0</v>
      </c>
      <c r="I96" s="20">
        <f>IF(C96&lt;&gt;"",
    COUNTIFS(MATCH_INPUT!$F$2:$F$5, C96, MATCH_INPUT!$K$2:$K$5, "&lt;&gt;"&amp;C96, MATCH_INPUT!$K$2:$K$5, "&lt;&gt;Draw", MATCH_INPUT!$K$2:$K$5, "&lt;&gt;""") +
    COUNTIFS(MATCH_INPUT!$J$2:$J$5, C96, MATCH_INPUT!$K$2:$K$5, "&lt;&gt;"&amp;C96, MATCH_INPUT!$K$2:$K$5, "&lt;&gt;Draw", MATCH_INPUT!$K$2:$K$5, "&lt;&gt;"""),
0)</f>
        <v>0</v>
      </c>
      <c r="J96" s="21"/>
      <c r="K96" s="21"/>
      <c r="L96" s="22"/>
      <c r="M96" s="23">
        <f t="shared" si="151"/>
        <v>4</v>
      </c>
      <c r="N96" s="24" t="str">
        <f t="shared" si="8"/>
        <v>↓</v>
      </c>
      <c r="O96" s="25"/>
      <c r="P96" s="26">
        <f t="shared" si="9"/>
        <v>0</v>
      </c>
      <c r="Q96" s="26">
        <f t="shared" si="10"/>
        <v>0</v>
      </c>
      <c r="R96" s="26">
        <f t="shared" si="11"/>
        <v>0</v>
      </c>
      <c r="S96" s="26">
        <f>IF(O96&lt;&gt;"",
    COUNTIFS(MATCH_INPUT!$K$6:$K$9,O96),
0)</f>
        <v>0</v>
      </c>
      <c r="T96" s="26">
        <f>IF(O96&lt;&gt;"",
    COUNTIFS(MATCH_INPUT!$F$6:$F$9, O96, MATCH_INPUT!$K$6:$K$9, "Draw") +
    COUNTIFS(MATCH_INPUT!$J$6:$J$9, O96, MATCH_INPUT!$K$6:$K$9, "Draw"),
0)</f>
        <v>0</v>
      </c>
      <c r="U96" s="26">
        <f>IF(O96&lt;&gt;"",
    COUNTIFS(MATCH_INPUT!$F$6:$F$9, O96, MATCH_INPUT!$K$6:$K$9, "&lt;&gt;"&amp;O96, MATCH_INPUT!$K$6:$K$9, "&lt;&gt;Draw", MATCH_INPUT!$K$6:$K$9, "&lt;&gt;""") +
    COUNTIFS(MATCH_INPUT!$J$6:$J$9, O96, MATCH_INPUT!$K$6:$K$9, "&lt;&gt;"&amp;O96, MATCH_INPUT!$K$6:$K$9, "&lt;&gt;Draw", MATCH_INPUT!$K$6:$K$9, "&lt;&gt;"""),
0)</f>
        <v>0</v>
      </c>
      <c r="V96" s="27"/>
      <c r="W96" s="27"/>
      <c r="X96" s="28"/>
      <c r="Y96" s="26">
        <f t="shared" si="152"/>
        <v>7</v>
      </c>
      <c r="Z96" s="29" t="str">
        <f t="shared" si="13"/>
        <v>↓</v>
      </c>
      <c r="AA96" s="19"/>
      <c r="AB96" s="23">
        <f t="shared" si="14"/>
        <v>0</v>
      </c>
      <c r="AC96" s="20">
        <f t="shared" si="15"/>
        <v>0</v>
      </c>
      <c r="AD96" s="20">
        <f t="shared" si="16"/>
        <v>0</v>
      </c>
      <c r="AE96" s="20">
        <f>IF(AA96&lt;&gt;"",
    COUNTIFS(MATCH_INPUT!$K$10:$K$13,AA96),
0)</f>
        <v>0</v>
      </c>
      <c r="AF96" s="20">
        <f>IF(AA96&lt;&gt;"",
    COUNTIFS(MATCH_INPUT!$F$10:$F$13, AA96, MATCH_INPUT!$K$10:$K$13, "Draw") +
    COUNTIFS(MATCH_INPUT!$J$10:$J$13, AA96, MATCH_INPUT!$K$10:$K$13, "Draw"),
0)</f>
        <v>0</v>
      </c>
      <c r="AG96" s="20">
        <f>IF(AA96&lt;&gt;"",
    COUNTIFS(MATCH_INPUT!$F$10:$F$13, AA96, MATCH_INPUT!$K$10:$K$13, "&lt;&gt;"&amp;AA96, MATCH_INPUT!$K$10:$K$13, "&lt;&gt;Draw", MATCH_INPUT!$K$10:$K$13, "&lt;&gt;""") +
    COUNTIFS(MATCH_INPUT!$J$10:$J$13, AA96, MATCH_INPUT!$K$10:$K$13, "&lt;&gt;"&amp;AA96, MATCH_INPUT!$K$10:$K$13, "&lt;&gt;Draw", MATCH_INPUT!$K$10:$K$13, "&lt;&gt;"""),
0)</f>
        <v>0</v>
      </c>
      <c r="AH96" s="21"/>
      <c r="AI96" s="21"/>
      <c r="AJ96" s="30"/>
      <c r="AK96" s="23">
        <f t="shared" si="153"/>
        <v>8</v>
      </c>
      <c r="AL96" s="24" t="str">
        <f t="shared" si="18"/>
        <v>↓</v>
      </c>
      <c r="AM96" s="25"/>
      <c r="AN96" s="26">
        <f t="shared" si="19"/>
        <v>0</v>
      </c>
      <c r="AO96" s="26">
        <f t="shared" si="20"/>
        <v>0</v>
      </c>
      <c r="AP96" s="26">
        <f t="shared" si="21"/>
        <v>0</v>
      </c>
      <c r="AQ96" s="26">
        <f>IF(AM96&lt;&gt;"",
    COUNTIFS(MATCH_INPUT!$K$14:$K$17,AM96),
0)</f>
        <v>0</v>
      </c>
      <c r="AR96" s="26">
        <f>IF(AM96&lt;&gt;"",
    COUNTIFS(MATCH_INPUT!$F$14:$F$17, AM96, MATCH_INPUT!$K$14:$K$17, "Draw") +
    COUNTIFS(MATCH_INPUT!$J$14:$J$17, AM96, MATCH_INPUT!$K$14:$K$17, "Draw"),
0)</f>
        <v>0</v>
      </c>
      <c r="AS96" s="26">
        <f>IF(AM96&lt;&gt;"",
    COUNTIFS(MATCH_INPUT!$F$14:$F$17, AM96, MATCH_INPUT!$K$14:$K$17, "&lt;&gt;"&amp;AM96, MATCH_INPUT!$K$14:$K$17, "&lt;&gt;Draw", MATCH_INPUT!$K$14:$K$17, "&lt;&gt;""") +
    COUNTIFS(MATCH_INPUT!$J$14:$J$17, AM96, MATCH_INPUT!$K$14:$K$17, "&lt;&gt;"&amp;AM96, MATCH_INPUT!$K$14:$K$17, "&lt;&gt;Draw", MATCH_INPUT!$K$14:$K$17, "&lt;&gt;"""),
0)</f>
        <v>0</v>
      </c>
      <c r="AT96" s="27"/>
      <c r="AU96" s="27"/>
      <c r="AV96" s="28"/>
      <c r="AW96" s="26">
        <f t="shared" si="154"/>
        <v>10</v>
      </c>
      <c r="AX96" s="29" t="str">
        <f t="shared" si="23"/>
        <v>↓</v>
      </c>
      <c r="AY96" s="19"/>
      <c r="AZ96" s="23">
        <f t="shared" si="24"/>
        <v>0</v>
      </c>
      <c r="BA96" s="20">
        <f t="shared" si="25"/>
        <v>0</v>
      </c>
      <c r="BB96" s="20">
        <f>SUM(BC96*2) + (BD96*1) + SUMIFS(MATCH_INPUT!$G$18:$G$21, MATCH_INPUT!$F$18:$F$21, AY96) + SUMIFS(MATCH_INPUT!$I$18:$I$21, MATCH_INPUT!$J$18:$J$21, AY96)
</f>
        <v>0</v>
      </c>
      <c r="BC96" s="20">
        <f>IF(AY96&lt;&gt;"",
    COUNTIFS(MATCH_INPUT!$K$18:$K$21,AY96),
0)</f>
        <v>0</v>
      </c>
      <c r="BD96" s="20">
        <f>IF(AY96&lt;&gt;"",
    COUNTIFS(MATCH_INPUT!$F$18:$F$21, AY96, MATCH_INPUT!$K$18:$K$21, "Draw") +
    COUNTIFS(MATCH_INPUT!$J$18:$J$21, AY96, MATCH_INPUT!$K$18:$K$21, "Draw"),
0)</f>
        <v>0</v>
      </c>
      <c r="BE96" s="20">
        <f>IF(AY96&lt;&gt;"",
    COUNTIFS(MATCH_INPUT!$F$18:$F$21, AY96, MATCH_INPUT!$K$18:$K$21, "&lt;&gt;"&amp;AY96, MATCH_INPUT!$K$18:$K$21, "&lt;&gt;Draw", MATCH_INPUT!$K$18:$K$21, "&lt;&gt;""") +
    COUNTIFS(MATCH_INPUT!$J$18:$J$21, AY96, MATCH_INPUT!$K$18:$K$21, "&lt;&gt;"&amp;AY96, MATCH_INPUT!$K$18:$K$21, "&lt;&gt;Draw", MATCH_INPUT!$K$18:$K$21, "&lt;&gt;"""),
0)</f>
        <v>0</v>
      </c>
      <c r="BF96" s="21" t="str">
        <f t="array" ref="BF96">IFERROR(INDEX(Form_Response!E:E, MATCH(1, (Form_Response!C:C='MATCH DATES'!$B$6)*(Form_Response!D:D=B96), 0)), "")
</f>
        <v/>
      </c>
      <c r="BG96" s="21">
        <f t="array" ref="BG96">IFERROR(IF(INDEX(Form_Response!F:F, MATCH(1, (Form_Response!C:C='MATCH DATES'!$B$6)*(Form_Response!D:D=B96), 0))="Yes", 1, 0), 0)
</f>
        <v>0</v>
      </c>
      <c r="BH96" s="30" t="str">
        <f t="array" ref="BH96">IFERROR(INDEX(Form_Response!G:G, MATCH(1, (Form_Response!C:C='MATCH DATES'!$B$6)*(Form_Response!D:D=B96), 0)), "")
</f>
        <v/>
      </c>
      <c r="BI96" s="23">
        <f t="shared" si="155"/>
        <v>11</v>
      </c>
      <c r="BJ96" s="24" t="str">
        <f t="shared" si="27"/>
        <v>↓</v>
      </c>
      <c r="BK96" s="34"/>
      <c r="BL96" s="26">
        <f t="shared" si="28"/>
        <v>0</v>
      </c>
      <c r="BM96" s="26">
        <f t="shared" si="29"/>
        <v>0</v>
      </c>
      <c r="BN96" s="26">
        <f>SUM(BO96*2) + (BP96*1) + SUMIFS(MATCH_INPUT!$G$22:$G$25, MATCH_INPUT!$F$22:$F$25, BK96) + SUMIFS(MATCH_INPUT!$I$22:$I$25, MATCH_INPUT!$J$22:$J$25, BK96)
</f>
        <v>0</v>
      </c>
      <c r="BO96" s="26">
        <f>IF(BK96&lt;&gt;"",
    COUNTIFS(MATCH_INPUT!$K$22:$K$25,BK96),
0)</f>
        <v>0</v>
      </c>
      <c r="BP96" s="26">
        <f>IF(BK96&lt;&gt;"",
    COUNTIFS(MATCH_INPUT!$F$22:$F$25, BK96, MATCH_INPUT!$K$22:$K$25, "Draw") +
    COUNTIFS(MATCH_INPUT!$J$22:$J$25, BK96, MATCH_INPUT!$K$22:$K$25, "Draw"),
0)</f>
        <v>0</v>
      </c>
      <c r="BQ96" s="26">
        <f>IF(BK96&lt;&gt;"",
    COUNTIFS(MATCH_INPUT!$F$22:$F$25, BK96, MATCH_INPUT!$K$22:$K$25, "&lt;&gt;"&amp;BK96, MATCH_INPUT!$K$22:$K$25, "&lt;&gt;Draw", MATCH_INPUT!$K$22:$K$25, "&lt;&gt;""") +
    COUNTIFS(MATCH_INPUT!$J$22:$J$25, BK96, MATCH_INPUT!$K$22:$K$25, "&lt;&gt;"&amp;BK96, MATCH_INPUT!$K$22:$K$25, "&lt;&gt;Draw", MATCH_INPUT!$K$22:$K$25, "&lt;&gt;"""),
0)</f>
        <v>0</v>
      </c>
      <c r="BR96" s="27"/>
      <c r="BS96" s="27"/>
      <c r="BT96" s="28"/>
      <c r="BU96" s="26">
        <f t="shared" si="156"/>
        <v>14</v>
      </c>
      <c r="BV96" s="29" t="str">
        <f t="shared" si="31"/>
        <v>↓</v>
      </c>
      <c r="BW96" s="35"/>
      <c r="BX96" s="23">
        <f t="shared" si="32"/>
        <v>0</v>
      </c>
      <c r="BY96" s="20">
        <f t="shared" si="33"/>
        <v>0</v>
      </c>
      <c r="BZ96" s="20">
        <f>SUM(CA96*2)+(CB96*1) + SUMIFS(MATCH_INPUT!$G$26:$G$29, MATCH_INPUT!$F$26:$F$29, BW96) + SUMIFS(MATCH_INPUT!$I$26:$I$29, MATCH_INPUT!$J$26:$J$29, BW96)
</f>
        <v>0</v>
      </c>
      <c r="CA96" s="20">
        <f>IF(BW96&lt;&gt;"",
    COUNTIFS(MATCH_INPUT!$K$26:$K$29,BW96),
0)</f>
        <v>0</v>
      </c>
      <c r="CB96" s="20">
        <f>IF(BW96&lt;&gt;"",
    COUNTIFS(MATCH_INPUT!$F$26:$F$29, BW96, MATCH_INPUT!$K$26:$K$29, "Draw") +
    COUNTIFS(MATCH_INPUT!$J$26:$J$29, BW96, MATCH_INPUT!$K$26:$K$29, "Draw"),
0)</f>
        <v>0</v>
      </c>
      <c r="CC96" s="20">
        <f>IF(BW96&lt;&gt;"",
    COUNTIFS(MATCH_INPUT!$F$26:$F$29, BW96, MATCH_INPUT!$K$26:$K$29, "&lt;&gt;"&amp;BW96, MATCH_INPUT!$K$26:$K$29, "&lt;&gt;Draw", MATCH_INPUT!$K$26:$K$29, "&lt;&gt;""") +
    COUNTIFS(MATCH_INPUT!$J$26:$J$29, BW96, MATCH_INPUT!$K$26:$K$29, "&lt;&gt;"&amp;BW96, MATCH_INPUT!$K$26:$K$29, "&lt;&gt;Draw", MATCH_INPUT!$K$26:$K$29, "&lt;&gt;"""),
0)</f>
        <v>0</v>
      </c>
      <c r="CD96" s="21"/>
      <c r="CE96" s="21"/>
      <c r="CF96" s="30"/>
      <c r="CG96" s="23">
        <f t="shared" si="157"/>
        <v>15</v>
      </c>
      <c r="CH96" s="24" t="str">
        <f t="shared" si="35"/>
        <v>↓</v>
      </c>
      <c r="CI96" s="25"/>
      <c r="CJ96" s="26">
        <f t="shared" si="291"/>
        <v>0</v>
      </c>
      <c r="CK96" s="26">
        <f t="shared" si="37"/>
        <v>0</v>
      </c>
      <c r="CL96" s="26">
        <f>SUM(CM96*2)+(CN96*1) + SUMIFS(MATCH_INPUT!$G$30:$G$33, MATCH_INPUT!$F$30:$F$33, CI96) + SUMIFS(MATCH_INPUT!$I$30:$I$33, MATCH_INPUT!$J$30:$J$33, CI96)
</f>
        <v>0</v>
      </c>
      <c r="CM96" s="26">
        <f>IF(CI96&lt;&gt;"",
    COUNTIFS(MATCH_INPUT!$K$30:$K$33,CI96),
0)</f>
        <v>0</v>
      </c>
      <c r="CN96" s="26">
        <f>IF(CI96&lt;&gt;"",
    COUNTIFS(MATCH_INPUT!$F$30:$F$33, CI96, MATCH_INPUT!$K$30:$K$33, "Draw") +
    COUNTIFS(MATCH_INPUT!$J$30:$J$33, CI96, MATCH_INPUT!$K$30:$K$33, "Draw"),
0)</f>
        <v>0</v>
      </c>
      <c r="CO96" s="26">
        <f>IF(CI96&lt;&gt;"",
    COUNTIFS(MATCH_INPUT!$F$30:$F$33, CI96, MATCH_INPUT!$K$30:$K$33, "&lt;&gt;"&amp;CI96, MATCH_INPUT!$K$30:$K$33, "&lt;&gt;Draw", MATCH_INPUT!$K$30:$K$33, "&lt;&gt;""") +
    COUNTIFS(MATCH_INPUT!$J$30:$J$33, CI96, MATCH_INPUT!$K$30:$K$33, "&lt;&gt;"&amp;CI96, MATCH_INPUT!$K$30:$K$33, "&lt;&gt;Draw", MATCH_INPUT!$K$30:$K$33, "&lt;&gt;"""),
0)</f>
        <v>0</v>
      </c>
      <c r="CP96" s="27" t="str">
        <f t="array" ref="CP96">IFERROR(INDEX(Form_Response!E:E, MATCH(1, (Form_Response!C:C='MATCH DATES'!$B$9)*(Form_Response!D:D=B96), 0)), "")
</f>
        <v/>
      </c>
      <c r="CQ96" s="27">
        <f t="array" ref="CQ96">IFERROR(IF(INDEX(Form_Response!F:F, MATCH(1, (Form_Response!C:C='MATCH DATES'!$B$9)*(Form_Response!D:D=B96), 0))="Yes", 1, 0), 0)
</f>
        <v>0</v>
      </c>
      <c r="CR96" s="28" t="str">
        <f t="array" ref="CR96">IFERROR(INDEX(Form_Response!G:G, MATCH(1, (Form_Response!C:C='MATCH DATES'!$B$9)*(Form_Response!D:D=B96), 0)), "")
</f>
        <v/>
      </c>
      <c r="CS96" s="31">
        <f t="shared" si="158"/>
        <v>18</v>
      </c>
      <c r="CT96" s="31" t="str">
        <f t="shared" si="39"/>
        <v>↓</v>
      </c>
      <c r="CU96" s="32">
        <f t="shared" si="40"/>
        <v>0</v>
      </c>
      <c r="CV96" s="32" t="str">
        <f t="shared" ref="CV96:CW96" si="328">A96</f>
        <v/>
      </c>
      <c r="CW96" s="33" t="str">
        <f t="shared" si="328"/>
        <v/>
      </c>
      <c r="CX96" s="33">
        <f t="shared" si="42"/>
        <v>0</v>
      </c>
      <c r="CY96" s="32">
        <f>SUM(
  IF(AND('MATCH DATES'!$A$2 &lt;= TODAY(), NOW() &gt;= 'MATCH DATES'!$A$2 + TIME(22, 0, 0)), E96, 0),
  IF(AND('MATCH DATES'!$A$3 &lt;= TODAY(), NOW() &gt;= 'MATCH DATES'!$A$3 + TIME(22, 0, 0)), Q96, 0),
  IF(AND('MATCH DATES'!$A$4 &lt;= TODAY(), NOW() &gt;= 'MATCH DATES'!$A$4 + TIME(22, 0, 0)), AC96, 0),
  IF(AND('MATCH DATES'!$A$5 &lt;= TODAY(), NOW() &gt;= 'MATCH DATES'!$A$5 + TIME(22, 0, 0)), AO96, 0),
  IF(AND('MATCH DATES'!$A$6 &lt;= TODAY(), NOW() &gt;= 'MATCH DATES'!$A$6 + TIME(22, 0, 0)), BA96, 0),
  IF(AND('MATCH DATES'!$A$7 &lt;= TODAY(), NOW() &gt;= 'MATCH DATES'!$A$7 + TIME(22, 0, 0)), BM96, 0),
  IF(AND('MATCH DATES'!$A$8 &lt;= TODAY(), NOW() &gt;= 'MATCH DATES'!$A$8 + TIME(22, 0, 0)), BY96, 0),
  IF(AND('MATCH DATES'!$A$9 &lt;= TODAY(), NOW() &gt;= 'MATCH DATES'!$A$9 + TIME(22, 0, 0)), CK96, 0)
)
</f>
        <v>0</v>
      </c>
      <c r="CZ96" s="33">
        <f t="shared" ref="CZ96:DA96" si="329">SUM(G96,S96,AE96,AQ96,BC96,BO96,CA96,CM96)</f>
        <v>0</v>
      </c>
      <c r="DA96" s="33">
        <f t="shared" si="329"/>
        <v>0</v>
      </c>
      <c r="DB96" s="33">
        <f>SUM(
  IF(AND('MATCH DATES'!$A$2 &lt;= TODAY(), NOW() &gt;= 'MATCH DATES'!$A$2 + TIME(22, 0, 0)), I96, 0),
  IF(AND('MATCH DATES'!$A$3 &lt;= TODAY(), NOW() &gt;= 'MATCH DATES'!$A$3 + TIME(22, 0, 0)), U96, 0),
  IF(AND('MATCH DATES'!$A$4 &lt;= TODAY(), NOW() &gt;= 'MATCH DATES'!$A$4 + TIME(22, 0, 0)), AG96, 0),
  IF(AND('MATCH DATES'!$A$5 &lt;= TODAY(), NOW() &gt;= 'MATCH DATES'!$A$5 + TIME(22, 0, 0)), AS96, 0),
  IF(AND('MATCH DATES'!$A$6 &lt;= TODAY(), NOW() &gt;= 'MATCH DATES'!$A$6 + TIME(22, 0, 0)), BE96, 0),
  IF(AND('MATCH DATES'!$A$7 &lt;= TODAY(), NOW() &gt;= 'MATCH DATES'!$A$7 + TIME(22, 0, 0)), BQ96, 0),
  IF(AND('MATCH DATES'!$A$8 &lt;= TODAY(), NOW() &gt;= 'MATCH DATES'!$A$8 + TIME(22, 0, 0)), CC96, 0),
  IF(AND('MATCH DATES'!$A$9 &lt;= TODAY(), NOW() &gt;= 'MATCH DATES'!$A$9 + TIME(22, 0, 0)), CO96, 0)
)</f>
        <v>0</v>
      </c>
      <c r="DC96" s="33">
        <f t="shared" si="44"/>
        <v>0</v>
      </c>
      <c r="DD96" s="33">
        <f t="shared" ref="DD96:DE96" si="330">SUM(K96,W96,AI96,AU96,BG96,BS96,CE96,CQ96)</f>
        <v>0</v>
      </c>
      <c r="DE96" s="33">
        <f t="shared" si="330"/>
        <v>0</v>
      </c>
    </row>
    <row r="97" ht="24.75" customHeight="1">
      <c r="A97" s="31"/>
      <c r="B97" s="39"/>
      <c r="C97" s="35"/>
      <c r="D97" s="20">
        <f t="shared" si="4"/>
        <v>0</v>
      </c>
      <c r="E97" s="20">
        <f t="shared" si="5"/>
        <v>0</v>
      </c>
      <c r="F97" s="20">
        <f t="shared" si="6"/>
        <v>0</v>
      </c>
      <c r="G97" s="20">
        <f>IF(C97&lt;&gt;"",
    COUNTIFS(MATCH_INPUT!$K$2:$K$5,C97),
0)</f>
        <v>0</v>
      </c>
      <c r="H97" s="20">
        <f>IF(C97&lt;&gt;"",
    COUNTIFS(MATCH_INPUT!$F$2:$F$5, C97, MATCH_INPUT!$K$2:$K$5, "Draw") +
    COUNTIFS(MATCH_INPUT!$J$2:$J$5, C97, MATCH_INPUT!$K$2:$K$5, "Draw"),
0)</f>
        <v>0</v>
      </c>
      <c r="I97" s="20">
        <f>IF(C97&lt;&gt;"",
    COUNTIFS(MATCH_INPUT!$F$2:$F$5, C97, MATCH_INPUT!$K$2:$K$5, "&lt;&gt;"&amp;C97, MATCH_INPUT!$K$2:$K$5, "&lt;&gt;Draw", MATCH_INPUT!$K$2:$K$5, "&lt;&gt;""") +
    COUNTIFS(MATCH_INPUT!$J$2:$J$5, C97, MATCH_INPUT!$K$2:$K$5, "&lt;&gt;"&amp;C97, MATCH_INPUT!$K$2:$K$5, "&lt;&gt;Draw", MATCH_INPUT!$K$2:$K$5, "&lt;&gt;"""),
0)</f>
        <v>0</v>
      </c>
      <c r="J97" s="21"/>
      <c r="K97" s="21"/>
      <c r="L97" s="22"/>
      <c r="M97" s="23">
        <f t="shared" si="151"/>
        <v>4</v>
      </c>
      <c r="N97" s="24" t="str">
        <f t="shared" si="8"/>
        <v>↓</v>
      </c>
      <c r="O97" s="25"/>
      <c r="P97" s="26">
        <f t="shared" si="9"/>
        <v>0</v>
      </c>
      <c r="Q97" s="26">
        <f t="shared" si="10"/>
        <v>0</v>
      </c>
      <c r="R97" s="26">
        <f t="shared" si="11"/>
        <v>0</v>
      </c>
      <c r="S97" s="26">
        <f>IF(O97&lt;&gt;"",
    COUNTIFS(MATCH_INPUT!$K$6:$K$9,O97),
0)</f>
        <v>0</v>
      </c>
      <c r="T97" s="26">
        <f>IF(O97&lt;&gt;"",
    COUNTIFS(MATCH_INPUT!$F$6:$F$9, O97, MATCH_INPUT!$K$6:$K$9, "Draw") +
    COUNTIFS(MATCH_INPUT!$J$6:$J$9, O97, MATCH_INPUT!$K$6:$K$9, "Draw"),
0)</f>
        <v>0</v>
      </c>
      <c r="U97" s="26">
        <f>IF(O97&lt;&gt;"",
    COUNTIFS(MATCH_INPUT!$F$6:$F$9, O97, MATCH_INPUT!$K$6:$K$9, "&lt;&gt;"&amp;O97, MATCH_INPUT!$K$6:$K$9, "&lt;&gt;Draw", MATCH_INPUT!$K$6:$K$9, "&lt;&gt;""") +
    COUNTIFS(MATCH_INPUT!$J$6:$J$9, O97, MATCH_INPUT!$K$6:$K$9, "&lt;&gt;"&amp;O97, MATCH_INPUT!$K$6:$K$9, "&lt;&gt;Draw", MATCH_INPUT!$K$6:$K$9, "&lt;&gt;"""),
0)</f>
        <v>0</v>
      </c>
      <c r="V97" s="27"/>
      <c r="W97" s="27"/>
      <c r="X97" s="28"/>
      <c r="Y97" s="26">
        <f t="shared" si="152"/>
        <v>7</v>
      </c>
      <c r="Z97" s="29" t="str">
        <f t="shared" si="13"/>
        <v>↓</v>
      </c>
      <c r="AA97" s="19"/>
      <c r="AB97" s="23">
        <f t="shared" si="14"/>
        <v>0</v>
      </c>
      <c r="AC97" s="20">
        <f t="shared" si="15"/>
        <v>0</v>
      </c>
      <c r="AD97" s="20">
        <f t="shared" si="16"/>
        <v>0</v>
      </c>
      <c r="AE97" s="20">
        <f>IF(AA97&lt;&gt;"",
    COUNTIFS(MATCH_INPUT!$K$10:$K$13,AA97),
0)</f>
        <v>0</v>
      </c>
      <c r="AF97" s="20">
        <f>IF(AA97&lt;&gt;"",
    COUNTIFS(MATCH_INPUT!$F$10:$F$13, AA97, MATCH_INPUT!$K$10:$K$13, "Draw") +
    COUNTIFS(MATCH_INPUT!$J$10:$J$13, AA97, MATCH_INPUT!$K$10:$K$13, "Draw"),
0)</f>
        <v>0</v>
      </c>
      <c r="AG97" s="20">
        <f>IF(AA97&lt;&gt;"",
    COUNTIFS(MATCH_INPUT!$F$10:$F$13, AA97, MATCH_INPUT!$K$10:$K$13, "&lt;&gt;"&amp;AA97, MATCH_INPUT!$K$10:$K$13, "&lt;&gt;Draw", MATCH_INPUT!$K$10:$K$13, "&lt;&gt;""") +
    COUNTIFS(MATCH_INPUT!$J$10:$J$13, AA97, MATCH_INPUT!$K$10:$K$13, "&lt;&gt;"&amp;AA97, MATCH_INPUT!$K$10:$K$13, "&lt;&gt;Draw", MATCH_INPUT!$K$10:$K$13, "&lt;&gt;"""),
0)</f>
        <v>0</v>
      </c>
      <c r="AH97" s="21"/>
      <c r="AI97" s="21"/>
      <c r="AJ97" s="30"/>
      <c r="AK97" s="23">
        <f t="shared" si="153"/>
        <v>8</v>
      </c>
      <c r="AL97" s="24" t="str">
        <f t="shared" si="18"/>
        <v>↓</v>
      </c>
      <c r="AM97" s="25"/>
      <c r="AN97" s="26">
        <f t="shared" si="19"/>
        <v>0</v>
      </c>
      <c r="AO97" s="26">
        <f t="shared" si="20"/>
        <v>0</v>
      </c>
      <c r="AP97" s="26">
        <f t="shared" si="21"/>
        <v>0</v>
      </c>
      <c r="AQ97" s="26">
        <f>IF(AM97&lt;&gt;"",
    COUNTIFS(MATCH_INPUT!$K$14:$K$17,AM97),
0)</f>
        <v>0</v>
      </c>
      <c r="AR97" s="26">
        <f>IF(AM97&lt;&gt;"",
    COUNTIFS(MATCH_INPUT!$F$14:$F$17, AM97, MATCH_INPUT!$K$14:$K$17, "Draw") +
    COUNTIFS(MATCH_INPUT!$J$14:$J$17, AM97, MATCH_INPUT!$K$14:$K$17, "Draw"),
0)</f>
        <v>0</v>
      </c>
      <c r="AS97" s="26">
        <f>IF(AM97&lt;&gt;"",
    COUNTIFS(MATCH_INPUT!$F$14:$F$17, AM97, MATCH_INPUT!$K$14:$K$17, "&lt;&gt;"&amp;AM97, MATCH_INPUT!$K$14:$K$17, "&lt;&gt;Draw", MATCH_INPUT!$K$14:$K$17, "&lt;&gt;""") +
    COUNTIFS(MATCH_INPUT!$J$14:$J$17, AM97, MATCH_INPUT!$K$14:$K$17, "&lt;&gt;"&amp;AM97, MATCH_INPUT!$K$14:$K$17, "&lt;&gt;Draw", MATCH_INPUT!$K$14:$K$17, "&lt;&gt;"""),
0)</f>
        <v>0</v>
      </c>
      <c r="AT97" s="27"/>
      <c r="AU97" s="27"/>
      <c r="AV97" s="28"/>
      <c r="AW97" s="26">
        <f t="shared" si="154"/>
        <v>10</v>
      </c>
      <c r="AX97" s="29" t="str">
        <f t="shared" si="23"/>
        <v>↓</v>
      </c>
      <c r="AY97" s="19"/>
      <c r="AZ97" s="23">
        <f t="shared" si="24"/>
        <v>0</v>
      </c>
      <c r="BA97" s="20">
        <f t="shared" si="25"/>
        <v>0</v>
      </c>
      <c r="BB97" s="20">
        <f>SUM(BC97*2) + (BD97*1) + SUMIFS(MATCH_INPUT!$G$18:$G$21, MATCH_INPUT!$F$18:$F$21, AY97) + SUMIFS(MATCH_INPUT!$I$18:$I$21, MATCH_INPUT!$J$18:$J$21, AY97)
</f>
        <v>0</v>
      </c>
      <c r="BC97" s="20">
        <f>IF(AY97&lt;&gt;"",
    COUNTIFS(MATCH_INPUT!$K$18:$K$21,AY97),
0)</f>
        <v>0</v>
      </c>
      <c r="BD97" s="20">
        <f>IF(AY97&lt;&gt;"",
    COUNTIFS(MATCH_INPUT!$F$18:$F$21, AY97, MATCH_INPUT!$K$18:$K$21, "Draw") +
    COUNTIFS(MATCH_INPUT!$J$18:$J$21, AY97, MATCH_INPUT!$K$18:$K$21, "Draw"),
0)</f>
        <v>0</v>
      </c>
      <c r="BE97" s="20">
        <f>IF(AY97&lt;&gt;"",
    COUNTIFS(MATCH_INPUT!$F$18:$F$21, AY97, MATCH_INPUT!$K$18:$K$21, "&lt;&gt;"&amp;AY97, MATCH_INPUT!$K$18:$K$21, "&lt;&gt;Draw", MATCH_INPUT!$K$18:$K$21, "&lt;&gt;""") +
    COUNTIFS(MATCH_INPUT!$J$18:$J$21, AY97, MATCH_INPUT!$K$18:$K$21, "&lt;&gt;"&amp;AY97, MATCH_INPUT!$K$18:$K$21, "&lt;&gt;Draw", MATCH_INPUT!$K$18:$K$21, "&lt;&gt;"""),
0)</f>
        <v>0</v>
      </c>
      <c r="BF97" s="21" t="str">
        <f t="array" ref="BF97">IFERROR(INDEX(Form_Response!E:E, MATCH(1, (Form_Response!C:C='MATCH DATES'!$B$6)*(Form_Response!D:D=B97), 0)), "")
</f>
        <v/>
      </c>
      <c r="BG97" s="21">
        <f t="array" ref="BG97">IFERROR(IF(INDEX(Form_Response!F:F, MATCH(1, (Form_Response!C:C='MATCH DATES'!$B$6)*(Form_Response!D:D=B97), 0))="Yes", 1, 0), 0)
</f>
        <v>0</v>
      </c>
      <c r="BH97" s="30" t="str">
        <f t="array" ref="BH97">IFERROR(INDEX(Form_Response!G:G, MATCH(1, (Form_Response!C:C='MATCH DATES'!$B$6)*(Form_Response!D:D=B97), 0)), "")
</f>
        <v/>
      </c>
      <c r="BI97" s="23">
        <f t="shared" si="155"/>
        <v>11</v>
      </c>
      <c r="BJ97" s="24" t="str">
        <f t="shared" si="27"/>
        <v>↓</v>
      </c>
      <c r="BK97" s="34"/>
      <c r="BL97" s="26">
        <f t="shared" si="28"/>
        <v>0</v>
      </c>
      <c r="BM97" s="26">
        <f t="shared" si="29"/>
        <v>0</v>
      </c>
      <c r="BN97" s="26">
        <f>SUM(BO97*2) + (BP97*1) + SUMIFS(MATCH_INPUT!$G$22:$G$25, MATCH_INPUT!$F$22:$F$25, BK97) + SUMIFS(MATCH_INPUT!$I$22:$I$25, MATCH_INPUT!$J$22:$J$25, BK97)
</f>
        <v>0</v>
      </c>
      <c r="BO97" s="26">
        <f>IF(BK97&lt;&gt;"",
    COUNTIFS(MATCH_INPUT!$K$22:$K$25,BK97),
0)</f>
        <v>0</v>
      </c>
      <c r="BP97" s="26">
        <f>IF(BK97&lt;&gt;"",
    COUNTIFS(MATCH_INPUT!$F$22:$F$25, BK97, MATCH_INPUT!$K$22:$K$25, "Draw") +
    COUNTIFS(MATCH_INPUT!$J$22:$J$25, BK97, MATCH_INPUT!$K$22:$K$25, "Draw"),
0)</f>
        <v>0</v>
      </c>
      <c r="BQ97" s="26">
        <f>IF(BK97&lt;&gt;"",
    COUNTIFS(MATCH_INPUT!$F$22:$F$25, BK97, MATCH_INPUT!$K$22:$K$25, "&lt;&gt;"&amp;BK97, MATCH_INPUT!$K$22:$K$25, "&lt;&gt;Draw", MATCH_INPUT!$K$22:$K$25, "&lt;&gt;""") +
    COUNTIFS(MATCH_INPUT!$J$22:$J$25, BK97, MATCH_INPUT!$K$22:$K$25, "&lt;&gt;"&amp;BK97, MATCH_INPUT!$K$22:$K$25, "&lt;&gt;Draw", MATCH_INPUT!$K$22:$K$25, "&lt;&gt;"""),
0)</f>
        <v>0</v>
      </c>
      <c r="BR97" s="27"/>
      <c r="BS97" s="27"/>
      <c r="BT97" s="28"/>
      <c r="BU97" s="26">
        <f t="shared" si="156"/>
        <v>14</v>
      </c>
      <c r="BV97" s="29" t="str">
        <f t="shared" si="31"/>
        <v>↓</v>
      </c>
      <c r="BW97" s="35"/>
      <c r="BX97" s="23">
        <f t="shared" si="32"/>
        <v>0</v>
      </c>
      <c r="BY97" s="20">
        <f t="shared" si="33"/>
        <v>0</v>
      </c>
      <c r="BZ97" s="20">
        <f>SUM(CA97*2)+(CB97*1) + SUMIFS(MATCH_INPUT!$G$26:$G$29, MATCH_INPUT!$F$26:$F$29, BW97) + SUMIFS(MATCH_INPUT!$I$26:$I$29, MATCH_INPUT!$J$26:$J$29, BW97)
</f>
        <v>0</v>
      </c>
      <c r="CA97" s="20">
        <f>IF(BW97&lt;&gt;"",
    COUNTIFS(MATCH_INPUT!$K$26:$K$29,BW97),
0)</f>
        <v>0</v>
      </c>
      <c r="CB97" s="20">
        <f>IF(BW97&lt;&gt;"",
    COUNTIFS(MATCH_INPUT!$F$26:$F$29, BW97, MATCH_INPUT!$K$26:$K$29, "Draw") +
    COUNTIFS(MATCH_INPUT!$J$26:$J$29, BW97, MATCH_INPUT!$K$26:$K$29, "Draw"),
0)</f>
        <v>0</v>
      </c>
      <c r="CC97" s="20">
        <f>IF(BW97&lt;&gt;"",
    COUNTIFS(MATCH_INPUT!$F$26:$F$29, BW97, MATCH_INPUT!$K$26:$K$29, "&lt;&gt;"&amp;BW97, MATCH_INPUT!$K$26:$K$29, "&lt;&gt;Draw", MATCH_INPUT!$K$26:$K$29, "&lt;&gt;""") +
    COUNTIFS(MATCH_INPUT!$J$26:$J$29, BW97, MATCH_INPUT!$K$26:$K$29, "&lt;&gt;"&amp;BW97, MATCH_INPUT!$K$26:$K$29, "&lt;&gt;Draw", MATCH_INPUT!$K$26:$K$29, "&lt;&gt;"""),
0)</f>
        <v>0</v>
      </c>
      <c r="CD97" s="21"/>
      <c r="CE97" s="21"/>
      <c r="CF97" s="30"/>
      <c r="CG97" s="23">
        <f t="shared" si="157"/>
        <v>15</v>
      </c>
      <c r="CH97" s="24" t="str">
        <f t="shared" si="35"/>
        <v>↓</v>
      </c>
      <c r="CI97" s="25"/>
      <c r="CJ97" s="26">
        <f t="shared" si="291"/>
        <v>0</v>
      </c>
      <c r="CK97" s="26">
        <f t="shared" si="37"/>
        <v>0</v>
      </c>
      <c r="CL97" s="26">
        <f>SUM(CM97*2)+(CN97*1) + SUMIFS(MATCH_INPUT!$G$30:$G$33, MATCH_INPUT!$F$30:$F$33, CI97) + SUMIFS(MATCH_INPUT!$I$30:$I$33, MATCH_INPUT!$J$30:$J$33, CI97)
</f>
        <v>0</v>
      </c>
      <c r="CM97" s="26">
        <f>IF(CI97&lt;&gt;"",
    COUNTIFS(MATCH_INPUT!$K$30:$K$33,CI97),
0)</f>
        <v>0</v>
      </c>
      <c r="CN97" s="26">
        <f>IF(CI97&lt;&gt;"",
    COUNTIFS(MATCH_INPUT!$F$30:$F$33, CI97, MATCH_INPUT!$K$30:$K$33, "Draw") +
    COUNTIFS(MATCH_INPUT!$J$30:$J$33, CI97, MATCH_INPUT!$K$30:$K$33, "Draw"),
0)</f>
        <v>0</v>
      </c>
      <c r="CO97" s="26">
        <f>IF(CI97&lt;&gt;"",
    COUNTIFS(MATCH_INPUT!$F$30:$F$33, CI97, MATCH_INPUT!$K$30:$K$33, "&lt;&gt;"&amp;CI97, MATCH_INPUT!$K$30:$K$33, "&lt;&gt;Draw", MATCH_INPUT!$K$30:$K$33, "&lt;&gt;""") +
    COUNTIFS(MATCH_INPUT!$J$30:$J$33, CI97, MATCH_INPUT!$K$30:$K$33, "&lt;&gt;"&amp;CI97, MATCH_INPUT!$K$30:$K$33, "&lt;&gt;Draw", MATCH_INPUT!$K$30:$K$33, "&lt;&gt;"""),
0)</f>
        <v>0</v>
      </c>
      <c r="CP97" s="27" t="str">
        <f t="array" ref="CP97">IFERROR(INDEX(Form_Response!E:E, MATCH(1, (Form_Response!C:C='MATCH DATES'!$B$9)*(Form_Response!D:D=B97), 0)), "")
</f>
        <v/>
      </c>
      <c r="CQ97" s="27">
        <f t="array" ref="CQ97">IFERROR(IF(INDEX(Form_Response!F:F, MATCH(1, (Form_Response!C:C='MATCH DATES'!$B$9)*(Form_Response!D:D=B97), 0))="Yes", 1, 0), 0)
</f>
        <v>0</v>
      </c>
      <c r="CR97" s="28" t="str">
        <f t="array" ref="CR97">IFERROR(INDEX(Form_Response!G:G, MATCH(1, (Form_Response!C:C='MATCH DATES'!$B$9)*(Form_Response!D:D=B97), 0)), "")
</f>
        <v/>
      </c>
      <c r="CS97" s="31">
        <f t="shared" si="158"/>
        <v>18</v>
      </c>
      <c r="CT97" s="31" t="str">
        <f t="shared" si="39"/>
        <v>↓</v>
      </c>
      <c r="CU97" s="32">
        <f t="shared" si="40"/>
        <v>0</v>
      </c>
      <c r="CV97" s="32" t="str">
        <f t="shared" ref="CV97:CW97" si="331">A97</f>
        <v/>
      </c>
      <c r="CW97" s="33" t="str">
        <f t="shared" si="331"/>
        <v/>
      </c>
      <c r="CX97" s="33">
        <f t="shared" si="42"/>
        <v>0</v>
      </c>
      <c r="CY97" s="32">
        <f>SUM(
  IF(AND('MATCH DATES'!$A$2 &lt;= TODAY(), NOW() &gt;= 'MATCH DATES'!$A$2 + TIME(22, 0, 0)), E97, 0),
  IF(AND('MATCH DATES'!$A$3 &lt;= TODAY(), NOW() &gt;= 'MATCH DATES'!$A$3 + TIME(22, 0, 0)), Q97, 0),
  IF(AND('MATCH DATES'!$A$4 &lt;= TODAY(), NOW() &gt;= 'MATCH DATES'!$A$4 + TIME(22, 0, 0)), AC97, 0),
  IF(AND('MATCH DATES'!$A$5 &lt;= TODAY(), NOW() &gt;= 'MATCH DATES'!$A$5 + TIME(22, 0, 0)), AO97, 0),
  IF(AND('MATCH DATES'!$A$6 &lt;= TODAY(), NOW() &gt;= 'MATCH DATES'!$A$6 + TIME(22, 0, 0)), BA97, 0),
  IF(AND('MATCH DATES'!$A$7 &lt;= TODAY(), NOW() &gt;= 'MATCH DATES'!$A$7 + TIME(22, 0, 0)), BM97, 0),
  IF(AND('MATCH DATES'!$A$8 &lt;= TODAY(), NOW() &gt;= 'MATCH DATES'!$A$8 + TIME(22, 0, 0)), BY97, 0),
  IF(AND('MATCH DATES'!$A$9 &lt;= TODAY(), NOW() &gt;= 'MATCH DATES'!$A$9 + TIME(22, 0, 0)), CK97, 0)
)
</f>
        <v>0</v>
      </c>
      <c r="CZ97" s="33">
        <f t="shared" ref="CZ97:DA97" si="332">SUM(G97,S97,AE97,AQ97,BC97,BO97,CA97,CM97)</f>
        <v>0</v>
      </c>
      <c r="DA97" s="33">
        <f t="shared" si="332"/>
        <v>0</v>
      </c>
      <c r="DB97" s="33">
        <f>SUM(
  IF(AND('MATCH DATES'!$A$2 &lt;= TODAY(), NOW() &gt;= 'MATCH DATES'!$A$2 + TIME(22, 0, 0)), I97, 0),
  IF(AND('MATCH DATES'!$A$3 &lt;= TODAY(), NOW() &gt;= 'MATCH DATES'!$A$3 + TIME(22, 0, 0)), U97, 0),
  IF(AND('MATCH DATES'!$A$4 &lt;= TODAY(), NOW() &gt;= 'MATCH DATES'!$A$4 + TIME(22, 0, 0)), AG97, 0),
  IF(AND('MATCH DATES'!$A$5 &lt;= TODAY(), NOW() &gt;= 'MATCH DATES'!$A$5 + TIME(22, 0, 0)), AS97, 0),
  IF(AND('MATCH DATES'!$A$6 &lt;= TODAY(), NOW() &gt;= 'MATCH DATES'!$A$6 + TIME(22, 0, 0)), BE97, 0),
  IF(AND('MATCH DATES'!$A$7 &lt;= TODAY(), NOW() &gt;= 'MATCH DATES'!$A$7 + TIME(22, 0, 0)), BQ97, 0),
  IF(AND('MATCH DATES'!$A$8 &lt;= TODAY(), NOW() &gt;= 'MATCH DATES'!$A$8 + TIME(22, 0, 0)), CC97, 0),
  IF(AND('MATCH DATES'!$A$9 &lt;= TODAY(), NOW() &gt;= 'MATCH DATES'!$A$9 + TIME(22, 0, 0)), CO97, 0)
)</f>
        <v>0</v>
      </c>
      <c r="DC97" s="33">
        <f t="shared" si="44"/>
        <v>0</v>
      </c>
      <c r="DD97" s="33">
        <f t="shared" ref="DD97:DE97" si="333">SUM(K97,W97,AI97,AU97,BG97,BS97,CE97,CQ97)</f>
        <v>0</v>
      </c>
      <c r="DE97" s="33">
        <f t="shared" si="333"/>
        <v>0</v>
      </c>
    </row>
    <row r="98" ht="24.75" customHeight="1">
      <c r="A98" s="31"/>
      <c r="B98" s="39"/>
      <c r="C98" s="35"/>
      <c r="D98" s="20">
        <f t="shared" si="4"/>
        <v>0</v>
      </c>
      <c r="E98" s="20">
        <f t="shared" si="5"/>
        <v>0</v>
      </c>
      <c r="F98" s="20">
        <f t="shared" si="6"/>
        <v>0</v>
      </c>
      <c r="G98" s="20">
        <f>IF(C98&lt;&gt;"",
    COUNTIFS(MATCH_INPUT!$K$2:$K$5,C98),
0)</f>
        <v>0</v>
      </c>
      <c r="H98" s="20">
        <f>IF(C98&lt;&gt;"",
    COUNTIFS(MATCH_INPUT!$F$2:$F$5, C98, MATCH_INPUT!$K$2:$K$5, "Draw") +
    COUNTIFS(MATCH_INPUT!$J$2:$J$5, C98, MATCH_INPUT!$K$2:$K$5, "Draw"),
0)</f>
        <v>0</v>
      </c>
      <c r="I98" s="20">
        <f>IF(C98&lt;&gt;"",
    COUNTIFS(MATCH_INPUT!$F$2:$F$5, C98, MATCH_INPUT!$K$2:$K$5, "&lt;&gt;"&amp;C98, MATCH_INPUT!$K$2:$K$5, "&lt;&gt;Draw", MATCH_INPUT!$K$2:$K$5, "&lt;&gt;""") +
    COUNTIFS(MATCH_INPUT!$J$2:$J$5, C98, MATCH_INPUT!$K$2:$K$5, "&lt;&gt;"&amp;C98, MATCH_INPUT!$K$2:$K$5, "&lt;&gt;Draw", MATCH_INPUT!$K$2:$K$5, "&lt;&gt;"""),
0)</f>
        <v>0</v>
      </c>
      <c r="J98" s="21"/>
      <c r="K98" s="21"/>
      <c r="L98" s="22"/>
      <c r="M98" s="23">
        <f t="shared" si="151"/>
        <v>4</v>
      </c>
      <c r="N98" s="24" t="str">
        <f t="shared" si="8"/>
        <v>↓</v>
      </c>
      <c r="O98" s="25"/>
      <c r="P98" s="26">
        <f t="shared" si="9"/>
        <v>0</v>
      </c>
      <c r="Q98" s="26">
        <f t="shared" si="10"/>
        <v>0</v>
      </c>
      <c r="R98" s="26">
        <f t="shared" si="11"/>
        <v>0</v>
      </c>
      <c r="S98" s="26">
        <f>IF(O98&lt;&gt;"",
    COUNTIFS(MATCH_INPUT!$K$6:$K$9,O98),
0)</f>
        <v>0</v>
      </c>
      <c r="T98" s="26">
        <f>IF(O98&lt;&gt;"",
    COUNTIFS(MATCH_INPUT!$F$6:$F$9, O98, MATCH_INPUT!$K$6:$K$9, "Draw") +
    COUNTIFS(MATCH_INPUT!$J$6:$J$9, O98, MATCH_INPUT!$K$6:$K$9, "Draw"),
0)</f>
        <v>0</v>
      </c>
      <c r="U98" s="26">
        <f>IF(O98&lt;&gt;"",
    COUNTIFS(MATCH_INPUT!$F$6:$F$9, O98, MATCH_INPUT!$K$6:$K$9, "&lt;&gt;"&amp;O98, MATCH_INPUT!$K$6:$K$9, "&lt;&gt;Draw", MATCH_INPUT!$K$6:$K$9, "&lt;&gt;""") +
    COUNTIFS(MATCH_INPUT!$J$6:$J$9, O98, MATCH_INPUT!$K$6:$K$9, "&lt;&gt;"&amp;O98, MATCH_INPUT!$K$6:$K$9, "&lt;&gt;Draw", MATCH_INPUT!$K$6:$K$9, "&lt;&gt;"""),
0)</f>
        <v>0</v>
      </c>
      <c r="V98" s="27"/>
      <c r="W98" s="27"/>
      <c r="X98" s="28"/>
      <c r="Y98" s="26">
        <f t="shared" si="152"/>
        <v>7</v>
      </c>
      <c r="Z98" s="29" t="str">
        <f t="shared" si="13"/>
        <v>↓</v>
      </c>
      <c r="AA98" s="19"/>
      <c r="AB98" s="23">
        <f t="shared" si="14"/>
        <v>0</v>
      </c>
      <c r="AC98" s="20">
        <f t="shared" si="15"/>
        <v>0</v>
      </c>
      <c r="AD98" s="20">
        <f t="shared" si="16"/>
        <v>0</v>
      </c>
      <c r="AE98" s="20">
        <f>IF(AA98&lt;&gt;"",
    COUNTIFS(MATCH_INPUT!$K$10:$K$13,AA98),
0)</f>
        <v>0</v>
      </c>
      <c r="AF98" s="20">
        <f>IF(AA98&lt;&gt;"",
    COUNTIFS(MATCH_INPUT!$F$10:$F$13, AA98, MATCH_INPUT!$K$10:$K$13, "Draw") +
    COUNTIFS(MATCH_INPUT!$J$10:$J$13, AA98, MATCH_INPUT!$K$10:$K$13, "Draw"),
0)</f>
        <v>0</v>
      </c>
      <c r="AG98" s="20">
        <f>IF(AA98&lt;&gt;"",
    COUNTIFS(MATCH_INPUT!$F$10:$F$13, AA98, MATCH_INPUT!$K$10:$K$13, "&lt;&gt;"&amp;AA98, MATCH_INPUT!$K$10:$K$13, "&lt;&gt;Draw", MATCH_INPUT!$K$10:$K$13, "&lt;&gt;""") +
    COUNTIFS(MATCH_INPUT!$J$10:$J$13, AA98, MATCH_INPUT!$K$10:$K$13, "&lt;&gt;"&amp;AA98, MATCH_INPUT!$K$10:$K$13, "&lt;&gt;Draw", MATCH_INPUT!$K$10:$K$13, "&lt;&gt;"""),
0)</f>
        <v>0</v>
      </c>
      <c r="AH98" s="21"/>
      <c r="AI98" s="21"/>
      <c r="AJ98" s="30"/>
      <c r="AK98" s="23">
        <f t="shared" si="153"/>
        <v>8</v>
      </c>
      <c r="AL98" s="24" t="str">
        <f t="shared" si="18"/>
        <v>↓</v>
      </c>
      <c r="AM98" s="25"/>
      <c r="AN98" s="26">
        <f t="shared" si="19"/>
        <v>0</v>
      </c>
      <c r="AO98" s="26">
        <f t="shared" si="20"/>
        <v>0</v>
      </c>
      <c r="AP98" s="26">
        <f t="shared" si="21"/>
        <v>0</v>
      </c>
      <c r="AQ98" s="26">
        <f>IF(AM98&lt;&gt;"",
    COUNTIFS(MATCH_INPUT!$K$14:$K$17,AM98),
0)</f>
        <v>0</v>
      </c>
      <c r="AR98" s="26">
        <f>IF(AM98&lt;&gt;"",
    COUNTIFS(MATCH_INPUT!$F$14:$F$17, AM98, MATCH_INPUT!$K$14:$K$17, "Draw") +
    COUNTIFS(MATCH_INPUT!$J$14:$J$17, AM98, MATCH_INPUT!$K$14:$K$17, "Draw"),
0)</f>
        <v>0</v>
      </c>
      <c r="AS98" s="26">
        <f>IF(AM98&lt;&gt;"",
    COUNTIFS(MATCH_INPUT!$F$14:$F$17, AM98, MATCH_INPUT!$K$14:$K$17, "&lt;&gt;"&amp;AM98, MATCH_INPUT!$K$14:$K$17, "&lt;&gt;Draw", MATCH_INPUT!$K$14:$K$17, "&lt;&gt;""") +
    COUNTIFS(MATCH_INPUT!$J$14:$J$17, AM98, MATCH_INPUT!$K$14:$K$17, "&lt;&gt;"&amp;AM98, MATCH_INPUT!$K$14:$K$17, "&lt;&gt;Draw", MATCH_INPUT!$K$14:$K$17, "&lt;&gt;"""),
0)</f>
        <v>0</v>
      </c>
      <c r="AT98" s="27"/>
      <c r="AU98" s="27"/>
      <c r="AV98" s="28"/>
      <c r="AW98" s="26">
        <f t="shared" si="154"/>
        <v>10</v>
      </c>
      <c r="AX98" s="29" t="str">
        <f t="shared" si="23"/>
        <v>↓</v>
      </c>
      <c r="AY98" s="19"/>
      <c r="AZ98" s="23">
        <f t="shared" si="24"/>
        <v>0</v>
      </c>
      <c r="BA98" s="20">
        <f t="shared" si="25"/>
        <v>0</v>
      </c>
      <c r="BB98" s="20">
        <f>SUM(BC98*2) + (BD98*1) + SUMIFS(MATCH_INPUT!$G$18:$G$21, MATCH_INPUT!$F$18:$F$21, AY98) + SUMIFS(MATCH_INPUT!$I$18:$I$21, MATCH_INPUT!$J$18:$J$21, AY98)
</f>
        <v>0</v>
      </c>
      <c r="BC98" s="20">
        <f>IF(AY98&lt;&gt;"",
    COUNTIFS(MATCH_INPUT!$K$18:$K$21,AY98),
0)</f>
        <v>0</v>
      </c>
      <c r="BD98" s="20">
        <f>IF(AY98&lt;&gt;"",
    COUNTIFS(MATCH_INPUT!$F$18:$F$21, AY98, MATCH_INPUT!$K$18:$K$21, "Draw") +
    COUNTIFS(MATCH_INPUT!$J$18:$J$21, AY98, MATCH_INPUT!$K$18:$K$21, "Draw"),
0)</f>
        <v>0</v>
      </c>
      <c r="BE98" s="20">
        <f>IF(AY98&lt;&gt;"",
    COUNTIFS(MATCH_INPUT!$F$18:$F$21, AY98, MATCH_INPUT!$K$18:$K$21, "&lt;&gt;"&amp;AY98, MATCH_INPUT!$K$18:$K$21, "&lt;&gt;Draw", MATCH_INPUT!$K$18:$K$21, "&lt;&gt;""") +
    COUNTIFS(MATCH_INPUT!$J$18:$J$21, AY98, MATCH_INPUT!$K$18:$K$21, "&lt;&gt;"&amp;AY98, MATCH_INPUT!$K$18:$K$21, "&lt;&gt;Draw", MATCH_INPUT!$K$18:$K$21, "&lt;&gt;"""),
0)</f>
        <v>0</v>
      </c>
      <c r="BF98" s="21" t="str">
        <f t="array" ref="BF98">IFERROR(INDEX(Form_Response!E:E, MATCH(1, (Form_Response!C:C='MATCH DATES'!$B$6)*(Form_Response!D:D=B98), 0)), "")
</f>
        <v/>
      </c>
      <c r="BG98" s="21">
        <f t="array" ref="BG98">IFERROR(IF(INDEX(Form_Response!F:F, MATCH(1, (Form_Response!C:C='MATCH DATES'!$B$6)*(Form_Response!D:D=B98), 0))="Yes", 1, 0), 0)
</f>
        <v>0</v>
      </c>
      <c r="BH98" s="30" t="str">
        <f t="array" ref="BH98">IFERROR(INDEX(Form_Response!G:G, MATCH(1, (Form_Response!C:C='MATCH DATES'!$B$6)*(Form_Response!D:D=B98), 0)), "")
</f>
        <v/>
      </c>
      <c r="BI98" s="23">
        <f t="shared" si="155"/>
        <v>11</v>
      </c>
      <c r="BJ98" s="24" t="str">
        <f t="shared" si="27"/>
        <v>↓</v>
      </c>
      <c r="BK98" s="34"/>
      <c r="BL98" s="26">
        <f t="shared" si="28"/>
        <v>0</v>
      </c>
      <c r="BM98" s="26">
        <f t="shared" si="29"/>
        <v>0</v>
      </c>
      <c r="BN98" s="26">
        <f>SUM(BO98*2) + (BP98*1) + SUMIFS(MATCH_INPUT!$G$22:$G$25, MATCH_INPUT!$F$22:$F$25, BK98) + SUMIFS(MATCH_INPUT!$I$22:$I$25, MATCH_INPUT!$J$22:$J$25, BK98)
</f>
        <v>0</v>
      </c>
      <c r="BO98" s="26">
        <f>IF(BK98&lt;&gt;"",
    COUNTIFS(MATCH_INPUT!$K$22:$K$25,BK98),
0)</f>
        <v>0</v>
      </c>
      <c r="BP98" s="26">
        <f>IF(BK98&lt;&gt;"",
    COUNTIFS(MATCH_INPUT!$F$22:$F$25, BK98, MATCH_INPUT!$K$22:$K$25, "Draw") +
    COUNTIFS(MATCH_INPUT!$J$22:$J$25, BK98, MATCH_INPUT!$K$22:$K$25, "Draw"),
0)</f>
        <v>0</v>
      </c>
      <c r="BQ98" s="26">
        <f>IF(BK98&lt;&gt;"",
    COUNTIFS(MATCH_INPUT!$F$22:$F$25, BK98, MATCH_INPUT!$K$22:$K$25, "&lt;&gt;"&amp;BK98, MATCH_INPUT!$K$22:$K$25, "&lt;&gt;Draw", MATCH_INPUT!$K$22:$K$25, "&lt;&gt;""") +
    COUNTIFS(MATCH_INPUT!$J$22:$J$25, BK98, MATCH_INPUT!$K$22:$K$25, "&lt;&gt;"&amp;BK98, MATCH_INPUT!$K$22:$K$25, "&lt;&gt;Draw", MATCH_INPUT!$K$22:$K$25, "&lt;&gt;"""),
0)</f>
        <v>0</v>
      </c>
      <c r="BR98" s="27"/>
      <c r="BS98" s="27"/>
      <c r="BT98" s="28"/>
      <c r="BU98" s="26">
        <f t="shared" si="156"/>
        <v>14</v>
      </c>
      <c r="BV98" s="29" t="str">
        <f t="shared" si="31"/>
        <v>↓</v>
      </c>
      <c r="BW98" s="35"/>
      <c r="BX98" s="23">
        <f t="shared" si="32"/>
        <v>0</v>
      </c>
      <c r="BY98" s="20">
        <f t="shared" si="33"/>
        <v>0</v>
      </c>
      <c r="BZ98" s="20">
        <f>SUM(CA98*2)+(CB98*1) + SUMIFS(MATCH_INPUT!$G$26:$G$29, MATCH_INPUT!$F$26:$F$29, BW98) + SUMIFS(MATCH_INPUT!$I$26:$I$29, MATCH_INPUT!$J$26:$J$29, BW98)
</f>
        <v>0</v>
      </c>
      <c r="CA98" s="20">
        <f>IF(BW98&lt;&gt;"",
    COUNTIFS(MATCH_INPUT!$K$26:$K$29,BW98),
0)</f>
        <v>0</v>
      </c>
      <c r="CB98" s="20">
        <f>IF(BW98&lt;&gt;"",
    COUNTIFS(MATCH_INPUT!$F$26:$F$29, BW98, MATCH_INPUT!$K$26:$K$29, "Draw") +
    COUNTIFS(MATCH_INPUT!$J$26:$J$29, BW98, MATCH_INPUT!$K$26:$K$29, "Draw"),
0)</f>
        <v>0</v>
      </c>
      <c r="CC98" s="20">
        <f>IF(BW98&lt;&gt;"",
    COUNTIFS(MATCH_INPUT!$F$26:$F$29, BW98, MATCH_INPUT!$K$26:$K$29, "&lt;&gt;"&amp;BW98, MATCH_INPUT!$K$26:$K$29, "&lt;&gt;Draw", MATCH_INPUT!$K$26:$K$29, "&lt;&gt;""") +
    COUNTIFS(MATCH_INPUT!$J$26:$J$29, BW98, MATCH_INPUT!$K$26:$K$29, "&lt;&gt;"&amp;BW98, MATCH_INPUT!$K$26:$K$29, "&lt;&gt;Draw", MATCH_INPUT!$K$26:$K$29, "&lt;&gt;"""),
0)</f>
        <v>0</v>
      </c>
      <c r="CD98" s="21"/>
      <c r="CE98" s="21"/>
      <c r="CF98" s="30"/>
      <c r="CG98" s="23">
        <f t="shared" si="157"/>
        <v>15</v>
      </c>
      <c r="CH98" s="24" t="str">
        <f t="shared" si="35"/>
        <v>↓</v>
      </c>
      <c r="CI98" s="25"/>
      <c r="CJ98" s="26">
        <f t="shared" si="291"/>
        <v>0</v>
      </c>
      <c r="CK98" s="26">
        <f t="shared" si="37"/>
        <v>0</v>
      </c>
      <c r="CL98" s="26">
        <f>SUM(CM98*2)+(CN98*1) + SUMIFS(MATCH_INPUT!$G$30:$G$33, MATCH_INPUT!$F$30:$F$33, CI98) + SUMIFS(MATCH_INPUT!$I$30:$I$33, MATCH_INPUT!$J$30:$J$33, CI98)
</f>
        <v>0</v>
      </c>
      <c r="CM98" s="26">
        <f>IF(CI98&lt;&gt;"",
    COUNTIFS(MATCH_INPUT!$K$30:$K$33,CI98),
0)</f>
        <v>0</v>
      </c>
      <c r="CN98" s="26">
        <f>IF(CI98&lt;&gt;"",
    COUNTIFS(MATCH_INPUT!$F$30:$F$33, CI98, MATCH_INPUT!$K$30:$K$33, "Draw") +
    COUNTIFS(MATCH_INPUT!$J$30:$J$33, CI98, MATCH_INPUT!$K$30:$K$33, "Draw"),
0)</f>
        <v>0</v>
      </c>
      <c r="CO98" s="26">
        <f>IF(CI98&lt;&gt;"",
    COUNTIFS(MATCH_INPUT!$F$30:$F$33, CI98, MATCH_INPUT!$K$30:$K$33, "&lt;&gt;"&amp;CI98, MATCH_INPUT!$K$30:$K$33, "&lt;&gt;Draw", MATCH_INPUT!$K$30:$K$33, "&lt;&gt;""") +
    COUNTIFS(MATCH_INPUT!$J$30:$J$33, CI98, MATCH_INPUT!$K$30:$K$33, "&lt;&gt;"&amp;CI98, MATCH_INPUT!$K$30:$K$33, "&lt;&gt;Draw", MATCH_INPUT!$K$30:$K$33, "&lt;&gt;"""),
0)</f>
        <v>0</v>
      </c>
      <c r="CP98" s="27" t="str">
        <f t="array" ref="CP98">IFERROR(INDEX(Form_Response!E:E, MATCH(1, (Form_Response!C:C='MATCH DATES'!$B$9)*(Form_Response!D:D=B98), 0)), "")
</f>
        <v/>
      </c>
      <c r="CQ98" s="27">
        <f t="array" ref="CQ98">IFERROR(IF(INDEX(Form_Response!F:F, MATCH(1, (Form_Response!C:C='MATCH DATES'!$B$9)*(Form_Response!D:D=B98), 0))="Yes", 1, 0), 0)
</f>
        <v>0</v>
      </c>
      <c r="CR98" s="28" t="str">
        <f t="array" ref="CR98">IFERROR(INDEX(Form_Response!G:G, MATCH(1, (Form_Response!C:C='MATCH DATES'!$B$9)*(Form_Response!D:D=B98), 0)), "")
</f>
        <v/>
      </c>
      <c r="CS98" s="31">
        <f t="shared" si="158"/>
        <v>18</v>
      </c>
      <c r="CT98" s="31" t="str">
        <f t="shared" si="39"/>
        <v>↓</v>
      </c>
      <c r="CU98" s="32">
        <f t="shared" si="40"/>
        <v>0</v>
      </c>
      <c r="CV98" s="32" t="str">
        <f t="shared" ref="CV98:CW98" si="334">A98</f>
        <v/>
      </c>
      <c r="CW98" s="33" t="str">
        <f t="shared" si="334"/>
        <v/>
      </c>
      <c r="CX98" s="33">
        <f t="shared" si="42"/>
        <v>0</v>
      </c>
      <c r="CY98" s="32">
        <f>SUM(
  IF(AND('MATCH DATES'!$A$2 &lt;= TODAY(), NOW() &gt;= 'MATCH DATES'!$A$2 + TIME(22, 0, 0)), E98, 0),
  IF(AND('MATCH DATES'!$A$3 &lt;= TODAY(), NOW() &gt;= 'MATCH DATES'!$A$3 + TIME(22, 0, 0)), Q98, 0),
  IF(AND('MATCH DATES'!$A$4 &lt;= TODAY(), NOW() &gt;= 'MATCH DATES'!$A$4 + TIME(22, 0, 0)), AC98, 0),
  IF(AND('MATCH DATES'!$A$5 &lt;= TODAY(), NOW() &gt;= 'MATCH DATES'!$A$5 + TIME(22, 0, 0)), AO98, 0),
  IF(AND('MATCH DATES'!$A$6 &lt;= TODAY(), NOW() &gt;= 'MATCH DATES'!$A$6 + TIME(22, 0, 0)), BA98, 0),
  IF(AND('MATCH DATES'!$A$7 &lt;= TODAY(), NOW() &gt;= 'MATCH DATES'!$A$7 + TIME(22, 0, 0)), BM98, 0),
  IF(AND('MATCH DATES'!$A$8 &lt;= TODAY(), NOW() &gt;= 'MATCH DATES'!$A$8 + TIME(22, 0, 0)), BY98, 0),
  IF(AND('MATCH DATES'!$A$9 &lt;= TODAY(), NOW() &gt;= 'MATCH DATES'!$A$9 + TIME(22, 0, 0)), CK98, 0)
)
</f>
        <v>0</v>
      </c>
      <c r="CZ98" s="33">
        <f t="shared" ref="CZ98:DA98" si="335">SUM(G98,S98,AE98,AQ98,BC98,BO98,CA98,CM98)</f>
        <v>0</v>
      </c>
      <c r="DA98" s="33">
        <f t="shared" si="335"/>
        <v>0</v>
      </c>
      <c r="DB98" s="33">
        <f>SUM(
  IF(AND('MATCH DATES'!$A$2 &lt;= TODAY(), NOW() &gt;= 'MATCH DATES'!$A$2 + TIME(22, 0, 0)), I98, 0),
  IF(AND('MATCH DATES'!$A$3 &lt;= TODAY(), NOW() &gt;= 'MATCH DATES'!$A$3 + TIME(22, 0, 0)), U98, 0),
  IF(AND('MATCH DATES'!$A$4 &lt;= TODAY(), NOW() &gt;= 'MATCH DATES'!$A$4 + TIME(22, 0, 0)), AG98, 0),
  IF(AND('MATCH DATES'!$A$5 &lt;= TODAY(), NOW() &gt;= 'MATCH DATES'!$A$5 + TIME(22, 0, 0)), AS98, 0),
  IF(AND('MATCH DATES'!$A$6 &lt;= TODAY(), NOW() &gt;= 'MATCH DATES'!$A$6 + TIME(22, 0, 0)), BE98, 0),
  IF(AND('MATCH DATES'!$A$7 &lt;= TODAY(), NOW() &gt;= 'MATCH DATES'!$A$7 + TIME(22, 0, 0)), BQ98, 0),
  IF(AND('MATCH DATES'!$A$8 &lt;= TODAY(), NOW() &gt;= 'MATCH DATES'!$A$8 + TIME(22, 0, 0)), CC98, 0),
  IF(AND('MATCH DATES'!$A$9 &lt;= TODAY(), NOW() &gt;= 'MATCH DATES'!$A$9 + TIME(22, 0, 0)), CO98, 0)
)</f>
        <v>0</v>
      </c>
      <c r="DC98" s="33">
        <f t="shared" si="44"/>
        <v>0</v>
      </c>
      <c r="DD98" s="33">
        <f t="shared" ref="DD98:DE98" si="336">SUM(K98,W98,AI98,AU98,BG98,BS98,CE98,CQ98)</f>
        <v>0</v>
      </c>
      <c r="DE98" s="33">
        <f t="shared" si="336"/>
        <v>0</v>
      </c>
    </row>
    <row r="99" ht="24.75" customHeight="1">
      <c r="A99" s="17"/>
      <c r="B99" s="40"/>
      <c r="C99" s="35"/>
      <c r="D99" s="20"/>
      <c r="E99" s="20"/>
      <c r="F99" s="20"/>
      <c r="G99" s="20"/>
      <c r="H99" s="20"/>
      <c r="I99" s="20"/>
      <c r="J99" s="21"/>
      <c r="K99" s="21"/>
      <c r="L99" s="22"/>
      <c r="M99" s="23"/>
      <c r="N99" s="24"/>
      <c r="O99" s="25"/>
      <c r="P99" s="26"/>
      <c r="Q99" s="26"/>
      <c r="R99" s="26"/>
      <c r="S99" s="26"/>
      <c r="T99" s="26"/>
      <c r="U99" s="26"/>
      <c r="V99" s="27"/>
      <c r="W99" s="27"/>
      <c r="X99" s="28"/>
      <c r="Y99" s="26"/>
      <c r="Z99" s="29"/>
      <c r="AA99" s="19"/>
      <c r="AB99" s="23"/>
      <c r="AC99" s="20"/>
      <c r="AD99" s="20"/>
      <c r="AE99" s="20"/>
      <c r="AF99" s="20"/>
      <c r="AG99" s="20"/>
      <c r="AH99" s="21"/>
      <c r="AI99" s="21"/>
      <c r="AJ99" s="30"/>
      <c r="AK99" s="23"/>
      <c r="AL99" s="24"/>
      <c r="AM99" s="25"/>
      <c r="AN99" s="26"/>
      <c r="AO99" s="26"/>
      <c r="AP99" s="26"/>
      <c r="AQ99" s="26"/>
      <c r="AR99" s="26"/>
      <c r="AS99" s="26"/>
      <c r="AT99" s="27"/>
      <c r="AU99" s="27"/>
      <c r="AV99" s="28"/>
      <c r="AW99" s="26"/>
      <c r="AX99" s="29"/>
      <c r="AY99" s="19"/>
      <c r="AZ99" s="23"/>
      <c r="BA99" s="20"/>
      <c r="BB99" s="20"/>
      <c r="BC99" s="20"/>
      <c r="BD99" s="20"/>
      <c r="BE99" s="20"/>
      <c r="BF99" s="21" t="str">
        <f t="array" ref="BF99">IFERROR(INDEX(Form_Response!E:E, MATCH(1, (Form_Response!C:C='MATCH DATES'!$B$6)*(Form_Response!D:D=B99), 0)), "")
</f>
        <v/>
      </c>
      <c r="BG99" s="21">
        <f t="array" ref="BG99">IFERROR(IF(INDEX(Form_Response!F:F, MATCH(1, (Form_Response!C:C='MATCH DATES'!$B$6)*(Form_Response!D:D=B99), 0))="Yes", 1, 0), 0)
</f>
        <v>0</v>
      </c>
      <c r="BH99" s="30" t="str">
        <f t="array" ref="BH99">IFERROR(INDEX(Form_Response!G:G, MATCH(1, (Form_Response!C:C='MATCH DATES'!$B$6)*(Form_Response!D:D=B99), 0)), "")
</f>
        <v/>
      </c>
      <c r="BI99" s="23"/>
      <c r="BJ99" s="24"/>
      <c r="BK99" s="34"/>
      <c r="BL99" s="26"/>
      <c r="BM99" s="26">
        <f t="shared" si="29"/>
        <v>0</v>
      </c>
      <c r="BN99" s="26">
        <f>SUM(BO99*2) + (BP99*1) + SUMIFS(MATCH_INPUT!$G$22:$G$25, MATCH_INPUT!$F$22:$F$25, BK99) + SUMIFS(MATCH_INPUT!$I$22:$I$25, MATCH_INPUT!$J$22:$J$25, BK99)
</f>
        <v>0</v>
      </c>
      <c r="BO99" s="26"/>
      <c r="BP99" s="26"/>
      <c r="BQ99" s="26"/>
      <c r="BR99" s="27"/>
      <c r="BS99" s="27"/>
      <c r="BT99" s="28"/>
      <c r="BU99" s="26"/>
      <c r="BV99" s="29"/>
      <c r="BW99" s="35"/>
      <c r="BX99" s="23"/>
      <c r="BY99" s="20"/>
      <c r="BZ99" s="20">
        <f>SUM(CA99*2)+(CB99*1) + SUMIFS(MATCH_INPUT!$G$26:$G$29, MATCH_INPUT!$F$26:$F$29, BW99) + SUMIFS(MATCH_INPUT!$I$26:$I$29, MATCH_INPUT!$J$26:$J$29, BW99)
</f>
        <v>0</v>
      </c>
      <c r="CA99" s="20"/>
      <c r="CB99" s="20"/>
      <c r="CC99" s="20"/>
      <c r="CD99" s="21"/>
      <c r="CE99" s="21"/>
      <c r="CF99" s="30"/>
      <c r="CG99" s="23"/>
      <c r="CH99" s="24"/>
      <c r="CI99" s="25"/>
      <c r="CJ99" s="26"/>
      <c r="CK99" s="26"/>
      <c r="CL99" s="26">
        <f>SUM(CM99*2)+(CN99*1) + SUMIFS(MATCH_INPUT!$G$30:$G$33, MATCH_INPUT!$F$30:$F$33, CI99) + SUMIFS(MATCH_INPUT!$I$30:$I$33, MATCH_INPUT!$J$30:$J$33, CI99)
</f>
        <v>0</v>
      </c>
      <c r="CM99" s="26"/>
      <c r="CN99" s="26"/>
      <c r="CO99" s="26"/>
      <c r="CP99" s="27"/>
      <c r="CQ99" s="27"/>
      <c r="CR99" s="28"/>
      <c r="CS99" s="31"/>
      <c r="CT99" s="31"/>
      <c r="CU99" s="32"/>
      <c r="CV99" s="32"/>
      <c r="CW99" s="33"/>
      <c r="CX99" s="33"/>
      <c r="CY99" s="32"/>
      <c r="CZ99" s="33"/>
      <c r="DA99" s="33"/>
      <c r="DB99" s="33"/>
      <c r="DC99" s="33"/>
      <c r="DD99" s="33"/>
      <c r="DE99" s="33"/>
    </row>
  </sheetData>
  <mergeCells count="8">
    <mergeCell ref="C1:N1"/>
    <mergeCell ref="O1:Z1"/>
    <mergeCell ref="AA1:AL1"/>
    <mergeCell ref="AM1:AX1"/>
    <mergeCell ref="AY1:BJ1"/>
    <mergeCell ref="BK1:BV1"/>
    <mergeCell ref="BW1:CH1"/>
    <mergeCell ref="CI1:CT1"/>
  </mergeCells>
  <conditionalFormatting sqref="A1:C1 O1 AA1 AM1 AY1 BK1 BW1 CI1 CX1:CY1">
    <cfRule type="cellIs" dxfId="5" priority="1" operator="equal">
      <formula>0</formula>
    </cfRule>
  </conditionalFormatting>
  <conditionalFormatting sqref="C1:C99 O1:O99 AA1 AM1 AY1 BK1 BW1 CI1">
    <cfRule type="cellIs" dxfId="6" priority="2" operator="equal">
      <formula>"BLUE"</formula>
    </cfRule>
  </conditionalFormatting>
  <conditionalFormatting sqref="C1:C99 O1:O99 AA1 AM1 AY1 BK1 BW1 CI1">
    <cfRule type="cellIs" dxfId="7" priority="3" stopIfTrue="1" operator="equal">
      <formula>"MAGENTA"</formula>
    </cfRule>
  </conditionalFormatting>
  <conditionalFormatting sqref="C1:C99 O1:O99 AA1 AM1 AY1 BK1 BW1 CI1">
    <cfRule type="cellIs" dxfId="8" priority="4" stopIfTrue="1" operator="equal">
      <formula>"GREEN"</formula>
    </cfRule>
  </conditionalFormatting>
  <conditionalFormatting sqref="C1:C99 O1:O99 AA1 AM1 AY1 BK1 BW1 CI1">
    <cfRule type="cellIs" dxfId="9" priority="5" operator="equal">
      <formula>"ORANGE"</formula>
    </cfRule>
  </conditionalFormatting>
  <conditionalFormatting sqref="AA2:AA99">
    <cfRule type="cellIs" dxfId="6" priority="6" operator="equal">
      <formula>"BLUE"</formula>
    </cfRule>
  </conditionalFormatting>
  <conditionalFormatting sqref="AA2:AA99">
    <cfRule type="cellIs" dxfId="7" priority="7" stopIfTrue="1" operator="equal">
      <formula>"MAGENTA"</formula>
    </cfRule>
  </conditionalFormatting>
  <conditionalFormatting sqref="AA2:AA99">
    <cfRule type="cellIs" dxfId="8" priority="8" stopIfTrue="1" operator="equal">
      <formula>"GREEN"</formula>
    </cfRule>
  </conditionalFormatting>
  <conditionalFormatting sqref="AA2:AA99">
    <cfRule type="cellIs" dxfId="9" priority="9" operator="equal">
      <formula>"ORANGE"</formula>
    </cfRule>
  </conditionalFormatting>
  <conditionalFormatting sqref="AM2:AM99">
    <cfRule type="cellIs" dxfId="6" priority="10" operator="equal">
      <formula>"BLUE"</formula>
    </cfRule>
  </conditionalFormatting>
  <conditionalFormatting sqref="AM2:AM99">
    <cfRule type="cellIs" dxfId="7" priority="11" stopIfTrue="1" operator="equal">
      <formula>"MAGENTA"</formula>
    </cfRule>
  </conditionalFormatting>
  <conditionalFormatting sqref="AM2:AM99">
    <cfRule type="cellIs" dxfId="8" priority="12" stopIfTrue="1" operator="equal">
      <formula>"GREEN"</formula>
    </cfRule>
  </conditionalFormatting>
  <conditionalFormatting sqref="AM2:AM99">
    <cfRule type="cellIs" dxfId="9" priority="13" operator="equal">
      <formula>"ORANGE"</formula>
    </cfRule>
  </conditionalFormatting>
  <conditionalFormatting sqref="AY2:AY99">
    <cfRule type="cellIs" dxfId="6" priority="14" operator="equal">
      <formula>"BLUE"</formula>
    </cfRule>
  </conditionalFormatting>
  <conditionalFormatting sqref="AY2:AY99">
    <cfRule type="cellIs" dxfId="7" priority="15" stopIfTrue="1" operator="equal">
      <formula>"MAGENTA"</formula>
    </cfRule>
  </conditionalFormatting>
  <conditionalFormatting sqref="AY2:AY99">
    <cfRule type="cellIs" dxfId="8" priority="16" stopIfTrue="1" operator="equal">
      <formula>"GREEN"</formula>
    </cfRule>
  </conditionalFormatting>
  <conditionalFormatting sqref="AY2:AY99">
    <cfRule type="cellIs" dxfId="9" priority="17" operator="equal">
      <formula>"ORANGE"</formula>
    </cfRule>
  </conditionalFormatting>
  <conditionalFormatting sqref="BK2:BK99">
    <cfRule type="cellIs" dxfId="6" priority="18" operator="equal">
      <formula>"BLUE"</formula>
    </cfRule>
  </conditionalFormatting>
  <conditionalFormatting sqref="BK2:BK99">
    <cfRule type="cellIs" dxfId="7" priority="19" stopIfTrue="1" operator="equal">
      <formula>"MAGENTA"</formula>
    </cfRule>
  </conditionalFormatting>
  <conditionalFormatting sqref="BK2:BK99">
    <cfRule type="cellIs" dxfId="8" priority="20" stopIfTrue="1" operator="equal">
      <formula>"GREEN"</formula>
    </cfRule>
  </conditionalFormatting>
  <conditionalFormatting sqref="BK2:BK99">
    <cfRule type="cellIs" dxfId="9" priority="21" operator="equal">
      <formula>"ORANGE"</formula>
    </cfRule>
  </conditionalFormatting>
  <conditionalFormatting sqref="BW2:BW99">
    <cfRule type="cellIs" dxfId="6" priority="22" operator="equal">
      <formula>"BLUE"</formula>
    </cfRule>
  </conditionalFormatting>
  <conditionalFormatting sqref="BW2:BW99">
    <cfRule type="cellIs" dxfId="7" priority="23" stopIfTrue="1" operator="equal">
      <formula>"MAGENTA"</formula>
    </cfRule>
  </conditionalFormatting>
  <conditionalFormatting sqref="BW2:BW99">
    <cfRule type="cellIs" dxfId="8" priority="24" stopIfTrue="1" operator="equal">
      <formula>"GREEN"</formula>
    </cfRule>
  </conditionalFormatting>
  <conditionalFormatting sqref="BW2:BW99">
    <cfRule type="cellIs" dxfId="9" priority="25" operator="equal">
      <formula>"ORANGE"</formula>
    </cfRule>
  </conditionalFormatting>
  <conditionalFormatting sqref="CI2:CI99">
    <cfRule type="cellIs" dxfId="6" priority="26" operator="equal">
      <formula>"BLUE"</formula>
    </cfRule>
  </conditionalFormatting>
  <conditionalFormatting sqref="CI2:CI99">
    <cfRule type="cellIs" dxfId="7" priority="27" stopIfTrue="1" operator="equal">
      <formula>"MAGENTA"</formula>
    </cfRule>
  </conditionalFormatting>
  <conditionalFormatting sqref="CI2:CI99">
    <cfRule type="cellIs" dxfId="8" priority="28" stopIfTrue="1" operator="equal">
      <formula>"GREEN"</formula>
    </cfRule>
  </conditionalFormatting>
  <conditionalFormatting sqref="CI2:CI99">
    <cfRule type="cellIs" dxfId="9" priority="29" operator="equal">
      <formula>"ORANGE"</formula>
    </cfRule>
  </conditionalFormatting>
  <dataValidations>
    <dataValidation type="list" allowBlank="1" showErrorMessage="1" sqref="C3:C99 O3:O99 AA3:AA99 AM3:AM99 AY3:AY99 BK3:BK99 BW3:BW99 CI3:CI99">
      <formula1>"BLUE,GREEN,MAGENTA,ORANGE"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89"/>
    <col customWidth="1" min="2" max="3" width="5.67"/>
    <col customWidth="1" hidden="1" min="4" max="4" width="11.22"/>
    <col customWidth="1" min="5" max="5" width="33.44"/>
    <col customWidth="1" min="6" max="10" width="5.67"/>
    <col customWidth="1" hidden="1" min="11" max="12" width="11.22"/>
    <col customWidth="1" min="13" max="13" width="33.44"/>
    <col customWidth="1" min="14" max="15" width="5.67"/>
    <col customWidth="1" min="16" max="16" width="2.89"/>
  </cols>
  <sheetData>
    <row r="1" ht="56.25" customHeight="1">
      <c r="A1" s="41"/>
      <c r="B1" s="41" t="s">
        <v>194</v>
      </c>
      <c r="C1" s="42" t="s">
        <v>195</v>
      </c>
      <c r="D1" s="42" t="s">
        <v>196</v>
      </c>
      <c r="E1" s="43"/>
      <c r="F1" s="41" t="s">
        <v>197</v>
      </c>
      <c r="G1" s="41" t="s">
        <v>198</v>
      </c>
      <c r="H1" s="42"/>
      <c r="I1" s="41" t="s">
        <v>198</v>
      </c>
      <c r="J1" s="41" t="s">
        <v>197</v>
      </c>
      <c r="K1" s="42" t="s">
        <v>199</v>
      </c>
      <c r="L1" s="42" t="s">
        <v>200</v>
      </c>
      <c r="M1" s="44"/>
      <c r="N1" s="42" t="s">
        <v>195</v>
      </c>
      <c r="O1" s="42" t="s">
        <v>194</v>
      </c>
      <c r="P1" s="45"/>
    </row>
    <row r="2" ht="37.5" customHeight="1">
      <c r="A2" s="46"/>
      <c r="B2" s="47">
        <v>1.0</v>
      </c>
      <c r="C2" s="47" t="s">
        <v>201</v>
      </c>
      <c r="D2" s="48">
        <v>1.0</v>
      </c>
      <c r="E2" s="49" t="str">
        <f>IFERROR(__xludf.DUMMYFUNCTION("IF(COUNTIF(WEEKLY_TEAMS!$C$3:$C$99, F2) &gt; 0, ""GOALS: "" &amp; TEXTJOIN(""; "", TRUE, IFERROR(FILTER(WEEKLY_TEAMS!B3:B99 &amp; "" [ "" &amp; WEEKLY_TEAMS!$J$3:$J$99 &amp; "" ]"", WEEKLY_TEAMS!$C$3:$C$99 = F2, WEEKLY_TEAMS!$J$3:$J$99 &gt; 0), """")) &amp; CHAR(10) &amp; CHAR(10) &amp;
"&amp;"""CLEAN SHEETS: "" &amp; TEXTJOIN(""; "", TRUE, IFERROR(FILTER(WEEKLY_TEAMS!$B$3:$B$99 &amp; "" [ "" &amp; WEEKLY_TEAMS!$L$3:$L$99 &amp; "" ]"", WEEKLY_TEAMS!$C$3:$C$99 = F2, WEEKLY_TEAMS!$L$3:$L$99 &gt; 0), """")), """")
"),"GOALS: 🏆 Jordan [ 1 ]; Javier [ 1 ]; Nicky [ 1 ]; Valencia [ 1 ]; 🔄 (Valverde) [ 3 ]
CLEAN SHEETS: ")</f>
        <v>GOALS: 🏆 Jordan [ 1 ]; Javier [ 1 ]; Nicky [ 1 ]; Valencia [ 1 ]; 🔄 (Valverde) [ 3 ]
CLEAN SHEETS: </v>
      </c>
      <c r="F2" s="50" t="s">
        <v>138</v>
      </c>
      <c r="G2" s="51">
        <v>4.0</v>
      </c>
      <c r="H2" s="52" t="s">
        <v>202</v>
      </c>
      <c r="I2" s="51">
        <v>1.0</v>
      </c>
      <c r="J2" s="50" t="s">
        <v>139</v>
      </c>
      <c r="K2" s="53" t="str">
        <f t="shared" ref="K2:K33" si="1">IF(OR(G2="",I2=""),"",IF(G2&gt;I2,F2,IF(G2&lt;I2,J2,"Draw")))</f>
        <v>BLUE</v>
      </c>
      <c r="L2" s="54">
        <f t="shared" ref="L2:L33" si="2">IF(K2="", 0, IF(K2="Draw", 1, IF(K2=F2, 2, IF(K2=J2, 2, 0))))</f>
        <v>2</v>
      </c>
      <c r="M2" s="55" t="str">
        <f>IFERROR(__xludf.DUMMYFUNCTION("IF(COUNTIF(WEEKLY_TEAMS!$C$3:$C$99, J2) &gt; 0, ""GOALS: "" &amp; TEXTJOIN(""; "", TRUE, IFERROR(FILTER(WEEKLY_TEAMS!B3:B99 &amp; "" [ "" &amp; WEEKLY_TEAMS!$J$3:$J$99 &amp; "" ]"", WEEKLY_TEAMS!$C$3:$C$99 = J2, WEEKLY_TEAMS!$J$3:$J$99 &gt; 0), """")) &amp; CHAR(10) &amp; CHAR(10) &amp;
"&amp;"""CLEAN SHEETS: "" &amp; TEXTJOIN(""; "", TRUE, IFERROR(FILTER(WEEKLY_TEAMS!$B$3:$B$99 &amp; "" [ "" &amp; WEEKLY_TEAMS!$L$3:$L$99 &amp; "" ]"", WEEKLY_TEAMS!$C$3:$C$99 = J2, WEEKLY_TEAMS!$L$3:$L$99 &gt; 0), """")), """")
"),"GOALS: Mikey [ 1 ]
CLEAN SHEETS: ")</f>
        <v>GOALS: Mikey [ 1 ]
CLEAN SHEETS: </v>
      </c>
      <c r="N2" s="56" t="s">
        <v>201</v>
      </c>
      <c r="O2" s="56">
        <v>1.0</v>
      </c>
      <c r="P2" s="45"/>
    </row>
    <row r="3" ht="37.5" customHeight="1">
      <c r="A3" s="46"/>
      <c r="C3" s="57"/>
      <c r="D3" s="58">
        <v>2.0</v>
      </c>
      <c r="E3" s="59" t="str">
        <f>IFERROR(__xludf.DUMMYFUNCTION("IF(COUNTIF(WEEKLY_TEAMS!$C$3:$C$99, F3) &gt; 0, ""GOALS: "" &amp; TEXTJOIN(""; "", TRUE, IFERROR(FILTER(WEEKLY_TEAMS!B3:B99 &amp; "" [ "" &amp; WEEKLY_TEAMS!$J$3:$J$99 &amp; "" ]"", WEEKLY_TEAMS!$C$3:$C$99 = F3, WEEKLY_TEAMS!$J$3:$J$99 &gt; 0), """")) &amp; CHAR(10) &amp; CHAR(10) &amp;
"&amp;"""CLEAN SHEETS: "" &amp; TEXTJOIN(""; "", TRUE, IFERROR(FILTER(WEEKLY_TEAMS!$B$3:$B$99 &amp; "" [ "" &amp; WEEKLY_TEAMS!$L$3:$L$99 &amp; "" ]"", WEEKLY_TEAMS!$C$3:$C$99 = F3, WEEKLY_TEAMS!$L$3:$L$99 &gt; 0), """")), """")
"),"GOALS: Cuñis 👨🏽‍🤝‍👨🏼 Karter [ 1 ]; Carlos S. [ 1 ]; Pirlo [ 1 ]; Kevin [ 1 ]; Carlos Haro [ 1 ]
CLEAN SHEETS: V. Nizama [ 1 ]")</f>
        <v>GOALS: Cuñis 👨🏽‍🤝‍👨🏼 Karter [ 1 ]; Carlos S. [ 1 ]; Pirlo [ 1 ]; Kevin [ 1 ]; Carlos Haro [ 1 ]
CLEAN SHEETS: V. Nizama [ 1 ]</v>
      </c>
      <c r="F3" s="60" t="s">
        <v>140</v>
      </c>
      <c r="G3" s="61">
        <v>3.0</v>
      </c>
      <c r="H3" s="62" t="s">
        <v>202</v>
      </c>
      <c r="I3" s="61">
        <v>0.0</v>
      </c>
      <c r="J3" s="60" t="s">
        <v>141</v>
      </c>
      <c r="K3" s="58" t="str">
        <f t="shared" si="1"/>
        <v>GREEN</v>
      </c>
      <c r="L3" s="63">
        <f t="shared" si="2"/>
        <v>2</v>
      </c>
      <c r="M3" s="64" t="str">
        <f>IFERROR(__xludf.DUMMYFUNCTION("IF(COUNTIF(WEEKLY_TEAMS!$C$3:$C$99, J3) &gt; 0, ""GOALS: "" &amp; TEXTJOIN(""; "", TRUE, IFERROR(FILTER(WEEKLY_TEAMS!B3:B99 &amp; "" [ "" &amp; WEEKLY_TEAMS!$J$3:$J$99 &amp; "" ]"", WEEKLY_TEAMS!$C$3:$C$99 = J3, WEEKLY_TEAMS!$J$3:$J$99 &gt; 0), """")) &amp; CHAR(10) &amp; CHAR(10) &amp;
"&amp;"""CLEAN SHEETS: "" &amp; TEXTJOIN(""; "", TRUE, IFERROR(FILTER(WEEKLY_TEAMS!$B$3:$B$99 &amp; "" [ "" &amp; WEEKLY_TEAMS!$L$3:$L$99 &amp; "" ]"", WEEKLY_TEAMS!$C$3:$C$99 = J3, WEEKLY_TEAMS!$L$3:$L$99 &gt; 0), """")), """")
"),"GOALS: Gus [ 2 ]; 🔄 (Jhonatan A) [ 1 ]
CLEAN SHEETS: ")</f>
        <v>GOALS: Gus [ 2 ]; 🔄 (Jhonatan A) [ 1 ]
CLEAN SHEETS: </v>
      </c>
      <c r="N3" s="57"/>
      <c r="P3" s="45"/>
    </row>
    <row r="4" ht="37.5" customHeight="1">
      <c r="A4" s="46"/>
      <c r="C4" s="47" t="s">
        <v>203</v>
      </c>
      <c r="D4" s="48">
        <v>1.0</v>
      </c>
      <c r="E4" s="49" t="str">
        <f>IFERROR(__xludf.DUMMYFUNCTION("IF(COUNTIF(WEEKLY_TEAMS!$C$3:$C$99, F4) &gt; 0, ""GOALS: "" &amp; TEXTJOIN(""; "", TRUE, IFERROR(FILTER(WEEKLY_TEAMS!B3:B99 &amp; "" [ "" &amp; #REF! &amp; "" ]"", WEEKLY_TEAMS!$C$3:$C$99 = F4, #REF! &gt; 0), """")) &amp; CHAR(10) &amp; CHAR(10) &amp;
""CLEAN SHEETS: "" &amp; TEXTJOIN(""; "","&amp;" TRUE, IFERROR(FILTER(WEEKLY_TEAMS!$B$3:$B$99 &amp; "" [ "" &amp; #REF! &amp; "" ]"", WEEKLY_TEAMS!$C$3:$C$99 = F4, #REF! &gt; 0), """")), """")
"),"GOALS: 
CLEAN SHEETS: ")</f>
        <v>GOALS: 
CLEAN SHEETS: </v>
      </c>
      <c r="F4" s="50" t="s">
        <v>138</v>
      </c>
      <c r="G4" s="51">
        <v>3.0</v>
      </c>
      <c r="H4" s="52" t="s">
        <v>202</v>
      </c>
      <c r="I4" s="51">
        <v>2.0</v>
      </c>
      <c r="J4" s="50" t="s">
        <v>140</v>
      </c>
      <c r="K4" s="53" t="str">
        <f t="shared" si="1"/>
        <v>BLUE</v>
      </c>
      <c r="L4" s="54">
        <f t="shared" si="2"/>
        <v>2</v>
      </c>
      <c r="M4" s="55" t="str">
        <f>IFERROR(__xludf.DUMMYFUNCTION("IF(COUNTIF(WEEKLY_TEAMS!$C$3:$C$99, J4) &gt; 0, ""GOALS: "" &amp; TEXTJOIN(""; "", TRUE, IFERROR(FILTER(WEEKLY_TEAMS!B3:B99 &amp; "" [ "" &amp; #REF! &amp; "" ]"", WEEKLY_TEAMS!$C$3:$C$99 = J4, #REF! &gt; 0), """")) &amp; CHAR(10) &amp; CHAR(10) &amp;
""CLEAN SHEETS: "" &amp; TEXTJOIN(""; "","&amp;" TRUE, IFERROR(FILTER(WEEKLY_TEAMS!$B$3:$B$99 &amp; "" [ "" &amp; #REF! &amp; "" ]"", WEEKLY_TEAMS!$C$3:$C$99 = J4, #REF! &gt; 0), """")), """")
"),"GOALS: 
CLEAN SHEETS: ")</f>
        <v>GOALS: 
CLEAN SHEETS: </v>
      </c>
      <c r="N4" s="56" t="s">
        <v>203</v>
      </c>
      <c r="P4" s="45"/>
    </row>
    <row r="5" ht="37.5" customHeight="1">
      <c r="A5" s="65"/>
      <c r="B5" s="57"/>
      <c r="C5" s="57"/>
      <c r="D5" s="58">
        <v>2.0</v>
      </c>
      <c r="E5" s="59" t="str">
        <f>IFERROR(__xludf.DUMMYFUNCTION("IF(COUNTIF(WEEKLY_TEAMS!$C$3:$C$99, F5) &gt; 0, ""GOALS: "" &amp; TEXTJOIN(""; "", TRUE, IFERROR(FILTER(WEEKLY_TEAMS!B3:B99 &amp; "" [ "" &amp; #REF! &amp; "" ]"", WEEKLY_TEAMS!$C$3:$C$99 = F5, #REF! &gt; 0), """")) &amp; CHAR(10) &amp; CHAR(10) &amp;
""CLEAN SHEETS: "" &amp; TEXTJOIN(""; "","&amp;" TRUE, IFERROR(FILTER(WEEKLY_TEAMS!$B$3:$B$99 &amp; "" [ "" &amp; #REF! &amp; "" ]"", WEEKLY_TEAMS!$C$3:$C$99 = F5, #REF! &gt; 0), """")), """")
"),"GOALS: 
CLEAN SHEETS: ")</f>
        <v>GOALS: 
CLEAN SHEETS: </v>
      </c>
      <c r="F5" s="60" t="s">
        <v>139</v>
      </c>
      <c r="G5" s="61">
        <v>2.0</v>
      </c>
      <c r="H5" s="52" t="s">
        <v>202</v>
      </c>
      <c r="I5" s="61">
        <v>3.0</v>
      </c>
      <c r="J5" s="60" t="s">
        <v>141</v>
      </c>
      <c r="K5" s="58" t="str">
        <f t="shared" si="1"/>
        <v>ORANGE</v>
      </c>
      <c r="L5" s="63">
        <f t="shared" si="2"/>
        <v>2</v>
      </c>
      <c r="M5" s="64" t="str">
        <f>IFERROR(__xludf.DUMMYFUNCTION("IF(COUNTIF(WEEKLY_TEAMS!$C$3:$C$99, J5) &gt; 0, ""GOALS: "" &amp; TEXTJOIN(""; "", TRUE, IFERROR(FILTER(WEEKLY_TEAMS!B3:B99 &amp; "" [ "" &amp; #REF! &amp; "" ]"", WEEKLY_TEAMS!$C$3:$C$99 = J5, #REF! &gt; 0), """")) &amp; CHAR(10) &amp; CHAR(10) &amp;
""CLEAN SHEETS: "" &amp; TEXTJOIN(""; "","&amp;" TRUE, IFERROR(FILTER(WEEKLY_TEAMS!$B$3:$B$99 &amp; "" [ "" &amp; #REF! &amp; "" ]"", WEEKLY_TEAMS!$C$3:$C$99 = J5, #REF! &gt; 0), """")), """")
"),"GOALS: 
CLEAN SHEETS: ")</f>
        <v>GOALS: 
CLEAN SHEETS: </v>
      </c>
      <c r="N5" s="57"/>
      <c r="O5" s="57"/>
      <c r="P5" s="45"/>
    </row>
    <row r="6" ht="37.5" customHeight="1">
      <c r="A6" s="46"/>
      <c r="B6" s="47">
        <v>2.0</v>
      </c>
      <c r="C6" s="47" t="s">
        <v>204</v>
      </c>
      <c r="D6" s="66">
        <v>1.0</v>
      </c>
      <c r="E6" s="49" t="str">
        <f>IFERROR(__xludf.DUMMYFUNCTION("IF(COUNTIF(WEEKLY_TEAMS!$O$3:$O$99, F6) &gt; 0, ""GOALS: "" &amp; TEXTJOIN(""; "", TRUE, IFERROR(FILTER(WEEKLY_TEAMS!B3:B99 &amp; "" [ "" &amp; WEEKLY_TEAMS!$V$3:$V$99 &amp; "" ]"", WEEKLY_TEAMS!$O$3:$O$99 = F6, WEEKLY_TEAMS!$V$3:$V$99 &gt; 0), """")) &amp; CHAR(10) &amp; CHAR(10) &amp;
"&amp;"""CLEAN SHEETS: "" &amp; TEXTJOIN(""; "", TRUE, IFERROR(FILTER(WEEKLY_TEAMS!$B$3:$B$99 &amp; "" [ "" &amp; WEEKLY_TEAMS!$X$3:$X$99 &amp; "" ]"", WEEKLY_TEAMS!$O$3:$O$99 = F6, WEEKLY_TEAMS!$X$3:$X$99 &gt; 0), """")), """")
"),"GOALS: Javier [ 1 ]
CLEAN SHEETS: ")</f>
        <v>GOALS: Javier [ 1 ]
CLEAN SHEETS: </v>
      </c>
      <c r="F6" s="67" t="s">
        <v>138</v>
      </c>
      <c r="G6" s="68">
        <v>1.0</v>
      </c>
      <c r="H6" s="52" t="s">
        <v>202</v>
      </c>
      <c r="I6" s="68">
        <v>4.0</v>
      </c>
      <c r="J6" s="67" t="s">
        <v>139</v>
      </c>
      <c r="K6" s="69" t="str">
        <f t="shared" si="1"/>
        <v>MAGENTA</v>
      </c>
      <c r="L6" s="69">
        <f t="shared" si="2"/>
        <v>2</v>
      </c>
      <c r="M6" s="55" t="str">
        <f>IFERROR(__xludf.DUMMYFUNCTION("IF(COUNTIF(WEEKLY_TEAMS!$O$3:$O$99, J6) &gt; 0, ""GOALS: "" &amp; TEXTJOIN(""; "", TRUE, IFERROR(FILTER(WEEKLY_TEAMS!B3:B99 &amp; "" [ "" &amp; WEEKLY_TEAMS!$V$3:$V$99 &amp; "" ]"", WEEKLY_TEAMS!$O$3:$O$99 = J6, WEEKLY_TEAMS!$V$3:$V$99 &gt; 0), """")) &amp; CHAR(10) &amp; CHAR(10) &amp;
"&amp;"""CLEAN SHEETS: "" &amp; TEXTJOIN(""; "", TRUE, IFERROR(FILTER(WEEKLY_TEAMS!$B$3:$B$99 &amp; "" [ "" &amp; WEEKLY_TEAMS!$X$3:$X$99 &amp; "" ]"", WEEKLY_TEAMS!$O$3:$O$99 = J6, WEEKLY_TEAMS!$X$3:$X$99 &gt; 0), """")), """")
"),"GOALS: Valencia [ 1 ]; Christian [ 2 ]; Mikey [ 2 ]
CLEAN SHEETS: Guille 👨🏻‍🤝‍👨🏾 Mike [ 1 ]")</f>
        <v>GOALS: Valencia [ 1 ]; Christian [ 2 ]; Mikey [ 2 ]
CLEAN SHEETS: Guille 👨🏻‍🤝‍👨🏾 Mike [ 1 ]</v>
      </c>
      <c r="N6" s="56" t="s">
        <v>204</v>
      </c>
      <c r="O6" s="56">
        <v>2.0</v>
      </c>
      <c r="P6" s="45"/>
    </row>
    <row r="7" ht="37.5" customHeight="1">
      <c r="A7" s="46"/>
      <c r="C7" s="57"/>
      <c r="D7" s="70">
        <v>2.0</v>
      </c>
      <c r="E7" s="59" t="str">
        <f>IFERROR(__xludf.DUMMYFUNCTION("IF(COUNTIF(WEEKLY_TEAMS!$O$3:$O$99, F7) &gt; 0, ""GOALS: "" &amp; TEXTJOIN(""; "", TRUE, IFERROR(FILTER(WEEKLY_TEAMS!B3:B99 &amp; "" [ "" &amp; WEEKLY_TEAMS!$V$3:$V$99 &amp; "" ]"", WEEKLY_TEAMS!$O$3:$O$99 = F7, WEEKLY_TEAMS!$V$3:$V$99 &gt; 0), """")) &amp; CHAR(10) &amp; CHAR(10) &amp;
"&amp;"""CLEAN SHEETS: "" &amp; TEXTJOIN(""; "", TRUE, IFERROR(FILTER(WEEKLY_TEAMS!$B$3:$B$99 &amp; "" [ "" &amp; WEEKLY_TEAMS!$X$3:$X$99 &amp; "" ]"", WEEKLY_TEAMS!$O$3:$O$99 = F7, WEEKLY_TEAMS!$X$3:$X$99 &gt; 0), """")), """")
"),"GOALS: 
CLEAN SHEETS: ")</f>
        <v>GOALS: 
CLEAN SHEETS: </v>
      </c>
      <c r="F7" s="71" t="s">
        <v>140</v>
      </c>
      <c r="G7" s="72">
        <v>1.0</v>
      </c>
      <c r="H7" s="52" t="s">
        <v>202</v>
      </c>
      <c r="I7" s="72">
        <v>1.0</v>
      </c>
      <c r="J7" s="71" t="s">
        <v>141</v>
      </c>
      <c r="K7" s="70" t="str">
        <f t="shared" si="1"/>
        <v>Draw</v>
      </c>
      <c r="L7" s="70">
        <f t="shared" si="2"/>
        <v>1</v>
      </c>
      <c r="M7" s="64" t="str">
        <f>IFERROR(__xludf.DUMMYFUNCTION("IF(COUNTIF(WEEKLY_TEAMS!$O$3:$O$99, J7) &gt; 0, ""GOALS: "" &amp; TEXTJOIN(""; "", TRUE, IFERROR(FILTER(WEEKLY_TEAMS!B3:B99 &amp; "" [ "" &amp; WEEKLY_TEAMS!$V$3:$V$99 &amp; "" ]"", WEEKLY_TEAMS!$O$3:$O$99 = J7, WEEKLY_TEAMS!$V$3:$V$99 &gt; 0), """")) &amp; CHAR(10) &amp; CHAR(10) &amp;
"&amp;"""CLEAN SHEETS: "" &amp; TEXTJOIN(""; "", TRUE, IFERROR(FILTER(WEEKLY_TEAMS!$B$3:$B$99 &amp; "" [ "" &amp; WEEKLY_TEAMS!$X$3:$X$99 &amp; "" ]"", WEEKLY_TEAMS!$O$3:$O$99 = J7, WEEKLY_TEAMS!$X$3:$X$99 &gt; 0), """")), """")
"),"GOALS: Nicky [ 1 ]; Alex [ 1 ]
CLEAN SHEETS: V. Nizama [ 1 ]")</f>
        <v>GOALS: Nicky [ 1 ]; Alex [ 1 ]
CLEAN SHEETS: V. Nizama [ 1 ]</v>
      </c>
      <c r="N7" s="57"/>
      <c r="P7" s="45"/>
    </row>
    <row r="8" ht="37.5" customHeight="1">
      <c r="A8" s="46"/>
      <c r="C8" s="47" t="s">
        <v>205</v>
      </c>
      <c r="D8" s="66">
        <v>1.0</v>
      </c>
      <c r="E8" s="49" t="str">
        <f>IFERROR(__xludf.DUMMYFUNCTION("IF(COUNTIF(WEEKLY_TEAMS!$O$3:$O$99, F8) &gt; 0, ""GOALS: "" &amp; TEXTJOIN(""; "", TRUE, IFERROR(FILTER(WEEKLY_TEAMS!B3:B99 &amp; "" [ "" &amp; #REF! &amp; "" ]"", WEEKLY_TEAMS!$O$3:$O$99 = F8, #REF! &gt; 0), """")) &amp; CHAR(10) &amp; CHAR(10) &amp;
""CLEAN SHEETS: "" &amp; TEXTJOIN(""; "","&amp;" TRUE, IFERROR(FILTER(WEEKLY_TEAMS!$B$3:$B$99 &amp; "" [ "" &amp; #REF! &amp; "" ]"", WEEKLY_TEAMS!$O$3:$O$99 = F8, #REF! &gt; 0), """")), """")
"),"GOALS: 
CLEAN SHEETS: ")</f>
        <v>GOALS: 
CLEAN SHEETS: </v>
      </c>
      <c r="F8" s="67" t="s">
        <v>141</v>
      </c>
      <c r="G8" s="68">
        <v>1.0</v>
      </c>
      <c r="H8" s="52" t="s">
        <v>202</v>
      </c>
      <c r="I8" s="68">
        <v>0.0</v>
      </c>
      <c r="J8" s="67" t="s">
        <v>138</v>
      </c>
      <c r="K8" s="69" t="str">
        <f t="shared" si="1"/>
        <v>ORANGE</v>
      </c>
      <c r="L8" s="69">
        <f t="shared" si="2"/>
        <v>2</v>
      </c>
      <c r="M8" s="55" t="str">
        <f>IFERROR(__xludf.DUMMYFUNCTION("IF(COUNTIF(WEEKLY_TEAMS!$O$3:$O$99, J8) &gt; 0, ""GOALS: "" &amp; TEXTJOIN(""; "", TRUE, IFERROR(FILTER(WEEKLY_TEAMS!B3:B99 &amp; "" [ "" &amp; #REF! &amp; "" ]"", WEEKLY_TEAMS!$O$3:$O$99 = J8, #REF! &gt; 0), """")) &amp; CHAR(10) &amp; CHAR(10) &amp;
""CLEAN SHEETS: "" &amp; TEXTJOIN(""; "","&amp;" TRUE, IFERROR(FILTER(WEEKLY_TEAMS!$B$3:$B$99 &amp; "" [ "" &amp; #REF! &amp; "" ]"", WEEKLY_TEAMS!$O$3:$O$99 = J8, #REF! &gt; 0), """")), """")
"),"GOALS: 
CLEAN SHEETS: ")</f>
        <v>GOALS: 
CLEAN SHEETS: </v>
      </c>
      <c r="N8" s="56" t="s">
        <v>205</v>
      </c>
      <c r="P8" s="45"/>
    </row>
    <row r="9" ht="37.5" customHeight="1">
      <c r="A9" s="65"/>
      <c r="B9" s="57"/>
      <c r="C9" s="57"/>
      <c r="D9" s="70">
        <v>2.0</v>
      </c>
      <c r="E9" s="59" t="str">
        <f>IFERROR(__xludf.DUMMYFUNCTION("IF(COUNTIF(WEEKLY_TEAMS!$O$3:$O$99, F9) &gt; 0, ""GOALS: "" &amp; TEXTJOIN(""; "", TRUE, IFERROR(FILTER(WEEKLY_TEAMS!B3:B99 &amp; "" [ "" &amp; #REF! &amp; "" ]"", WEEKLY_TEAMS!$O$3:$O$99 = F9, #REF! &gt; 0), """")) &amp; CHAR(10) &amp; CHAR(10) &amp;
""CLEAN SHEETS: "" &amp; TEXTJOIN(""; "","&amp;" TRUE, IFERROR(FILTER(WEEKLY_TEAMS!$B$3:$B$99 &amp; "" [ "" &amp; #REF! &amp; "" ]"", WEEKLY_TEAMS!$O$3:$O$99 = F9, #REF! &gt; 0), """")), """")
"),"GOALS: 
CLEAN SHEETS: ")</f>
        <v>GOALS: 
CLEAN SHEETS: </v>
      </c>
      <c r="F9" s="71" t="s">
        <v>140</v>
      </c>
      <c r="G9" s="72">
        <v>0.0</v>
      </c>
      <c r="H9" s="52" t="s">
        <v>202</v>
      </c>
      <c r="I9" s="72">
        <v>1.0</v>
      </c>
      <c r="J9" s="71" t="s">
        <v>139</v>
      </c>
      <c r="K9" s="70" t="str">
        <f t="shared" si="1"/>
        <v>MAGENTA</v>
      </c>
      <c r="L9" s="70">
        <f t="shared" si="2"/>
        <v>2</v>
      </c>
      <c r="M9" s="64" t="str">
        <f>IFERROR(__xludf.DUMMYFUNCTION("IF(COUNTIF(WEEKLY_TEAMS!$O$3:$O$99, J9) &gt; 0, ""GOALS: "" &amp; TEXTJOIN(""; "", TRUE, IFERROR(FILTER(WEEKLY_TEAMS!B3:B99 &amp; "" [ "" &amp; #REF! &amp; "" ]"", WEEKLY_TEAMS!$O$3:$O$99 = J9, #REF! &gt; 0), """")) &amp; CHAR(10) &amp; CHAR(10) &amp;
""CLEAN SHEETS: "" &amp; TEXTJOIN(""; "","&amp;" TRUE, IFERROR(FILTER(WEEKLY_TEAMS!$B$3:$B$99 &amp; "" [ "" &amp; #REF! &amp; "" ]"", WEEKLY_TEAMS!$O$3:$O$99 = J9, #REF! &gt; 0), """")), """")
"),"GOALS: 
CLEAN SHEETS: ")</f>
        <v>GOALS: 
CLEAN SHEETS: </v>
      </c>
      <c r="N9" s="57"/>
      <c r="O9" s="57"/>
      <c r="P9" s="45"/>
    </row>
    <row r="10" ht="37.5" customHeight="1">
      <c r="A10" s="46"/>
      <c r="B10" s="73">
        <v>3.0</v>
      </c>
      <c r="C10" s="47" t="s">
        <v>206</v>
      </c>
      <c r="D10" s="48">
        <v>1.0</v>
      </c>
      <c r="E10" s="49" t="str">
        <f>IFERROR(__xludf.DUMMYFUNCTION("IF(COUNTIF(WEEKLY_TEAMS!$AA$3:$AA$99, F10) &gt; 0, ""GOALS: "" &amp; TEXTJOIN(""; "", TRUE, IFERROR(FILTER(WEEKLY_TEAMS!B3:B99 &amp; "" [ "" &amp; WEEKLY_TEAMS!$AH$3:$AH$99 &amp; "" ]"", WEEKLY_TEAMS!$AA$3:$AA$99 = F10, WEEKLY_TEAMS!$AH$3:$AH$99 &gt; 0), """")) &amp; CHAR(10) &amp; CH"&amp;"AR(10) &amp;
""CLEAN SHEETS: "" &amp; TEXTJOIN(""; "", TRUE, IFERROR(FILTER(WEEKLY_TEAMS!$B$3:$B$99 &amp; "" [ "" &amp; WEEKLY_TEAMS!$AJ$3:$AJ$99 &amp; "" ]"", WEEKLY_TEAMS!$AA$3:$AA$99 = F10, WEEKLY_TEAMS!$AJ$3:$AJ$99 &gt; 0), """")), """")
"),"GOALS: Mikey [ 1 ]
CLEAN SHEETS: ")</f>
        <v>GOALS: Mikey [ 1 ]
CLEAN SHEETS: </v>
      </c>
      <c r="F10" s="50" t="s">
        <v>138</v>
      </c>
      <c r="G10" s="51">
        <v>0.0</v>
      </c>
      <c r="H10" s="52" t="s">
        <v>202</v>
      </c>
      <c r="I10" s="51">
        <v>3.0</v>
      </c>
      <c r="J10" s="50" t="s">
        <v>139</v>
      </c>
      <c r="K10" s="53" t="str">
        <f t="shared" si="1"/>
        <v>MAGENTA</v>
      </c>
      <c r="L10" s="53">
        <f t="shared" si="2"/>
        <v>2</v>
      </c>
      <c r="M10" s="55" t="str">
        <f>IFERROR(__xludf.DUMMYFUNCTION("IF(COUNTIF(WEEKLY_TEAMS!$AA$3:$AA$99, J10) &gt; 0, ""GOALS: "" &amp; TEXTJOIN(""; "", TRUE, IFERROR(FILTER(WEEKLY_TEAMS!B3:B99 &amp; "" [ "" &amp; WEEKLY_TEAMS!$AH$3:$AH$99 &amp; "" ]"", WEEKLY_TEAMS!$AA$3:$AA$99 = J10, WEEKLY_TEAMS!$AH$3:$AH$99 &gt; 0), """")) &amp; CHAR(10) &amp; CH"&amp;"AR(10) &amp;
""CLEAN SHEETS: "" &amp; TEXTJOIN(""; "", TRUE, IFERROR(FILTER(WEEKLY_TEAMS!$B$3:$B$99 &amp; "" [ "" &amp; WEEKLY_TEAMS!$AJ$3:$AJ$99 &amp; "" ]"", WEEKLY_TEAMS!$AA$3:$AA$99 = J10, WEEKLY_TEAMS!$AJ$3:$AJ$99 &gt; 0), """")), """")
"),"GOALS: Cuñis 👨🏽‍🤝‍👨🏼 Karter [ 3 ]
CLEAN SHEETS: Carlos S. [ 1 ]")</f>
        <v>GOALS: Cuñis 👨🏽‍🤝‍👨🏼 Karter [ 3 ]
CLEAN SHEETS: Carlos S. [ 1 ]</v>
      </c>
      <c r="N10" s="56" t="s">
        <v>206</v>
      </c>
      <c r="O10" s="74">
        <v>3.0</v>
      </c>
      <c r="P10" s="45"/>
    </row>
    <row r="11" ht="37.5" customHeight="1">
      <c r="A11" s="46"/>
      <c r="C11" s="57"/>
      <c r="D11" s="58">
        <v>2.0</v>
      </c>
      <c r="E11" s="59" t="str">
        <f>IFERROR(__xludf.DUMMYFUNCTION("IF(COUNTIF(WEEKLY_TEAMS!$AA$3:$AA$99, F11) &gt; 0, ""GOALS: "" &amp; TEXTJOIN(""; "", TRUE, IFERROR(FILTER(WEEKLY_TEAMS!B3:B99 &amp; "" [ "" &amp; WEEKLY_TEAMS!$AH$3:$AH$99 &amp; "" ]"", WEEKLY_TEAMS!$AA$3:$AA$99 = F11, WEEKLY_TEAMS!$AH$3:$AH$99 &gt; 0), """")) &amp; CHAR(10) &amp; CH"&amp;"AR(10) &amp;
""CLEAN SHEETS: "" &amp; TEXTJOIN(""; "", TRUE, IFERROR(FILTER(WEEKLY_TEAMS!$B$3:$B$99 &amp; "" [ "" &amp; WEEKLY_TEAMS!$AJ$3:$AJ$99 &amp; "" ]"", WEEKLY_TEAMS!$AA$3:$AA$99 = F11, WEEKLY_TEAMS!$AJ$3:$AJ$99 &gt; 0), """")), """")
"),"GOALS: Jose Blanco [ 1 ]; David [ 1 ]
CLEAN SHEETS: ")</f>
        <v>GOALS: Jose Blanco [ 1 ]; David [ 1 ]
CLEAN SHEETS: </v>
      </c>
      <c r="F11" s="60" t="s">
        <v>140</v>
      </c>
      <c r="G11" s="61">
        <v>0.0</v>
      </c>
      <c r="H11" s="52" t="s">
        <v>202</v>
      </c>
      <c r="I11" s="61">
        <v>2.0</v>
      </c>
      <c r="J11" s="60" t="s">
        <v>141</v>
      </c>
      <c r="K11" s="58" t="str">
        <f t="shared" si="1"/>
        <v>ORANGE</v>
      </c>
      <c r="L11" s="58">
        <f t="shared" si="2"/>
        <v>2</v>
      </c>
      <c r="M11" s="64" t="str">
        <f>IFERROR(__xludf.DUMMYFUNCTION("IF(COUNTIF(WEEKLY_TEAMS!$AA$3:$AA$99, J11) &gt; 0, ""GOALS: "" &amp; TEXTJOIN(""; "", TRUE, IFERROR(FILTER(WEEKLY_TEAMS!B3:B99 &amp; "" [ "" &amp; WEEKLY_TEAMS!$AH$3:$AH$99 &amp; "" ]"", WEEKLY_TEAMS!$AA$3:$AA$99 = J11, WEEKLY_TEAMS!$AH$3:$AH$99 &gt; 0), """")) &amp; CHAR(10) &amp; CH"&amp;"AR(10) &amp;
""CLEAN SHEETS: "" &amp; TEXTJOIN(""; "", TRUE, IFERROR(FILTER(WEEKLY_TEAMS!$B$3:$B$99 &amp; "" [ "" &amp; WEEKLY_TEAMS!$AJ$3:$AJ$99 &amp; "" ]"", WEEKLY_TEAMS!$AA$3:$AA$99 = J11, WEEKLY_TEAMS!$AJ$3:$AJ$99 &gt; 0), """")), """")
"),"GOALS: Gus [ 2 ]; 🔄 (Valverde) [ 1 ]; 🔄 (Karter) [ 1 ]
CLEAN SHEETS: Eder [ 1 ]")</f>
        <v>GOALS: Gus [ 2 ]; 🔄 (Valverde) [ 1 ]; 🔄 (Karter) [ 1 ]
CLEAN SHEETS: Eder [ 1 ]</v>
      </c>
      <c r="N11" s="57"/>
      <c r="P11" s="45"/>
    </row>
    <row r="12" ht="37.5" customHeight="1">
      <c r="A12" s="46"/>
      <c r="C12" s="47" t="s">
        <v>207</v>
      </c>
      <c r="D12" s="48">
        <v>1.0</v>
      </c>
      <c r="E12" s="49" t="str">
        <f>IFERROR(__xludf.DUMMYFUNCTION("IF(COUNTIF(WEEKLY_TEAMS!$AA$3:$AA$99, F12) &gt; 0, ""GOALS: "" &amp; TEXTJOIN(""; "", TRUE, IFERROR(FILTER(WEEKLY_TEAMS!B3:B99 &amp; "" [ "" &amp; #REF! &amp; "" ]"", WEEKLY_TEAMS!$AA$3:$AA$99 = F12, #REF! &gt; 0), """")) &amp; CHAR(10) &amp; CHAR(10) &amp;
""CLEAN SHEETS: "" &amp; TEXTJOIN("&amp;"""; "", TRUE, IFERROR(FILTER(WEEKLY_TEAMS!$B$3:$B$99 &amp; "" [ "" &amp; #REF! &amp; "" ]"", WEEKLY_TEAMS!$AA$3:$AA$99 = F12, #REF! &gt; 0), """")), """")
"),"GOALS: 
CLEAN SHEETS: ")</f>
        <v>GOALS: 
CLEAN SHEETS: </v>
      </c>
      <c r="F12" s="50" t="s">
        <v>139</v>
      </c>
      <c r="G12" s="51">
        <v>1.0</v>
      </c>
      <c r="H12" s="52" t="s">
        <v>202</v>
      </c>
      <c r="I12" s="51">
        <v>2.0</v>
      </c>
      <c r="J12" s="50" t="s">
        <v>141</v>
      </c>
      <c r="K12" s="53" t="str">
        <f t="shared" si="1"/>
        <v>ORANGE</v>
      </c>
      <c r="L12" s="53">
        <f t="shared" si="2"/>
        <v>2</v>
      </c>
      <c r="M12" s="55" t="str">
        <f>IFERROR(__xludf.DUMMYFUNCTION("IF(COUNTIF(WEEKLY_TEAMS!$AA$3:$AA$99, J12) &gt; 0, ""GOALS: "" &amp; TEXTJOIN(""; "", TRUE, IFERROR(FILTER(WEEKLY_TEAMS!B3:B99 &amp; "" [ "" &amp; #REF! &amp; "" ]"", WEEKLY_TEAMS!$AA$3:$AA$99 = J12, #REF! &gt; 0), """")) &amp; CHAR(10) &amp; CHAR(10) &amp;
""CLEAN SHEETS: "" &amp; TEXTJOIN("&amp;"""; "", TRUE, IFERROR(FILTER(WEEKLY_TEAMS!$B$3:$B$99 &amp; "" [ "" &amp; #REF! &amp; "" ]"", WEEKLY_TEAMS!$AA$3:$AA$99 = J12, #REF! &gt; 0), """")), """")
"),"GOALS: 
CLEAN SHEETS: ")</f>
        <v>GOALS: 
CLEAN SHEETS: </v>
      </c>
      <c r="N12" s="56" t="s">
        <v>207</v>
      </c>
      <c r="P12" s="45"/>
    </row>
    <row r="13" ht="37.5" customHeight="1">
      <c r="A13" s="65"/>
      <c r="B13" s="57"/>
      <c r="C13" s="57"/>
      <c r="D13" s="58">
        <v>2.0</v>
      </c>
      <c r="E13" s="59" t="str">
        <f>IFERROR(__xludf.DUMMYFUNCTION("IF(COUNTIF(WEEKLY_TEAMS!$AA$3:$AA$99, F13) &gt; 0, ""GOALS: "" &amp; TEXTJOIN(""; "", TRUE, IFERROR(FILTER(WEEKLY_TEAMS!B3:B99 &amp; "" [ "" &amp; #REF! &amp; "" ]"", WEEKLY_TEAMS!$AA$3:$AA$99 = F13, #REF! &gt; 0), """")) &amp; CHAR(10) &amp; CHAR(10) &amp;
""CLEAN SHEETS: "" &amp; TEXTJOIN("&amp;"""; "", TRUE, IFERROR(FILTER(WEEKLY_TEAMS!$B$3:$B$99 &amp; "" [ "" &amp; #REF! &amp; "" ]"", WEEKLY_TEAMS!$AA$3:$AA$99 = F13, #REF! &gt; 0), """")), """")
"),"GOALS: 
CLEAN SHEETS: ")</f>
        <v>GOALS: 
CLEAN SHEETS: </v>
      </c>
      <c r="F13" s="60" t="s">
        <v>138</v>
      </c>
      <c r="G13" s="61">
        <v>1.0</v>
      </c>
      <c r="H13" s="52" t="s">
        <v>202</v>
      </c>
      <c r="I13" s="61">
        <v>2.0</v>
      </c>
      <c r="J13" s="60" t="s">
        <v>140</v>
      </c>
      <c r="K13" s="58" t="str">
        <f t="shared" si="1"/>
        <v>GREEN</v>
      </c>
      <c r="L13" s="58">
        <f t="shared" si="2"/>
        <v>2</v>
      </c>
      <c r="M13" s="64" t="str">
        <f>IFERROR(__xludf.DUMMYFUNCTION("IF(COUNTIF(WEEKLY_TEAMS!$AA$3:$AA$99, J13) &gt; 0, ""GOALS: "" &amp; TEXTJOIN(""; "", TRUE, IFERROR(FILTER(WEEKLY_TEAMS!B3:B99 &amp; "" [ "" &amp; #REF! &amp; "" ]"", WEEKLY_TEAMS!$AA$3:$AA$99 = J13, #REF! &gt; 0), """")) &amp; CHAR(10) &amp; CHAR(10) &amp;
""CLEAN SHEETS: "" &amp; TEXTJOIN("&amp;"""; "", TRUE, IFERROR(FILTER(WEEKLY_TEAMS!$B$3:$B$99 &amp; "" [ "" &amp; #REF! &amp; "" ]"", WEEKLY_TEAMS!$AA$3:$AA$99 = J13, #REF! &gt; 0), """")), """")
"),"GOALS: 
CLEAN SHEETS: ")</f>
        <v>GOALS: 
CLEAN SHEETS: </v>
      </c>
      <c r="N13" s="57"/>
      <c r="O13" s="57"/>
      <c r="P13" s="45"/>
    </row>
    <row r="14" ht="37.5" customHeight="1">
      <c r="A14" s="46"/>
      <c r="B14" s="47">
        <v>4.0</v>
      </c>
      <c r="C14" s="47" t="s">
        <v>208</v>
      </c>
      <c r="D14" s="66">
        <v>1.0</v>
      </c>
      <c r="E14" s="49" t="str">
        <f>IFERROR(__xludf.DUMMYFUNCTION("IF(COUNTIF(WEEKLY_TEAMS!$AM$3:$AM$99, F14) &gt; 0, ""GOALS: "" &amp; TEXTJOIN(""; "", TRUE, IFERROR(FILTER(WEEKLY_TEAMS!B3:B99 &amp; "" [ "" &amp; WEEKLY_TEAMS!$AT$3:$AT$99 &amp; "" ]"", WEEKLY_TEAMS!$AM$3:$AM$99 = F14, WEEKLY_TEAMS!$AT$3:$AT$99 &gt; 0), """")) &amp; CHAR(10) &amp; CH"&amp;"AR(10) &amp;
""CLEAN SHEETS: "" &amp; TEXTJOIN(""; "", TRUE, IFERROR(FILTER(WEEKLY_TEAMS!$B$3:$B$99 &amp; "" [ "" &amp; WEEKLY_TEAMS!$AV$3:$AV$99 &amp; "" ]"", WEEKLY_TEAMS!$AM$3:$AM$99 = F14, WEEKLY_TEAMS!$AV$3:$AV$99 &gt; 0), """")), """")
"),"GOALS: Chavito [ 1 ]
CLEAN SHEETS: ")</f>
        <v>GOALS: Chavito [ 1 ]
CLEAN SHEETS: </v>
      </c>
      <c r="F14" s="67" t="s">
        <v>138</v>
      </c>
      <c r="G14" s="68">
        <v>0.0</v>
      </c>
      <c r="H14" s="52" t="s">
        <v>202</v>
      </c>
      <c r="I14" s="68">
        <v>2.0</v>
      </c>
      <c r="J14" s="67" t="s">
        <v>139</v>
      </c>
      <c r="K14" s="69" t="str">
        <f t="shared" si="1"/>
        <v>MAGENTA</v>
      </c>
      <c r="L14" s="69">
        <f t="shared" si="2"/>
        <v>2</v>
      </c>
      <c r="M14" s="55" t="str">
        <f>IFERROR(__xludf.DUMMYFUNCTION("IF(COUNTIF(WEEKLY_TEAMS!$AM$3:$AM$99, J14) &gt; 0, ""GOALS: "" &amp; TEXTJOIN(""; "", TRUE, IFERROR(FILTER(WEEKLY_TEAMS!B3:B99 &amp; "" [ "" &amp; WEEKLY_TEAMS!$AT$3:$AT$99 &amp; "" ]"", WEEKLY_TEAMS!$AM$3:$AM$99 = J14, WEEKLY_TEAMS!$AT$3:$AT$99 &gt; 0), """")) &amp; CHAR(10) &amp; CH"&amp;"AR(10) &amp;
""CLEAN SHEETS: "" &amp; TEXTJOIN(""; "", TRUE, IFERROR(FILTER(WEEKLY_TEAMS!$B$3:$B$99 &amp; "" [ "" &amp; WEEKLY_TEAMS!$AV$3:$AV$99 &amp; "" ]"", WEEKLY_TEAMS!$AM$3:$AM$99 = J14, WEEKLY_TEAMS!$AV$3:$AV$99 &gt; 0), """")), """")
"),"GOALS: Nicky [ 1 ]; Ruben [ 2 ]; V. Nizama [ 1 ]
CLEAN SHEETS: Rodolfo [ 1 ]")</f>
        <v>GOALS: Nicky [ 1 ]; Ruben [ 2 ]; V. Nizama [ 1 ]
CLEAN SHEETS: Rodolfo [ 1 ]</v>
      </c>
      <c r="N14" s="56" t="s">
        <v>208</v>
      </c>
      <c r="O14" s="56">
        <v>4.0</v>
      </c>
      <c r="P14" s="45"/>
    </row>
    <row r="15" ht="37.5" customHeight="1">
      <c r="A15" s="46"/>
      <c r="C15" s="57"/>
      <c r="D15" s="70">
        <v>2.0</v>
      </c>
      <c r="E15" s="59" t="str">
        <f>IFERROR(__xludf.DUMMYFUNCTION("IF(COUNTIF(WEEKLY_TEAMS!$AM$3:$AM$99, F15) &gt; 0, ""GOALS: "" &amp; TEXTJOIN(""; "", TRUE, IFERROR(FILTER(WEEKLY_TEAMS!B3:B99 &amp; "" [ "" &amp; WEEKLY_TEAMS!$AT$3:$AT$99 &amp; "" ]"", WEEKLY_TEAMS!$AM$3:$AM$99 = F15, WEEKLY_TEAMS!$AT$3:$AT$99 &gt; 0), """")) &amp; CHAR(10) &amp; CH"&amp;"AR(10) &amp;
""CLEAN SHEETS: "" &amp; TEXTJOIN(""; "", TRUE, IFERROR(FILTER(WEEKLY_TEAMS!$B$3:$B$99 &amp; "" [ "" &amp; WEEKLY_TEAMS!$AV$3:$AV$99 &amp; "" ]"", WEEKLY_TEAMS!$AM$3:$AM$99 = F15, WEEKLY_TEAMS!$AV$3:$AV$99 &gt; 0), """")), """")
"),"GOALS: Javier [ 2 ]; Valencia [ 1 ]; David [ 1 ]
CLEAN SHEETS: ")</f>
        <v>GOALS: Javier [ 2 ]; Valencia [ 1 ]; David [ 1 ]
CLEAN SHEETS: </v>
      </c>
      <c r="F15" s="71" t="s">
        <v>140</v>
      </c>
      <c r="G15" s="72">
        <v>1.0</v>
      </c>
      <c r="H15" s="52" t="s">
        <v>202</v>
      </c>
      <c r="I15" s="72">
        <v>3.0</v>
      </c>
      <c r="J15" s="71" t="s">
        <v>141</v>
      </c>
      <c r="K15" s="70" t="str">
        <f t="shared" si="1"/>
        <v>ORANGE</v>
      </c>
      <c r="L15" s="70">
        <f t="shared" si="2"/>
        <v>2</v>
      </c>
      <c r="M15" s="64" t="str">
        <f>IFERROR(__xludf.DUMMYFUNCTION("IF(COUNTIF(WEEKLY_TEAMS!$AM$3:$AM$99, J15) &gt; 0, ""GOALS: "" &amp; TEXTJOIN(""; "", TRUE, IFERROR(FILTER(WEEKLY_TEAMS!B3:B99 &amp; "" [ "" &amp; WEEKLY_TEAMS!$AT$3:$AT$99 &amp; "" ]"", WEEKLY_TEAMS!$AM$3:$AM$99 = J15, WEEKLY_TEAMS!$AT$3:$AT$99 &gt; 0), """")) &amp; CHAR(10) &amp; CH"&amp;"AR(10) &amp;
""CLEAN SHEETS: "" &amp; TEXTJOIN(""; "", TRUE, IFERROR(FILTER(WEEKLY_TEAMS!$B$3:$B$99 &amp; "" [ "" &amp; WEEKLY_TEAMS!$AV$3:$AV$99 &amp; "" ]"", WEEKLY_TEAMS!$AM$3:$AM$99 = J15, WEEKLY_TEAMS!$AV$3:$AV$99 &gt; 0), """")), """")
"),"GOALS: Carlos S. [ 1 ]; Christian [ 2 ]; 🔄 (Chilas) [ 1 ]
CLEAN SHEETS: ")</f>
        <v>GOALS: Carlos S. [ 1 ]; Christian [ 2 ]; 🔄 (Chilas) [ 1 ]
CLEAN SHEETS: </v>
      </c>
      <c r="N15" s="57"/>
      <c r="P15" s="45"/>
    </row>
    <row r="16" ht="37.5" customHeight="1">
      <c r="A16" s="46"/>
      <c r="C16" s="47" t="s">
        <v>209</v>
      </c>
      <c r="D16" s="66">
        <v>1.0</v>
      </c>
      <c r="E16" s="49" t="str">
        <f>IFERROR(__xludf.DUMMYFUNCTION("IF(COUNTIF(WEEKLY_TEAMS!$AM$3:$AM$99, F16) &gt; 0, ""GOALS: "" &amp; TEXTJOIN(""; "", TRUE, IFERROR(FILTER(WEEKLY_TEAMS!B3:B99 &amp; "" [ "" &amp; #REF! &amp; "" ]"", WEEKLY_TEAMS!$AM$3:$AM$99 = F16, #REF! &gt; 0), """")) &amp; CHAR(10) &amp; CHAR(10) &amp;
""CLEAN SHEETS: "" &amp; TEXTJOIN("&amp;"""; "", TRUE, IFERROR(FILTER(WEEKLY_TEAMS!$B$3:$B$99 &amp; "" [ "" &amp; #REF! &amp; "" ]"", WEEKLY_TEAMS!$AM$3:$AM$99 = F16, #REF! &gt; 0), """")), """")
"),"GOALS: 
CLEAN SHEETS: ")</f>
        <v>GOALS: 
CLEAN SHEETS: </v>
      </c>
      <c r="F16" s="67" t="s">
        <v>138</v>
      </c>
      <c r="G16" s="68">
        <v>2.0</v>
      </c>
      <c r="H16" s="52" t="s">
        <v>202</v>
      </c>
      <c r="I16" s="68">
        <v>3.0</v>
      </c>
      <c r="J16" s="67" t="s">
        <v>140</v>
      </c>
      <c r="K16" s="69" t="str">
        <f t="shared" si="1"/>
        <v>GREEN</v>
      </c>
      <c r="L16" s="69">
        <f t="shared" si="2"/>
        <v>2</v>
      </c>
      <c r="M16" s="55" t="str">
        <f>IFERROR(__xludf.DUMMYFUNCTION("IF(COUNTIF(WEEKLY_TEAMS!$AM$3:$AM$99, J16) &gt; 0, ""GOALS: "" &amp; TEXTJOIN(""; "", TRUE, IFERROR(FILTER(WEEKLY_TEAMS!B3:B99 &amp; "" [ "" &amp; #REF! &amp; "" ]"", WEEKLY_TEAMS!$AM$3:$AM$99 = J16, #REF! &gt; 0), """")) &amp; CHAR(10) &amp; CHAR(10) &amp;
""CLEAN SHEETS: "" &amp; TEXTJOIN("&amp;"""; "", TRUE, IFERROR(FILTER(WEEKLY_TEAMS!$B$3:$B$99 &amp; "" [ "" &amp; #REF! &amp; "" ]"", WEEKLY_TEAMS!$AM$3:$AM$99 = J16, #REF! &gt; 0), """")), """")
"),"GOALS: 
CLEAN SHEETS: ")</f>
        <v>GOALS: 
CLEAN SHEETS: </v>
      </c>
      <c r="N16" s="56" t="s">
        <v>209</v>
      </c>
      <c r="P16" s="45"/>
    </row>
    <row r="17" ht="37.5" customHeight="1">
      <c r="A17" s="65"/>
      <c r="B17" s="57"/>
      <c r="C17" s="57"/>
      <c r="D17" s="70">
        <v>2.0</v>
      </c>
      <c r="E17" s="59" t="str">
        <f>IFERROR(__xludf.DUMMYFUNCTION("IF(COUNTIF(WEEKLY_TEAMS!$AM$3:$AM$99, F17) &gt; 0, ""GOALS: "" &amp; TEXTJOIN(""; "", TRUE, IFERROR(FILTER(WEEKLY_TEAMS!B3:B99 &amp; "" [ "" &amp; #REF! &amp; "" ]"", WEEKLY_TEAMS!$AM$3:$AM$99 = F17, #REF! &gt; 0), """")) &amp; CHAR(10) &amp; CHAR(10) &amp;
""CLEAN SHEETS: "" &amp; TEXTJOIN("&amp;"""; "", TRUE, IFERROR(FILTER(WEEKLY_TEAMS!$B$3:$B$99 &amp; "" [ "" &amp; #REF! &amp; "" ]"", WEEKLY_TEAMS!$AM$3:$AM$99 = F17, #REF! &gt; 0), """")), """")
"),"GOALS: 
CLEAN SHEETS: ")</f>
        <v>GOALS: 
CLEAN SHEETS: </v>
      </c>
      <c r="F17" s="71" t="s">
        <v>139</v>
      </c>
      <c r="G17" s="72">
        <v>3.0</v>
      </c>
      <c r="H17" s="52" t="s">
        <v>202</v>
      </c>
      <c r="I17" s="72">
        <v>1.0</v>
      </c>
      <c r="J17" s="71" t="s">
        <v>141</v>
      </c>
      <c r="K17" s="70" t="str">
        <f t="shared" si="1"/>
        <v>MAGENTA</v>
      </c>
      <c r="L17" s="70">
        <f t="shared" si="2"/>
        <v>2</v>
      </c>
      <c r="M17" s="64" t="str">
        <f>IFERROR(__xludf.DUMMYFUNCTION("IF(COUNTIF(WEEKLY_TEAMS!$AM$3:$AM$99, J17) &gt; 0, ""GOALS: "" &amp; TEXTJOIN(""; "", TRUE, IFERROR(FILTER(WEEKLY_TEAMS!B3:B99 &amp; "" [ "" &amp; #REF! &amp; "" ]"", WEEKLY_TEAMS!$AM$3:$AM$99 = J17, #REF! &gt; 0), """")) &amp; CHAR(10) &amp; CHAR(10) &amp;
""CLEAN SHEETS: "" &amp; TEXTJOIN("&amp;"""; "", TRUE, IFERROR(FILTER(WEEKLY_TEAMS!$B$3:$B$99 &amp; "" [ "" &amp; #REF! &amp; "" ]"", WEEKLY_TEAMS!$AM$3:$AM$99 = J17, #REF! &gt; 0), """")), """")
"),"GOALS: 
CLEAN SHEETS: ")</f>
        <v>GOALS: 
CLEAN SHEETS: </v>
      </c>
      <c r="N17" s="57"/>
      <c r="O17" s="57"/>
      <c r="P17" s="45"/>
    </row>
    <row r="18" ht="37.5" customHeight="1">
      <c r="A18" s="46"/>
      <c r="B18" s="47">
        <v>5.0</v>
      </c>
      <c r="C18" s="47" t="s">
        <v>210</v>
      </c>
      <c r="D18" s="48">
        <v>1.0</v>
      </c>
      <c r="E18" s="49" t="str">
        <f>IFERROR(__xludf.DUMMYFUNCTION("IF(COUNTIF(WEEKLY_TEAMS!$AY$3:$AY$99, F18) &gt; 0, ""GOALS: "" &amp; TEXTJOIN(""; "", TRUE, IFERROR(FILTER(WEEKLY_TEAMS!B3:B99 &amp; "" [ "" &amp; WEEKLY_TEAMS!$BF$3:$BF$99 &amp; "" ]"", WEEKLY_TEAMS!$AY$3:$AY$99 = F18, WEEKLY_TEAMS!$BF$3:$BF$99 &gt; 0), """")) &amp; CHAR(10) &amp; CH"&amp;"AR(10) &amp;
""CLEAN SHEETS: "" &amp; TEXTJOIN(""; "", TRUE, IFERROR(FILTER(WEEKLY_TEAMS!$B$3:$B$99 &amp; "" [ "" &amp; WEEKLY_TEAMS!$BH$3:$BH$99 &amp; "" ]"", WEEKLY_TEAMS!$AY$3:$AY$99 = F18, WEEKLY_TEAMS!$BH$3:$BH$99 &gt; 0), """")), """")
"),"GOALS: Valencia [ 1 ]; Fer [  ]; Pirlo [  ]; Ruben [  ]; Mikey [  ]; Alex [  ]; Alexis 👨🏾‍🤝‍👨🏿 Lopez [  ]; 🔄 (Jhonatan A) [  ]; 🔄 (Valverde) [  ]
CLEAN SHEETS: Valencia [  ]; Fer [  ]; Pirlo [  ]; Ruben [  ]; Mikey [  ]; Alex [  ]; Alexis 👨🏾‍🤝‍"&amp;"👨🏿 Lopez [  ]; 🔄 (Jhonatan A) [  ]; 🔄 (Valverde) [  ]")</f>
        <v>GOALS: Valencia [ 1 ]; Fer [  ]; Pirlo [  ]; Ruben [  ]; Mikey [  ]; Alex [  ]; Alexis 👨🏾‍🤝‍👨🏿 Lopez [  ]; 🔄 (Jhonatan A) [  ]; 🔄 (Valverde) [  ]
CLEAN SHEETS: Valencia [  ]; Fer [  ]; Pirlo [  ]; Ruben [  ]; Mikey [  ]; Alex [  ]; Alexis 👨🏾‍🤝‍👨🏿 Lopez [  ]; 🔄 (Jhonatan A) [  ]; 🔄 (Valverde) [  ]</v>
      </c>
      <c r="F18" s="50" t="s">
        <v>138</v>
      </c>
      <c r="G18" s="51">
        <v>1.0</v>
      </c>
      <c r="H18" s="52" t="s">
        <v>202</v>
      </c>
      <c r="I18" s="51">
        <v>4.0</v>
      </c>
      <c r="J18" s="50" t="s">
        <v>139</v>
      </c>
      <c r="K18" s="53" t="str">
        <f t="shared" si="1"/>
        <v>MAGENTA</v>
      </c>
      <c r="L18" s="53">
        <f t="shared" si="2"/>
        <v>2</v>
      </c>
      <c r="M18" s="55" t="str">
        <f>IFERROR(__xludf.DUMMYFUNCTION("IF(COUNTIF(WEEKLY_TEAMS!$AY$3:$AY$99, J18) &gt; 0, ""GOALS: "" &amp; TEXTJOIN(""; "", TRUE, IFERROR(FILTER(WEEKLY_TEAMS!B3:B99 &amp; "" [ "" &amp; WEEKLY_TEAMS!$BF$3:$BF$99 &amp; "" ]"", WEEKLY_TEAMS!$AY$3:$AY$99 = J18, WEEKLY_TEAMS!$BF$3:$BF$99 &gt; 0), """")) &amp; CHAR(10) &amp; CH"&amp;"AR(10) &amp;
""CLEAN SHEETS: "" &amp; TEXTJOIN(""; "", TRUE, IFERROR(FILTER(WEEKLY_TEAMS!$B$3:$B$99 &amp; "" [ "" &amp; WEEKLY_TEAMS!$BH$3:$BH$99 &amp; "" ]"", WEEKLY_TEAMS!$AY$3:$AY$99 = J18, WEEKLY_TEAMS!$BH$3:$BH$99 &gt; 0), """")), """")
"),"GOALS: Osmin [  ]; Javier [  ]; Gerardo [ 1 ]; Gus [  ]; Kevin [  ]; Andres [  ]; 🔄 (Joel) [  ]; 🔄 (Enerson) [  ]
CLEAN SHEETS: Osmin [  ]; Javier [  ]; Gus [  ]; Kevin [  ]; Andres [  ]; 🔄 (Joel) [  ]; 🔄 (Enerson) [  ]")</f>
        <v>GOALS: Osmin [  ]; Javier [  ]; Gerardo [ 1 ]; Gus [  ]; Kevin [  ]; Andres [  ]; 🔄 (Joel) [  ]; 🔄 (Enerson) [  ]
CLEAN SHEETS: Osmin [  ]; Javier [  ]; Gus [  ]; Kevin [  ]; Andres [  ]; 🔄 (Joel) [  ]; 🔄 (Enerson) [  ]</v>
      </c>
      <c r="N18" s="56" t="s">
        <v>210</v>
      </c>
      <c r="O18" s="56">
        <v>5.0</v>
      </c>
      <c r="P18" s="45"/>
    </row>
    <row r="19" ht="37.5" customHeight="1">
      <c r="A19" s="46"/>
      <c r="C19" s="57"/>
      <c r="D19" s="58">
        <v>2.0</v>
      </c>
      <c r="E19" s="59" t="str">
        <f>IFERROR(__xludf.DUMMYFUNCTION("IF(COUNTIF(WEEKLY_TEAMS!$AY$3:$AY$99, F19) &gt; 0, ""GOALS: "" &amp; TEXTJOIN(""; "", TRUE, IFERROR(FILTER(WEEKLY_TEAMS!B3:B99 &amp; "" [ "" &amp; WEEKLY_TEAMS!$BF$3:$BF$99 &amp; "" ]"", WEEKLY_TEAMS!$AY$3:$AY$99 = F19, WEEKLY_TEAMS!$BF$3:$BF$99 &gt; 0), """")) &amp; CHAR(10) &amp; CH"&amp;"AR(10) &amp;
""CLEAN SHEETS: "" &amp; TEXTJOIN(""; "", TRUE, IFERROR(FILTER(WEEKLY_TEAMS!$B$3:$B$99 &amp; "" [ "" &amp; WEEKLY_TEAMS!$BH$3:$BH$99 &amp; "" ]"", WEEKLY_TEAMS!$AY$3:$AY$99 = F19, WEEKLY_TEAMS!$BH$3:$BH$99 &gt; 0), """")), """")
"),"GOALS: 🏆 Jordan [  ]; Gabriel [ 1 ]; Carlos S. [ 1 ]; Rodolfo [  ]; Chato 👨🏻‍🤝‍👨🏽 Miguel [  ]; Christian [ 1 ]; Chilas 👨🏻‍🤝‍👨🏾 Netto [  ]; Efra [  ]; Jose Blanco [  ]
CLEAN SHEETS: 🏆 Jordan [  ]; Gabriel [  ]; Carlos S. [  ]; Rodolfo [ 1 ]; C"&amp;"hato 👨🏻‍🤝‍👨🏽 Miguel [  ]; Christian [  ]; Chilas 👨🏻‍🤝‍👨🏾 Netto [  ]; Efra [  ]; Jose Blanco [  ]")</f>
        <v>GOALS: 🏆 Jordan [  ]; Gabriel [ 1 ]; Carlos S. [ 1 ]; Rodolfo [  ]; Chato 👨🏻‍🤝‍👨🏽 Miguel [  ]; Christian [ 1 ]; Chilas 👨🏻‍🤝‍👨🏾 Netto [  ]; Efra [  ]; Jose Blanco [  ]
CLEAN SHEETS: 🏆 Jordan [  ]; Gabriel [  ]; Carlos S. [  ]; Rodolfo [ 1 ]; Chato 👨🏻‍🤝‍👨🏽 Miguel [  ]; Christian [  ]; Chilas 👨🏻‍🤝‍👨🏾 Netto [  ]; Efra [  ]; Jose Blanco [  ]</v>
      </c>
      <c r="F19" s="60" t="s">
        <v>140</v>
      </c>
      <c r="G19" s="61">
        <v>2.0</v>
      </c>
      <c r="H19" s="52" t="s">
        <v>202</v>
      </c>
      <c r="I19" s="61">
        <v>2.0</v>
      </c>
      <c r="J19" s="60" t="s">
        <v>141</v>
      </c>
      <c r="K19" s="58" t="str">
        <f t="shared" si="1"/>
        <v>Draw</v>
      </c>
      <c r="L19" s="58">
        <f t="shared" si="2"/>
        <v>1</v>
      </c>
      <c r="M19" s="64" t="str">
        <f>IFERROR(__xludf.DUMMYFUNCTION("IF(COUNTIF(WEEKLY_TEAMS!$AY$3:$AY$99, J19) &gt; 0, ""GOALS: "" &amp; TEXTJOIN(""; "", TRUE, IFERROR(FILTER(WEEKLY_TEAMS!B3:B99 &amp; "" [ "" &amp; WEEKLY_TEAMS!$BF$3:$BF$99 &amp; "" ]"", WEEKLY_TEAMS!$AY$3:$AY$99 = J19, WEEKLY_TEAMS!$BF$3:$BF$99 &gt; 0), """")) &amp; CHAR(10) &amp; CH"&amp;"AR(10) &amp;
""CLEAN SHEETS: "" &amp; TEXTJOIN(""; "", TRUE, IFERROR(FILTER(WEEKLY_TEAMS!$B$3:$B$99 &amp; "" [ "" &amp; WEEKLY_TEAMS!$BH$3:$BH$99 &amp; "" ]"", WEEKLY_TEAMS!$AY$3:$AY$99 = J19, WEEKLY_TEAMS!$BH$3:$BH$99 &gt; 0), """")), """")
"),"GOALS: Cuñis 👨🏽‍🤝‍👨🏼 Karter [ 3 ]; Nicky [  ]; Rob 👬🏽 Toño [  ]; Rodrigo Mena [  ]; V. Nizama [  ]; Guille 👨🏻‍🤝‍👨🏾 Mike [  ]; Chavito [  ]; 🔄 (Karter) [  ]
CLEAN SHEETS: Cuñis 👨🏽‍🤝‍👨🏼 Karter [  ]; Nicky [  ]; Rob 👬🏽 Toño [  ]; Rodrigo"&amp;" Mena [  ]; V. Nizama [  ]; Guille 👨🏻‍🤝‍👨🏾 Mike [  ]; Chavito [  ]; 🔄 (Karter) [  ]")</f>
        <v>GOALS: Cuñis 👨🏽‍🤝‍👨🏼 Karter [ 3 ]; Nicky [  ]; Rob 👬🏽 Toño [  ]; Rodrigo Mena [  ]; V. Nizama [  ]; Guille 👨🏻‍🤝‍👨🏾 Mike [  ]; Chavito [  ]; 🔄 (Karter) [  ]
CLEAN SHEETS: Cuñis 👨🏽‍🤝‍👨🏼 Karter [  ]; Nicky [  ]; Rob 👬🏽 Toño [  ]; Rodrigo Mena [  ]; V. Nizama [  ]; Guille 👨🏻‍🤝‍👨🏾 Mike [  ]; Chavito [  ]; 🔄 (Karter) [  ]</v>
      </c>
      <c r="N19" s="57"/>
      <c r="P19" s="45"/>
    </row>
    <row r="20" ht="37.5" customHeight="1">
      <c r="A20" s="46"/>
      <c r="C20" s="47" t="s">
        <v>211</v>
      </c>
      <c r="D20" s="48">
        <v>1.0</v>
      </c>
      <c r="E20" s="49" t="str">
        <f>IFERROR(__xludf.DUMMYFUNCTION("IF(COUNTIF(WEEKLY_TEAMS!$AY$3:$AY$99, F20) &gt; 0, ""GOALS: "" &amp; TEXTJOIN(""; "", TRUE, IFERROR(FILTER(WEEKLY_TEAMS!B3:B99 &amp; "" [ "" &amp; #REF! &amp; "" ]"", WEEKLY_TEAMS!$AY$3:$AY$99 = F20, #REF! &gt; 0), """")) &amp; CHAR(10) &amp; CHAR(10) &amp;
""CLEAN SHEETS: "" &amp; TEXTJOIN("&amp;"""; "", TRUE, IFERROR(FILTER(WEEKLY_TEAMS!$B3:$B$99 &amp; "" [ "" &amp; #REF! &amp; "" ]"", WEEKLY_TEAMS!$AY$3:$AY$99 = F20, #REF! &gt; 0), """")), """")
"),"GOALS: 
CLEAN SHEETS: ")</f>
        <v>GOALS: 
CLEAN SHEETS: </v>
      </c>
      <c r="F20" s="50" t="s">
        <v>138</v>
      </c>
      <c r="G20" s="51">
        <v>2.0</v>
      </c>
      <c r="H20" s="52" t="s">
        <v>202</v>
      </c>
      <c r="I20" s="51">
        <v>1.0</v>
      </c>
      <c r="J20" s="50" t="s">
        <v>141</v>
      </c>
      <c r="K20" s="53" t="str">
        <f t="shared" si="1"/>
        <v>BLUE</v>
      </c>
      <c r="L20" s="53">
        <f t="shared" si="2"/>
        <v>2</v>
      </c>
      <c r="M20" s="55" t="str">
        <f>IFERROR(__xludf.DUMMYFUNCTION("IF(COUNTIF(WEEKLY_TEAMS!$AY$3:$AY$99, J20) &gt; 0, ""GOALS: "" &amp; TEXTJOIN(""; "", TRUE, IFERROR(FILTER(WEEKLY_TEAMS!B3:B99 &amp; "" [ "" &amp; #REF! &amp; "" ]"", WEEKLY_TEAMS!$AY$3:$AY$99 = J20, #REF! &gt; 0), """")) &amp; CHAR(10) &amp; CHAR(10) &amp;
""CLEAN SHEETS: "" &amp; TEXTJOIN("&amp;"""; "", TRUE, IFERROR(FILTER(WEEKLY_TEAMS!$B3:$B$99 &amp; "" [ "" &amp; #REF! &amp; "" ]"", WEEKLY_TEAMS!$AY$3:$AY$99 = J20, #REF! &gt; 0), """")), """")
"),"GOALS: 
CLEAN SHEETS: ")</f>
        <v>GOALS: 
CLEAN SHEETS: </v>
      </c>
      <c r="N20" s="56" t="s">
        <v>211</v>
      </c>
      <c r="P20" s="45"/>
    </row>
    <row r="21" ht="37.5" customHeight="1">
      <c r="A21" s="65"/>
      <c r="B21" s="57"/>
      <c r="C21" s="57"/>
      <c r="D21" s="58">
        <v>2.0</v>
      </c>
      <c r="E21" s="59" t="str">
        <f>IFERROR(__xludf.DUMMYFUNCTION("IF(COUNTIF(WEEKLY_TEAMS!$AY$3:$AY$99, F21) &gt; 0, ""GOALS: "" &amp; TEXTJOIN(""; "", TRUE, IFERROR(FILTER(WEEKLY_TEAMS!B3:B99 &amp; "" [ "" &amp; #REF! &amp; "" ]"", WEEKLY_TEAMS!$AY$3:$AY$99 = F21, #REF! &gt; 0), """")) &amp; CHAR(10) &amp; CHAR(10) &amp;
""CLEAN SHEETS: "" &amp; TEXTJOIN("&amp;"""; "", TRUE, IFERROR(FILTER(WEEKLY_TEAMS!$B3:$B$99 &amp; "" [ "" &amp; #REF! &amp; "" ]"", WEEKLY_TEAMS!$AY$3:$AY$99 = F21, #REF! &gt; 0), """")), """")
"),"GOALS: 
CLEAN SHEETS: ")</f>
        <v>GOALS: 
CLEAN SHEETS: </v>
      </c>
      <c r="F21" s="60" t="s">
        <v>139</v>
      </c>
      <c r="G21" s="61">
        <v>0.0</v>
      </c>
      <c r="H21" s="52" t="s">
        <v>202</v>
      </c>
      <c r="I21" s="61">
        <v>2.0</v>
      </c>
      <c r="J21" s="60" t="s">
        <v>140</v>
      </c>
      <c r="K21" s="58" t="str">
        <f t="shared" si="1"/>
        <v>GREEN</v>
      </c>
      <c r="L21" s="58">
        <f t="shared" si="2"/>
        <v>2</v>
      </c>
      <c r="M21" s="64" t="str">
        <f>IFERROR(__xludf.DUMMYFUNCTION("IF(COUNTIF(WEEKLY_TEAMS!$AY$3:$AY$99, J21) &gt; 0, ""GOALS: "" &amp; TEXTJOIN(""; "", TRUE, IFERROR(FILTER(WEEKLY_TEAMS!B3:B99 &amp; "" [ "" &amp; #REF! &amp; "" ]"", WEEKLY_TEAMS!$AY$3:$AY$99 = J21, #REF! &gt; 0), """")) &amp; CHAR(10) &amp; CHAR(10) &amp;
""CLEAN SHEETS: "" &amp; TEXTJOIN("&amp;"""; "", TRUE, IFERROR(FILTER(WEEKLY_TEAMS!$B3:$B$99 &amp; "" [ "" &amp; #REF! &amp; "" ]"", WEEKLY_TEAMS!$AY$3:$AY$99 = J21, #REF! &gt; 0), """")), """")
"),"GOALS: 
CLEAN SHEETS: ")</f>
        <v>GOALS: 
CLEAN SHEETS: </v>
      </c>
      <c r="N21" s="57"/>
      <c r="O21" s="57"/>
      <c r="P21" s="45"/>
    </row>
    <row r="22" ht="37.5" customHeight="1">
      <c r="A22" s="46"/>
      <c r="B22" s="47">
        <v>6.0</v>
      </c>
      <c r="C22" s="47" t="s">
        <v>212</v>
      </c>
      <c r="D22" s="66">
        <v>1.0</v>
      </c>
      <c r="E22" s="49" t="str">
        <f>IFERROR(__xludf.DUMMYFUNCTION("IF(COUNTIF(WEEKLY_TEAMS!$BK$3:$BK$99, F22) &gt; 0, ""GOALS: "" &amp; TEXTJOIN(""; "", TRUE, IFERROR(FILTER(WEEKLY_TEAMS!B3:B99 &amp; "" [ "" &amp; WEEKLY_TEAMS!$BR$3:$BR$99 &amp; "" ]"", WEEKLY_TEAMS!$BK$3:$BK$99 = F22, WEEKLY_TEAMS!$BR$3:$BR$99 &gt; 0), """")) &amp; CHAR(10) &amp; CH"&amp;"AR(10) &amp;
""CLEAN SHEETS: "" &amp; TEXTJOIN(""; "", TRUE, IFERROR(FILTER(WEEKLY_TEAMS!$B$3:$B$99 &amp; "" [ "" &amp; WEEKLY_TEAMS!$BT$3:$BT$99 &amp; "" ]"", WEEKLY_TEAMS!$BK$3:$BK$99 = F22, WEEKLY_TEAMS!$BT$3:$BT$99 &gt; 0), """")), """")
"),"GOALS: Nicky [ 1 ]; Valencia [ 2 ]
CLEAN SHEETS: ")</f>
        <v>GOALS: Nicky [ 1 ]; Valencia [ 2 ]
CLEAN SHEETS: </v>
      </c>
      <c r="F22" s="67" t="s">
        <v>138</v>
      </c>
      <c r="G22" s="75">
        <v>1.0</v>
      </c>
      <c r="H22" s="52" t="s">
        <v>202</v>
      </c>
      <c r="I22" s="75">
        <v>2.0</v>
      </c>
      <c r="J22" s="67" t="s">
        <v>139</v>
      </c>
      <c r="K22" s="69" t="str">
        <f t="shared" si="1"/>
        <v>MAGENTA</v>
      </c>
      <c r="L22" s="69">
        <f t="shared" si="2"/>
        <v>2</v>
      </c>
      <c r="M22" s="55" t="str">
        <f>IFERROR(__xludf.DUMMYFUNCTION("IF(COUNTIF(WEEKLY_TEAMS!$BK$3:$BK$99, J22) &gt; 0, ""GOALS: "" &amp; TEXTJOIN(""; "", TRUE, IFERROR(FILTER(WEEKLY_TEAMS!B3:B99 &amp; "" [ "" &amp; WEEKLY_TEAMS!$BR$3:$BR$99 &amp; "" ]"", WEEKLY_TEAMS!$BK$3:$BK$99 = J22, WEEKLY_TEAMS!$BR$3:$BR$99 &gt; 0), """")) &amp; CHAR(10) &amp; CH"&amp;"AR(10) &amp;
""CLEAN SHEETS: "" &amp; TEXTJOIN(""; "", TRUE, IFERROR(FILTER(WEEKLY_TEAMS!$B$3:$B$99 &amp; "" [ "" &amp; WEEKLY_TEAMS!$BT$3:$BT$99 &amp; "" ]"", WEEKLY_TEAMS!$BK$3:$BK$99 = J22, WEEKLY_TEAMS!$BT$3:$BT$99 &gt; 0), """")), """")
"),"GOALS: Javier [ 2 ]; 🔄 (Cuñis) [ 1 ]
CLEAN SHEETS: ")</f>
        <v>GOALS: Javier [ 2 ]; 🔄 (Cuñis) [ 1 ]
CLEAN SHEETS: </v>
      </c>
      <c r="N22" s="56" t="s">
        <v>212</v>
      </c>
      <c r="O22" s="56">
        <v>6.0</v>
      </c>
      <c r="P22" s="45"/>
    </row>
    <row r="23" ht="37.5" customHeight="1">
      <c r="A23" s="46"/>
      <c r="C23" s="57"/>
      <c r="D23" s="70">
        <v>2.0</v>
      </c>
      <c r="E23" s="59" t="str">
        <f>IFERROR(__xludf.DUMMYFUNCTION("IF(COUNTIF(WEEKLY_TEAMS!$BK$3:$BK$99, F23) &gt; 0, ""GOALS: "" &amp; TEXTJOIN(""; "", TRUE, IFERROR(FILTER(WEEKLY_TEAMS!B3:B99 &amp; "" [ "" &amp; WEEKLY_TEAMS!$BR$3:$BR$99 &amp; "" ]"", WEEKLY_TEAMS!$BK$3:$BK$99 = F23, WEEKLY_TEAMS!$BR$3:$BR$99 &gt; 0), """")) &amp; CHAR(10) &amp; CH"&amp;"AR(10) &amp;
""CLEAN SHEETS: "" &amp; TEXTJOIN(""; "", TRUE, IFERROR(FILTER(WEEKLY_TEAMS!$B$3:$B$99 &amp; "" [ "" &amp; WEEKLY_TEAMS!$BT$3:$BT$99 &amp; "" ]"", WEEKLY_TEAMS!$BK$3:$BK$99 = F23, WEEKLY_TEAMS!$BT$3:$BT$99 &gt; 0), """")), """")
"),"GOALS: Christian [ 1 ]
CLEAN SHEETS: ")</f>
        <v>GOALS: Christian [ 1 ]
CLEAN SHEETS: </v>
      </c>
      <c r="F23" s="71" t="s">
        <v>141</v>
      </c>
      <c r="G23" s="76">
        <v>0.0</v>
      </c>
      <c r="H23" s="52" t="s">
        <v>202</v>
      </c>
      <c r="I23" s="76">
        <v>4.0</v>
      </c>
      <c r="J23" s="71" t="s">
        <v>140</v>
      </c>
      <c r="K23" s="70" t="str">
        <f t="shared" si="1"/>
        <v>GREEN</v>
      </c>
      <c r="L23" s="70">
        <f t="shared" si="2"/>
        <v>2</v>
      </c>
      <c r="M23" s="64" t="str">
        <f>IFERROR(__xludf.DUMMYFUNCTION("IF(COUNTIF(WEEKLY_TEAMS!$BK$3:$BK$99, J23) &gt; 0, ""GOALS: "" &amp; TEXTJOIN(""; "", TRUE, IFERROR(FILTER(WEEKLY_TEAMS!B3:B99 &amp; "" [ "" &amp; WEEKLY_TEAMS!$BR$3:$BR$99 &amp; "" ]"", WEEKLY_TEAMS!$BK$3:$BK$99 = J23, WEEKLY_TEAMS!$BR$3:$BR$99 &gt; 0), """")) &amp; CHAR(10) &amp; CH"&amp;"AR(10) &amp;
""CLEAN SHEETS: "" &amp; TEXTJOIN(""; "", TRUE, IFERROR(FILTER(WEEKLY_TEAMS!$B$3:$B$99 &amp; "" [ "" &amp; WEEKLY_TEAMS!$BT$3:$BT$99 &amp; "" ]"", WEEKLY_TEAMS!$BK$3:$BK$99 = J23, WEEKLY_TEAMS!$BT$3:$BT$99 &gt; 0), """")), """")
"),"GOALS: 🏆 Jordan [ 1 ]; Gerardo [ 1 ]
CLEAN SHEETS: Fer [ 1 ]")</f>
        <v>GOALS: 🏆 Jordan [ 1 ]; Gerardo [ 1 ]
CLEAN SHEETS: Fer [ 1 ]</v>
      </c>
      <c r="N23" s="57"/>
      <c r="P23" s="45"/>
    </row>
    <row r="24" ht="37.5" customHeight="1">
      <c r="A24" s="46"/>
      <c r="C24" s="47" t="s">
        <v>213</v>
      </c>
      <c r="D24" s="66">
        <v>1.0</v>
      </c>
      <c r="E24" s="49" t="str">
        <f>IFERROR(__xludf.DUMMYFUNCTION("IF(COUNTIF(WEEKLY_TEAMS!$BK$3:$BK$99, F24) &gt; 0, ""GOALS: "" &amp; TEXTJOIN(""; "", TRUE, IFERROR(FILTER(WEEKLY_TEAMS!B3:B99 &amp; "" [ "" &amp; #REF! &amp; "" ]"", WEEKLY_TEAMS!$BK$3:$BK$99 = F24, #REF! &gt; 0), """")) &amp; CHAR(10) &amp; CHAR(10) &amp;
""CLEAN SHEETS: "" &amp; TEXTJOIN("&amp;"""; "", TRUE, IFERROR(FILTER(WEEKLY_TEAMS!$B$3:$B$99 &amp; "" [ "" &amp; #REF! &amp; "" ]"", WEEKLY_TEAMS!$BK$3:$BK$99 = F24, #REF! &gt; 0), """")), """")
"),"GOALS: 
CLEAN SHEETS: ")</f>
        <v>GOALS: 
CLEAN SHEETS: </v>
      </c>
      <c r="F24" s="67" t="s">
        <v>140</v>
      </c>
      <c r="G24" s="75">
        <v>1.0</v>
      </c>
      <c r="H24" s="52" t="s">
        <v>202</v>
      </c>
      <c r="I24" s="75">
        <v>1.0</v>
      </c>
      <c r="J24" s="67" t="s">
        <v>139</v>
      </c>
      <c r="K24" s="69" t="str">
        <f t="shared" si="1"/>
        <v>Draw</v>
      </c>
      <c r="L24" s="69">
        <f t="shared" si="2"/>
        <v>1</v>
      </c>
      <c r="M24" s="55" t="str">
        <f>IFERROR(__xludf.DUMMYFUNCTION("IF(COUNTIF(WEEKLY_TEAMS!$BK$3:$BK$99, J24) &gt; 0, ""GOALS: "" &amp; TEXTJOIN(""; "", TRUE, IFERROR(FILTER(WEEKLY_TEAMS!B3:B99 &amp; "" [ "" &amp; #REF! &amp; "" ]"", WEEKLY_TEAMS!$BK$3:$BK$99 = J24, #REF! &gt; 0), """")) &amp; CHAR(10) &amp; CHAR(10) &amp;
""CLEAN SHEETS: "" &amp; TEXTJOIN("&amp;"""; "", TRUE, IFERROR(FILTER(WEEKLY_TEAMS!$B$3:$B$99 &amp; "" [ "" &amp; #REF! &amp; "" ]"", WEEKLY_TEAMS!$BK$3:$BK$99 = J24, #REF! &gt; 0), """")), """")
"),"GOALS: 
CLEAN SHEETS: ")</f>
        <v>GOALS: 
CLEAN SHEETS: </v>
      </c>
      <c r="N24" s="56" t="s">
        <v>213</v>
      </c>
      <c r="P24" s="45"/>
    </row>
    <row r="25" ht="37.5" customHeight="1">
      <c r="A25" s="65"/>
      <c r="B25" s="57"/>
      <c r="C25" s="57"/>
      <c r="D25" s="70">
        <v>2.0</v>
      </c>
      <c r="E25" s="59" t="str">
        <f>IFERROR(__xludf.DUMMYFUNCTION("IF(COUNTIF(WEEKLY_TEAMS!$BK$3:$BK$99, F25) &gt; 0, ""GOALS: "" &amp; TEXTJOIN(""; "", TRUE, IFERROR(FILTER(WEEKLY_TEAMS!B3:B99 &amp; "" [ "" &amp; #REF! &amp; "" ]"", WEEKLY_TEAMS!$BK$3:$BK$99 = F25, #REF! &gt; 0), """")) &amp; CHAR(10) &amp; CHAR(10) &amp;
""CLEAN SHEETS: "" &amp; TEXTJOIN("&amp;"""; "", TRUE, IFERROR(FILTER(WEEKLY_TEAMS!$B$3:$B$99 &amp; "" [ "" &amp; #REF! &amp; "" ]"", WEEKLY_TEAMS!$BK$3:$BK$99 = F25, #REF! &gt; 0), """")), """")
"),"GOALS: 
CLEAN SHEETS: ")</f>
        <v>GOALS: 
CLEAN SHEETS: </v>
      </c>
      <c r="F25" s="71" t="s">
        <v>138</v>
      </c>
      <c r="G25" s="76">
        <v>2.0</v>
      </c>
      <c r="H25" s="52" t="s">
        <v>202</v>
      </c>
      <c r="I25" s="76">
        <v>1.0</v>
      </c>
      <c r="J25" s="71" t="s">
        <v>141</v>
      </c>
      <c r="K25" s="70" t="str">
        <f t="shared" si="1"/>
        <v>BLUE</v>
      </c>
      <c r="L25" s="70">
        <f t="shared" si="2"/>
        <v>2</v>
      </c>
      <c r="M25" s="64" t="str">
        <f>IFERROR(__xludf.DUMMYFUNCTION("IF(COUNTIF(WEEKLY_TEAMS!$BK$3:$BK$99, J25) &gt; 0, ""GOALS: "" &amp; TEXTJOIN(""; "", TRUE, IFERROR(FILTER(WEEKLY_TEAMS!B3:B99 &amp; "" [ "" &amp; #REF! &amp; "" ]"", WEEKLY_TEAMS!$BK$3:$BK$99 = J25, #REF! &gt; 0), """")) &amp; CHAR(10) &amp; CHAR(10) &amp;
""CLEAN SHEETS: "" &amp; TEXTJOIN("&amp;"""; "", TRUE, IFERROR(FILTER(WEEKLY_TEAMS!$B$3:$B$99 &amp; "" [ "" &amp; #REF! &amp; "" ]"", WEEKLY_TEAMS!$BK$3:$BK$99 = J25, #REF! &gt; 0), """")), """")
"),"GOALS: 
CLEAN SHEETS: ")</f>
        <v>GOALS: 
CLEAN SHEETS: </v>
      </c>
      <c r="N25" s="57"/>
      <c r="O25" s="57"/>
      <c r="P25" s="45"/>
    </row>
    <row r="26" ht="37.5" customHeight="1">
      <c r="A26" s="46"/>
      <c r="B26" s="47">
        <v>7.0</v>
      </c>
      <c r="C26" s="47" t="s">
        <v>214</v>
      </c>
      <c r="D26" s="48">
        <v>1.0</v>
      </c>
      <c r="E26" s="49" t="str">
        <f>IFERROR(__xludf.DUMMYFUNCTION("IF(COUNTIF(WEEKLY_TEAMS!$BW$3:$BW$99, F26) &gt; 0, ""GOALS: "" &amp; TEXTJOIN(""; "", TRUE, IFERROR(FILTER(WEEKLY_TEAMS!B3:B99 &amp; "" [ "" &amp; WEEKLY_TEAMS!$CD$3:$CD$99 &amp; "" ]"", WEEKLY_TEAMS!$BW$3:$BW$99 = F26, WEEKLY_TEAMS!$CD$3:$CD$99 &gt; 0), """")) &amp; CHAR(10) &amp; CH"&amp;"AR(10) &amp;
""CLEAN SHEETS: "" &amp; TEXTJOIN(""; "", TRUE, IFERROR(FILTER(WEEKLY_TEAMS!$B$3:$B$99 &amp; "" [ "" &amp; WEEKLY_TEAMS!$CF$3:$CF$99 &amp; "" ]"", WEEKLY_TEAMS!$BW$3:$BW$99 = F26, WEEKLY_TEAMS!$CF$3:$CF$99 &gt; 0), """")), """")
"),"GOALS: Valencia [ 2 ]; Christian [ 1 ]; Mikey [ 1 ]
CLEAN SHEETS: ")</f>
        <v>GOALS: Valencia [ 2 ]; Christian [ 1 ]; Mikey [ 1 ]
CLEAN SHEETS: </v>
      </c>
      <c r="F26" s="50" t="s">
        <v>138</v>
      </c>
      <c r="G26" s="77">
        <v>2.0</v>
      </c>
      <c r="H26" s="52" t="s">
        <v>202</v>
      </c>
      <c r="I26" s="77">
        <v>1.0</v>
      </c>
      <c r="J26" s="50" t="s">
        <v>139</v>
      </c>
      <c r="K26" s="53" t="str">
        <f t="shared" si="1"/>
        <v>BLUE</v>
      </c>
      <c r="L26" s="53">
        <f t="shared" si="2"/>
        <v>2</v>
      </c>
      <c r="M26" s="55" t="str">
        <f>IFERROR(__xludf.DUMMYFUNCTION("IF(COUNTIF(WEEKLY_TEAMS!$BW$3:$BW$99, J26) &gt; 0, ""GOALS: "" &amp; TEXTJOIN(""; "", TRUE, IFERROR(FILTER(WEEKLY_TEAMS!B3:B99 &amp; "" [ "" &amp; WEEKLY_TEAMS!$CD$3:$CD$99 &amp; "" ]"", WEEKLY_TEAMS!$BW$3:$BW$99 = J26, WEEKLY_TEAMS!$CD$3:$CD$99 &gt; 0), """")) &amp; CHAR(10) &amp; CH"&amp;"AR(10) &amp;
""CLEAN SHEETS: "" &amp; TEXTJOIN(""; "", TRUE, IFERROR(FILTER(WEEKLY_TEAMS!$B$3:$B$99 &amp; "" [ "" &amp; WEEKLY_TEAMS!$CF$3:$CF$99 &amp; "" ]"", WEEKLY_TEAMS!$BW$3:$BW$99 = J26, WEEKLY_TEAMS!$CF$3:$CF$99 &gt; 0), """")), """")
"),"GOALS: Gerardo [ 1 ]
CLEAN SHEETS: ")</f>
        <v>GOALS: Gerardo [ 1 ]
CLEAN SHEETS: </v>
      </c>
      <c r="N26" s="56" t="s">
        <v>214</v>
      </c>
      <c r="O26" s="56">
        <v>7.0</v>
      </c>
      <c r="P26" s="45"/>
    </row>
    <row r="27" ht="37.5" customHeight="1">
      <c r="A27" s="46"/>
      <c r="C27" s="57"/>
      <c r="D27" s="58">
        <v>2.0</v>
      </c>
      <c r="E27" s="59" t="str">
        <f>IFERROR(__xludf.DUMMYFUNCTION("IF(COUNTIF(WEEKLY_TEAMS!$BW$3:$BW$99, F27) &gt; 0, ""GOALS: "" &amp; TEXTJOIN(""; "", TRUE, IFERROR(FILTER(WEEKLY_TEAMS!B3:B99 &amp; "" [ "" &amp; WEEKLY_TEAMS!$CD$3:$CD$99 &amp; "" ]"", WEEKLY_TEAMS!$BW$3:$BW$99 = F27, WEEKLY_TEAMS!$CD$3:$CD$99 &gt; 0), """")) &amp; CHAR(10) &amp; CH"&amp;"AR(10) &amp;
""CLEAN SHEETS: "" &amp; TEXTJOIN(""; "", TRUE, IFERROR(FILTER(WEEKLY_TEAMS!$B$3:$B$99 &amp; "" [ "" &amp; WEEKLY_TEAMS!$CF$3:$CF$99 &amp; "" ]"", WEEKLY_TEAMS!$BW$3:$BW$99 = F27, WEEKLY_TEAMS!$CF$3:$CF$99 &gt; 0), """")), """")
"),"GOALS: Cuñis 👨🏽‍🤝‍👨🏼 Karter [ 1 ]; Eder [ 1 ]
CLEAN SHEETS: Fabian [ 1 ]")</f>
        <v>GOALS: Cuñis 👨🏽‍🤝‍👨🏼 Karter [ 1 ]; Eder [ 1 ]
CLEAN SHEETS: Fabian [ 1 ]</v>
      </c>
      <c r="F27" s="60" t="s">
        <v>141</v>
      </c>
      <c r="G27" s="78">
        <v>2.0</v>
      </c>
      <c r="H27" s="52" t="s">
        <v>202</v>
      </c>
      <c r="I27" s="78">
        <v>0.0</v>
      </c>
      <c r="J27" s="60" t="s">
        <v>140</v>
      </c>
      <c r="K27" s="58" t="str">
        <f t="shared" si="1"/>
        <v>ORANGE</v>
      </c>
      <c r="L27" s="58">
        <f t="shared" si="2"/>
        <v>2</v>
      </c>
      <c r="M27" s="64" t="str">
        <f>IFERROR(__xludf.DUMMYFUNCTION("IF(COUNTIF(WEEKLY_TEAMS!$BW$3:$BW$99, J27) &gt; 0, ""GOALS: "" &amp; TEXTJOIN(""; "", TRUE, IFERROR(FILTER(WEEKLY_TEAMS!B3:B99 &amp; "" [ "" &amp; WEEKLY_TEAMS!$CD$3:$CD$99 &amp; "" ]"", WEEKLY_TEAMS!$BW$3:$BW$99 = J27, WEEKLY_TEAMS!$CD$3:$CD$99 &gt; 0), """")) &amp; CHAR(10) &amp; CH"&amp;"AR(10) &amp;
""CLEAN SHEETS: "" &amp; TEXTJOIN(""; "", TRUE, IFERROR(FILTER(WEEKLY_TEAMS!$B$3:$B$99 &amp; "" [ "" &amp; WEEKLY_TEAMS!$CF$3:$CF$99 &amp; "" ]"", WEEKLY_TEAMS!$BW$3:$BW$99 = J27, WEEKLY_TEAMS!$CF$3:$CF$99 &gt; 0), """")), """")
"),"GOALS: Chato 👨🏻‍🤝‍👨🏽 Miguel [ 1 ]
CLEAN SHEETS: ")</f>
        <v>GOALS: Chato 👨🏻‍🤝‍👨🏽 Miguel [ 1 ]
CLEAN SHEETS: </v>
      </c>
      <c r="N27" s="57"/>
      <c r="P27" s="45"/>
    </row>
    <row r="28" ht="37.5" customHeight="1">
      <c r="A28" s="46"/>
      <c r="C28" s="47" t="s">
        <v>215</v>
      </c>
      <c r="D28" s="48">
        <v>1.0</v>
      </c>
      <c r="E28" s="49" t="str">
        <f>IFERROR(__xludf.DUMMYFUNCTION("IF(COUNTIF(WEEKLY_TEAMS!$BW$3:$BW$99, F28) &gt; 0, ""GOALS: "" &amp; TEXTJOIN(""; "", TRUE, IFERROR(FILTER(WEEKLY_TEAMS!B3:B99 &amp; "" [ "" &amp; #REF! &amp; "" ]"", WEEKLY_TEAMS!$BW$3:$BW$99 = F28, #REF! &gt; 0), """")) &amp; CHAR(10) &amp; CHAR(10) &amp;
""CLEAN SHEETS: "" &amp; TEXTJOIN("&amp;"""; "", TRUE, IFERROR(FILTER(WEEKLY_TEAMS!$B$3:$B$99 &amp; "" [ "" &amp; #REF! &amp; "" ]"", WEEKLY_TEAMS!$BW$3:$BW$99 = F28, #REF! &gt; 0), """")), """")
"),"GOALS: 
CLEAN SHEETS: ")</f>
        <v>GOALS: 
CLEAN SHEETS: </v>
      </c>
      <c r="F28" s="50" t="s">
        <v>139</v>
      </c>
      <c r="G28" s="77">
        <v>1.0</v>
      </c>
      <c r="H28" s="52" t="s">
        <v>202</v>
      </c>
      <c r="I28" s="77">
        <v>2.0</v>
      </c>
      <c r="J28" s="50" t="s">
        <v>140</v>
      </c>
      <c r="K28" s="53" t="str">
        <f t="shared" si="1"/>
        <v>GREEN</v>
      </c>
      <c r="L28" s="53">
        <f t="shared" si="2"/>
        <v>2</v>
      </c>
      <c r="M28" s="55" t="str">
        <f>IFERROR(__xludf.DUMMYFUNCTION("IF(COUNTIF(WEEKLY_TEAMS!$BW$3:$BW$99, J28) &gt; 0, ""GOALS: "" &amp; TEXTJOIN(""; "", TRUE, IFERROR(FILTER(WEEKLY_TEAMS!B3:B99 &amp; "" [ "" &amp; #REF! &amp; "" ]"", WEEKLY_TEAMS!$BW$3:$BW$99 = J28, #REF! &gt; 0), """")) &amp; CHAR(10) &amp; CHAR(10) &amp;
""CLEAN SHEETS: "" &amp; TEXTJOIN("&amp;"""; "", TRUE, IFERROR(FILTER(WEEKLY_TEAMS!$B$3:$B$99 &amp; "" [ "" &amp; #REF! &amp; "" ]"", WEEKLY_TEAMS!$BW$3:$BW$99 = J28, #REF! &gt; 0), """")), """")
"),"GOALS: 
CLEAN SHEETS: ")</f>
        <v>GOALS: 
CLEAN SHEETS: </v>
      </c>
      <c r="N28" s="56" t="s">
        <v>215</v>
      </c>
      <c r="P28" s="45"/>
    </row>
    <row r="29" ht="37.5" customHeight="1">
      <c r="A29" s="65"/>
      <c r="B29" s="57"/>
      <c r="C29" s="57"/>
      <c r="D29" s="58">
        <v>2.0</v>
      </c>
      <c r="E29" s="59" t="str">
        <f>IFERROR(__xludf.DUMMYFUNCTION("IF(COUNTIF(WEEKLY_TEAMS!$BW$3:$BW$99, F29) &gt; 0, ""GOALS: "" &amp; TEXTJOIN(""; "", TRUE, IFERROR(FILTER(WEEKLY_TEAMS!B3:B99 &amp; "" [ "" &amp; #REF! &amp; "" ]"", WEEKLY_TEAMS!$BW$3:$BW$99 = F29, #REF! &gt; 0), """")) &amp; CHAR(10) &amp; CHAR(10) &amp;
""CLEAN SHEETS: "" &amp; TEXTJOIN("&amp;"""; "", TRUE, IFERROR(FILTER(WEEKLY_TEAMS!$B$3:$B$99 &amp; "" [ "" &amp; #REF! &amp; "" ]"", WEEKLY_TEAMS!$BW$3:$BW$99 = F29, #REF! &gt; 0), """")), """")
"),"GOALS: 
CLEAN SHEETS: ")</f>
        <v>GOALS: 
CLEAN SHEETS: </v>
      </c>
      <c r="F29" s="60" t="s">
        <v>138</v>
      </c>
      <c r="G29" s="78">
        <v>3.0</v>
      </c>
      <c r="H29" s="52" t="s">
        <v>202</v>
      </c>
      <c r="I29" s="78">
        <v>0.0</v>
      </c>
      <c r="J29" s="60" t="s">
        <v>141</v>
      </c>
      <c r="K29" s="58" t="str">
        <f t="shared" si="1"/>
        <v>BLUE</v>
      </c>
      <c r="L29" s="58">
        <f t="shared" si="2"/>
        <v>2</v>
      </c>
      <c r="M29" s="64" t="str">
        <f>IFERROR(__xludf.DUMMYFUNCTION("IF(COUNTIF(WEEKLY_TEAMS!$BW$3:$BW$99, J29) &gt; 0, ""GOALS: "" &amp; TEXTJOIN(""; "", TRUE, IFERROR(FILTER(WEEKLY_TEAMS!B3:B99 &amp; "" [ "" &amp; #REF! &amp; "" ]"", WEEKLY_TEAMS!$BW$3:$BW$99 = J29, #REF! &gt; 0), """")) &amp; CHAR(10) &amp; CHAR(10) &amp;
""CLEAN SHEETS: "" &amp; TEXTJOIN("&amp;"""; "", TRUE, IFERROR(FILTER(WEEKLY_TEAMS!$B$3:$B$99 &amp; "" [ "" &amp; #REF! &amp; "" ]"", WEEKLY_TEAMS!$BW$3:$BW$99 = J29, #REF! &gt; 0), """")), """")
"),"GOALS: 
CLEAN SHEETS: ")</f>
        <v>GOALS: 
CLEAN SHEETS: </v>
      </c>
      <c r="N29" s="57"/>
      <c r="O29" s="57"/>
      <c r="P29" s="45"/>
    </row>
    <row r="30" ht="37.5" customHeight="1">
      <c r="A30" s="46"/>
      <c r="B30" s="79">
        <v>8.0</v>
      </c>
      <c r="C30" s="47" t="s">
        <v>216</v>
      </c>
      <c r="D30" s="66">
        <v>1.0</v>
      </c>
      <c r="E30" s="49" t="str">
        <f>IFERROR(__xludf.DUMMYFUNCTION("IF(COUNTIF(WEEKLY_TEAMS!$CI$3:$CI$99, F30) &gt; 0, ""GOALS: "" &amp; TEXTJOIN(""; "", TRUE, IFERROR(FILTER(WEEKLY_TEAMS!B3:B99 &amp; "" [ "" &amp; WEEKLY_TEAMS!$CP$3:$CP$99 &amp; "" ]"", WEEKLY_TEAMS!$CI$3:$CI$99 = F30, WEEKLY_TEAMS!$CP$3:$CP$99 &gt; 0), """")) &amp; CHAR(10) &amp; CH"&amp;"AR(10) &amp;
""CLEAN SHEETS: "" &amp; TEXTJOIN(""; "", TRUE, IFERROR(FILTER(WEEKLY_TEAMS!$B$3:$B$99 &amp; "" [ "" &amp; WEEKLY_TEAMS!$CR$3:$CR$99 &amp; "" ]"", WEEKLY_TEAMS!$CI$3:$CI$99 = F30, WEEKLY_TEAMS!$CR$3:$CR$99 &gt; 0), """")), """")
"),"GOALS: 🏆 Jordan [  ]; Fer [  ]; Gerardo [ 2 ]; Rodrigo Mena [ 1 ]; Alex [  ]; Carlos Haro [  ]; 🔄 (Enerson) [  ]; 🔄 (Jhony S) [  ]; 🔄 (Victor) [  ]
CLEAN SHEETS: 🏆 Jordan [  ]; Fer [ 1 ]; Gerardo [  ]; Rodrigo Mena [  ]; Alex [  ]; Carlos Haro [  ];"&amp;" 🔄 (Enerson) [  ]; 🔄 (Jhony S) [  ]; 🔄 (Victor) [  ]")</f>
        <v>GOALS: 🏆 Jordan [  ]; Fer [  ]; Gerardo [ 2 ]; Rodrigo Mena [ 1 ]; Alex [  ]; Carlos Haro [  ]; 🔄 (Enerson) [  ]; 🔄 (Jhony S) [  ]; 🔄 (Victor) [  ]
CLEAN SHEETS: 🏆 Jordan [  ]; Fer [ 1 ]; Gerardo [  ]; Rodrigo Mena [  ]; Alex [  ]; Carlos Haro [  ]; 🔄 (Enerson) [  ]; 🔄 (Jhony S) [  ]; 🔄 (Victor) [  ]</v>
      </c>
      <c r="F30" s="67" t="s">
        <v>141</v>
      </c>
      <c r="G30" s="75">
        <v>3.0</v>
      </c>
      <c r="H30" s="52" t="s">
        <v>202</v>
      </c>
      <c r="I30" s="75">
        <v>1.0</v>
      </c>
      <c r="J30" s="67" t="s">
        <v>139</v>
      </c>
      <c r="K30" s="69" t="str">
        <f t="shared" si="1"/>
        <v>ORANGE</v>
      </c>
      <c r="L30" s="69">
        <f t="shared" si="2"/>
        <v>2</v>
      </c>
      <c r="M30" s="55" t="str">
        <f>IFERROR(__xludf.DUMMYFUNCTION("IF(COUNTIF(WEEKLY_TEAMS!$CI$3:$CI$99, J30) &gt; 0, ""GOALS: "" &amp; TEXTJOIN(""; "", TRUE, IFERROR(FILTER(WEEKLY_TEAMS!B3:B99 &amp; "" [ "" &amp; WEEKLY_TEAMS!$CP$3:$CP$99 &amp; "" ]"", WEEKLY_TEAMS!$CI$3:$CI$99 = J30, WEEKLY_TEAMS!$CP$3:$CP$99 &gt; 0), """")) &amp; CHAR(10) &amp; CH"&amp;"AR(10) &amp;
""CLEAN SHEETS: "" &amp; TEXTJOIN(""; "", TRUE, IFERROR(FILTER(WEEKLY_TEAMS!$B$3:$B$99 &amp; "" [ "" &amp; WEEKLY_TEAMS!$CR$3:$CR$99 &amp; "" ]"", WEEKLY_TEAMS!$CI$3:$CI$99 = J30, WEEKLY_TEAMS!$CR$3:$CR$99 &gt; 0), """")), """")
"),"GOALS: Osmin [  ]; Cuñis 👨🏽‍🤝‍👨🏼 Karter [  ]; Ruben [  ]; V. Nizama [  ]; Guille 👨🏻‍🤝‍👨🏾 Mike [  ]; Eder [  ]; 🔄 (Jhonatan A) [  ]; 🔄 (Valverde) [  ]; 🔄 (Nicolas) [  ]
CLEAN SHEETS: Osmin [  ]; Cuñis 👨🏽‍🤝‍👨🏼 Karter [  ]; Ruben [  ]; V. "&amp;"Nizama [  ]; Guille 👨🏻‍🤝‍👨🏾 Mike [  ]; Eder [  ]; 🔄 (Jhonatan A) [  ]; 🔄 (Valverde) [  ]; 🔄 (Nicolas) [  ]")</f>
        <v>GOALS: Osmin [  ]; Cuñis 👨🏽‍🤝‍👨🏼 Karter [  ]; Ruben [  ]; V. Nizama [  ]; Guille 👨🏻‍🤝‍👨🏾 Mike [  ]; Eder [  ]; 🔄 (Jhonatan A) [  ]; 🔄 (Valverde) [  ]; 🔄 (Nicolas) [  ]
CLEAN SHEETS: Osmin [  ]; Cuñis 👨🏽‍🤝‍👨🏼 Karter [  ]; Ruben [  ]; V. Nizama [  ]; Guille 👨🏻‍🤝‍👨🏾 Mike [  ]; Eder [  ]; 🔄 (Jhonatan A) [  ]; 🔄 (Valverde) [  ]; 🔄 (Nicolas) [  ]</v>
      </c>
      <c r="N30" s="56" t="s">
        <v>216</v>
      </c>
      <c r="O30" s="80">
        <v>8.0</v>
      </c>
      <c r="P30" s="45"/>
    </row>
    <row r="31" ht="37.5" customHeight="1">
      <c r="A31" s="46"/>
      <c r="C31" s="57"/>
      <c r="D31" s="70">
        <v>2.0</v>
      </c>
      <c r="E31" s="59" t="str">
        <f>IFERROR(__xludf.DUMMYFUNCTION("IF(COUNTIF(WEEKLY_TEAMS!$CI$3:$CI$99, F31) &gt; 0, ""GOALS: "" &amp; TEXTJOIN(""; "", TRUE, IFERROR(FILTER(WEEKLY_TEAMS!B3:B99 &amp; "" [ "" &amp; WEEKLY_TEAMS!$CP$3:$CP$99 &amp; "" ]"", WEEKLY_TEAMS!$CI$3:$CI$99 = F31, WEEKLY_TEAMS!$CP$3:$CP$99 &gt; 0), """")) &amp; CHAR(10) &amp; CH"&amp;"AR(10) &amp;
""CLEAN SHEETS: "" &amp; TEXTJOIN(""; "", TRUE, IFERROR(FILTER(WEEKLY_TEAMS!$B$3:$B$99 &amp; "" [ "" &amp; WEEKLY_TEAMS!$CR$3:$CR$99 &amp; "" ]"", WEEKLY_TEAMS!$CI$3:$CI$99 = F31, WEEKLY_TEAMS!$CR$3:$CR$99 &gt; 0), """")), """")
"),"GOALS: Valencia [  ]; Asdruval [  ]; Gus [  ]; Chato 👨🏻‍🤝‍👨🏽 Miguel [ 1 ]; Christian [  ]; Mikey [  ]; Jose Blanco [  ]; David [  ]; Chavito [  ]
CLEAN SHEETS: Valencia [  ]; Asdruval [  ]; Gus [  ]; Chato 👨🏻‍🤝‍👨🏽 Miguel [  ]; Christian [  ]; M"&amp;"ikey [  ]; Jose Blanco [ 1 ]; David [  ]; Chavito [  ]")</f>
        <v>GOALS: Valencia [  ]; Asdruval [  ]; Gus [  ]; Chato 👨🏻‍🤝‍👨🏽 Miguel [ 1 ]; Christian [  ]; Mikey [  ]; Jose Blanco [  ]; David [  ]; Chavito [  ]
CLEAN SHEETS: Valencia [  ]; Asdruval [  ]; Gus [  ]; Chato 👨🏻‍🤝‍👨🏽 Miguel [  ]; Christian [  ]; Mikey [  ]; Jose Blanco [ 1 ]; David [  ]; Chavito [  ]</v>
      </c>
      <c r="F31" s="71" t="s">
        <v>138</v>
      </c>
      <c r="G31" s="76">
        <v>0.0</v>
      </c>
      <c r="H31" s="52" t="s">
        <v>202</v>
      </c>
      <c r="I31" s="76">
        <v>1.0</v>
      </c>
      <c r="J31" s="71" t="s">
        <v>140</v>
      </c>
      <c r="K31" s="70" t="str">
        <f t="shared" si="1"/>
        <v>GREEN</v>
      </c>
      <c r="L31" s="70">
        <f t="shared" si="2"/>
        <v>2</v>
      </c>
      <c r="M31" s="64" t="str">
        <f>IFERROR(__xludf.DUMMYFUNCTION("IF(COUNTIF(WEEKLY_TEAMS!$CI$3:$CI$99, J31) &gt; 0, ""GOALS: "" &amp; TEXTJOIN(""; "", TRUE, IFERROR(FILTER(WEEKLY_TEAMS!B3:B99 &amp; "" [ "" &amp; WEEKLY_TEAMS!$CP$3:$CP$99 &amp; "" ]"", WEEKLY_TEAMS!$CI$3:$CI$99 = J31, WEEKLY_TEAMS!$CP$3:$CP$99 &gt; 0), """")) &amp; CHAR(10) &amp; CH"&amp;"AR(10) &amp;
""CLEAN SHEETS: "" &amp; TEXTJOIN(""; "", TRUE, IFERROR(FILTER(WEEKLY_TEAMS!$B$3:$B$99 &amp; "" [ "" &amp; WEEKLY_TEAMS!$CR$3:$CR$99 &amp; "" ]"", WEEKLY_TEAMS!$CI$3:$CI$99 = J31, WEEKLY_TEAMS!$CR$3:$CR$99 &gt; 0), """")), """")
"),"GOALS: Fabian [  ]; Pirlo [  ]; Rob 👬🏽 Toño [  ]; Chilas 👨🏻‍🤝‍👨🏾 Netto [  ]; Kevin [  ]; Efra [  ]; Alexis 👨🏾‍🤝‍👨🏿 Lopez [  ]; 🔄 (Rudy) [  ]; 🔄 (Yan Carlos) [  ]
CLEAN SHEETS: Fabian [ 1 ]; Pirlo [  ]; Rob 👬🏽 Toño [  ]; Chilas 👨🏻‍🤝‍👨"&amp;"🏾 Netto [  ]; Kevin [  ]; Efra [  ]; Alexis 👨🏾‍🤝‍👨🏿 Lopez [  ]; 🔄 (Rudy) [  ]; 🔄 (Yan Carlos) [  ]")</f>
        <v>GOALS: Fabian [  ]; Pirlo [  ]; Rob 👬🏽 Toño [  ]; Chilas 👨🏻‍🤝‍👨🏾 Netto [  ]; Kevin [  ]; Efra [  ]; Alexis 👨🏾‍🤝‍👨🏿 Lopez [  ]; 🔄 (Rudy) [  ]; 🔄 (Yan Carlos) [  ]
CLEAN SHEETS: Fabian [ 1 ]; Pirlo [  ]; Rob 👬🏽 Toño [  ]; Chilas 👨🏻‍🤝‍👨🏾 Netto [  ]; Kevin [  ]; Efra [  ]; Alexis 👨🏾‍🤝‍👨🏿 Lopez [  ]; 🔄 (Rudy) [  ]; 🔄 (Yan Carlos) [  ]</v>
      </c>
      <c r="N31" s="57"/>
      <c r="P31" s="45"/>
    </row>
    <row r="32" ht="37.5" customHeight="1">
      <c r="A32" s="46"/>
      <c r="C32" s="47" t="s">
        <v>217</v>
      </c>
      <c r="D32" s="66">
        <v>1.0</v>
      </c>
      <c r="E32" s="49" t="str">
        <f>IFERROR(__xludf.DUMMYFUNCTION("IF(COUNTIF(WEEKLY_TEAMS!$CI$3:$CI$99, F32) &gt; 0, ""GOALS: "" &amp; TEXTJOIN(""; "", TRUE, IFERROR(FILTER(WEEKLY_TEAMS!B3:B99 &amp; "" [ "" &amp; #REF! &amp; "" ]"", WEEKLY_TEAMS!$CI$3:$CI$99 = F32, #REF! &gt; 0), """")) &amp; CHAR(10) &amp; CHAR(10) &amp;
""CLEAN SHEETS: "" &amp; TEXTJOIN("&amp;"""; "", TRUE, IFERROR(FILTER(WEEKLY_TEAMS!$B$3:$B$99 &amp; "" [ "" &amp; #REF! &amp; "" ]"", WEEKLY_TEAMS!$CI$3:$CI$99 = F32, #REF! &gt; 0), """")), """")
"),"GOALS: 
CLEAN SHEETS: ")</f>
        <v>GOALS: 
CLEAN SHEETS: </v>
      </c>
      <c r="F32" s="67" t="s">
        <v>140</v>
      </c>
      <c r="G32" s="75">
        <v>0.0</v>
      </c>
      <c r="H32" s="52" t="s">
        <v>202</v>
      </c>
      <c r="I32" s="75">
        <v>3.0</v>
      </c>
      <c r="J32" s="67" t="s">
        <v>141</v>
      </c>
      <c r="K32" s="69" t="str">
        <f t="shared" si="1"/>
        <v>ORANGE</v>
      </c>
      <c r="L32" s="69">
        <f t="shared" si="2"/>
        <v>2</v>
      </c>
      <c r="M32" s="55" t="str">
        <f>IFERROR(__xludf.DUMMYFUNCTION("IF(COUNTIF(WEEKLY_TEAMS!$CI$3:$CI$99, J32) &gt; 0, ""GOALS: "" &amp; TEXTJOIN(""; "", TRUE, IFERROR(FILTER(WEEKLY_TEAMS!B3:B99 &amp; "" [ "" &amp; #REF! &amp; "" ]"", WEEKLY_TEAMS!$CI$3:$CI$99 = J32, #REF! &gt; 0), """")) &amp; CHAR(10) &amp; CHAR(10) &amp;
""CLEAN SHEETS: "" &amp; TEXTJOIN("&amp;"""; "", TRUE, IFERROR(FILTER(WEEKLY_TEAMS!$B$3:$B$99 &amp; "" [ "" &amp; #REF! &amp; "" ]"", WEEKLY_TEAMS!$CI$3:$CI$99 = J32, #REF! &gt; 0), """")), """")
"),"GOALS: 
CLEAN SHEETS: ")</f>
        <v>GOALS: 
CLEAN SHEETS: </v>
      </c>
      <c r="N32" s="56" t="s">
        <v>217</v>
      </c>
      <c r="P32" s="45"/>
    </row>
    <row r="33" ht="37.5" customHeight="1">
      <c r="A33" s="65"/>
      <c r="B33" s="57"/>
      <c r="C33" s="57"/>
      <c r="D33" s="70">
        <v>2.0</v>
      </c>
      <c r="E33" s="59" t="str">
        <f>IFERROR(__xludf.DUMMYFUNCTION("IF(COUNTIF(WEEKLY_TEAMS!$CI$3:$CI$99, F33) &gt; 0, ""GOALS: "" &amp; TEXTJOIN(""; "", TRUE, IFERROR(FILTER(WEEKLY_TEAMS!B3:B99 &amp; "" [ "" &amp; #REF! &amp; "" ]"", WEEKLY_TEAMS!$CI$3:$CI$99 = F33, #REF! &gt; 0), """")) &amp; CHAR(10) &amp; CHAR(10) &amp;
""CLEAN SHEETS: "" &amp; TEXTJOIN("&amp;"""; "", TRUE, IFERROR(FILTER(WEEKLY_TEAMS!$B$3:$B$99 &amp; "" [ "" &amp; #REF! &amp; "" ]"", WEEKLY_TEAMS!$CI$3:$CI$99 = F33, #REF! &gt; 0), """")), """")
"),"GOALS: 
CLEAN SHEETS: ")</f>
        <v>GOALS: 
CLEAN SHEETS: </v>
      </c>
      <c r="F33" s="71" t="s">
        <v>139</v>
      </c>
      <c r="G33" s="76">
        <v>0.0</v>
      </c>
      <c r="H33" s="52" t="s">
        <v>202</v>
      </c>
      <c r="I33" s="76">
        <v>1.0</v>
      </c>
      <c r="J33" s="71" t="s">
        <v>138</v>
      </c>
      <c r="K33" s="70" t="str">
        <f t="shared" si="1"/>
        <v>BLUE</v>
      </c>
      <c r="L33" s="70">
        <f t="shared" si="2"/>
        <v>2</v>
      </c>
      <c r="M33" s="64" t="str">
        <f>IFERROR(__xludf.DUMMYFUNCTION("IF(COUNTIF(WEEKLY_TEAMS!$CI$3:$CI$99, J33) &gt; 0, ""GOALS: "" &amp; TEXTJOIN(""; "", TRUE, IFERROR(FILTER(WEEKLY_TEAMS!B3:B99 &amp; "" [ "" &amp; #REF! &amp; "" ]"", WEEKLY_TEAMS!$CI$3:$CI$99 = J33, #REF! &gt; 0), """")) &amp; CHAR(10) &amp; CHAR(10) &amp;
""CLEAN SHEETS: "" &amp; TEXTJOIN("&amp;"""; "", TRUE, IFERROR(FILTER(WEEKLY_TEAMS!$B$3:$B$99 &amp; "" [ "" &amp; #REF! &amp; "" ]"", WEEKLY_TEAMS!$CI$3:$CI$99 = J33, #REF! &gt; 0), """")), """")
"),"GOALS: 
CLEAN SHEETS: ")</f>
        <v>GOALS: 
CLEAN SHEETS: </v>
      </c>
      <c r="N33" s="57"/>
      <c r="O33" s="57"/>
      <c r="P33" s="45"/>
    </row>
  </sheetData>
  <mergeCells count="48">
    <mergeCell ref="O30:O33"/>
    <mergeCell ref="N32:N33"/>
    <mergeCell ref="O18:O21"/>
    <mergeCell ref="N20:N21"/>
    <mergeCell ref="N22:N23"/>
    <mergeCell ref="O22:O25"/>
    <mergeCell ref="N24:N25"/>
    <mergeCell ref="N26:N27"/>
    <mergeCell ref="O26:O29"/>
    <mergeCell ref="B2:B5"/>
    <mergeCell ref="C2:C3"/>
    <mergeCell ref="N2:N3"/>
    <mergeCell ref="O2:O5"/>
    <mergeCell ref="C4:C5"/>
    <mergeCell ref="B6:B9"/>
    <mergeCell ref="O6:O9"/>
    <mergeCell ref="N8:N9"/>
    <mergeCell ref="B14:B17"/>
    <mergeCell ref="B18:B21"/>
    <mergeCell ref="B22:B25"/>
    <mergeCell ref="B26:B29"/>
    <mergeCell ref="B30:B33"/>
    <mergeCell ref="N16:N17"/>
    <mergeCell ref="N18:N19"/>
    <mergeCell ref="C18:C19"/>
    <mergeCell ref="C20:C21"/>
    <mergeCell ref="C22:C23"/>
    <mergeCell ref="C24:C25"/>
    <mergeCell ref="C26:C27"/>
    <mergeCell ref="C28:C29"/>
    <mergeCell ref="C30:C31"/>
    <mergeCell ref="C32:C33"/>
    <mergeCell ref="C6:C7"/>
    <mergeCell ref="C8:C9"/>
    <mergeCell ref="B10:B13"/>
    <mergeCell ref="C10:C11"/>
    <mergeCell ref="C12:C13"/>
    <mergeCell ref="C14:C15"/>
    <mergeCell ref="C16:C17"/>
    <mergeCell ref="N4:N5"/>
    <mergeCell ref="N6:N7"/>
    <mergeCell ref="N10:N11"/>
    <mergeCell ref="O10:O13"/>
    <mergeCell ref="N12:N13"/>
    <mergeCell ref="N14:N15"/>
    <mergeCell ref="O14:O17"/>
    <mergeCell ref="N28:N29"/>
    <mergeCell ref="N30:N31"/>
  </mergeCells>
  <conditionalFormatting sqref="F2:F33 J2:J33">
    <cfRule type="cellIs" dxfId="6" priority="1" operator="equal">
      <formula>"BLUE"</formula>
    </cfRule>
  </conditionalFormatting>
  <conditionalFormatting sqref="F2:F33 J2:J33">
    <cfRule type="cellIs" dxfId="7" priority="2" stopIfTrue="1" operator="equal">
      <formula>"MAGENTA"</formula>
    </cfRule>
  </conditionalFormatting>
  <conditionalFormatting sqref="F2:F33 J2:J33">
    <cfRule type="cellIs" dxfId="8" priority="3" stopIfTrue="1" operator="equal">
      <formula>"GREEN"</formula>
    </cfRule>
  </conditionalFormatting>
  <conditionalFormatting sqref="F2:F33 J2:J33">
    <cfRule type="cellIs" dxfId="9" priority="4" operator="equal">
      <formula>"ORANGE"</formula>
    </cfRule>
  </conditionalFormatting>
  <conditionalFormatting sqref="G2:I33">
    <cfRule type="notContainsBlanks" dxfId="10" priority="5">
      <formula>LEN(TRIM(G2))&gt;0</formula>
    </cfRule>
  </conditionalFormatting>
  <conditionalFormatting sqref="E2:E33">
    <cfRule type="expression" dxfId="11" priority="6">
      <formula>F2="BLUE"</formula>
    </cfRule>
  </conditionalFormatting>
  <conditionalFormatting sqref="E2:E33">
    <cfRule type="expression" dxfId="12" priority="7">
      <formula>F2="GREEN"</formula>
    </cfRule>
  </conditionalFormatting>
  <conditionalFormatting sqref="E2:E33">
    <cfRule type="expression" dxfId="13" priority="8">
      <formula>F2="MAGENTA"</formula>
    </cfRule>
  </conditionalFormatting>
  <conditionalFormatting sqref="E2:E33">
    <cfRule type="expression" dxfId="14" priority="9">
      <formula>F2="ORANGE"</formula>
    </cfRule>
  </conditionalFormatting>
  <conditionalFormatting sqref="M2:M33">
    <cfRule type="expression" dxfId="15" priority="10">
      <formula>J2="BLUE"</formula>
    </cfRule>
  </conditionalFormatting>
  <conditionalFormatting sqref="M2:M33">
    <cfRule type="expression" dxfId="12" priority="11">
      <formula>J2="GREEN"</formula>
    </cfRule>
  </conditionalFormatting>
  <conditionalFormatting sqref="M2:M33">
    <cfRule type="expression" dxfId="16" priority="12">
      <formula>J2="MAGENTA"</formula>
    </cfRule>
  </conditionalFormatting>
  <conditionalFormatting sqref="M2:M33">
    <cfRule type="expression" dxfId="14" priority="13">
      <formula>J2="ORANGE"</formula>
    </cfRule>
  </conditionalFormatting>
  <dataValidations>
    <dataValidation type="list" allowBlank="1" showErrorMessage="1" sqref="F2:F33 J2:J33">
      <formula1>"BLUE,GREEN,MAGENTA,ORANGE"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1.22" defaultRowHeight="15.0"/>
  <cols>
    <col customWidth="1" min="1" max="3" width="3.44"/>
    <col customWidth="1" min="4" max="4" width="9.33"/>
    <col customWidth="1" min="5" max="23" width="3.44"/>
  </cols>
  <sheetData>
    <row r="1" ht="7.5" customHeight="1">
      <c r="A1" s="81" t="s">
        <v>218</v>
      </c>
      <c r="B1" s="82" t="s">
        <v>219</v>
      </c>
      <c r="D1" s="83"/>
      <c r="I1" s="84"/>
      <c r="J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</row>
    <row r="2" ht="7.5" customHeight="1">
      <c r="A2" s="81" t="s">
        <v>220</v>
      </c>
      <c r="B2" s="86" t="s">
        <v>221</v>
      </c>
      <c r="I2" s="84" t="s">
        <v>222</v>
      </c>
      <c r="J2" s="87" t="s">
        <v>223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ht="7.5" customHeight="1">
      <c r="A3" s="81" t="s">
        <v>224</v>
      </c>
      <c r="B3" s="86" t="s">
        <v>225</v>
      </c>
      <c r="I3" s="88" t="s">
        <v>226</v>
      </c>
      <c r="J3" s="87" t="s">
        <v>227</v>
      </c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</row>
    <row r="4" ht="7.5" customHeight="1">
      <c r="A4" s="81" t="s">
        <v>228</v>
      </c>
      <c r="B4" s="86" t="s">
        <v>229</v>
      </c>
      <c r="I4" s="89" t="str">
        <f>IFERROR(__xludf.DUMMYFUNCTION("IFERROR(
  INDEX(
    'MATCH DATES'!B1:B9,
    MATCH(
      MAX(
        FILTER(
          'MATCH DATES'!A1:A9 + TIME(22, 0, 0),
          ('MATCH DATES'!A1:A9 + TIME(22, 0, 0)) &lt;= NOW()
        )
      ),
      'MATCH DATES'!A1:A9 + TIME(22, 0, 0),
     "&amp;" 0
    )
  ),
  """"
)
"),"MATCH DAY 8")</f>
        <v>MATCH DAY 8</v>
      </c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</row>
    <row r="5" ht="7.5" customHeight="1">
      <c r="A5" s="81" t="s">
        <v>230</v>
      </c>
      <c r="B5" s="86" t="s">
        <v>231</v>
      </c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</row>
    <row r="6" ht="7.5" customHeight="1">
      <c r="A6" s="81" t="s">
        <v>232</v>
      </c>
      <c r="B6" s="86" t="s">
        <v>233</v>
      </c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</row>
    <row r="7" ht="7.5" customHeight="1">
      <c r="A7" s="81" t="s">
        <v>234</v>
      </c>
      <c r="B7" s="86" t="s">
        <v>235</v>
      </c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</row>
    <row r="8" ht="7.5" customHeight="1">
      <c r="A8" s="81" t="s">
        <v>236</v>
      </c>
      <c r="B8" s="86" t="s">
        <v>237</v>
      </c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</row>
    <row r="9" ht="15.75" customHeight="1">
      <c r="A9" s="90"/>
      <c r="B9" s="91" t="s">
        <v>238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</row>
    <row r="10" ht="15.75" customHeight="1">
      <c r="A10" s="93"/>
      <c r="B10" s="86" t="s">
        <v>239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</row>
    <row r="11" ht="15.75" customHeight="1">
      <c r="A11" s="94"/>
      <c r="B11" s="86" t="s">
        <v>240</v>
      </c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ht="15.75" customHeight="1">
      <c r="A12" s="96" t="s">
        <v>241</v>
      </c>
      <c r="B12" s="96" t="s">
        <v>242</v>
      </c>
      <c r="C12" s="97"/>
      <c r="D12" s="98" t="s">
        <v>28</v>
      </c>
      <c r="E12" s="98" t="s">
        <v>220</v>
      </c>
      <c r="F12" s="98" t="s">
        <v>218</v>
      </c>
      <c r="G12" s="98" t="s">
        <v>224</v>
      </c>
      <c r="H12" s="98" t="s">
        <v>228</v>
      </c>
      <c r="I12" s="98" t="s">
        <v>230</v>
      </c>
      <c r="J12" s="98" t="s">
        <v>232</v>
      </c>
      <c r="K12" s="98" t="s">
        <v>234</v>
      </c>
      <c r="L12" s="98" t="s">
        <v>236</v>
      </c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</row>
    <row r="13" ht="15.75" customHeight="1">
      <c r="A13" s="99" t="str">
        <f t="array" ref="A13">INDEX(FORM!$B$2:$J$99, MATCH(D13, FORM!$A$2:$A$99, 0), MATCH($I$4, FORM!$B$1:$J$1, 0))</f>
        <v>=</v>
      </c>
      <c r="B13" s="100">
        <v>1.0</v>
      </c>
      <c r="C13" s="100" t="str">
        <f t="array" ref="C13:L109">SORT(
  {
    WEEKLY_TEAMS!CV3:CV99,
    IF(WEEKLY_TEAMS!CW3:CW99="", 0, WEEKLY_TEAMS!CW3:CW99),
    IF(WEEKLY_TEAMS!CX3:CX99="", 0, WEEKLY_TEAMS!CX3:CX99),
    IF(WEEKLY_TEAMS!CY3:CY99="", 0, WEEKLY_TEAMS!CY3:CY99),
    IF(WEEKLY_TEAMS!CZ3:CZ99="", 0, WEEKLY_TEAMS!CZ3:CZ99),
    IF(WEEKLY_TEAMS!DA3:DA99="", 0, WEEKLY_TEAMS!DA3:DA99),
    IF(WEEKLY_TEAMS!DB3:DB99="", 0, WEEKLY_TEAMS!DB3:DB99),
    IF(WEEKLY_TEAMS!DC3:DC99="", 0, WEEKLY_TEAMS!DC3:DC99),
    IF(WEEKLY_TEAMS!DD3:DD99="", 0, WEEKLY_TEAMS!DD3:DD99),
    IF(WEEKLY_TEAMS!DE3:DE99="", 0, WEEKLY_TEAMS!DE3:DE99)
  },
  1, TRUE,
  3, FALSE,
  5, FALSE,
  6, FALSE,
  8, FALSE,
  9, FALSE,
  10, FALSE,
  2, TRUE
)
</f>
        <v>⭐️</v>
      </c>
      <c r="D13" s="101" t="s">
        <v>143</v>
      </c>
      <c r="E13" s="101">
        <v>61.0</v>
      </c>
      <c r="F13" s="101">
        <v>16.0</v>
      </c>
      <c r="G13" s="101">
        <v>11.0</v>
      </c>
      <c r="H13" s="101">
        <v>3.0</v>
      </c>
      <c r="I13" s="101">
        <v>0.0</v>
      </c>
      <c r="J13" s="101">
        <v>2.0</v>
      </c>
      <c r="K13" s="101">
        <v>0.0</v>
      </c>
      <c r="L13" s="101">
        <v>0.0</v>
      </c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</row>
    <row r="14" ht="15.75" customHeight="1">
      <c r="A14" s="99" t="str">
        <f t="array" ref="A14">INDEX(FORM!$B$2:$J$99, MATCH(D14, FORM!$A$2:$A$99, 0), MATCH($I$4, FORM!$B$1:$J$1, 0))</f>
        <v>↑</v>
      </c>
      <c r="B14" s="101">
        <v>2.0</v>
      </c>
      <c r="C14" s="102" t="s">
        <v>136</v>
      </c>
      <c r="D14" s="101" t="s">
        <v>159</v>
      </c>
      <c r="E14" s="101">
        <v>53.0</v>
      </c>
      <c r="F14" s="101">
        <v>18.0</v>
      </c>
      <c r="G14" s="101">
        <v>8.0</v>
      </c>
      <c r="H14" s="101">
        <v>2.0</v>
      </c>
      <c r="I14" s="101">
        <v>6.0</v>
      </c>
      <c r="J14" s="101">
        <v>1.0</v>
      </c>
      <c r="K14" s="101">
        <v>0.0</v>
      </c>
      <c r="L14" s="101">
        <v>0.0</v>
      </c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</row>
    <row r="15" ht="15.75" customHeight="1">
      <c r="A15" s="99" t="str">
        <f t="array" ref="A15">INDEX(FORM!$B$2:$J$99, MATCH(D15, FORM!$A$2:$A$99, 0), MATCH($I$4, FORM!$B$1:$J$1, 0))</f>
        <v>↑</v>
      </c>
      <c r="B15" s="101">
        <v>3.0</v>
      </c>
      <c r="C15" s="102" t="s">
        <v>136</v>
      </c>
      <c r="D15" s="101" t="s">
        <v>150</v>
      </c>
      <c r="E15" s="101">
        <v>53.0</v>
      </c>
      <c r="F15" s="101">
        <v>16.0</v>
      </c>
      <c r="G15" s="101">
        <v>7.0</v>
      </c>
      <c r="H15" s="101">
        <v>1.0</v>
      </c>
      <c r="I15" s="101">
        <v>6.0</v>
      </c>
      <c r="J15" s="101">
        <v>0.0</v>
      </c>
      <c r="K15" s="101">
        <v>6.0</v>
      </c>
      <c r="L15" s="101">
        <v>2.0</v>
      </c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</row>
    <row r="16" ht="15.75" customHeight="1">
      <c r="A16" s="99" t="str">
        <f t="array" ref="A16">INDEX(FORM!$B$2:$J$99, MATCH(D16, FORM!$A$2:$A$99, 0), MATCH($I$4, FORM!$B$1:$J$1, 0))</f>
        <v>↓</v>
      </c>
      <c r="B16" s="101">
        <v>4.0</v>
      </c>
      <c r="C16" s="102" t="s">
        <v>136</v>
      </c>
      <c r="D16" s="101" t="s">
        <v>142</v>
      </c>
      <c r="E16" s="101">
        <v>52.0</v>
      </c>
      <c r="F16" s="101">
        <v>18.0</v>
      </c>
      <c r="G16" s="101">
        <v>8.0</v>
      </c>
      <c r="H16" s="101">
        <v>2.0</v>
      </c>
      <c r="I16" s="101">
        <v>6.0</v>
      </c>
      <c r="J16" s="101">
        <v>0.0</v>
      </c>
      <c r="K16" s="101">
        <v>5.0</v>
      </c>
      <c r="L16" s="101">
        <v>2.0</v>
      </c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</row>
    <row r="17" ht="15.75" customHeight="1">
      <c r="A17" s="99" t="str">
        <f t="array" ref="A17">INDEX(FORM!$B$2:$J$99, MATCH(D17, FORM!$A$2:$A$99, 0), MATCH($I$4, FORM!$B$1:$J$1, 0))</f>
        <v>↓</v>
      </c>
      <c r="B17" s="101">
        <v>5.0</v>
      </c>
      <c r="C17" s="102" t="s">
        <v>136</v>
      </c>
      <c r="D17" s="101" t="s">
        <v>149</v>
      </c>
      <c r="E17" s="101">
        <v>50.0</v>
      </c>
      <c r="F17" s="101">
        <v>18.0</v>
      </c>
      <c r="G17" s="101">
        <v>10.0</v>
      </c>
      <c r="H17" s="101">
        <v>0.0</v>
      </c>
      <c r="I17" s="101">
        <v>6.0</v>
      </c>
      <c r="J17" s="101">
        <v>8.0</v>
      </c>
      <c r="K17" s="101">
        <v>0.0</v>
      </c>
      <c r="L17" s="101">
        <v>0.0</v>
      </c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</row>
    <row r="18" ht="15.75" customHeight="1">
      <c r="A18" s="99" t="str">
        <f t="array" ref="A18">INDEX(FORM!$B$2:$J$99, MATCH(D18, FORM!$A$2:$A$99, 0), MATCH($I$4, FORM!$B$1:$J$1, 0))</f>
        <v>↓</v>
      </c>
      <c r="B18" s="101">
        <v>6.0</v>
      </c>
      <c r="C18" s="101" t="s">
        <v>136</v>
      </c>
      <c r="D18" s="101" t="s">
        <v>137</v>
      </c>
      <c r="E18" s="101">
        <v>49.0</v>
      </c>
      <c r="F18" s="101">
        <v>18.0</v>
      </c>
      <c r="G18" s="101">
        <v>10.0</v>
      </c>
      <c r="H18" s="101">
        <v>1.0</v>
      </c>
      <c r="I18" s="101">
        <v>5.0</v>
      </c>
      <c r="J18" s="101">
        <v>0.0</v>
      </c>
      <c r="K18" s="101">
        <v>0.0</v>
      </c>
      <c r="L18" s="101">
        <v>0.0</v>
      </c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</row>
    <row r="19" ht="15.75" customHeight="1">
      <c r="A19" s="99" t="str">
        <f t="array" ref="A19">INDEX(FORM!$B$2:$J$99, MATCH(D19, FORM!$A$2:$A$99, 0), MATCH($I$4, FORM!$B$1:$J$1, 0))</f>
        <v>↓</v>
      </c>
      <c r="B19" s="101">
        <v>7.0</v>
      </c>
      <c r="C19" s="101" t="s">
        <v>136</v>
      </c>
      <c r="D19" s="101" t="s">
        <v>154</v>
      </c>
      <c r="E19" s="101">
        <v>49.0</v>
      </c>
      <c r="F19" s="101">
        <v>18.0</v>
      </c>
      <c r="G19" s="101">
        <v>8.0</v>
      </c>
      <c r="H19" s="101">
        <v>1.0</v>
      </c>
      <c r="I19" s="101">
        <v>7.0</v>
      </c>
      <c r="J19" s="101">
        <v>1.0</v>
      </c>
      <c r="K19" s="101">
        <v>0.0</v>
      </c>
      <c r="L19" s="101">
        <v>0.0</v>
      </c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</row>
    <row r="20" ht="15.75" customHeight="1">
      <c r="A20" s="99" t="str">
        <f t="array" ref="A20">INDEX(FORM!$B$2:$J$99, MATCH(D20, FORM!$A$2:$A$99, 0), MATCH($I$4, FORM!$B$1:$J$1, 0))</f>
        <v>↑</v>
      </c>
      <c r="B20" s="101">
        <v>8.0</v>
      </c>
      <c r="C20" s="101" t="s">
        <v>136</v>
      </c>
      <c r="D20" s="101" t="s">
        <v>153</v>
      </c>
      <c r="E20" s="101">
        <v>49.0</v>
      </c>
      <c r="F20" s="101">
        <v>18.0</v>
      </c>
      <c r="G20" s="101">
        <v>6.0</v>
      </c>
      <c r="H20" s="101">
        <v>2.0</v>
      </c>
      <c r="I20" s="101">
        <v>8.0</v>
      </c>
      <c r="J20" s="101">
        <v>5.0</v>
      </c>
      <c r="K20" s="101">
        <v>0.0</v>
      </c>
      <c r="L20" s="101">
        <v>0.0</v>
      </c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</row>
    <row r="21" ht="15.75" customHeight="1">
      <c r="A21" s="99" t="str">
        <f t="array" ref="A21">INDEX(FORM!$B$2:$J$99, MATCH(D21, FORM!$A$2:$A$99, 0), MATCH($I$4, FORM!$B$1:$J$1, 0))</f>
        <v>↓</v>
      </c>
      <c r="B21" s="101">
        <v>9.0</v>
      </c>
      <c r="C21" s="101" t="s">
        <v>136</v>
      </c>
      <c r="D21" s="101" t="s">
        <v>160</v>
      </c>
      <c r="E21" s="101">
        <v>46.0</v>
      </c>
      <c r="F21" s="101">
        <v>18.0</v>
      </c>
      <c r="G21" s="101">
        <v>8.0</v>
      </c>
      <c r="H21" s="101">
        <v>1.0</v>
      </c>
      <c r="I21" s="101">
        <v>7.0</v>
      </c>
      <c r="J21" s="101">
        <v>7.0</v>
      </c>
      <c r="K21" s="101">
        <v>0.0</v>
      </c>
      <c r="L21" s="101">
        <v>0.0</v>
      </c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</row>
    <row r="22" ht="15.75" customHeight="1">
      <c r="A22" s="99" t="str">
        <f t="array" ref="A22">INDEX(FORM!$B$2:$J$99, MATCH(D22, FORM!$A$2:$A$99, 0), MATCH($I$4, FORM!$B$1:$J$1, 0))</f>
        <v>↓</v>
      </c>
      <c r="B22" s="101">
        <v>10.0</v>
      </c>
      <c r="C22" s="101" t="s">
        <v>136</v>
      </c>
      <c r="D22" s="101" t="s">
        <v>144</v>
      </c>
      <c r="E22" s="101">
        <v>45.0</v>
      </c>
      <c r="F22" s="101">
        <v>18.0</v>
      </c>
      <c r="G22" s="101">
        <v>6.0</v>
      </c>
      <c r="H22" s="101">
        <v>3.0</v>
      </c>
      <c r="I22" s="101">
        <v>7.0</v>
      </c>
      <c r="J22" s="101">
        <v>8.0</v>
      </c>
      <c r="K22" s="101">
        <v>1.0</v>
      </c>
      <c r="L22" s="101">
        <v>0.0</v>
      </c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</row>
    <row r="23" ht="15.75" customHeight="1">
      <c r="A23" s="99" t="str">
        <f t="array" ref="A23">INDEX(FORM!$B$2:$J$99, MATCH(D23, FORM!$A$2:$A$99, 0), MATCH($I$4, FORM!$B$1:$J$1, 0))</f>
        <v>=</v>
      </c>
      <c r="B23" s="101">
        <v>11.0</v>
      </c>
      <c r="C23" s="101" t="s">
        <v>136</v>
      </c>
      <c r="D23" s="101" t="s">
        <v>151</v>
      </c>
      <c r="E23" s="101">
        <v>45.0</v>
      </c>
      <c r="F23" s="101">
        <v>18.0</v>
      </c>
      <c r="G23" s="101">
        <v>6.0</v>
      </c>
      <c r="H23" s="101">
        <v>2.0</v>
      </c>
      <c r="I23" s="101">
        <v>8.0</v>
      </c>
      <c r="J23" s="101">
        <v>0.0</v>
      </c>
      <c r="K23" s="101">
        <v>3.0</v>
      </c>
      <c r="L23" s="101">
        <v>0.0</v>
      </c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</row>
    <row r="24" ht="15.75" customHeight="1">
      <c r="A24" s="99" t="str">
        <f t="array" ref="A24">INDEX(FORM!$B$2:$J$99, MATCH(D24, FORM!$A$2:$A$99, 0), MATCH($I$4, FORM!$B$1:$J$1, 0))</f>
        <v>↑</v>
      </c>
      <c r="B24" s="101">
        <v>12.0</v>
      </c>
      <c r="C24" s="101" t="s">
        <v>136</v>
      </c>
      <c r="D24" s="101" t="s">
        <v>156</v>
      </c>
      <c r="E24" s="101">
        <v>43.0</v>
      </c>
      <c r="F24" s="101">
        <v>18.0</v>
      </c>
      <c r="G24" s="101">
        <v>6.0</v>
      </c>
      <c r="H24" s="101">
        <v>2.0</v>
      </c>
      <c r="I24" s="101">
        <v>8.0</v>
      </c>
      <c r="J24" s="101">
        <v>0.0</v>
      </c>
      <c r="K24" s="101">
        <v>2.0</v>
      </c>
      <c r="L24" s="101">
        <v>0.0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</row>
    <row r="25" ht="15.75" customHeight="1">
      <c r="A25" s="99" t="str">
        <f t="array" ref="A25">INDEX(FORM!$B$2:$J$99, MATCH(D25, FORM!$A$2:$A$99, 0), MATCH($I$4, FORM!$B$1:$J$1, 0))</f>
        <v>↑</v>
      </c>
      <c r="B25" s="101">
        <v>13.0</v>
      </c>
      <c r="C25" s="101" t="s">
        <v>136</v>
      </c>
      <c r="D25" s="101" t="s">
        <v>167</v>
      </c>
      <c r="E25" s="101">
        <v>42.0</v>
      </c>
      <c r="F25" s="101">
        <v>14.0</v>
      </c>
      <c r="G25" s="101">
        <v>8.0</v>
      </c>
      <c r="H25" s="101">
        <v>1.0</v>
      </c>
      <c r="I25" s="101">
        <v>5.0</v>
      </c>
      <c r="J25" s="101">
        <v>1.0</v>
      </c>
      <c r="K25" s="101">
        <v>0.0</v>
      </c>
      <c r="L25" s="101">
        <v>0.0</v>
      </c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</row>
    <row r="26" ht="15.75" customHeight="1">
      <c r="A26" s="99" t="str">
        <f t="array" ref="A26">INDEX(FORM!$B$2:$J$99, MATCH(D26, FORM!$A$2:$A$99, 0), MATCH($I$4, FORM!$B$1:$J$1, 0))</f>
        <v>↑</v>
      </c>
      <c r="B26" s="101">
        <v>14.0</v>
      </c>
      <c r="C26" s="101" t="s">
        <v>136</v>
      </c>
      <c r="D26" s="101" t="s">
        <v>158</v>
      </c>
      <c r="E26" s="101">
        <v>42.0</v>
      </c>
      <c r="F26" s="101">
        <v>18.0</v>
      </c>
      <c r="G26" s="101">
        <v>7.0</v>
      </c>
      <c r="H26" s="101">
        <v>1.0</v>
      </c>
      <c r="I26" s="101">
        <v>8.0</v>
      </c>
      <c r="J26" s="101">
        <v>2.0</v>
      </c>
      <c r="K26" s="101">
        <v>1.0</v>
      </c>
      <c r="L26" s="101">
        <v>0.0</v>
      </c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</row>
    <row r="27" ht="15.75" customHeight="1">
      <c r="A27" s="99" t="str">
        <f t="array" ref="A27">INDEX(FORM!$B$2:$J$99, MATCH(D27, FORM!$A$2:$A$99, 0), MATCH($I$4, FORM!$B$1:$J$1, 0))</f>
        <v>↑</v>
      </c>
      <c r="B27" s="101">
        <v>15.0</v>
      </c>
      <c r="C27" s="101" t="s">
        <v>136</v>
      </c>
      <c r="D27" s="101" t="s">
        <v>166</v>
      </c>
      <c r="E27" s="101">
        <v>42.0</v>
      </c>
      <c r="F27" s="101">
        <v>18.0</v>
      </c>
      <c r="G27" s="101">
        <v>7.0</v>
      </c>
      <c r="H27" s="101">
        <v>0.0</v>
      </c>
      <c r="I27" s="101">
        <v>9.0</v>
      </c>
      <c r="J27" s="101">
        <v>5.0</v>
      </c>
      <c r="K27" s="101">
        <v>0.0</v>
      </c>
      <c r="L27" s="101">
        <v>0.0</v>
      </c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</row>
    <row r="28" ht="15.75" customHeight="1">
      <c r="A28" s="99" t="str">
        <f t="array" ref="A28">INDEX(FORM!$B$2:$J$99, MATCH(D28, FORM!$A$2:$A$99, 0), MATCH($I$4, FORM!$B$1:$J$1, 0))</f>
        <v>↓</v>
      </c>
      <c r="B28" s="101">
        <v>16.0</v>
      </c>
      <c r="C28" s="101" t="s">
        <v>136</v>
      </c>
      <c r="D28" s="101" t="s">
        <v>146</v>
      </c>
      <c r="E28" s="101">
        <v>41.0</v>
      </c>
      <c r="F28" s="101">
        <v>14.0</v>
      </c>
      <c r="G28" s="101">
        <v>8.0</v>
      </c>
      <c r="H28" s="101">
        <v>2.0</v>
      </c>
      <c r="I28" s="101">
        <v>2.0</v>
      </c>
      <c r="J28" s="101">
        <v>1.0</v>
      </c>
      <c r="K28" s="101">
        <v>0.0</v>
      </c>
      <c r="L28" s="101">
        <v>0.0</v>
      </c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</row>
    <row r="29" ht="15.75" customHeight="1">
      <c r="A29" s="99" t="str">
        <f t="array" ref="A29">INDEX(FORM!$B$2:$J$99, MATCH(D29, FORM!$A$2:$A$99, 0), MATCH($I$4, FORM!$B$1:$J$1, 0))</f>
        <v>↓</v>
      </c>
      <c r="B29" s="101">
        <v>17.0</v>
      </c>
      <c r="C29" s="101" t="s">
        <v>136</v>
      </c>
      <c r="D29" s="101" t="s">
        <v>147</v>
      </c>
      <c r="E29" s="101">
        <v>40.0</v>
      </c>
      <c r="F29" s="101">
        <v>16.0</v>
      </c>
      <c r="G29" s="101">
        <v>7.0</v>
      </c>
      <c r="H29" s="101">
        <v>2.0</v>
      </c>
      <c r="I29" s="101">
        <v>5.0</v>
      </c>
      <c r="J29" s="101">
        <v>4.0</v>
      </c>
      <c r="K29" s="101">
        <v>0.0</v>
      </c>
      <c r="L29" s="101">
        <v>0.0</v>
      </c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</row>
    <row r="30" ht="15.75" customHeight="1">
      <c r="A30" s="99" t="str">
        <f t="array" ref="A30">INDEX(FORM!$B$2:$J$99, MATCH(D30, FORM!$A$2:$A$99, 0), MATCH($I$4, FORM!$B$1:$J$1, 0))</f>
        <v>↓</v>
      </c>
      <c r="B30" s="101">
        <v>18.0</v>
      </c>
      <c r="C30" s="101" t="s">
        <v>136</v>
      </c>
      <c r="D30" s="101" t="s">
        <v>145</v>
      </c>
      <c r="E30" s="101">
        <v>40.0</v>
      </c>
      <c r="F30" s="101">
        <v>16.0</v>
      </c>
      <c r="G30" s="101">
        <v>7.0</v>
      </c>
      <c r="H30" s="101">
        <v>1.0</v>
      </c>
      <c r="I30" s="101">
        <v>6.0</v>
      </c>
      <c r="J30" s="101">
        <v>6.0</v>
      </c>
      <c r="K30" s="101">
        <v>0.0</v>
      </c>
      <c r="L30" s="101">
        <v>0.0</v>
      </c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</row>
    <row r="31" ht="15.75" customHeight="1">
      <c r="A31" s="99" t="str">
        <f t="array" ref="A31">INDEX(FORM!$B$2:$J$99, MATCH(D31, FORM!$A$2:$A$99, 0), MATCH($I$4, FORM!$B$1:$J$1, 0))</f>
        <v>↑</v>
      </c>
      <c r="B31" s="101">
        <v>19.0</v>
      </c>
      <c r="C31" s="101" t="s">
        <v>136</v>
      </c>
      <c r="D31" s="101" t="s">
        <v>157</v>
      </c>
      <c r="E31" s="101">
        <v>40.0</v>
      </c>
      <c r="F31" s="101">
        <v>16.0</v>
      </c>
      <c r="G31" s="101">
        <v>6.0</v>
      </c>
      <c r="H31" s="101">
        <v>2.0</v>
      </c>
      <c r="I31" s="101">
        <v>6.0</v>
      </c>
      <c r="J31" s="101">
        <v>4.0</v>
      </c>
      <c r="K31" s="101">
        <v>0.0</v>
      </c>
      <c r="L31" s="101">
        <v>0.0</v>
      </c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</row>
    <row r="32" ht="15.75" customHeight="1">
      <c r="A32" s="99" t="str">
        <f t="array" ref="A32">INDEX(FORM!$B$2:$J$99, MATCH(D32, FORM!$A$2:$A$99, 0), MATCH($I$4, FORM!$B$1:$J$1, 0))</f>
        <v>↓</v>
      </c>
      <c r="B32" s="101">
        <v>20.0</v>
      </c>
      <c r="C32" s="101" t="s">
        <v>136</v>
      </c>
      <c r="D32" s="101" t="s">
        <v>148</v>
      </c>
      <c r="E32" s="101">
        <v>40.0</v>
      </c>
      <c r="F32" s="101">
        <v>16.0</v>
      </c>
      <c r="G32" s="101">
        <v>6.0</v>
      </c>
      <c r="H32" s="101">
        <v>2.0</v>
      </c>
      <c r="I32" s="101">
        <v>6.0</v>
      </c>
      <c r="J32" s="101">
        <v>3.0</v>
      </c>
      <c r="K32" s="101">
        <v>1.0</v>
      </c>
      <c r="L32" s="101">
        <v>1.0</v>
      </c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</row>
    <row r="33" ht="15.75" customHeight="1">
      <c r="A33" s="99" t="str">
        <f t="array" ref="A33">INDEX(FORM!$B$2:$J$99, MATCH(D33, FORM!$A$2:$A$99, 0), MATCH($I$4, FORM!$B$1:$J$1, 0))</f>
        <v>↓</v>
      </c>
      <c r="B33" s="101">
        <v>21.0</v>
      </c>
      <c r="C33" s="101" t="s">
        <v>136</v>
      </c>
      <c r="D33" s="101" t="s">
        <v>152</v>
      </c>
      <c r="E33" s="101">
        <v>40.0</v>
      </c>
      <c r="F33" s="101">
        <v>14.0</v>
      </c>
      <c r="G33" s="101">
        <v>6.0</v>
      </c>
      <c r="H33" s="101">
        <v>2.0</v>
      </c>
      <c r="I33" s="101">
        <v>4.0</v>
      </c>
      <c r="J33" s="101">
        <v>0.0</v>
      </c>
      <c r="K33" s="101">
        <v>3.0</v>
      </c>
      <c r="L33" s="101">
        <v>2.0</v>
      </c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</row>
    <row r="34" ht="15.75" customHeight="1">
      <c r="A34" s="99" t="str">
        <f t="array" ref="A34">INDEX(FORM!$B$2:$J$99, MATCH(D34, FORM!$A$2:$A$99, 0), MATCH($I$4, FORM!$B$1:$J$1, 0))</f>
        <v>=</v>
      </c>
      <c r="B34" s="101">
        <v>22.0</v>
      </c>
      <c r="C34" s="101" t="s">
        <v>136</v>
      </c>
      <c r="D34" s="101" t="s">
        <v>155</v>
      </c>
      <c r="E34" s="101">
        <v>40.0</v>
      </c>
      <c r="F34" s="101">
        <v>18.0</v>
      </c>
      <c r="G34" s="101">
        <v>6.0</v>
      </c>
      <c r="H34" s="101">
        <v>1.0</v>
      </c>
      <c r="I34" s="101">
        <v>9.0</v>
      </c>
      <c r="J34" s="101">
        <v>2.0</v>
      </c>
      <c r="K34" s="101">
        <v>0.0</v>
      </c>
      <c r="L34" s="101">
        <v>0.0</v>
      </c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</row>
    <row r="35" ht="15.75" customHeight="1">
      <c r="A35" s="99" t="str">
        <f t="array" ref="A35">INDEX(FORM!$B$2:$J$99, MATCH(D35, FORM!$A$2:$A$99, 0), MATCH($I$4, FORM!$B$1:$J$1, 0))</f>
        <v>↑</v>
      </c>
      <c r="B35" s="101">
        <v>23.0</v>
      </c>
      <c r="C35" s="101" t="s">
        <v>136</v>
      </c>
      <c r="D35" s="101" t="s">
        <v>172</v>
      </c>
      <c r="E35" s="101">
        <v>38.0</v>
      </c>
      <c r="F35" s="101">
        <v>12.0</v>
      </c>
      <c r="G35" s="101">
        <v>7.0</v>
      </c>
      <c r="H35" s="101">
        <v>1.0</v>
      </c>
      <c r="I35" s="101">
        <v>4.0</v>
      </c>
      <c r="J35" s="101">
        <v>1.0</v>
      </c>
      <c r="K35" s="101">
        <v>0.0</v>
      </c>
      <c r="L35" s="101">
        <v>0.0</v>
      </c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</row>
    <row r="36" ht="15.75" customHeight="1">
      <c r="A36" s="99" t="str">
        <f t="array" ref="A36">INDEX(FORM!$B$2:$J$99, MATCH(D36, FORM!$A$2:$A$99, 0), MATCH($I$4, FORM!$B$1:$J$1, 0))</f>
        <v>↓</v>
      </c>
      <c r="B36" s="101">
        <v>24.0</v>
      </c>
      <c r="C36" s="101" t="s">
        <v>136</v>
      </c>
      <c r="D36" s="101" t="s">
        <v>164</v>
      </c>
      <c r="E36" s="101">
        <v>36.0</v>
      </c>
      <c r="F36" s="101">
        <v>14.0</v>
      </c>
      <c r="G36" s="101">
        <v>7.0</v>
      </c>
      <c r="H36" s="101">
        <v>1.0</v>
      </c>
      <c r="I36" s="101">
        <v>6.0</v>
      </c>
      <c r="J36" s="101">
        <v>0.0</v>
      </c>
      <c r="K36" s="101">
        <v>1.0</v>
      </c>
      <c r="L36" s="101">
        <v>1.0</v>
      </c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</row>
    <row r="37" ht="15.75" customHeight="1">
      <c r="A37" s="99" t="str">
        <f t="array" ref="A37">INDEX(FORM!$B$2:$J$99, MATCH(D37, FORM!$A$2:$A$99, 0), MATCH($I$4, FORM!$B$1:$J$1, 0))</f>
        <v>↓</v>
      </c>
      <c r="B37" s="101">
        <v>25.0</v>
      </c>
      <c r="C37" s="101" t="s">
        <v>136</v>
      </c>
      <c r="D37" s="101" t="s">
        <v>170</v>
      </c>
      <c r="E37" s="101">
        <v>35.0</v>
      </c>
      <c r="F37" s="101">
        <v>14.0</v>
      </c>
      <c r="G37" s="101">
        <v>6.0</v>
      </c>
      <c r="H37" s="101">
        <v>0.0</v>
      </c>
      <c r="I37" s="101">
        <v>8.0</v>
      </c>
      <c r="J37" s="101">
        <v>0.0</v>
      </c>
      <c r="K37" s="101">
        <v>0.0</v>
      </c>
      <c r="L37" s="101">
        <v>0.0</v>
      </c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</row>
    <row r="38" ht="15.75" customHeight="1">
      <c r="A38" s="99" t="str">
        <f t="array" ref="A38">INDEX(FORM!$B$2:$J$99, MATCH(D38, FORM!$A$2:$A$99, 0), MATCH($I$4, FORM!$B$1:$J$1, 0))</f>
        <v>=</v>
      </c>
      <c r="B38" s="101">
        <v>26.0</v>
      </c>
      <c r="C38" s="101" t="s">
        <v>136</v>
      </c>
      <c r="D38" s="101" t="s">
        <v>161</v>
      </c>
      <c r="E38" s="101">
        <v>33.0</v>
      </c>
      <c r="F38" s="101">
        <v>16.0</v>
      </c>
      <c r="G38" s="101">
        <v>3.0</v>
      </c>
      <c r="H38" s="101">
        <v>2.0</v>
      </c>
      <c r="I38" s="101">
        <v>9.0</v>
      </c>
      <c r="J38" s="101">
        <v>0.0</v>
      </c>
      <c r="K38" s="101">
        <v>1.0</v>
      </c>
      <c r="L38" s="101">
        <v>0.0</v>
      </c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</row>
    <row r="39" ht="15.75" customHeight="1">
      <c r="A39" s="99" t="str">
        <f t="array" ref="A39">INDEX(FORM!$B$2:$J$99, MATCH(D39, FORM!$A$2:$A$99, 0), MATCH($I$4, FORM!$B$1:$J$1, 0))</f>
        <v>↑</v>
      </c>
      <c r="B39" s="101">
        <v>27.0</v>
      </c>
      <c r="C39" s="101" t="s">
        <v>136</v>
      </c>
      <c r="D39" s="101" t="s">
        <v>163</v>
      </c>
      <c r="E39" s="101">
        <v>32.0</v>
      </c>
      <c r="F39" s="101">
        <v>16.0</v>
      </c>
      <c r="G39" s="101">
        <v>5.0</v>
      </c>
      <c r="H39" s="101">
        <v>0.0</v>
      </c>
      <c r="I39" s="101">
        <v>9.0</v>
      </c>
      <c r="J39" s="101">
        <v>1.0</v>
      </c>
      <c r="K39" s="101">
        <v>0.0</v>
      </c>
      <c r="L39" s="101">
        <v>0.0</v>
      </c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</row>
    <row r="40" ht="15.75" customHeight="1">
      <c r="A40" s="99" t="str">
        <f t="array" ref="A40">INDEX(FORM!$B$2:$J$99, MATCH(D40, FORM!$A$2:$A$99, 0), MATCH($I$4, FORM!$B$1:$J$1, 0))</f>
        <v>↓</v>
      </c>
      <c r="B40" s="101">
        <v>28.0</v>
      </c>
      <c r="C40" s="101" t="s">
        <v>136</v>
      </c>
      <c r="D40" s="101" t="s">
        <v>162</v>
      </c>
      <c r="E40" s="101">
        <v>31.0</v>
      </c>
      <c r="F40" s="101">
        <v>12.0</v>
      </c>
      <c r="G40" s="101">
        <v>5.0</v>
      </c>
      <c r="H40" s="101">
        <v>2.0</v>
      </c>
      <c r="I40" s="101">
        <v>5.0</v>
      </c>
      <c r="J40" s="101">
        <v>1.0</v>
      </c>
      <c r="K40" s="101">
        <v>3.0</v>
      </c>
      <c r="L40" s="101">
        <v>2.0</v>
      </c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</row>
    <row r="41" ht="15.75" customHeight="1">
      <c r="A41" s="99" t="str">
        <f t="array" ref="A41">INDEX(FORM!$B$2:$J$99, MATCH(D41, FORM!$A$2:$A$99, 0), MATCH($I$4, FORM!$B$1:$J$1, 0))</f>
        <v>↑</v>
      </c>
      <c r="B41" s="101">
        <v>29.0</v>
      </c>
      <c r="C41" s="101" t="s">
        <v>136</v>
      </c>
      <c r="D41" s="101" t="s">
        <v>168</v>
      </c>
      <c r="E41" s="101">
        <v>30.0</v>
      </c>
      <c r="F41" s="101">
        <v>12.0</v>
      </c>
      <c r="G41" s="101">
        <v>4.0</v>
      </c>
      <c r="H41" s="101">
        <v>2.0</v>
      </c>
      <c r="I41" s="101">
        <v>6.0</v>
      </c>
      <c r="J41" s="101">
        <v>0.0</v>
      </c>
      <c r="K41" s="101">
        <v>1.0</v>
      </c>
      <c r="L41" s="101">
        <v>0.0</v>
      </c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</row>
    <row r="42" ht="15.75" customHeight="1">
      <c r="A42" s="99" t="str">
        <f t="array" ref="A42">INDEX(FORM!$B$2:$J$99, MATCH(D42, FORM!$A$2:$A$99, 0), MATCH($I$4, FORM!$B$1:$J$1, 0))</f>
        <v>↓</v>
      </c>
      <c r="B42" s="101">
        <v>30.0</v>
      </c>
      <c r="C42" s="101" t="s">
        <v>136</v>
      </c>
      <c r="D42" s="101" t="s">
        <v>165</v>
      </c>
      <c r="E42" s="101">
        <v>30.0</v>
      </c>
      <c r="F42" s="101">
        <v>14.0</v>
      </c>
      <c r="G42" s="101">
        <v>3.0</v>
      </c>
      <c r="H42" s="101">
        <v>1.0</v>
      </c>
      <c r="I42" s="101">
        <v>8.0</v>
      </c>
      <c r="J42" s="101">
        <v>0.0</v>
      </c>
      <c r="K42" s="101">
        <v>0.0</v>
      </c>
      <c r="L42" s="101">
        <v>0.0</v>
      </c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</row>
    <row r="43" ht="15.75" customHeight="1">
      <c r="A43" s="99" t="str">
        <f t="array" ref="A43">INDEX(FORM!$B$2:$J$99, MATCH(D43, FORM!$A$2:$A$99, 0), MATCH($I$4, FORM!$B$1:$J$1, 0))</f>
        <v>=</v>
      </c>
      <c r="B43" s="101">
        <v>31.0</v>
      </c>
      <c r="C43" s="101" t="s">
        <v>136</v>
      </c>
      <c r="D43" s="101" t="s">
        <v>171</v>
      </c>
      <c r="E43" s="101">
        <v>27.0</v>
      </c>
      <c r="F43" s="101">
        <v>14.0</v>
      </c>
      <c r="G43" s="101">
        <v>4.0</v>
      </c>
      <c r="H43" s="101">
        <v>0.0</v>
      </c>
      <c r="I43" s="101">
        <v>8.0</v>
      </c>
      <c r="J43" s="101">
        <v>1.0</v>
      </c>
      <c r="K43" s="101">
        <v>1.0</v>
      </c>
      <c r="L43" s="101">
        <v>1.0</v>
      </c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</row>
    <row r="44" ht="15.75" customHeight="1">
      <c r="A44" s="99" t="str">
        <f t="array" ref="A44">INDEX(FORM!$B$2:$J$99, MATCH(D44, FORM!$A$2:$A$99, 0), MATCH($I$4, FORM!$B$1:$J$1, 0))</f>
        <v>=</v>
      </c>
      <c r="B44" s="101">
        <v>32.0</v>
      </c>
      <c r="C44" s="101" t="s">
        <v>136</v>
      </c>
      <c r="D44" s="101" t="s">
        <v>169</v>
      </c>
      <c r="E44" s="101">
        <v>25.0</v>
      </c>
      <c r="F44" s="101">
        <v>8.0</v>
      </c>
      <c r="G44" s="101">
        <v>5.0</v>
      </c>
      <c r="H44" s="101">
        <v>1.0</v>
      </c>
      <c r="I44" s="101">
        <v>2.0</v>
      </c>
      <c r="J44" s="101">
        <v>1.0</v>
      </c>
      <c r="K44" s="101">
        <v>1.0</v>
      </c>
      <c r="L44" s="101">
        <v>1.0</v>
      </c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</row>
    <row r="45" ht="15.75" customHeight="1">
      <c r="A45" s="99" t="str">
        <f t="array" ref="A45">INDEX(FORM!$B$2:$J$99, MATCH(D45, FORM!$A$2:$A$99, 0), MATCH($I$4, FORM!$B$1:$J$1, 0))</f>
        <v>=</v>
      </c>
      <c r="B45" s="101">
        <v>33.0</v>
      </c>
      <c r="C45" s="101" t="s">
        <v>136</v>
      </c>
      <c r="D45" s="101" t="s">
        <v>173</v>
      </c>
      <c r="E45" s="101">
        <v>23.0</v>
      </c>
      <c r="F45" s="101">
        <v>12.0</v>
      </c>
      <c r="G45" s="101">
        <v>4.0</v>
      </c>
      <c r="H45" s="101">
        <v>0.0</v>
      </c>
      <c r="I45" s="101">
        <v>8.0</v>
      </c>
      <c r="J45" s="101">
        <v>2.0</v>
      </c>
      <c r="K45" s="101">
        <v>0.0</v>
      </c>
      <c r="L45" s="101">
        <v>0.0</v>
      </c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</row>
    <row r="46" ht="15.75" customHeight="1">
      <c r="A46" s="99" t="str">
        <f t="array" ref="A46">INDEX(FORM!$B$2:$J$99, MATCH(D46, FORM!$A$2:$A$99, 0), MATCH($I$4, FORM!$B$1:$J$1, 0))</f>
        <v>=</v>
      </c>
      <c r="B46" s="101">
        <v>34.0</v>
      </c>
      <c r="C46" s="101" t="s">
        <v>136</v>
      </c>
      <c r="D46" s="101" t="s">
        <v>174</v>
      </c>
      <c r="E46" s="101">
        <v>21.0</v>
      </c>
      <c r="F46" s="101">
        <v>10.0</v>
      </c>
      <c r="G46" s="101">
        <v>2.0</v>
      </c>
      <c r="H46" s="101">
        <v>1.0</v>
      </c>
      <c r="I46" s="101">
        <v>7.0</v>
      </c>
      <c r="J46" s="101">
        <v>1.0</v>
      </c>
      <c r="K46" s="101">
        <v>0.0</v>
      </c>
      <c r="L46" s="101">
        <v>0.0</v>
      </c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</row>
    <row r="47" ht="15.75" customHeight="1">
      <c r="A47" s="99" t="str">
        <f t="array" ref="A47">INDEX(FORM!$B$2:$J$99, MATCH(D47, FORM!$A$2:$A$99, 0), MATCH($I$4, FORM!$B$1:$J$1, 0))</f>
        <v>=</v>
      </c>
      <c r="B47" s="101">
        <v>35.0</v>
      </c>
      <c r="C47" s="101" t="s">
        <v>136</v>
      </c>
      <c r="D47" s="101" t="s">
        <v>176</v>
      </c>
      <c r="E47" s="101">
        <v>12.0</v>
      </c>
      <c r="F47" s="101">
        <v>6.0</v>
      </c>
      <c r="G47" s="101">
        <v>2.0</v>
      </c>
      <c r="H47" s="101">
        <v>0.0</v>
      </c>
      <c r="I47" s="101">
        <v>4.0</v>
      </c>
      <c r="J47" s="101">
        <v>0.0</v>
      </c>
      <c r="K47" s="101">
        <v>0.0</v>
      </c>
      <c r="L47" s="101">
        <v>0.0</v>
      </c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</row>
    <row r="48" ht="15.75" customHeight="1">
      <c r="A48" s="99" t="str">
        <f t="array" ref="A48">INDEX(FORM!$B$2:$J$99, MATCH(D48, FORM!$A$2:$A$99, 0), MATCH($I$4, FORM!$B$1:$J$1, 0))</f>
        <v>=</v>
      </c>
      <c r="B48" s="103">
        <v>36.0</v>
      </c>
      <c r="C48" s="103" t="s">
        <v>136</v>
      </c>
      <c r="D48" s="103" t="s">
        <v>175</v>
      </c>
      <c r="E48" s="103">
        <v>4.0</v>
      </c>
      <c r="F48" s="103">
        <v>2.0</v>
      </c>
      <c r="G48" s="103">
        <v>1.0</v>
      </c>
      <c r="H48" s="103">
        <v>0.0</v>
      </c>
      <c r="I48" s="103">
        <v>1.0</v>
      </c>
      <c r="J48" s="103">
        <v>0.0</v>
      </c>
      <c r="K48" s="103">
        <v>0.0</v>
      </c>
      <c r="L48" s="103">
        <v>0.0</v>
      </c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</row>
    <row r="49" ht="15.75" customHeight="1">
      <c r="A49" s="99" t="str">
        <f t="array" ref="A49">INDEX(FORM!$B$2:$J$99, MATCH(D49, FORM!$A$2:$A$99, 0), MATCH($I$4, FORM!$B$1:$J$1, 0))</f>
        <v>=</v>
      </c>
      <c r="B49" s="100">
        <v>1.0</v>
      </c>
      <c r="C49" s="101"/>
      <c r="D49" s="101" t="s">
        <v>179</v>
      </c>
      <c r="E49" s="101">
        <v>40.0</v>
      </c>
      <c r="F49" s="101">
        <v>18.0</v>
      </c>
      <c r="G49" s="101">
        <v>7.0</v>
      </c>
      <c r="H49" s="101">
        <v>1.0</v>
      </c>
      <c r="I49" s="101">
        <v>8.0</v>
      </c>
      <c r="J49" s="101">
        <v>4.0</v>
      </c>
      <c r="K49" s="101">
        <v>0.0</v>
      </c>
      <c r="L49" s="101">
        <v>0.0</v>
      </c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</row>
    <row r="50" ht="15.75" customHeight="1">
      <c r="A50" s="99" t="str">
        <f t="array" ref="A50">INDEX(FORM!$B$2:$J$99, MATCH(D50, FORM!$A$2:$A$99, 0), MATCH($I$4, FORM!$B$1:$J$1, 0))</f>
        <v>=</v>
      </c>
      <c r="B50" s="100">
        <v>2.0</v>
      </c>
      <c r="C50" s="101"/>
      <c r="D50" s="101" t="s">
        <v>177</v>
      </c>
      <c r="E50" s="101">
        <v>38.0</v>
      </c>
      <c r="F50" s="101">
        <v>16.0</v>
      </c>
      <c r="G50" s="101">
        <v>6.0</v>
      </c>
      <c r="H50" s="101">
        <v>1.0</v>
      </c>
      <c r="I50" s="101">
        <v>7.0</v>
      </c>
      <c r="J50" s="101">
        <v>1.0</v>
      </c>
      <c r="K50" s="101">
        <v>0.0</v>
      </c>
      <c r="L50" s="101">
        <v>0.0</v>
      </c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</row>
    <row r="51" ht="15.75" customHeight="1">
      <c r="A51" s="99" t="str">
        <f t="array" ref="A51">INDEX(FORM!$B$2:$J$99, MATCH(D51, FORM!$A$2:$A$99, 0), MATCH($I$4, FORM!$B$1:$J$1, 0))</f>
        <v>=</v>
      </c>
      <c r="B51" s="100">
        <v>3.0</v>
      </c>
      <c r="C51" s="101"/>
      <c r="D51" s="101" t="s">
        <v>178</v>
      </c>
      <c r="E51" s="101">
        <v>30.0</v>
      </c>
      <c r="F51" s="101">
        <v>10.0</v>
      </c>
      <c r="G51" s="101">
        <v>4.0</v>
      </c>
      <c r="H51" s="101">
        <v>1.0</v>
      </c>
      <c r="I51" s="101">
        <v>3.0</v>
      </c>
      <c r="J51" s="101">
        <v>0.0</v>
      </c>
      <c r="K51" s="101">
        <v>0.0</v>
      </c>
      <c r="L51" s="101">
        <v>0.0</v>
      </c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</row>
    <row r="52" ht="15.75" customHeight="1">
      <c r="A52" s="99" t="str">
        <f t="array" ref="A52">INDEX(FORM!$B$2:$J$99, MATCH(D52, FORM!$A$2:$A$99, 0), MATCH($I$4, FORM!$B$1:$J$1, 0))</f>
        <v>↑</v>
      </c>
      <c r="B52" s="100">
        <v>4.0</v>
      </c>
      <c r="C52" s="101"/>
      <c r="D52" s="101" t="s">
        <v>182</v>
      </c>
      <c r="E52" s="101">
        <v>25.0</v>
      </c>
      <c r="F52" s="101">
        <v>8.0</v>
      </c>
      <c r="G52" s="101">
        <v>3.0</v>
      </c>
      <c r="H52" s="101">
        <v>0.0</v>
      </c>
      <c r="I52" s="101">
        <v>3.0</v>
      </c>
      <c r="J52" s="101">
        <v>0.0</v>
      </c>
      <c r="K52" s="101">
        <v>0.0</v>
      </c>
      <c r="L52" s="101">
        <v>0.0</v>
      </c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</row>
    <row r="53" ht="15.75" customHeight="1">
      <c r="A53" s="99" t="str">
        <f t="array" ref="A53">INDEX(FORM!$B$2:$J$99, MATCH(D53, FORM!$A$2:$A$99, 0), MATCH($I$4, FORM!$B$1:$J$1, 0))</f>
        <v>↓</v>
      </c>
      <c r="B53" s="100">
        <v>5.0</v>
      </c>
      <c r="C53" s="101"/>
      <c r="D53" s="101" t="s">
        <v>183</v>
      </c>
      <c r="E53" s="101">
        <v>21.0</v>
      </c>
      <c r="F53" s="101">
        <v>8.0</v>
      </c>
      <c r="G53" s="101">
        <v>2.0</v>
      </c>
      <c r="H53" s="101">
        <v>1.0</v>
      </c>
      <c r="I53" s="101">
        <v>3.0</v>
      </c>
      <c r="J53" s="101">
        <v>0.0</v>
      </c>
      <c r="K53" s="101">
        <v>0.0</v>
      </c>
      <c r="L53" s="101">
        <v>0.0</v>
      </c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</row>
    <row r="54" ht="15.75" customHeight="1">
      <c r="A54" s="99" t="str">
        <f t="array" ref="A54">INDEX(FORM!$B$2:$J$99, MATCH(D54, FORM!$A$2:$A$99, 0), MATCH($I$4, FORM!$B$1:$J$1, 0))</f>
        <v>↓</v>
      </c>
      <c r="B54" s="100">
        <v>6.0</v>
      </c>
      <c r="C54" s="101"/>
      <c r="D54" s="101" t="s">
        <v>180</v>
      </c>
      <c r="E54" s="101">
        <v>16.0</v>
      </c>
      <c r="F54" s="101">
        <v>6.0</v>
      </c>
      <c r="G54" s="101">
        <v>3.0</v>
      </c>
      <c r="H54" s="101">
        <v>1.0</v>
      </c>
      <c r="I54" s="101">
        <v>0.0</v>
      </c>
      <c r="J54" s="101">
        <v>1.0</v>
      </c>
      <c r="K54" s="101">
        <v>0.0</v>
      </c>
      <c r="L54" s="101">
        <v>0.0</v>
      </c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</row>
    <row r="55" ht="15.75" customHeight="1">
      <c r="A55" s="99" t="str">
        <f t="array" ref="A55">INDEX(FORM!$B$2:$J$99, MATCH(D55, FORM!$A$2:$A$99, 0), MATCH($I$4, FORM!$B$1:$J$1, 0))</f>
        <v>↓</v>
      </c>
      <c r="B55" s="100">
        <v>7.0</v>
      </c>
      <c r="C55" s="101"/>
      <c r="D55" s="101" t="s">
        <v>181</v>
      </c>
      <c r="E55" s="101">
        <v>16.0</v>
      </c>
      <c r="F55" s="101">
        <v>6.0</v>
      </c>
      <c r="G55" s="101">
        <v>3.0</v>
      </c>
      <c r="H55" s="101">
        <v>1.0</v>
      </c>
      <c r="I55" s="101">
        <v>2.0</v>
      </c>
      <c r="J55" s="101">
        <v>1.0</v>
      </c>
      <c r="K55" s="101">
        <v>0.0</v>
      </c>
      <c r="L55" s="101">
        <v>0.0</v>
      </c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</row>
    <row r="56" ht="15.75" customHeight="1">
      <c r="A56" s="99" t="str">
        <f t="array" ref="A56">INDEX(FORM!$B$2:$J$99, MATCH(D56, FORM!$A$2:$A$99, 0), MATCH($I$4, FORM!$B$1:$J$1, 0))</f>
        <v>↑</v>
      </c>
      <c r="B56" s="100">
        <v>8.0</v>
      </c>
      <c r="C56" s="101"/>
      <c r="D56" s="101" t="s">
        <v>184</v>
      </c>
      <c r="E56" s="101">
        <v>14.0</v>
      </c>
      <c r="F56" s="101">
        <v>6.0</v>
      </c>
      <c r="G56" s="101">
        <v>2.0</v>
      </c>
      <c r="H56" s="101">
        <v>0.0</v>
      </c>
      <c r="I56" s="101">
        <v>2.0</v>
      </c>
      <c r="J56" s="101">
        <v>0.0</v>
      </c>
      <c r="K56" s="101">
        <v>0.0</v>
      </c>
      <c r="L56" s="101">
        <v>0.0</v>
      </c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</row>
    <row r="57" ht="15.75" customHeight="1">
      <c r="A57" s="99" t="str">
        <f t="array" ref="A57">INDEX(FORM!$B$2:$J$99, MATCH(D57, FORM!$A$2:$A$99, 0), MATCH($I$4, FORM!$B$1:$J$1, 0))</f>
        <v>↑</v>
      </c>
      <c r="B57" s="100">
        <v>9.0</v>
      </c>
      <c r="C57" s="101"/>
      <c r="D57" s="101" t="s">
        <v>191</v>
      </c>
      <c r="E57" s="101">
        <v>12.0</v>
      </c>
      <c r="F57" s="101">
        <v>2.0</v>
      </c>
      <c r="G57" s="101">
        <v>2.0</v>
      </c>
      <c r="H57" s="101">
        <v>0.0</v>
      </c>
      <c r="I57" s="101">
        <v>0.0</v>
      </c>
      <c r="J57" s="101">
        <v>0.0</v>
      </c>
      <c r="K57" s="101">
        <v>0.0</v>
      </c>
      <c r="L57" s="101">
        <v>0.0</v>
      </c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</row>
    <row r="58" ht="15.75" customHeight="1">
      <c r="A58" s="99" t="str">
        <f t="array" ref="A58">INDEX(FORM!$B$2:$J$99, MATCH(D58, FORM!$A$2:$A$99, 0), MATCH($I$4, FORM!$B$1:$J$1, 0))</f>
        <v>↑</v>
      </c>
      <c r="B58" s="100">
        <v>10.0</v>
      </c>
      <c r="C58" s="101"/>
      <c r="D58" s="101" t="s">
        <v>192</v>
      </c>
      <c r="E58" s="101">
        <v>12.0</v>
      </c>
      <c r="F58" s="101">
        <v>2.0</v>
      </c>
      <c r="G58" s="101">
        <v>2.0</v>
      </c>
      <c r="H58" s="101">
        <v>0.0</v>
      </c>
      <c r="I58" s="101">
        <v>0.0</v>
      </c>
      <c r="J58" s="101">
        <v>0.0</v>
      </c>
      <c r="K58" s="101">
        <v>0.0</v>
      </c>
      <c r="L58" s="101">
        <v>0.0</v>
      </c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</row>
    <row r="59" ht="15.75" customHeight="1">
      <c r="A59" s="99" t="str">
        <f t="array" ref="A59">INDEX(FORM!$B$2:$J$99, MATCH(D59, FORM!$A$2:$A$99, 0), MATCH($I$4, FORM!$B$1:$J$1, 0))</f>
        <v>↓</v>
      </c>
      <c r="B59" s="100">
        <v>11.0</v>
      </c>
      <c r="C59" s="101"/>
      <c r="D59" s="101" t="s">
        <v>190</v>
      </c>
      <c r="E59" s="101">
        <v>11.0</v>
      </c>
      <c r="F59" s="101">
        <v>2.0</v>
      </c>
      <c r="G59" s="101">
        <v>2.0</v>
      </c>
      <c r="H59" s="101">
        <v>0.0</v>
      </c>
      <c r="I59" s="101">
        <v>0.0</v>
      </c>
      <c r="J59" s="101">
        <v>0.0</v>
      </c>
      <c r="K59" s="101">
        <v>0.0</v>
      </c>
      <c r="L59" s="101">
        <v>0.0</v>
      </c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</row>
    <row r="60" ht="15.75" customHeight="1">
      <c r="A60" s="99" t="str">
        <f t="array" ref="A60">INDEX(FORM!$B$2:$J$99, MATCH(D60, FORM!$A$2:$A$99, 0), MATCH($I$4, FORM!$B$1:$J$1, 0))</f>
        <v>↓</v>
      </c>
      <c r="B60" s="100">
        <v>12.0</v>
      </c>
      <c r="C60" s="101"/>
      <c r="D60" s="101" t="s">
        <v>185</v>
      </c>
      <c r="E60" s="101">
        <v>5.0</v>
      </c>
      <c r="F60" s="101">
        <v>4.0</v>
      </c>
      <c r="G60" s="101">
        <v>0.0</v>
      </c>
      <c r="H60" s="101">
        <v>0.0</v>
      </c>
      <c r="I60" s="101">
        <v>2.0</v>
      </c>
      <c r="J60" s="101">
        <v>0.0</v>
      </c>
      <c r="K60" s="101">
        <v>0.0</v>
      </c>
      <c r="L60" s="101">
        <v>0.0</v>
      </c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</row>
    <row r="61" ht="15.75" customHeight="1">
      <c r="A61" s="99" t="str">
        <f t="array" ref="A61">INDEX(FORM!$B$2:$J$99, MATCH(D61, FORM!$A$2:$A$99, 0), MATCH($I$4, FORM!$B$1:$J$1, 0))</f>
        <v>↓</v>
      </c>
      <c r="B61" s="100">
        <v>13.0</v>
      </c>
      <c r="C61" s="101"/>
      <c r="D61" s="101" t="s">
        <v>186</v>
      </c>
      <c r="E61" s="101">
        <v>4.0</v>
      </c>
      <c r="F61" s="101">
        <v>2.0</v>
      </c>
      <c r="G61" s="101">
        <v>1.0</v>
      </c>
      <c r="H61" s="101">
        <v>0.0</v>
      </c>
      <c r="I61" s="101">
        <v>1.0</v>
      </c>
      <c r="J61" s="101">
        <v>1.0</v>
      </c>
      <c r="K61" s="101">
        <v>0.0</v>
      </c>
      <c r="L61" s="101">
        <v>0.0</v>
      </c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</row>
    <row r="62" ht="15.75" customHeight="1">
      <c r="A62" s="99" t="str">
        <f t="array" ref="A62">INDEX(FORM!$B$2:$J$99, MATCH(D62, FORM!$A$2:$A$99, 0), MATCH($I$4, FORM!$B$1:$J$1, 0))</f>
        <v>↓</v>
      </c>
      <c r="B62" s="100">
        <v>14.0</v>
      </c>
      <c r="C62" s="101"/>
      <c r="D62" s="101" t="s">
        <v>187</v>
      </c>
      <c r="E62" s="101">
        <v>4.0</v>
      </c>
      <c r="F62" s="101">
        <v>2.0</v>
      </c>
      <c r="G62" s="101">
        <v>1.0</v>
      </c>
      <c r="H62" s="101">
        <v>0.0</v>
      </c>
      <c r="I62" s="101">
        <v>1.0</v>
      </c>
      <c r="J62" s="101">
        <v>0.0</v>
      </c>
      <c r="K62" s="101">
        <v>0.0</v>
      </c>
      <c r="L62" s="101">
        <v>0.0</v>
      </c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</row>
    <row r="63" ht="15.75" customHeight="1">
      <c r="A63" s="99" t="str">
        <f t="array" ref="A63">INDEX(FORM!$B$2:$J$99, MATCH(D63, FORM!$A$2:$A$99, 0), MATCH($I$4, FORM!$B$1:$J$1, 0))</f>
        <v>↓</v>
      </c>
      <c r="B63" s="100">
        <v>15.0</v>
      </c>
      <c r="C63" s="101"/>
      <c r="D63" s="101" t="s">
        <v>188</v>
      </c>
      <c r="E63" s="101">
        <v>4.0</v>
      </c>
      <c r="F63" s="101">
        <v>4.0</v>
      </c>
      <c r="G63" s="101">
        <v>0.0</v>
      </c>
      <c r="H63" s="101">
        <v>0.0</v>
      </c>
      <c r="I63" s="101">
        <v>4.0</v>
      </c>
      <c r="J63" s="101">
        <v>0.0</v>
      </c>
      <c r="K63" s="101">
        <v>0.0</v>
      </c>
      <c r="L63" s="101">
        <v>0.0</v>
      </c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</row>
    <row r="64" ht="15.75" customHeight="1">
      <c r="A64" s="99" t="str">
        <f t="array" ref="A64">INDEX(FORM!$B$2:$J$99, MATCH(D64, FORM!$A$2:$A$99, 0), MATCH($I$4, FORM!$B$1:$J$1, 0))</f>
        <v>↓</v>
      </c>
      <c r="B64" s="100">
        <v>16.0</v>
      </c>
      <c r="C64" s="101"/>
      <c r="D64" s="101" t="s">
        <v>189</v>
      </c>
      <c r="E64" s="101">
        <v>3.0</v>
      </c>
      <c r="F64" s="101">
        <v>2.0</v>
      </c>
      <c r="G64" s="101">
        <v>0.0</v>
      </c>
      <c r="H64" s="101">
        <v>1.0</v>
      </c>
      <c r="I64" s="101">
        <v>1.0</v>
      </c>
      <c r="J64" s="101">
        <v>0.0</v>
      </c>
      <c r="K64" s="101">
        <v>0.0</v>
      </c>
      <c r="L64" s="101">
        <v>0.0</v>
      </c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</row>
    <row r="65" ht="15.75" customHeight="1">
      <c r="A65" s="99" t="str">
        <f t="array" ref="A65">INDEX(FORM!$B$2:$J$99, MATCH(D65, FORM!$A$2:$A$99, 0), MATCH($I$4, FORM!$B$1:$J$1, 0))</f>
        <v>↓</v>
      </c>
      <c r="B65" s="100">
        <v>17.0</v>
      </c>
      <c r="C65" s="101"/>
      <c r="D65" s="101" t="s">
        <v>193</v>
      </c>
      <c r="E65" s="101">
        <v>3.0</v>
      </c>
      <c r="F65" s="101">
        <v>2.0</v>
      </c>
      <c r="G65" s="101">
        <v>0.0</v>
      </c>
      <c r="H65" s="101">
        <v>0.0</v>
      </c>
      <c r="I65" s="101">
        <v>2.0</v>
      </c>
      <c r="J65" s="101">
        <v>0.0</v>
      </c>
      <c r="K65" s="101">
        <v>0.0</v>
      </c>
      <c r="L65" s="101">
        <v>0.0</v>
      </c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</row>
    <row r="66" ht="15.75" customHeight="1">
      <c r="A66" s="99" t="str">
        <f t="array" ref="A66">INDEX(FORM!$B$2:$J$99, MATCH(D66, FORM!$A$2:$A$99, 0), MATCH($I$4, FORM!$B$1:$J$1, 0))</f>
        <v>#N/A</v>
      </c>
      <c r="B66" s="100">
        <v>18.0</v>
      </c>
      <c r="C66" s="101"/>
      <c r="D66" s="101">
        <v>0.0</v>
      </c>
      <c r="E66" s="101">
        <v>0.0</v>
      </c>
      <c r="F66" s="101">
        <v>0.0</v>
      </c>
      <c r="G66" s="101">
        <v>0.0</v>
      </c>
      <c r="H66" s="101">
        <v>0.0</v>
      </c>
      <c r="I66" s="101">
        <v>0.0</v>
      </c>
      <c r="J66" s="101">
        <v>0.0</v>
      </c>
      <c r="K66" s="101">
        <v>0.0</v>
      </c>
      <c r="L66" s="101">
        <v>0.0</v>
      </c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</row>
    <row r="67" ht="15.75" customHeight="1">
      <c r="A67" s="99" t="str">
        <f t="array" ref="A67">INDEX(FORM!$B$2:$J$99, MATCH(D67, FORM!$A$2:$A$99, 0), MATCH($I$4, FORM!$B$1:$J$1, 0))</f>
        <v>#N/A</v>
      </c>
      <c r="B67" s="100">
        <v>19.0</v>
      </c>
      <c r="C67" s="101"/>
      <c r="D67" s="101">
        <v>0.0</v>
      </c>
      <c r="E67" s="101">
        <v>0.0</v>
      </c>
      <c r="F67" s="101">
        <v>0.0</v>
      </c>
      <c r="G67" s="101">
        <v>0.0</v>
      </c>
      <c r="H67" s="101">
        <v>0.0</v>
      </c>
      <c r="I67" s="101">
        <v>0.0</v>
      </c>
      <c r="J67" s="101">
        <v>0.0</v>
      </c>
      <c r="K67" s="101">
        <v>0.0</v>
      </c>
      <c r="L67" s="101">
        <v>0.0</v>
      </c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</row>
    <row r="68" ht="15.75" customHeight="1">
      <c r="A68" s="99" t="str">
        <f t="array" ref="A68">INDEX(FORM!$B$2:$J$99, MATCH(D68, FORM!$A$2:$A$99, 0), MATCH($I$4, FORM!$B$1:$J$1, 0))</f>
        <v>#N/A</v>
      </c>
      <c r="B68" s="100">
        <v>20.0</v>
      </c>
      <c r="C68" s="101"/>
      <c r="D68" s="101">
        <v>0.0</v>
      </c>
      <c r="E68" s="101">
        <v>0.0</v>
      </c>
      <c r="F68" s="101">
        <v>0.0</v>
      </c>
      <c r="G68" s="101">
        <v>0.0</v>
      </c>
      <c r="H68" s="101">
        <v>0.0</v>
      </c>
      <c r="I68" s="101">
        <v>0.0</v>
      </c>
      <c r="J68" s="101">
        <v>0.0</v>
      </c>
      <c r="K68" s="101">
        <v>0.0</v>
      </c>
      <c r="L68" s="101">
        <v>0.0</v>
      </c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</row>
    <row r="69" ht="15.75" customHeight="1">
      <c r="A69" s="99" t="str">
        <f t="array" ref="A69">INDEX(FORM!$B$2:$J$99, MATCH(D69, FORM!$A$2:$A$99, 0), MATCH($I$4, FORM!$B$1:$J$1, 0))</f>
        <v>#N/A</v>
      </c>
      <c r="B69" s="100">
        <v>21.0</v>
      </c>
      <c r="C69" s="101"/>
      <c r="D69" s="101">
        <v>0.0</v>
      </c>
      <c r="E69" s="101">
        <v>0.0</v>
      </c>
      <c r="F69" s="101">
        <v>0.0</v>
      </c>
      <c r="G69" s="101">
        <v>0.0</v>
      </c>
      <c r="H69" s="101">
        <v>0.0</v>
      </c>
      <c r="I69" s="101">
        <v>0.0</v>
      </c>
      <c r="J69" s="101">
        <v>0.0</v>
      </c>
      <c r="K69" s="101">
        <v>0.0</v>
      </c>
      <c r="L69" s="101">
        <v>0.0</v>
      </c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</row>
    <row r="70" ht="15.75" customHeight="1">
      <c r="A70" s="99" t="str">
        <f t="array" ref="A70">INDEX(FORM!$B$2:$J$99, MATCH(D70, FORM!$A$2:$A$99, 0), MATCH($I$4, FORM!$B$1:$J$1, 0))</f>
        <v>#N/A</v>
      </c>
      <c r="B70" s="100">
        <v>22.0</v>
      </c>
      <c r="C70" s="101"/>
      <c r="D70" s="101">
        <v>0.0</v>
      </c>
      <c r="E70" s="101">
        <v>0.0</v>
      </c>
      <c r="F70" s="101">
        <v>0.0</v>
      </c>
      <c r="G70" s="101">
        <v>0.0</v>
      </c>
      <c r="H70" s="101">
        <v>0.0</v>
      </c>
      <c r="I70" s="101">
        <v>0.0</v>
      </c>
      <c r="J70" s="101">
        <v>0.0</v>
      </c>
      <c r="K70" s="101">
        <v>0.0</v>
      </c>
      <c r="L70" s="101">
        <v>0.0</v>
      </c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</row>
    <row r="71" ht="15.75" customHeight="1">
      <c r="A71" s="99" t="str">
        <f t="array" ref="A71">INDEX(FORM!$B$2:$J$99, MATCH(D71, FORM!$A$2:$A$99, 0), MATCH($I$4, FORM!$B$1:$J$1, 0))</f>
        <v>#N/A</v>
      </c>
      <c r="B71" s="100">
        <v>23.0</v>
      </c>
      <c r="C71" s="101"/>
      <c r="D71" s="101">
        <v>0.0</v>
      </c>
      <c r="E71" s="101">
        <v>0.0</v>
      </c>
      <c r="F71" s="101">
        <v>0.0</v>
      </c>
      <c r="G71" s="101">
        <v>0.0</v>
      </c>
      <c r="H71" s="101">
        <v>0.0</v>
      </c>
      <c r="I71" s="101">
        <v>0.0</v>
      </c>
      <c r="J71" s="101">
        <v>0.0</v>
      </c>
      <c r="K71" s="101">
        <v>0.0</v>
      </c>
      <c r="L71" s="101">
        <v>0.0</v>
      </c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</row>
    <row r="72" ht="15.75" customHeight="1">
      <c r="A72" s="99" t="str">
        <f t="array" ref="A72">INDEX(FORM!$B$2:$J$99, MATCH(D72, FORM!$A$2:$A$99, 0), MATCH($I$4, FORM!$B$1:$J$1, 0))</f>
        <v>#N/A</v>
      </c>
      <c r="B72" s="100">
        <v>24.0</v>
      </c>
      <c r="C72" s="101"/>
      <c r="D72" s="101">
        <v>0.0</v>
      </c>
      <c r="E72" s="101">
        <v>0.0</v>
      </c>
      <c r="F72" s="101">
        <v>0.0</v>
      </c>
      <c r="G72" s="101">
        <v>0.0</v>
      </c>
      <c r="H72" s="101">
        <v>0.0</v>
      </c>
      <c r="I72" s="101">
        <v>0.0</v>
      </c>
      <c r="J72" s="101">
        <v>0.0</v>
      </c>
      <c r="K72" s="101">
        <v>0.0</v>
      </c>
      <c r="L72" s="101">
        <v>0.0</v>
      </c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</row>
    <row r="73" ht="15.75" customHeight="1">
      <c r="A73" s="99" t="str">
        <f t="array" ref="A73">INDEX(FORM!$B$2:$J$99, MATCH(D73, FORM!$A$2:$A$99, 0), MATCH($I$4, FORM!$B$1:$J$1, 0))</f>
        <v>#N/A</v>
      </c>
      <c r="B73" s="100">
        <v>25.0</v>
      </c>
      <c r="C73" s="101"/>
      <c r="D73" s="101">
        <v>0.0</v>
      </c>
      <c r="E73" s="101">
        <v>0.0</v>
      </c>
      <c r="F73" s="101">
        <v>0.0</v>
      </c>
      <c r="G73" s="101">
        <v>0.0</v>
      </c>
      <c r="H73" s="101">
        <v>0.0</v>
      </c>
      <c r="I73" s="101">
        <v>0.0</v>
      </c>
      <c r="J73" s="101">
        <v>0.0</v>
      </c>
      <c r="K73" s="101">
        <v>0.0</v>
      </c>
      <c r="L73" s="101">
        <v>0.0</v>
      </c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</row>
    <row r="74" ht="15.75" customHeight="1">
      <c r="A74" s="99" t="str">
        <f t="array" ref="A74">INDEX(FORM!$B$2:$J$99, MATCH(D74, FORM!$A$2:$A$99, 0), MATCH($I$4, FORM!$B$1:$J$1, 0))</f>
        <v>#N/A</v>
      </c>
      <c r="B74" s="100">
        <v>26.0</v>
      </c>
      <c r="C74" s="101"/>
      <c r="D74" s="101">
        <v>0.0</v>
      </c>
      <c r="E74" s="101">
        <v>0.0</v>
      </c>
      <c r="F74" s="101">
        <v>0.0</v>
      </c>
      <c r="G74" s="101">
        <v>0.0</v>
      </c>
      <c r="H74" s="101">
        <v>0.0</v>
      </c>
      <c r="I74" s="101">
        <v>0.0</v>
      </c>
      <c r="J74" s="101">
        <v>0.0</v>
      </c>
      <c r="K74" s="101">
        <v>0.0</v>
      </c>
      <c r="L74" s="101">
        <v>0.0</v>
      </c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</row>
    <row r="75" ht="15.75" customHeight="1">
      <c r="A75" s="99" t="str">
        <f t="array" ref="A75">INDEX(FORM!$B$2:$J$99, MATCH(D75, FORM!$A$2:$A$99, 0), MATCH($I$4, FORM!$B$1:$J$1, 0))</f>
        <v>#N/A</v>
      </c>
      <c r="B75" s="100">
        <v>27.0</v>
      </c>
      <c r="C75" s="101"/>
      <c r="D75" s="101">
        <v>0.0</v>
      </c>
      <c r="E75" s="101">
        <v>0.0</v>
      </c>
      <c r="F75" s="101">
        <v>0.0</v>
      </c>
      <c r="G75" s="101">
        <v>0.0</v>
      </c>
      <c r="H75" s="101">
        <v>0.0</v>
      </c>
      <c r="I75" s="101">
        <v>0.0</v>
      </c>
      <c r="J75" s="101">
        <v>0.0</v>
      </c>
      <c r="K75" s="101">
        <v>0.0</v>
      </c>
      <c r="L75" s="101">
        <v>0.0</v>
      </c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</row>
    <row r="76" ht="15.75" customHeight="1">
      <c r="A76" s="99" t="str">
        <f t="array" ref="A76">INDEX(FORM!$B$2:$J$99, MATCH(D76, FORM!$A$2:$A$99, 0), MATCH($I$4, FORM!$B$1:$J$1, 0))</f>
        <v>#N/A</v>
      </c>
      <c r="B76" s="100">
        <v>28.0</v>
      </c>
      <c r="C76" s="101"/>
      <c r="D76" s="101">
        <v>0.0</v>
      </c>
      <c r="E76" s="101">
        <v>0.0</v>
      </c>
      <c r="F76" s="101">
        <v>0.0</v>
      </c>
      <c r="G76" s="101">
        <v>0.0</v>
      </c>
      <c r="H76" s="101">
        <v>0.0</v>
      </c>
      <c r="I76" s="101">
        <v>0.0</v>
      </c>
      <c r="J76" s="101">
        <v>0.0</v>
      </c>
      <c r="K76" s="101">
        <v>0.0</v>
      </c>
      <c r="L76" s="101">
        <v>0.0</v>
      </c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</row>
    <row r="77" ht="15.75" customHeight="1">
      <c r="A77" s="99" t="str">
        <f t="array" ref="A77">INDEX(FORM!$B$2:$J$99, MATCH(D77, FORM!$A$2:$A$99, 0), MATCH($I$4, FORM!$B$1:$J$1, 0))</f>
        <v>#N/A</v>
      </c>
      <c r="B77" s="100">
        <v>29.0</v>
      </c>
      <c r="C77" s="101"/>
      <c r="D77" s="101">
        <v>0.0</v>
      </c>
      <c r="E77" s="101">
        <v>0.0</v>
      </c>
      <c r="F77" s="101">
        <v>0.0</v>
      </c>
      <c r="G77" s="101">
        <v>0.0</v>
      </c>
      <c r="H77" s="101">
        <v>0.0</v>
      </c>
      <c r="I77" s="101">
        <v>0.0</v>
      </c>
      <c r="J77" s="101">
        <v>0.0</v>
      </c>
      <c r="K77" s="101">
        <v>0.0</v>
      </c>
      <c r="L77" s="101">
        <v>0.0</v>
      </c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</row>
    <row r="78" ht="15.75" customHeight="1">
      <c r="A78" s="99" t="str">
        <f t="array" ref="A78">INDEX(FORM!$B$2:$J$99, MATCH(D78, FORM!$A$2:$A$99, 0), MATCH($I$4, FORM!$B$1:$J$1, 0))</f>
        <v>#N/A</v>
      </c>
      <c r="B78" s="100">
        <v>30.0</v>
      </c>
      <c r="C78" s="101"/>
      <c r="D78" s="101">
        <v>0.0</v>
      </c>
      <c r="E78" s="101">
        <v>0.0</v>
      </c>
      <c r="F78" s="101">
        <v>0.0</v>
      </c>
      <c r="G78" s="101">
        <v>0.0</v>
      </c>
      <c r="H78" s="101">
        <v>0.0</v>
      </c>
      <c r="I78" s="101">
        <v>0.0</v>
      </c>
      <c r="J78" s="101">
        <v>0.0</v>
      </c>
      <c r="K78" s="101">
        <v>0.0</v>
      </c>
      <c r="L78" s="101">
        <v>0.0</v>
      </c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</row>
    <row r="79" ht="15.75" customHeight="1">
      <c r="A79" s="99" t="str">
        <f t="array" ref="A79">INDEX(FORM!$B$2:$J$99, MATCH(D79, FORM!$A$2:$A$99, 0), MATCH($I$4, FORM!$B$1:$J$1, 0))</f>
        <v>#N/A</v>
      </c>
      <c r="B79" s="100">
        <v>31.0</v>
      </c>
      <c r="C79" s="101"/>
      <c r="D79" s="101">
        <v>0.0</v>
      </c>
      <c r="E79" s="101">
        <v>0.0</v>
      </c>
      <c r="F79" s="101">
        <v>0.0</v>
      </c>
      <c r="G79" s="101">
        <v>0.0</v>
      </c>
      <c r="H79" s="101">
        <v>0.0</v>
      </c>
      <c r="I79" s="101">
        <v>0.0</v>
      </c>
      <c r="J79" s="101">
        <v>0.0</v>
      </c>
      <c r="K79" s="101">
        <v>0.0</v>
      </c>
      <c r="L79" s="101">
        <v>0.0</v>
      </c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</row>
    <row r="80" ht="15.75" customHeight="1">
      <c r="A80" s="99" t="str">
        <f t="array" ref="A80">INDEX(FORM!$B$2:$J$99, MATCH(D80, FORM!$A$2:$A$99, 0), MATCH($I$4, FORM!$B$1:$J$1, 0))</f>
        <v>#N/A</v>
      </c>
      <c r="B80" s="100">
        <v>32.0</v>
      </c>
      <c r="C80" s="101"/>
      <c r="D80" s="101">
        <v>0.0</v>
      </c>
      <c r="E80" s="101">
        <v>0.0</v>
      </c>
      <c r="F80" s="101">
        <v>0.0</v>
      </c>
      <c r="G80" s="101">
        <v>0.0</v>
      </c>
      <c r="H80" s="101">
        <v>0.0</v>
      </c>
      <c r="I80" s="101">
        <v>0.0</v>
      </c>
      <c r="J80" s="101">
        <v>0.0</v>
      </c>
      <c r="K80" s="101">
        <v>0.0</v>
      </c>
      <c r="L80" s="101">
        <v>0.0</v>
      </c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</row>
    <row r="81" ht="15.75" customHeight="1">
      <c r="A81" s="99" t="str">
        <f t="array" ref="A81">INDEX(FORM!$B$2:$J$99, MATCH(D81, FORM!$A$2:$A$99, 0), MATCH($I$4, FORM!$B$1:$J$1, 0))</f>
        <v>#N/A</v>
      </c>
      <c r="B81" s="100">
        <v>33.0</v>
      </c>
      <c r="C81" s="101"/>
      <c r="D81" s="101">
        <v>0.0</v>
      </c>
      <c r="E81" s="101">
        <v>0.0</v>
      </c>
      <c r="F81" s="101">
        <v>0.0</v>
      </c>
      <c r="G81" s="101">
        <v>0.0</v>
      </c>
      <c r="H81" s="101">
        <v>0.0</v>
      </c>
      <c r="I81" s="101">
        <v>0.0</v>
      </c>
      <c r="J81" s="101">
        <v>0.0</v>
      </c>
      <c r="K81" s="101">
        <v>0.0</v>
      </c>
      <c r="L81" s="101">
        <v>0.0</v>
      </c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</row>
    <row r="82" ht="15.75" customHeight="1">
      <c r="A82" s="99" t="str">
        <f t="array" ref="A82">INDEX(FORM!$B$2:$J$99, MATCH(D82, FORM!$A$2:$A$99, 0), MATCH($I$4, FORM!$B$1:$J$1, 0))</f>
        <v>#N/A</v>
      </c>
      <c r="B82" s="100">
        <v>34.0</v>
      </c>
      <c r="C82" s="101"/>
      <c r="D82" s="101">
        <v>0.0</v>
      </c>
      <c r="E82" s="101">
        <v>0.0</v>
      </c>
      <c r="F82" s="101">
        <v>0.0</v>
      </c>
      <c r="G82" s="101">
        <v>0.0</v>
      </c>
      <c r="H82" s="101">
        <v>0.0</v>
      </c>
      <c r="I82" s="101">
        <v>0.0</v>
      </c>
      <c r="J82" s="101">
        <v>0.0</v>
      </c>
      <c r="K82" s="101">
        <v>0.0</v>
      </c>
      <c r="L82" s="101">
        <v>0.0</v>
      </c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</row>
    <row r="83" ht="15.75" customHeight="1">
      <c r="A83" s="99" t="str">
        <f t="array" ref="A83">INDEX(FORM!$B$2:$J$99, MATCH(D83, FORM!$A$2:$A$99, 0), MATCH($I$4, FORM!$B$1:$J$1, 0))</f>
        <v>#N/A</v>
      </c>
      <c r="B83" s="100">
        <v>35.0</v>
      </c>
      <c r="C83" s="101"/>
      <c r="D83" s="101">
        <v>0.0</v>
      </c>
      <c r="E83" s="101">
        <v>0.0</v>
      </c>
      <c r="F83" s="101">
        <v>0.0</v>
      </c>
      <c r="G83" s="101">
        <v>0.0</v>
      </c>
      <c r="H83" s="101">
        <v>0.0</v>
      </c>
      <c r="I83" s="101">
        <v>0.0</v>
      </c>
      <c r="J83" s="101">
        <v>0.0</v>
      </c>
      <c r="K83" s="101">
        <v>0.0</v>
      </c>
      <c r="L83" s="101">
        <v>0.0</v>
      </c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</row>
    <row r="84" ht="15.75" customHeight="1">
      <c r="A84" s="99" t="str">
        <f t="array" ref="A84">INDEX(FORM!$B$2:$J$99, MATCH(D84, FORM!$A$2:$A$99, 0), MATCH($I$4, FORM!$B$1:$J$1, 0))</f>
        <v>#N/A</v>
      </c>
      <c r="B84" s="100">
        <v>36.0</v>
      </c>
      <c r="C84" s="101"/>
      <c r="D84" s="101">
        <v>0.0</v>
      </c>
      <c r="E84" s="101">
        <v>0.0</v>
      </c>
      <c r="F84" s="101">
        <v>0.0</v>
      </c>
      <c r="G84" s="101">
        <v>0.0</v>
      </c>
      <c r="H84" s="101">
        <v>0.0</v>
      </c>
      <c r="I84" s="101">
        <v>0.0</v>
      </c>
      <c r="J84" s="101">
        <v>0.0</v>
      </c>
      <c r="K84" s="101">
        <v>0.0</v>
      </c>
      <c r="L84" s="101">
        <v>0.0</v>
      </c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</row>
    <row r="85" ht="15.75" customHeight="1">
      <c r="A85" s="99" t="str">
        <f t="array" ref="A85">INDEX(FORM!$B$2:$J$99, MATCH(D85, FORM!$A$2:$A$99, 0), MATCH($I$4, FORM!$B$1:$J$1, 0))</f>
        <v>#N/A</v>
      </c>
      <c r="B85" s="100">
        <v>37.0</v>
      </c>
      <c r="C85" s="101"/>
      <c r="D85" s="101">
        <v>0.0</v>
      </c>
      <c r="E85" s="101">
        <v>0.0</v>
      </c>
      <c r="F85" s="101">
        <v>0.0</v>
      </c>
      <c r="G85" s="101">
        <v>0.0</v>
      </c>
      <c r="H85" s="101">
        <v>0.0</v>
      </c>
      <c r="I85" s="101">
        <v>0.0</v>
      </c>
      <c r="J85" s="101">
        <v>0.0</v>
      </c>
      <c r="K85" s="101">
        <v>0.0</v>
      </c>
      <c r="L85" s="101">
        <v>0.0</v>
      </c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</row>
    <row r="86" ht="15.75" customHeight="1">
      <c r="A86" s="99" t="str">
        <f t="array" ref="A86">INDEX(FORM!$B$2:$J$99, MATCH(D86, FORM!$A$2:$A$99, 0), MATCH($I$4, FORM!$B$1:$J$1, 0))</f>
        <v>#N/A</v>
      </c>
      <c r="B86" s="100">
        <v>38.0</v>
      </c>
      <c r="C86" s="101"/>
      <c r="D86" s="101">
        <v>0.0</v>
      </c>
      <c r="E86" s="101">
        <v>0.0</v>
      </c>
      <c r="F86" s="101">
        <v>0.0</v>
      </c>
      <c r="G86" s="101">
        <v>0.0</v>
      </c>
      <c r="H86" s="101">
        <v>0.0</v>
      </c>
      <c r="I86" s="101">
        <v>0.0</v>
      </c>
      <c r="J86" s="101">
        <v>0.0</v>
      </c>
      <c r="K86" s="101">
        <v>0.0</v>
      </c>
      <c r="L86" s="101">
        <v>0.0</v>
      </c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</row>
    <row r="87" ht="15.75" customHeight="1">
      <c r="A87" s="99" t="str">
        <f t="array" ref="A87">INDEX(FORM!$B$2:$J$99, MATCH(D87, FORM!$A$2:$A$99, 0), MATCH($I$4, FORM!$B$1:$J$1, 0))</f>
        <v>#N/A</v>
      </c>
      <c r="B87" s="100">
        <v>39.0</v>
      </c>
      <c r="C87" s="101"/>
      <c r="D87" s="101">
        <v>0.0</v>
      </c>
      <c r="E87" s="101">
        <v>0.0</v>
      </c>
      <c r="F87" s="101">
        <v>0.0</v>
      </c>
      <c r="G87" s="101">
        <v>0.0</v>
      </c>
      <c r="H87" s="101">
        <v>0.0</v>
      </c>
      <c r="I87" s="101">
        <v>0.0</v>
      </c>
      <c r="J87" s="101">
        <v>0.0</v>
      </c>
      <c r="K87" s="101">
        <v>0.0</v>
      </c>
      <c r="L87" s="101">
        <v>0.0</v>
      </c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</row>
    <row r="88" ht="15.75" customHeight="1">
      <c r="A88" s="99" t="str">
        <f t="array" ref="A88">INDEX(FORM!$B$2:$J$99, MATCH(D88, FORM!$A$2:$A$99, 0), MATCH($I$4, FORM!$B$1:$J$1, 0))</f>
        <v>#N/A</v>
      </c>
      <c r="B88" s="100">
        <v>40.0</v>
      </c>
      <c r="C88" s="101"/>
      <c r="D88" s="101">
        <v>0.0</v>
      </c>
      <c r="E88" s="101">
        <v>0.0</v>
      </c>
      <c r="F88" s="101">
        <v>0.0</v>
      </c>
      <c r="G88" s="101">
        <v>0.0</v>
      </c>
      <c r="H88" s="101">
        <v>0.0</v>
      </c>
      <c r="I88" s="101">
        <v>0.0</v>
      </c>
      <c r="J88" s="101">
        <v>0.0</v>
      </c>
      <c r="K88" s="101">
        <v>0.0</v>
      </c>
      <c r="L88" s="101">
        <v>0.0</v>
      </c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</row>
    <row r="89" ht="15.75" customHeight="1">
      <c r="A89" s="99" t="str">
        <f t="array" ref="A89">INDEX(FORM!$B$2:$J$99, MATCH(D89, FORM!$A$2:$A$99, 0), MATCH($I$4, FORM!$B$1:$J$1, 0))</f>
        <v>#N/A</v>
      </c>
      <c r="B89" s="100">
        <v>41.0</v>
      </c>
      <c r="C89" s="101"/>
      <c r="D89" s="101">
        <v>0.0</v>
      </c>
      <c r="E89" s="101">
        <v>0.0</v>
      </c>
      <c r="F89" s="101">
        <v>0.0</v>
      </c>
      <c r="G89" s="101">
        <v>0.0</v>
      </c>
      <c r="H89" s="101">
        <v>0.0</v>
      </c>
      <c r="I89" s="101">
        <v>0.0</v>
      </c>
      <c r="J89" s="101">
        <v>0.0</v>
      </c>
      <c r="K89" s="101">
        <v>0.0</v>
      </c>
      <c r="L89" s="101">
        <v>0.0</v>
      </c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</row>
    <row r="90" ht="15.75" customHeight="1">
      <c r="A90" s="99" t="str">
        <f t="array" ref="A90">INDEX(FORM!$B$2:$J$99, MATCH(D90, FORM!$A$2:$A$99, 0), MATCH($I$4, FORM!$B$1:$J$1, 0))</f>
        <v>#N/A</v>
      </c>
      <c r="B90" s="100">
        <v>42.0</v>
      </c>
      <c r="C90" s="101"/>
      <c r="D90" s="101">
        <v>0.0</v>
      </c>
      <c r="E90" s="101">
        <v>0.0</v>
      </c>
      <c r="F90" s="101">
        <v>0.0</v>
      </c>
      <c r="G90" s="101">
        <v>0.0</v>
      </c>
      <c r="H90" s="101">
        <v>0.0</v>
      </c>
      <c r="I90" s="101">
        <v>0.0</v>
      </c>
      <c r="J90" s="101">
        <v>0.0</v>
      </c>
      <c r="K90" s="101">
        <v>0.0</v>
      </c>
      <c r="L90" s="101">
        <v>0.0</v>
      </c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</row>
    <row r="91" ht="15.75" customHeight="1">
      <c r="A91" s="99" t="str">
        <f t="array" ref="A91">INDEX(FORM!$B$2:$J$99, MATCH(D91, FORM!$A$2:$A$99, 0), MATCH($I$4, FORM!$B$1:$J$1, 0))</f>
        <v>#N/A</v>
      </c>
      <c r="B91" s="100">
        <v>43.0</v>
      </c>
      <c r="C91" s="101"/>
      <c r="D91" s="101">
        <v>0.0</v>
      </c>
      <c r="E91" s="101">
        <v>0.0</v>
      </c>
      <c r="F91" s="101">
        <v>0.0</v>
      </c>
      <c r="G91" s="101">
        <v>0.0</v>
      </c>
      <c r="H91" s="101">
        <v>0.0</v>
      </c>
      <c r="I91" s="101">
        <v>0.0</v>
      </c>
      <c r="J91" s="101">
        <v>0.0</v>
      </c>
      <c r="K91" s="101">
        <v>0.0</v>
      </c>
      <c r="L91" s="101">
        <v>0.0</v>
      </c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</row>
    <row r="92" ht="15.75" customHeight="1">
      <c r="A92" s="99" t="str">
        <f t="array" ref="A92">INDEX(FORM!$B$2:$J$99, MATCH(D92, FORM!$A$2:$A$99, 0), MATCH($I$4, FORM!$B$1:$J$1, 0))</f>
        <v>#N/A</v>
      </c>
      <c r="B92" s="100">
        <v>44.0</v>
      </c>
      <c r="C92" s="101"/>
      <c r="D92" s="101">
        <v>0.0</v>
      </c>
      <c r="E92" s="101">
        <v>0.0</v>
      </c>
      <c r="F92" s="101">
        <v>0.0</v>
      </c>
      <c r="G92" s="101">
        <v>0.0</v>
      </c>
      <c r="H92" s="101">
        <v>0.0</v>
      </c>
      <c r="I92" s="101">
        <v>0.0</v>
      </c>
      <c r="J92" s="101">
        <v>0.0</v>
      </c>
      <c r="K92" s="101">
        <v>0.0</v>
      </c>
      <c r="L92" s="101">
        <v>0.0</v>
      </c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</row>
    <row r="93" ht="15.75" customHeight="1">
      <c r="A93" s="99" t="str">
        <f t="array" ref="A93">INDEX(FORM!$B$2:$J$99, MATCH(D93, FORM!$A$2:$A$99, 0), MATCH($I$4, FORM!$B$1:$J$1, 0))</f>
        <v>#N/A</v>
      </c>
      <c r="B93" s="100">
        <v>45.0</v>
      </c>
      <c r="C93" s="101"/>
      <c r="D93" s="101">
        <v>0.0</v>
      </c>
      <c r="E93" s="101">
        <v>0.0</v>
      </c>
      <c r="F93" s="101">
        <v>0.0</v>
      </c>
      <c r="G93" s="101">
        <v>0.0</v>
      </c>
      <c r="H93" s="101">
        <v>0.0</v>
      </c>
      <c r="I93" s="101">
        <v>0.0</v>
      </c>
      <c r="J93" s="101">
        <v>0.0</v>
      </c>
      <c r="K93" s="101">
        <v>0.0</v>
      </c>
      <c r="L93" s="101">
        <v>0.0</v>
      </c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</row>
    <row r="94" ht="15.75" customHeight="1">
      <c r="A94" s="99" t="str">
        <f t="array" ref="A94">INDEX(FORM!$B$2:$J$99, MATCH(D94, FORM!$A$2:$A$99, 0), MATCH($I$4, FORM!$B$1:$J$1, 0))</f>
        <v>#N/A</v>
      </c>
      <c r="B94" s="100">
        <v>46.0</v>
      </c>
      <c r="C94" s="101"/>
      <c r="D94" s="101">
        <v>0.0</v>
      </c>
      <c r="E94" s="101">
        <v>0.0</v>
      </c>
      <c r="F94" s="101">
        <v>0.0</v>
      </c>
      <c r="G94" s="101">
        <v>0.0</v>
      </c>
      <c r="H94" s="101">
        <v>0.0</v>
      </c>
      <c r="I94" s="101">
        <v>0.0</v>
      </c>
      <c r="J94" s="101">
        <v>0.0</v>
      </c>
      <c r="K94" s="101">
        <v>0.0</v>
      </c>
      <c r="L94" s="101">
        <v>0.0</v>
      </c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</row>
    <row r="95" ht="15.75" customHeight="1">
      <c r="A95" s="99" t="str">
        <f t="array" ref="A95">INDEX(FORM!$B$2:$J$99, MATCH(D95, FORM!$A$2:$A$99, 0), MATCH($I$4, FORM!$B$1:$J$1, 0))</f>
        <v>#N/A</v>
      </c>
      <c r="B95" s="100">
        <v>47.0</v>
      </c>
      <c r="C95" s="101"/>
      <c r="D95" s="101">
        <v>0.0</v>
      </c>
      <c r="E95" s="101">
        <v>0.0</v>
      </c>
      <c r="F95" s="101">
        <v>0.0</v>
      </c>
      <c r="G95" s="101">
        <v>0.0</v>
      </c>
      <c r="H95" s="101">
        <v>0.0</v>
      </c>
      <c r="I95" s="101">
        <v>0.0</v>
      </c>
      <c r="J95" s="101">
        <v>0.0</v>
      </c>
      <c r="K95" s="101">
        <v>0.0</v>
      </c>
      <c r="L95" s="101">
        <v>0.0</v>
      </c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</row>
    <row r="96" ht="15.75" customHeight="1">
      <c r="A96" s="99" t="str">
        <f t="array" ref="A96">INDEX(FORM!$B$2:$J$99, MATCH(D96, FORM!$A$2:$A$99, 0), MATCH($I$4, FORM!$B$1:$J$1, 0))</f>
        <v>#N/A</v>
      </c>
      <c r="B96" s="100">
        <v>48.0</v>
      </c>
      <c r="C96" s="101"/>
      <c r="D96" s="101">
        <v>0.0</v>
      </c>
      <c r="E96" s="101">
        <v>0.0</v>
      </c>
      <c r="F96" s="101">
        <v>0.0</v>
      </c>
      <c r="G96" s="101">
        <v>0.0</v>
      </c>
      <c r="H96" s="101">
        <v>0.0</v>
      </c>
      <c r="I96" s="101">
        <v>0.0</v>
      </c>
      <c r="J96" s="101">
        <v>0.0</v>
      </c>
      <c r="K96" s="101">
        <v>0.0</v>
      </c>
      <c r="L96" s="101">
        <v>0.0</v>
      </c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</row>
    <row r="97" ht="15.75" customHeight="1">
      <c r="A97" s="99" t="str">
        <f t="array" ref="A97">INDEX(FORM!$B$2:$J$99, MATCH(D97, FORM!$A$2:$A$99, 0), MATCH($I$4, FORM!$B$1:$J$1, 0))</f>
        <v>#N/A</v>
      </c>
      <c r="B97" s="100">
        <v>49.0</v>
      </c>
      <c r="C97" s="101"/>
      <c r="D97" s="101">
        <v>0.0</v>
      </c>
      <c r="E97" s="101">
        <v>0.0</v>
      </c>
      <c r="F97" s="101">
        <v>0.0</v>
      </c>
      <c r="G97" s="101">
        <v>0.0</v>
      </c>
      <c r="H97" s="101">
        <v>0.0</v>
      </c>
      <c r="I97" s="101">
        <v>0.0</v>
      </c>
      <c r="J97" s="101">
        <v>0.0</v>
      </c>
      <c r="K97" s="101">
        <v>0.0</v>
      </c>
      <c r="L97" s="101">
        <v>0.0</v>
      </c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</row>
    <row r="98" ht="15.75" customHeight="1">
      <c r="A98" s="99" t="str">
        <f t="array" ref="A98">INDEX(FORM!$B$2:$J$99, MATCH(D98, FORM!$A$2:$A$99, 0), MATCH($I$4, FORM!$B$1:$J$1, 0))</f>
        <v>#N/A</v>
      </c>
      <c r="B98" s="100">
        <v>50.0</v>
      </c>
      <c r="C98" s="101"/>
      <c r="D98" s="101">
        <v>0.0</v>
      </c>
      <c r="E98" s="101">
        <v>0.0</v>
      </c>
      <c r="F98" s="101">
        <v>0.0</v>
      </c>
      <c r="G98" s="101">
        <v>0.0</v>
      </c>
      <c r="H98" s="101">
        <v>0.0</v>
      </c>
      <c r="I98" s="101">
        <v>0.0</v>
      </c>
      <c r="J98" s="101">
        <v>0.0</v>
      </c>
      <c r="K98" s="101">
        <v>0.0</v>
      </c>
      <c r="L98" s="101">
        <v>0.0</v>
      </c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</row>
    <row r="99" ht="15.75" customHeight="1">
      <c r="A99" s="99" t="str">
        <f t="array" ref="A99">INDEX(FORM!$B$2:$J$99, MATCH(D99, FORM!$A$2:$A$99, 0), MATCH($I$4, FORM!$B$1:$J$1, 0))</f>
        <v>#N/A</v>
      </c>
      <c r="B99" s="100">
        <v>51.0</v>
      </c>
      <c r="C99" s="101"/>
      <c r="D99" s="101">
        <v>0.0</v>
      </c>
      <c r="E99" s="101">
        <v>0.0</v>
      </c>
      <c r="F99" s="101">
        <v>0.0</v>
      </c>
      <c r="G99" s="101">
        <v>0.0</v>
      </c>
      <c r="H99" s="101">
        <v>0.0</v>
      </c>
      <c r="I99" s="101">
        <v>0.0</v>
      </c>
      <c r="J99" s="101">
        <v>0.0</v>
      </c>
      <c r="K99" s="101">
        <v>0.0</v>
      </c>
      <c r="L99" s="101">
        <v>0.0</v>
      </c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</row>
    <row r="100" ht="15.75" customHeight="1">
      <c r="A100" s="99" t="str">
        <f t="array" ref="A100">INDEX(FORM!$B$2:$J$99, MATCH(D100, FORM!$A$2:$A$99, 0), MATCH($I$4, FORM!$B$1:$J$1, 0))</f>
        <v>#N/A</v>
      </c>
      <c r="B100" s="100">
        <v>52.0</v>
      </c>
      <c r="C100" s="101"/>
      <c r="D100" s="101">
        <v>0.0</v>
      </c>
      <c r="E100" s="101">
        <v>0.0</v>
      </c>
      <c r="F100" s="101">
        <v>0.0</v>
      </c>
      <c r="G100" s="101">
        <v>0.0</v>
      </c>
      <c r="H100" s="101">
        <v>0.0</v>
      </c>
      <c r="I100" s="101">
        <v>0.0</v>
      </c>
      <c r="J100" s="101">
        <v>0.0</v>
      </c>
      <c r="K100" s="101">
        <v>0.0</v>
      </c>
      <c r="L100" s="101">
        <v>0.0</v>
      </c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</row>
    <row r="101" ht="15.75" customHeight="1">
      <c r="A101" s="99" t="str">
        <f t="array" ref="A101">INDEX(FORM!$B$2:$J$99, MATCH(D101, FORM!$A$2:$A$99, 0), MATCH($I$4, FORM!$B$1:$J$1, 0))</f>
        <v>#N/A</v>
      </c>
      <c r="B101" s="100">
        <v>53.0</v>
      </c>
      <c r="C101" s="101"/>
      <c r="D101" s="101">
        <v>0.0</v>
      </c>
      <c r="E101" s="101">
        <v>0.0</v>
      </c>
      <c r="F101" s="101">
        <v>0.0</v>
      </c>
      <c r="G101" s="101">
        <v>0.0</v>
      </c>
      <c r="H101" s="101">
        <v>0.0</v>
      </c>
      <c r="I101" s="101">
        <v>0.0</v>
      </c>
      <c r="J101" s="101">
        <v>0.0</v>
      </c>
      <c r="K101" s="101">
        <v>0.0</v>
      </c>
      <c r="L101" s="101">
        <v>0.0</v>
      </c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</row>
    <row r="102" ht="15.75" customHeight="1">
      <c r="A102" s="99" t="str">
        <f t="array" ref="A102">INDEX(FORM!$B$2:$J$99, MATCH(D102, FORM!$A$2:$A$99, 0), MATCH($I$4, FORM!$B$1:$J$1, 0))</f>
        <v>#N/A</v>
      </c>
      <c r="B102" s="100">
        <v>54.0</v>
      </c>
      <c r="C102" s="101"/>
      <c r="D102" s="101">
        <v>0.0</v>
      </c>
      <c r="E102" s="101">
        <v>0.0</v>
      </c>
      <c r="F102" s="101">
        <v>0.0</v>
      </c>
      <c r="G102" s="101">
        <v>0.0</v>
      </c>
      <c r="H102" s="101">
        <v>0.0</v>
      </c>
      <c r="I102" s="101">
        <v>0.0</v>
      </c>
      <c r="J102" s="101">
        <v>0.0</v>
      </c>
      <c r="K102" s="101">
        <v>0.0</v>
      </c>
      <c r="L102" s="101">
        <v>0.0</v>
      </c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</row>
    <row r="103" ht="15.75" customHeight="1">
      <c r="A103" s="99" t="str">
        <f t="array" ref="A103">INDEX(FORM!$B$2:$J$99, MATCH(D103, FORM!$A$2:$A$99, 0), MATCH($I$4, FORM!$B$1:$J$1, 0))</f>
        <v>#N/A</v>
      </c>
      <c r="B103" s="100">
        <v>55.0</v>
      </c>
      <c r="C103" s="101"/>
      <c r="D103" s="101">
        <v>0.0</v>
      </c>
      <c r="E103" s="101">
        <v>0.0</v>
      </c>
      <c r="F103" s="101">
        <v>0.0</v>
      </c>
      <c r="G103" s="101">
        <v>0.0</v>
      </c>
      <c r="H103" s="101">
        <v>0.0</v>
      </c>
      <c r="I103" s="101">
        <v>0.0</v>
      </c>
      <c r="J103" s="101">
        <v>0.0</v>
      </c>
      <c r="K103" s="101">
        <v>0.0</v>
      </c>
      <c r="L103" s="101">
        <v>0.0</v>
      </c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</row>
    <row r="104" ht="15.75" customHeight="1">
      <c r="A104" s="99" t="str">
        <f t="array" ref="A104">INDEX(FORM!$B$2:$J$99, MATCH(D104, FORM!$A$2:$A$99, 0), MATCH($I$4, FORM!$B$1:$J$1, 0))</f>
        <v>#N/A</v>
      </c>
      <c r="B104" s="100">
        <v>56.0</v>
      </c>
      <c r="C104" s="101"/>
      <c r="D104" s="101">
        <v>0.0</v>
      </c>
      <c r="E104" s="101">
        <v>0.0</v>
      </c>
      <c r="F104" s="101">
        <v>0.0</v>
      </c>
      <c r="G104" s="101">
        <v>0.0</v>
      </c>
      <c r="H104" s="101">
        <v>0.0</v>
      </c>
      <c r="I104" s="101">
        <v>0.0</v>
      </c>
      <c r="J104" s="101">
        <v>0.0</v>
      </c>
      <c r="K104" s="101">
        <v>0.0</v>
      </c>
      <c r="L104" s="101">
        <v>0.0</v>
      </c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</row>
    <row r="105" ht="15.75" customHeight="1">
      <c r="A105" s="99" t="str">
        <f t="array" ref="A105">INDEX(FORM!$B$2:$J$99, MATCH(D105, FORM!$A$2:$A$99, 0), MATCH($I$4, FORM!$B$1:$J$1, 0))</f>
        <v>#N/A</v>
      </c>
      <c r="B105" s="100">
        <v>57.0</v>
      </c>
      <c r="C105" s="101"/>
      <c r="D105" s="101">
        <v>0.0</v>
      </c>
      <c r="E105" s="101">
        <v>0.0</v>
      </c>
      <c r="F105" s="101">
        <v>0.0</v>
      </c>
      <c r="G105" s="101">
        <v>0.0</v>
      </c>
      <c r="H105" s="101">
        <v>0.0</v>
      </c>
      <c r="I105" s="101">
        <v>0.0</v>
      </c>
      <c r="J105" s="101">
        <v>0.0</v>
      </c>
      <c r="K105" s="101">
        <v>0.0</v>
      </c>
      <c r="L105" s="101">
        <v>0.0</v>
      </c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</row>
    <row r="106" ht="15.75" customHeight="1">
      <c r="A106" s="99" t="str">
        <f t="array" ref="A106">INDEX(FORM!$B$2:$J$99, MATCH(D106, FORM!$A$2:$A$99, 0), MATCH($I$4, FORM!$B$1:$J$1, 0))</f>
        <v>#N/A</v>
      </c>
      <c r="B106" s="100">
        <v>58.0</v>
      </c>
      <c r="C106" s="101"/>
      <c r="D106" s="101">
        <v>0.0</v>
      </c>
      <c r="E106" s="101">
        <v>0.0</v>
      </c>
      <c r="F106" s="101">
        <v>0.0</v>
      </c>
      <c r="G106" s="101">
        <v>0.0</v>
      </c>
      <c r="H106" s="101">
        <v>0.0</v>
      </c>
      <c r="I106" s="101">
        <v>0.0</v>
      </c>
      <c r="J106" s="101">
        <v>0.0</v>
      </c>
      <c r="K106" s="101">
        <v>0.0</v>
      </c>
      <c r="L106" s="101">
        <v>0.0</v>
      </c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</row>
    <row r="107" ht="15.75" customHeight="1">
      <c r="A107" s="99" t="str">
        <f t="array" ref="A107">INDEX(FORM!$B$2:$J$99, MATCH(D107, FORM!$A$2:$A$99, 0), MATCH($I$4, FORM!$B$1:$J$1, 0))</f>
        <v>#N/A</v>
      </c>
      <c r="B107" s="100">
        <v>59.0</v>
      </c>
      <c r="C107" s="101"/>
      <c r="D107" s="101">
        <v>0.0</v>
      </c>
      <c r="E107" s="101">
        <v>0.0</v>
      </c>
      <c r="F107" s="101">
        <v>0.0</v>
      </c>
      <c r="G107" s="101">
        <v>0.0</v>
      </c>
      <c r="H107" s="101">
        <v>0.0</v>
      </c>
      <c r="I107" s="101">
        <v>0.0</v>
      </c>
      <c r="J107" s="101">
        <v>0.0</v>
      </c>
      <c r="K107" s="101">
        <v>0.0</v>
      </c>
      <c r="L107" s="101">
        <v>0.0</v>
      </c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</row>
    <row r="108" ht="15.75" customHeight="1">
      <c r="A108" s="99" t="str">
        <f t="array" ref="A108">INDEX(FORM!$B$2:$J$99, MATCH(D108, FORM!$A$2:$A$99, 0), MATCH($I$4, FORM!$B$1:$J$1, 0))</f>
        <v>#N/A</v>
      </c>
      <c r="B108" s="100">
        <v>60.0</v>
      </c>
      <c r="C108" s="101"/>
      <c r="D108" s="101">
        <v>0.0</v>
      </c>
      <c r="E108" s="101">
        <v>0.0</v>
      </c>
      <c r="F108" s="101">
        <v>0.0</v>
      </c>
      <c r="G108" s="101">
        <v>0.0</v>
      </c>
      <c r="H108" s="101">
        <v>0.0</v>
      </c>
      <c r="I108" s="101">
        <v>0.0</v>
      </c>
      <c r="J108" s="101">
        <v>0.0</v>
      </c>
      <c r="K108" s="101">
        <v>0.0</v>
      </c>
      <c r="L108" s="101">
        <v>0.0</v>
      </c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</row>
    <row r="109" ht="15.75" customHeight="1">
      <c r="A109" s="99" t="str">
        <f t="array" ref="A109">INDEX(FORM!$B$2:$J$99, MATCH(D109, FORM!$A$2:$A$99, 0), MATCH($I$4, FORM!$B$1:$J$1, 0))</f>
        <v>#N/A</v>
      </c>
      <c r="B109" s="100">
        <v>61.0</v>
      </c>
      <c r="C109" s="101"/>
      <c r="D109" s="101">
        <v>0.0</v>
      </c>
      <c r="E109" s="101">
        <v>0.0</v>
      </c>
      <c r="F109" s="101">
        <v>0.0</v>
      </c>
      <c r="G109" s="101">
        <v>0.0</v>
      </c>
      <c r="H109" s="101">
        <v>0.0</v>
      </c>
      <c r="I109" s="101">
        <v>0.0</v>
      </c>
      <c r="J109" s="101">
        <v>0.0</v>
      </c>
      <c r="K109" s="101">
        <v>0.0</v>
      </c>
      <c r="L109" s="101">
        <v>0.0</v>
      </c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</row>
    <row r="110" ht="15.75" customHeight="1">
      <c r="A110" s="99" t="str">
        <f t="array" ref="A110">INDEX(FORM!$B$2:$J$99, MATCH(D110, FORM!$A$2:$A$99, 0), MATCH($I$4, FORM!$B$1:$J$1, 0))</f>
        <v>#N/A</v>
      </c>
      <c r="B110" s="100">
        <v>62.0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</row>
    <row r="111" ht="15.75" customHeight="1">
      <c r="A111" s="99"/>
      <c r="B111" s="100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</row>
    <row r="112" ht="15.75" customHeight="1">
      <c r="A112" s="99"/>
      <c r="B112" s="100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</row>
    <row r="113" ht="15.75" customHeight="1">
      <c r="A113" s="99"/>
      <c r="B113" s="100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</row>
    <row r="114" ht="15.75" customHeight="1">
      <c r="A114" s="99"/>
      <c r="B114" s="100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</row>
    <row r="115" ht="15.75" customHeight="1">
      <c r="A115" s="99"/>
      <c r="B115" s="100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</row>
    <row r="116" ht="15.75" customHeight="1">
      <c r="A116" s="99"/>
      <c r="B116" s="100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</row>
    <row r="117" ht="15.75" customHeight="1">
      <c r="A117" s="99"/>
      <c r="B117" s="100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</row>
    <row r="118" ht="15.75" customHeight="1">
      <c r="A118" s="99"/>
      <c r="B118" s="100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</row>
    <row r="119" ht="15.75" customHeight="1">
      <c r="A119" s="99"/>
      <c r="B119" s="100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</row>
    <row r="120" ht="15.75" customHeight="1">
      <c r="A120" s="99"/>
      <c r="B120" s="100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</row>
    <row r="121" ht="15.75" customHeight="1">
      <c r="A121" s="99"/>
      <c r="B121" s="100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</row>
    <row r="122" ht="15.75" customHeight="1">
      <c r="A122" s="99"/>
      <c r="B122" s="100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</row>
    <row r="123" ht="15.75" customHeight="1">
      <c r="A123" s="99"/>
      <c r="B123" s="100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</row>
    <row r="124" ht="15.75" customHeight="1">
      <c r="A124" s="99"/>
      <c r="B124" s="100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</row>
    <row r="125" ht="15.75" customHeight="1">
      <c r="A125" s="99"/>
      <c r="B125" s="100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</row>
    <row r="126" ht="15.75" customHeight="1">
      <c r="A126" s="99"/>
      <c r="B126" s="100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</row>
    <row r="127" ht="15.75" customHeight="1">
      <c r="A127" s="99"/>
      <c r="B127" s="100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</row>
    <row r="128" ht="15.75" customHeight="1">
      <c r="A128" s="99"/>
      <c r="B128" s="100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</row>
    <row r="129" ht="15.75" customHeight="1">
      <c r="A129" s="99"/>
      <c r="B129" s="100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</row>
    <row r="130" ht="15.75" customHeight="1">
      <c r="A130" s="99"/>
      <c r="B130" s="100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</row>
    <row r="131" ht="15.75" customHeight="1">
      <c r="A131" s="99"/>
      <c r="B131" s="100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</row>
    <row r="132" ht="15.75" customHeight="1">
      <c r="A132" s="99"/>
      <c r="B132" s="100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</row>
    <row r="133" ht="15.75" customHeight="1">
      <c r="A133" s="99"/>
      <c r="B133" s="100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</row>
    <row r="134" ht="15.75" customHeight="1">
      <c r="A134" s="99"/>
      <c r="B134" s="100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</row>
    <row r="135" ht="15.75" customHeight="1">
      <c r="A135" s="99"/>
      <c r="B135" s="100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</row>
    <row r="136" ht="15.75" customHeight="1">
      <c r="A136" s="99"/>
      <c r="B136" s="100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</row>
    <row r="137" ht="15.75" customHeight="1">
      <c r="A137" s="99"/>
      <c r="B137" s="100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</row>
    <row r="138" ht="15.75" customHeight="1">
      <c r="A138" s="99"/>
      <c r="B138" s="100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</row>
    <row r="139" ht="15.75" customHeight="1">
      <c r="A139" s="99"/>
      <c r="B139" s="100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</row>
    <row r="140" ht="15.75" customHeight="1">
      <c r="A140" s="99"/>
      <c r="B140" s="100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</row>
    <row r="141" ht="15.75" customHeight="1">
      <c r="A141" s="99"/>
      <c r="B141" s="100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</row>
    <row r="142" ht="15.75" customHeight="1">
      <c r="A142" s="99"/>
      <c r="B142" s="100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</row>
    <row r="143" ht="15.75" customHeight="1">
      <c r="A143" s="99"/>
      <c r="B143" s="100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</row>
    <row r="144" ht="15.75" customHeight="1">
      <c r="A144" s="99"/>
      <c r="B144" s="100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</row>
    <row r="145" ht="15.75" customHeight="1">
      <c r="A145" s="99"/>
      <c r="B145" s="100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</row>
    <row r="146" ht="15.75" customHeight="1">
      <c r="A146" s="99"/>
      <c r="B146" s="100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</row>
    <row r="147" ht="15.75" customHeight="1">
      <c r="A147" s="99"/>
      <c r="B147" s="100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</row>
    <row r="148" ht="15.75" customHeight="1">
      <c r="A148" s="99"/>
      <c r="B148" s="100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</row>
    <row r="149" ht="15.75" customHeight="1">
      <c r="A149" s="99"/>
      <c r="B149" s="100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</row>
    <row r="150" ht="15.75" customHeight="1">
      <c r="A150" s="99"/>
      <c r="B150" s="100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</row>
    <row r="151" ht="15.75" customHeight="1">
      <c r="A151" s="99"/>
      <c r="B151" s="100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</row>
    <row r="152" ht="15.75" customHeight="1">
      <c r="A152" s="99"/>
      <c r="B152" s="100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</row>
    <row r="153" ht="15.75" customHeight="1">
      <c r="A153" s="99"/>
      <c r="B153" s="100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</row>
    <row r="154" ht="15.75" customHeight="1">
      <c r="A154" s="99"/>
      <c r="B154" s="100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</row>
    <row r="155" ht="15.75" customHeight="1">
      <c r="A155" s="99"/>
      <c r="B155" s="100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</row>
    <row r="156" ht="15.75" customHeight="1">
      <c r="A156" s="99"/>
      <c r="B156" s="100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</row>
    <row r="157" ht="15.75" customHeight="1">
      <c r="A157" s="99"/>
      <c r="B157" s="100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</row>
    <row r="158" ht="15.75" customHeight="1">
      <c r="A158" s="99"/>
      <c r="B158" s="100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</row>
    <row r="159" ht="15.75" customHeight="1">
      <c r="A159" s="99"/>
      <c r="B159" s="100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</row>
    <row r="160" ht="15.75" customHeight="1">
      <c r="A160" s="99"/>
      <c r="B160" s="100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</row>
    <row r="161" ht="15.75" customHeight="1">
      <c r="A161" s="99"/>
      <c r="B161" s="100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</row>
    <row r="162" ht="15.75" customHeight="1">
      <c r="A162" s="99"/>
      <c r="B162" s="100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</row>
    <row r="163" ht="15.75" customHeight="1">
      <c r="A163" s="99"/>
      <c r="B163" s="100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</row>
    <row r="164" ht="15.75" customHeight="1">
      <c r="A164" s="99"/>
      <c r="B164" s="100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</row>
    <row r="165" ht="15.75" customHeight="1">
      <c r="A165" s="99"/>
      <c r="B165" s="100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</row>
    <row r="166" ht="15.75" customHeight="1">
      <c r="A166" s="99"/>
      <c r="B166" s="100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</row>
    <row r="167" ht="15.75" customHeight="1">
      <c r="A167" s="99"/>
      <c r="B167" s="100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</row>
    <row r="168" ht="15.75" customHeight="1">
      <c r="A168" s="99"/>
      <c r="B168" s="100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</row>
    <row r="169" ht="15.75" customHeight="1">
      <c r="A169" s="99"/>
      <c r="B169" s="100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</row>
    <row r="170" ht="15.75" customHeight="1">
      <c r="A170" s="99"/>
      <c r="B170" s="100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</row>
    <row r="171" ht="15.75" customHeight="1">
      <c r="A171" s="99"/>
      <c r="B171" s="100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</row>
    <row r="172" ht="15.75" customHeight="1">
      <c r="A172" s="99"/>
      <c r="B172" s="100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</row>
    <row r="173" ht="15.75" customHeight="1">
      <c r="A173" s="99"/>
      <c r="B173" s="100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</row>
    <row r="174" ht="15.75" customHeight="1">
      <c r="A174" s="99"/>
      <c r="B174" s="100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</row>
    <row r="175" ht="15.75" customHeight="1">
      <c r="A175" s="99"/>
      <c r="B175" s="100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</row>
    <row r="176" ht="15.75" customHeight="1">
      <c r="A176" s="99"/>
      <c r="B176" s="100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</row>
    <row r="177" ht="15.75" customHeight="1">
      <c r="A177" s="99"/>
      <c r="B177" s="100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</row>
    <row r="178" ht="15.75" customHeight="1">
      <c r="A178" s="99"/>
      <c r="B178" s="100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</row>
    <row r="179" ht="15.75" customHeight="1">
      <c r="A179" s="99"/>
      <c r="B179" s="100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</row>
    <row r="180" ht="15.75" customHeight="1">
      <c r="A180" s="99"/>
      <c r="B180" s="100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</row>
    <row r="181" ht="15.75" customHeight="1">
      <c r="A181" s="99"/>
      <c r="B181" s="100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</row>
    <row r="182" ht="15.75" customHeight="1">
      <c r="A182" s="99"/>
      <c r="B182" s="100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</row>
    <row r="183" ht="15.75" customHeight="1">
      <c r="A183" s="99"/>
      <c r="B183" s="100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</row>
    <row r="184" ht="15.75" customHeight="1">
      <c r="A184" s="99"/>
      <c r="B184" s="100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</row>
    <row r="185" ht="15.75" customHeight="1">
      <c r="A185" s="99"/>
      <c r="B185" s="100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</row>
    <row r="186" ht="15.75" customHeight="1">
      <c r="A186" s="99"/>
      <c r="B186" s="100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</row>
    <row r="187" ht="15.75" customHeight="1">
      <c r="A187" s="99"/>
      <c r="B187" s="100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</row>
    <row r="188" ht="15.75" customHeight="1">
      <c r="A188" s="99"/>
      <c r="B188" s="100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</row>
    <row r="189" ht="15.75" customHeight="1">
      <c r="A189" s="99"/>
      <c r="B189" s="100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</row>
    <row r="190" ht="15.75" customHeight="1">
      <c r="A190" s="99"/>
      <c r="B190" s="100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</row>
    <row r="191" ht="15.75" customHeight="1">
      <c r="A191" s="99"/>
      <c r="B191" s="100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</row>
    <row r="192" ht="15.75" customHeight="1">
      <c r="A192" s="99"/>
      <c r="B192" s="100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</row>
    <row r="193" ht="15.75" customHeight="1">
      <c r="A193" s="99"/>
      <c r="B193" s="100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</row>
    <row r="194" ht="15.75" customHeight="1">
      <c r="A194" s="99"/>
      <c r="B194" s="100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</row>
    <row r="195" ht="15.75" customHeight="1">
      <c r="A195" s="99"/>
      <c r="B195" s="100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</row>
    <row r="196" ht="15.75" customHeight="1">
      <c r="A196" s="99"/>
      <c r="B196" s="100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</row>
    <row r="197" ht="15.75" customHeight="1">
      <c r="A197" s="99"/>
      <c r="B197" s="100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</row>
    <row r="198" ht="15.75" customHeight="1">
      <c r="A198" s="99"/>
      <c r="B198" s="100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</row>
    <row r="199" ht="15.75" customHeight="1">
      <c r="A199" s="99"/>
      <c r="B199" s="100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</row>
    <row r="200" ht="15.75" customHeight="1">
      <c r="A200" s="99"/>
      <c r="B200" s="100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</row>
    <row r="201" ht="15.75" customHeight="1">
      <c r="A201" s="99"/>
      <c r="B201" s="100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</row>
    <row r="202" ht="15.75" customHeight="1">
      <c r="A202" s="99"/>
      <c r="B202" s="100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</row>
    <row r="203" ht="15.75" customHeight="1">
      <c r="A203" s="99"/>
      <c r="B203" s="100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</row>
    <row r="204" ht="15.75" customHeight="1">
      <c r="A204" s="99"/>
      <c r="B204" s="100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</row>
    <row r="205" ht="15.75" customHeight="1">
      <c r="A205" s="99"/>
      <c r="B205" s="100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</row>
    <row r="206" ht="15.75" customHeight="1">
      <c r="A206" s="99"/>
      <c r="B206" s="100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</row>
    <row r="207" ht="15.75" customHeight="1">
      <c r="A207" s="99"/>
      <c r="B207" s="100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</row>
    <row r="208" ht="15.75" customHeight="1">
      <c r="A208" s="99"/>
      <c r="B208" s="100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</row>
    <row r="209" ht="15.75" customHeight="1">
      <c r="A209" s="99"/>
      <c r="B209" s="100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</row>
    <row r="210" ht="15.75" customHeight="1">
      <c r="A210" s="99"/>
      <c r="B210" s="100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</row>
    <row r="211" ht="15.75" customHeight="1">
      <c r="A211" s="99"/>
      <c r="B211" s="100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</row>
    <row r="212" ht="15.75" customHeight="1">
      <c r="A212" s="99"/>
      <c r="B212" s="100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</row>
    <row r="213" ht="15.75" customHeight="1">
      <c r="A213" s="99"/>
      <c r="B213" s="100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</row>
    <row r="214" ht="15.75" customHeight="1">
      <c r="A214" s="99"/>
      <c r="B214" s="100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</row>
    <row r="215" ht="15.75" customHeight="1">
      <c r="A215" s="99"/>
      <c r="B215" s="100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</row>
    <row r="216" ht="15.75" customHeight="1">
      <c r="A216" s="99"/>
      <c r="B216" s="100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</row>
    <row r="217" ht="15.75" customHeight="1">
      <c r="A217" s="99"/>
      <c r="B217" s="100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</row>
    <row r="218" ht="15.75" customHeight="1">
      <c r="A218" s="99"/>
      <c r="B218" s="100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</row>
    <row r="219" ht="15.75" customHeight="1">
      <c r="A219" s="99"/>
      <c r="B219" s="100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</row>
    <row r="220" ht="15.75" customHeight="1">
      <c r="A220" s="99"/>
      <c r="B220" s="100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</row>
    <row r="221" ht="15.75" customHeight="1">
      <c r="A221" s="99"/>
      <c r="B221" s="100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</row>
    <row r="222" ht="15.75" customHeight="1">
      <c r="A222" s="99"/>
      <c r="B222" s="100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</row>
    <row r="223" ht="15.75" customHeight="1">
      <c r="A223" s="99"/>
      <c r="B223" s="100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</row>
    <row r="224" ht="15.75" customHeight="1">
      <c r="A224" s="99"/>
      <c r="B224" s="100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</row>
    <row r="225" ht="15.75" customHeight="1">
      <c r="A225" s="99"/>
      <c r="B225" s="100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</row>
    <row r="226" ht="15.75" customHeight="1">
      <c r="A226" s="99"/>
      <c r="B226" s="100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</row>
    <row r="227" ht="15.75" customHeight="1">
      <c r="A227" s="99"/>
      <c r="B227" s="100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</row>
    <row r="228" ht="15.75" customHeight="1">
      <c r="A228" s="99"/>
      <c r="B228" s="100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</row>
    <row r="229" ht="15.75" customHeight="1">
      <c r="A229" s="99"/>
      <c r="B229" s="100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</row>
    <row r="230" ht="15.75" customHeight="1">
      <c r="A230" s="99"/>
      <c r="B230" s="100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</row>
    <row r="231" ht="15.75" customHeight="1">
      <c r="A231" s="99"/>
      <c r="B231" s="100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</row>
    <row r="232" ht="15.75" customHeight="1">
      <c r="A232" s="99"/>
      <c r="B232" s="100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</row>
    <row r="233" ht="15.75" customHeight="1">
      <c r="A233" s="99"/>
      <c r="B233" s="100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</row>
    <row r="234" ht="15.75" customHeight="1">
      <c r="A234" s="99"/>
      <c r="B234" s="100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</row>
    <row r="235" ht="15.75" customHeight="1">
      <c r="A235" s="99"/>
      <c r="B235" s="100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</row>
    <row r="236" ht="15.75" customHeight="1">
      <c r="A236" s="99"/>
      <c r="B236" s="100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</row>
    <row r="237" ht="15.75" customHeight="1">
      <c r="A237" s="99"/>
      <c r="B237" s="100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</row>
    <row r="238" ht="15.75" customHeight="1">
      <c r="A238" s="99"/>
      <c r="B238" s="100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</row>
    <row r="239" ht="15.75" customHeight="1">
      <c r="A239" s="99"/>
      <c r="B239" s="100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</row>
    <row r="240" ht="15.75" customHeight="1">
      <c r="A240" s="99"/>
      <c r="B240" s="100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</row>
    <row r="241" ht="15.75" customHeight="1">
      <c r="A241" s="99"/>
      <c r="B241" s="100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</row>
    <row r="242" ht="15.75" customHeight="1">
      <c r="A242" s="99"/>
      <c r="B242" s="100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</row>
    <row r="243" ht="15.75" customHeight="1">
      <c r="A243" s="99"/>
      <c r="B243" s="100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</row>
    <row r="244" ht="15.75" customHeight="1">
      <c r="A244" s="99"/>
      <c r="B244" s="100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</row>
    <row r="245" ht="15.75" customHeight="1">
      <c r="A245" s="99"/>
      <c r="B245" s="100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</row>
    <row r="246" ht="15.75" customHeight="1">
      <c r="A246" s="99"/>
      <c r="B246" s="100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</row>
    <row r="247" ht="15.75" customHeight="1">
      <c r="A247" s="99"/>
      <c r="B247" s="100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</row>
    <row r="248" ht="15.75" customHeight="1">
      <c r="A248" s="99"/>
      <c r="B248" s="100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</row>
    <row r="249" ht="15.75" customHeight="1">
      <c r="A249" s="99"/>
      <c r="B249" s="100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</row>
    <row r="250" ht="15.75" customHeight="1">
      <c r="A250" s="99"/>
      <c r="B250" s="100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</row>
    <row r="251" ht="15.75" customHeight="1">
      <c r="A251" s="99"/>
      <c r="B251" s="100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</row>
    <row r="252" ht="15.75" customHeight="1">
      <c r="A252" s="99"/>
      <c r="B252" s="100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</row>
    <row r="253" ht="15.75" customHeight="1">
      <c r="A253" s="99"/>
      <c r="B253" s="100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</row>
    <row r="254" ht="15.75" customHeight="1">
      <c r="A254" s="99"/>
      <c r="B254" s="100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</row>
    <row r="255" ht="15.75" customHeight="1">
      <c r="A255" s="99"/>
      <c r="B255" s="100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</row>
    <row r="256" ht="15.75" customHeight="1">
      <c r="A256" s="99"/>
      <c r="B256" s="100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</row>
    <row r="257" ht="15.75" customHeight="1">
      <c r="A257" s="99"/>
      <c r="B257" s="100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</row>
    <row r="258" ht="15.75" customHeight="1">
      <c r="A258" s="99"/>
      <c r="B258" s="100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</row>
    <row r="259" ht="15.75" customHeight="1">
      <c r="A259" s="99"/>
      <c r="B259" s="100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</row>
    <row r="260" ht="15.75" customHeight="1">
      <c r="A260" s="99"/>
      <c r="B260" s="100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</row>
    <row r="261" ht="15.75" customHeight="1">
      <c r="A261" s="99"/>
      <c r="B261" s="100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</row>
    <row r="262" ht="15.75" customHeight="1">
      <c r="A262" s="99"/>
      <c r="B262" s="100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</row>
    <row r="263" ht="15.75" customHeight="1">
      <c r="A263" s="99"/>
      <c r="B263" s="100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</row>
    <row r="264" ht="15.75" customHeight="1">
      <c r="A264" s="99"/>
      <c r="B264" s="100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</row>
    <row r="265" ht="15.75" customHeight="1">
      <c r="A265" s="99"/>
      <c r="B265" s="100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</row>
    <row r="266" ht="15.75" customHeight="1">
      <c r="A266" s="99"/>
      <c r="B266" s="100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</row>
    <row r="267" ht="15.75" customHeight="1">
      <c r="A267" s="99"/>
      <c r="B267" s="100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</row>
    <row r="268" ht="15.75" customHeight="1">
      <c r="A268" s="99"/>
      <c r="B268" s="100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</row>
    <row r="269" ht="15.75" customHeight="1">
      <c r="A269" s="99"/>
      <c r="B269" s="100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</row>
    <row r="270" ht="15.75" customHeight="1">
      <c r="A270" s="99"/>
      <c r="B270" s="100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</row>
    <row r="271" ht="15.75" customHeight="1">
      <c r="A271" s="99"/>
      <c r="B271" s="100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</row>
    <row r="272" ht="15.75" customHeight="1">
      <c r="A272" s="99"/>
      <c r="B272" s="100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</row>
    <row r="273" ht="15.75" customHeight="1">
      <c r="A273" s="99"/>
      <c r="B273" s="100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</row>
    <row r="274" ht="15.75" customHeight="1">
      <c r="A274" s="99"/>
      <c r="B274" s="100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</row>
    <row r="275" ht="15.75" customHeight="1">
      <c r="A275" s="99"/>
      <c r="B275" s="100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</row>
    <row r="276" ht="15.75" customHeight="1">
      <c r="A276" s="99"/>
      <c r="B276" s="100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</row>
    <row r="277" ht="15.75" customHeight="1">
      <c r="A277" s="99"/>
      <c r="B277" s="100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</row>
    <row r="278" ht="15.75" customHeight="1">
      <c r="A278" s="99"/>
      <c r="B278" s="100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</row>
    <row r="279" ht="15.75" customHeight="1">
      <c r="A279" s="99"/>
      <c r="B279" s="100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</row>
    <row r="280" ht="15.75" customHeight="1">
      <c r="A280" s="99"/>
      <c r="B280" s="100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</row>
    <row r="281" ht="15.75" customHeight="1">
      <c r="A281" s="99"/>
      <c r="B281" s="100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</row>
    <row r="282" ht="15.75" customHeight="1">
      <c r="A282" s="99"/>
      <c r="B282" s="100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</row>
    <row r="283" ht="15.75" customHeight="1">
      <c r="A283" s="99"/>
      <c r="B283" s="100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</row>
    <row r="284" ht="15.75" customHeight="1">
      <c r="A284" s="99"/>
      <c r="B284" s="100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</row>
    <row r="285" ht="15.75" customHeight="1">
      <c r="A285" s="99"/>
      <c r="B285" s="100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</row>
    <row r="286" ht="15.75" customHeight="1">
      <c r="A286" s="99"/>
      <c r="B286" s="100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</row>
    <row r="287" ht="15.75" customHeight="1">
      <c r="A287" s="99"/>
      <c r="B287" s="100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</row>
    <row r="288" ht="15.75" customHeight="1">
      <c r="A288" s="99"/>
      <c r="B288" s="100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</row>
    <row r="289" ht="15.75" customHeight="1">
      <c r="A289" s="99"/>
      <c r="B289" s="100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</row>
    <row r="290" ht="15.75" customHeight="1">
      <c r="A290" s="99"/>
      <c r="B290" s="100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</row>
    <row r="291" ht="15.75" customHeight="1">
      <c r="A291" s="99"/>
      <c r="B291" s="100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</row>
    <row r="292" ht="15.75" customHeight="1">
      <c r="A292" s="99"/>
      <c r="B292" s="100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</row>
    <row r="293" ht="15.75" customHeight="1">
      <c r="A293" s="99"/>
      <c r="B293" s="100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</row>
    <row r="294" ht="15.75" customHeight="1">
      <c r="A294" s="99"/>
      <c r="B294" s="100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</row>
    <row r="295" ht="15.75" customHeight="1">
      <c r="A295" s="99"/>
      <c r="B295" s="100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</row>
    <row r="296" ht="15.75" customHeight="1">
      <c r="A296" s="99"/>
      <c r="B296" s="100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</row>
    <row r="297" ht="15.75" customHeight="1">
      <c r="A297" s="99"/>
      <c r="B297" s="100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</row>
    <row r="298" ht="15.75" customHeight="1">
      <c r="A298" s="99"/>
      <c r="B298" s="100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</row>
    <row r="299" ht="15.75" customHeight="1">
      <c r="A299" s="99"/>
      <c r="B299" s="100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</row>
    <row r="300" ht="15.75" customHeight="1">
      <c r="A300" s="99"/>
      <c r="B300" s="100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</row>
    <row r="301" ht="15.75" customHeight="1">
      <c r="A301" s="99"/>
      <c r="B301" s="100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</row>
    <row r="302" ht="15.75" customHeight="1">
      <c r="A302" s="99"/>
      <c r="B302" s="100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</row>
    <row r="303" ht="15.75" customHeight="1">
      <c r="A303" s="99"/>
      <c r="B303" s="100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</row>
    <row r="304" ht="15.75" customHeight="1">
      <c r="A304" s="99"/>
      <c r="B304" s="100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</row>
    <row r="305" ht="15.75" customHeight="1">
      <c r="A305" s="99"/>
      <c r="B305" s="100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</row>
    <row r="306" ht="15.75" customHeight="1">
      <c r="A306" s="99"/>
      <c r="B306" s="100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</row>
    <row r="307" ht="15.75" customHeight="1">
      <c r="A307" s="99"/>
      <c r="B307" s="100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</row>
    <row r="308" ht="15.75" customHeight="1">
      <c r="A308" s="99"/>
      <c r="B308" s="100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</row>
    <row r="309" ht="15.75" customHeight="1">
      <c r="A309" s="99"/>
      <c r="B309" s="100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</row>
    <row r="310" ht="15.75" customHeight="1">
      <c r="A310" s="99"/>
      <c r="B310" s="100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</row>
    <row r="311" ht="15.75" customHeight="1">
      <c r="A311" s="99"/>
      <c r="B311" s="100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</row>
    <row r="312" ht="15.75" customHeight="1">
      <c r="A312" s="99"/>
      <c r="B312" s="100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</row>
    <row r="313" ht="15.75" customHeight="1">
      <c r="A313" s="99"/>
      <c r="B313" s="100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</row>
    <row r="314" ht="15.75" customHeight="1">
      <c r="A314" s="99"/>
      <c r="B314" s="100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</row>
    <row r="315" ht="15.75" customHeight="1">
      <c r="A315" s="99"/>
      <c r="B315" s="100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</row>
    <row r="316" ht="15.75" customHeight="1">
      <c r="A316" s="99"/>
      <c r="B316" s="100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</row>
    <row r="317" ht="15.75" customHeight="1">
      <c r="A317" s="99"/>
      <c r="B317" s="100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</row>
    <row r="318" ht="15.75" customHeight="1">
      <c r="A318" s="99"/>
      <c r="B318" s="100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</row>
    <row r="319" ht="15.75" customHeight="1">
      <c r="A319" s="99"/>
      <c r="B319" s="100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</row>
    <row r="320" ht="15.75" customHeight="1">
      <c r="A320" s="99"/>
      <c r="B320" s="100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</row>
    <row r="321" ht="15.75" customHeight="1">
      <c r="A321" s="99"/>
      <c r="B321" s="100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</row>
    <row r="322" ht="15.75" customHeight="1">
      <c r="A322" s="99"/>
      <c r="B322" s="100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</row>
    <row r="323" ht="15.75" customHeight="1">
      <c r="A323" s="99"/>
      <c r="B323" s="100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</row>
    <row r="324" ht="15.75" customHeight="1">
      <c r="A324" s="99"/>
      <c r="B324" s="100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</row>
    <row r="325" ht="15.75" customHeight="1">
      <c r="A325" s="99"/>
      <c r="B325" s="100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</row>
    <row r="326" ht="15.75" customHeight="1">
      <c r="A326" s="99"/>
      <c r="B326" s="100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</row>
    <row r="327" ht="15.75" customHeight="1">
      <c r="A327" s="99"/>
      <c r="B327" s="100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</row>
    <row r="328" ht="15.75" customHeight="1">
      <c r="A328" s="99"/>
      <c r="B328" s="100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</row>
    <row r="329" ht="15.75" customHeight="1">
      <c r="A329" s="99"/>
      <c r="B329" s="100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</row>
    <row r="330" ht="15.75" customHeight="1">
      <c r="A330" s="99"/>
      <c r="B330" s="100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</row>
    <row r="331" ht="15.75" customHeight="1">
      <c r="A331" s="99"/>
      <c r="B331" s="100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</row>
    <row r="332" ht="15.75" customHeight="1">
      <c r="A332" s="99"/>
      <c r="B332" s="100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</row>
    <row r="333" ht="15.75" customHeight="1">
      <c r="A333" s="99"/>
      <c r="B333" s="100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</row>
    <row r="334" ht="15.75" customHeight="1">
      <c r="A334" s="99"/>
      <c r="B334" s="100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</row>
    <row r="335" ht="15.75" customHeight="1">
      <c r="A335" s="99"/>
      <c r="B335" s="100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</row>
    <row r="336" ht="15.75" customHeight="1">
      <c r="A336" s="99"/>
      <c r="B336" s="100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</row>
    <row r="337" ht="15.75" customHeight="1">
      <c r="A337" s="99"/>
      <c r="B337" s="100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</row>
    <row r="338" ht="15.75" customHeight="1">
      <c r="A338" s="99"/>
      <c r="B338" s="100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</row>
    <row r="339" ht="15.75" customHeight="1">
      <c r="A339" s="99"/>
      <c r="B339" s="100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</row>
    <row r="340" ht="15.75" customHeight="1">
      <c r="A340" s="99"/>
      <c r="B340" s="100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</row>
    <row r="341" ht="15.75" customHeight="1">
      <c r="A341" s="99"/>
      <c r="B341" s="100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</row>
    <row r="342" ht="15.75" customHeight="1">
      <c r="A342" s="99"/>
      <c r="B342" s="100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</row>
    <row r="343" ht="15.75" customHeight="1">
      <c r="A343" s="99"/>
      <c r="B343" s="100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</row>
    <row r="344" ht="15.75" customHeight="1">
      <c r="A344" s="99"/>
      <c r="B344" s="100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</row>
    <row r="345" ht="15.75" customHeight="1">
      <c r="A345" s="99"/>
      <c r="B345" s="100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</row>
    <row r="346" ht="15.75" customHeight="1">
      <c r="A346" s="99"/>
      <c r="B346" s="100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</row>
    <row r="347" ht="15.75" customHeight="1">
      <c r="A347" s="99"/>
      <c r="B347" s="100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</row>
    <row r="348" ht="15.75" customHeight="1">
      <c r="A348" s="99"/>
      <c r="B348" s="100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</row>
    <row r="349" ht="15.75" customHeight="1">
      <c r="A349" s="99"/>
      <c r="B349" s="100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</row>
    <row r="350" ht="15.75" customHeight="1">
      <c r="A350" s="99"/>
      <c r="B350" s="100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</row>
    <row r="351" ht="15.75" customHeight="1">
      <c r="A351" s="99"/>
      <c r="B351" s="100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</row>
    <row r="352" ht="15.75" customHeight="1">
      <c r="A352" s="99"/>
      <c r="B352" s="100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</row>
    <row r="353" ht="15.75" customHeight="1">
      <c r="A353" s="99"/>
      <c r="B353" s="100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</row>
    <row r="354" ht="15.75" customHeight="1">
      <c r="A354" s="99"/>
      <c r="B354" s="100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</row>
    <row r="355" ht="15.75" customHeight="1">
      <c r="A355" s="99"/>
      <c r="B355" s="100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</row>
    <row r="356" ht="15.75" customHeight="1">
      <c r="A356" s="99"/>
      <c r="B356" s="100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</row>
    <row r="357" ht="15.75" customHeight="1">
      <c r="A357" s="99"/>
      <c r="B357" s="100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</row>
    <row r="358" ht="15.75" customHeight="1">
      <c r="A358" s="99"/>
      <c r="B358" s="100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</row>
    <row r="359" ht="15.75" customHeight="1">
      <c r="A359" s="99"/>
      <c r="B359" s="100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</row>
    <row r="360" ht="15.75" customHeight="1">
      <c r="A360" s="99"/>
      <c r="B360" s="100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</row>
    <row r="361" ht="15.75" customHeight="1">
      <c r="A361" s="99"/>
      <c r="B361" s="100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</row>
    <row r="362" ht="15.75" customHeight="1">
      <c r="A362" s="99"/>
      <c r="B362" s="100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</row>
    <row r="363" ht="15.75" customHeight="1">
      <c r="A363" s="99"/>
      <c r="B363" s="100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</row>
    <row r="364" ht="15.75" customHeight="1">
      <c r="A364" s="99"/>
      <c r="B364" s="100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</row>
    <row r="365" ht="15.75" customHeight="1">
      <c r="A365" s="99"/>
      <c r="B365" s="100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</row>
    <row r="366" ht="15.75" customHeight="1">
      <c r="A366" s="99"/>
      <c r="B366" s="100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</row>
    <row r="367" ht="15.75" customHeight="1">
      <c r="A367" s="99"/>
      <c r="B367" s="100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</row>
    <row r="368" ht="15.75" customHeight="1">
      <c r="A368" s="99"/>
      <c r="B368" s="100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</row>
    <row r="369" ht="15.75" customHeight="1">
      <c r="A369" s="99"/>
      <c r="B369" s="100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</row>
    <row r="370" ht="15.75" customHeight="1">
      <c r="A370" s="99"/>
      <c r="B370" s="100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</row>
    <row r="371" ht="15.75" customHeight="1">
      <c r="A371" s="99"/>
      <c r="B371" s="100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</row>
    <row r="372" ht="15.75" customHeight="1">
      <c r="A372" s="99"/>
      <c r="B372" s="100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</row>
    <row r="373" ht="15.75" customHeight="1">
      <c r="A373" s="99"/>
      <c r="B373" s="100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</row>
    <row r="374" ht="15.75" customHeight="1">
      <c r="A374" s="99"/>
      <c r="B374" s="100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</row>
    <row r="375" ht="15.75" customHeight="1">
      <c r="A375" s="99"/>
      <c r="B375" s="100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</row>
    <row r="376" ht="15.75" customHeight="1">
      <c r="A376" s="99"/>
      <c r="B376" s="100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</row>
    <row r="377" ht="15.75" customHeight="1">
      <c r="A377" s="99"/>
      <c r="B377" s="100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</row>
    <row r="378" ht="15.75" customHeight="1">
      <c r="A378" s="99"/>
      <c r="B378" s="100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</row>
    <row r="379" ht="15.75" customHeight="1">
      <c r="A379" s="99"/>
      <c r="B379" s="100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</row>
    <row r="380" ht="15.75" customHeight="1">
      <c r="A380" s="99"/>
      <c r="B380" s="100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</row>
    <row r="381" ht="15.75" customHeight="1">
      <c r="A381" s="99"/>
      <c r="B381" s="100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</row>
    <row r="382" ht="15.75" customHeight="1">
      <c r="A382" s="99"/>
      <c r="B382" s="100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</row>
    <row r="383" ht="15.75" customHeight="1">
      <c r="A383" s="99"/>
      <c r="B383" s="100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</row>
    <row r="384" ht="15.75" customHeight="1">
      <c r="A384" s="99"/>
      <c r="B384" s="100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</row>
    <row r="385" ht="15.75" customHeight="1">
      <c r="A385" s="99"/>
      <c r="B385" s="100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</row>
    <row r="386" ht="15.75" customHeight="1">
      <c r="A386" s="99"/>
      <c r="B386" s="100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</row>
    <row r="387" ht="15.75" customHeight="1">
      <c r="A387" s="99"/>
      <c r="B387" s="100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</row>
    <row r="388" ht="15.75" customHeight="1">
      <c r="A388" s="99"/>
      <c r="B388" s="100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</row>
    <row r="389" ht="15.75" customHeight="1">
      <c r="A389" s="99"/>
      <c r="B389" s="100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</row>
    <row r="390" ht="15.75" customHeight="1">
      <c r="A390" s="99"/>
      <c r="B390" s="100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</row>
    <row r="391" ht="15.75" customHeight="1">
      <c r="A391" s="99"/>
      <c r="B391" s="100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</row>
    <row r="392" ht="15.75" customHeight="1">
      <c r="A392" s="99"/>
      <c r="B392" s="100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</row>
    <row r="393" ht="15.75" customHeight="1">
      <c r="A393" s="99"/>
      <c r="B393" s="100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</row>
    <row r="394" ht="15.75" customHeight="1">
      <c r="A394" s="99"/>
      <c r="B394" s="100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</row>
    <row r="395" ht="15.75" customHeight="1">
      <c r="A395" s="99"/>
      <c r="B395" s="100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</row>
    <row r="396" ht="15.75" customHeight="1">
      <c r="A396" s="99"/>
      <c r="B396" s="100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</row>
    <row r="397" ht="15.75" customHeight="1">
      <c r="A397" s="99"/>
      <c r="B397" s="100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</row>
    <row r="398" ht="15.75" customHeight="1">
      <c r="A398" s="99"/>
      <c r="B398" s="100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</row>
    <row r="399" ht="15.75" customHeight="1">
      <c r="A399" s="99"/>
      <c r="B399" s="100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</row>
    <row r="400" ht="15.75" customHeight="1">
      <c r="A400" s="99"/>
      <c r="B400" s="100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</row>
    <row r="401" ht="15.75" customHeight="1">
      <c r="A401" s="99"/>
      <c r="B401" s="100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</row>
    <row r="402" ht="15.75" customHeight="1">
      <c r="A402" s="99"/>
      <c r="B402" s="100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</row>
    <row r="403" ht="15.75" customHeight="1">
      <c r="A403" s="99"/>
      <c r="B403" s="100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</row>
    <row r="404" ht="15.75" customHeight="1">
      <c r="A404" s="99"/>
      <c r="B404" s="100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</row>
    <row r="405" ht="15.75" customHeight="1">
      <c r="A405" s="99"/>
      <c r="B405" s="100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</row>
    <row r="406" ht="15.75" customHeight="1">
      <c r="A406" s="99"/>
      <c r="B406" s="100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</row>
    <row r="407" ht="15.75" customHeight="1">
      <c r="A407" s="99"/>
      <c r="B407" s="100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</row>
    <row r="408" ht="15.75" customHeight="1">
      <c r="A408" s="99"/>
      <c r="B408" s="100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</row>
    <row r="409" ht="15.75" customHeight="1">
      <c r="A409" s="99"/>
      <c r="B409" s="100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</row>
    <row r="410" ht="15.75" customHeight="1">
      <c r="A410" s="99"/>
      <c r="B410" s="100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</row>
    <row r="411" ht="15.75" customHeight="1">
      <c r="A411" s="99"/>
      <c r="B411" s="100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</row>
    <row r="412" ht="15.75" customHeight="1">
      <c r="A412" s="99"/>
      <c r="B412" s="100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</row>
    <row r="413" ht="15.75" customHeight="1">
      <c r="A413" s="99"/>
      <c r="B413" s="100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</row>
    <row r="414" ht="15.75" customHeight="1">
      <c r="A414" s="99"/>
      <c r="B414" s="100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</row>
    <row r="415" ht="15.75" customHeight="1">
      <c r="A415" s="99"/>
      <c r="B415" s="100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</row>
    <row r="416" ht="15.75" customHeight="1">
      <c r="A416" s="99"/>
      <c r="B416" s="100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</row>
    <row r="417" ht="15.75" customHeight="1">
      <c r="A417" s="99"/>
      <c r="B417" s="100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</row>
    <row r="418" ht="15.75" customHeight="1">
      <c r="A418" s="99"/>
      <c r="B418" s="100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</row>
    <row r="419" ht="15.75" customHeight="1">
      <c r="A419" s="99"/>
      <c r="B419" s="100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</row>
    <row r="420" ht="15.75" customHeight="1">
      <c r="A420" s="99"/>
      <c r="B420" s="100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</row>
    <row r="421" ht="15.75" customHeight="1">
      <c r="A421" s="99"/>
      <c r="B421" s="100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</row>
    <row r="422" ht="15.75" customHeight="1">
      <c r="A422" s="99"/>
      <c r="B422" s="100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</row>
    <row r="423" ht="15.75" customHeight="1">
      <c r="A423" s="99"/>
      <c r="B423" s="100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</row>
    <row r="424" ht="15.75" customHeight="1">
      <c r="A424" s="99"/>
      <c r="B424" s="100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</row>
    <row r="425" ht="15.75" customHeight="1">
      <c r="A425" s="99"/>
      <c r="B425" s="100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</row>
    <row r="426" ht="15.75" customHeight="1">
      <c r="A426" s="99"/>
      <c r="B426" s="100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</row>
    <row r="427" ht="15.75" customHeight="1">
      <c r="A427" s="99"/>
      <c r="B427" s="100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</row>
    <row r="428" ht="15.75" customHeight="1">
      <c r="A428" s="99"/>
      <c r="B428" s="100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</row>
    <row r="429" ht="15.75" customHeight="1">
      <c r="A429" s="99"/>
      <c r="B429" s="100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</row>
    <row r="430" ht="15.75" customHeight="1">
      <c r="A430" s="99"/>
      <c r="B430" s="100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</row>
    <row r="431" ht="15.75" customHeight="1">
      <c r="A431" s="99"/>
      <c r="B431" s="100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</row>
    <row r="432" ht="15.75" customHeight="1">
      <c r="A432" s="99"/>
      <c r="B432" s="100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</row>
    <row r="433" ht="15.75" customHeight="1">
      <c r="A433" s="99"/>
      <c r="B433" s="100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</row>
    <row r="434" ht="15.75" customHeight="1">
      <c r="A434" s="99"/>
      <c r="B434" s="100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</row>
    <row r="435" ht="15.75" customHeight="1">
      <c r="A435" s="99"/>
      <c r="B435" s="100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</row>
    <row r="436" ht="15.75" customHeight="1">
      <c r="A436" s="99"/>
      <c r="B436" s="100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</row>
    <row r="437" ht="15.75" customHeight="1">
      <c r="A437" s="99"/>
      <c r="B437" s="100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</row>
    <row r="438" ht="15.75" customHeight="1">
      <c r="A438" s="99"/>
      <c r="B438" s="100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</row>
    <row r="439" ht="15.75" customHeight="1">
      <c r="A439" s="99"/>
      <c r="B439" s="100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</row>
    <row r="440" ht="15.75" customHeight="1">
      <c r="A440" s="99"/>
      <c r="B440" s="100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</row>
    <row r="441" ht="15.75" customHeight="1">
      <c r="A441" s="99"/>
      <c r="B441" s="100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</row>
    <row r="442" ht="15.75" customHeight="1">
      <c r="A442" s="99"/>
      <c r="B442" s="100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</row>
    <row r="443" ht="15.75" customHeight="1">
      <c r="A443" s="99"/>
      <c r="B443" s="100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</row>
    <row r="444" ht="15.75" customHeight="1">
      <c r="A444" s="99"/>
      <c r="B444" s="100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</row>
    <row r="445" ht="15.75" customHeight="1">
      <c r="A445" s="99"/>
      <c r="B445" s="100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</row>
    <row r="446" ht="15.75" customHeight="1">
      <c r="A446" s="99"/>
      <c r="B446" s="100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</row>
    <row r="447" ht="15.75" customHeight="1">
      <c r="A447" s="99"/>
      <c r="B447" s="100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</row>
    <row r="448" ht="15.75" customHeight="1">
      <c r="A448" s="99"/>
      <c r="B448" s="100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</row>
    <row r="449" ht="15.75" customHeight="1">
      <c r="A449" s="99"/>
      <c r="B449" s="100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</row>
    <row r="450" ht="15.75" customHeight="1">
      <c r="A450" s="99"/>
      <c r="B450" s="100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</row>
    <row r="451" ht="15.75" customHeight="1">
      <c r="A451" s="99"/>
      <c r="B451" s="100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</row>
    <row r="452" ht="15.75" customHeight="1">
      <c r="A452" s="99"/>
      <c r="B452" s="100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</row>
    <row r="453" ht="15.75" customHeight="1">
      <c r="A453" s="99"/>
      <c r="B453" s="100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</row>
    <row r="454" ht="15.75" customHeight="1">
      <c r="A454" s="99"/>
      <c r="B454" s="100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</row>
    <row r="455" ht="15.75" customHeight="1">
      <c r="A455" s="99"/>
      <c r="B455" s="100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</row>
    <row r="456" ht="15.75" customHeight="1">
      <c r="A456" s="99"/>
      <c r="B456" s="100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</row>
    <row r="457" ht="15.75" customHeight="1">
      <c r="A457" s="99"/>
      <c r="B457" s="100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</row>
    <row r="458" ht="15.75" customHeight="1">
      <c r="A458" s="99"/>
      <c r="B458" s="100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</row>
    <row r="459" ht="15.75" customHeight="1">
      <c r="A459" s="99"/>
      <c r="B459" s="100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</row>
    <row r="460" ht="15.75" customHeight="1">
      <c r="A460" s="99"/>
      <c r="B460" s="100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</row>
    <row r="461" ht="15.75" customHeight="1">
      <c r="A461" s="99"/>
      <c r="B461" s="100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</row>
    <row r="462" ht="15.75" customHeight="1">
      <c r="A462" s="99"/>
      <c r="B462" s="100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</row>
    <row r="463" ht="15.75" customHeight="1">
      <c r="A463" s="99"/>
      <c r="B463" s="100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</row>
    <row r="464" ht="15.75" customHeight="1">
      <c r="A464" s="99"/>
      <c r="B464" s="100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</row>
    <row r="465" ht="15.75" customHeight="1">
      <c r="A465" s="99"/>
      <c r="B465" s="100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</row>
    <row r="466" ht="15.75" customHeight="1">
      <c r="A466" s="99"/>
      <c r="B466" s="100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</row>
    <row r="467" ht="15.75" customHeight="1">
      <c r="A467" s="99"/>
      <c r="B467" s="100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</row>
    <row r="468" ht="15.75" customHeight="1">
      <c r="A468" s="99"/>
      <c r="B468" s="100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</row>
    <row r="469" ht="15.75" customHeight="1">
      <c r="A469" s="99"/>
      <c r="B469" s="100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</row>
    <row r="470" ht="15.75" customHeight="1">
      <c r="A470" s="99"/>
      <c r="B470" s="100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</row>
    <row r="471" ht="15.75" customHeight="1">
      <c r="A471" s="99"/>
      <c r="B471" s="100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</row>
    <row r="472" ht="15.75" customHeight="1">
      <c r="A472" s="99"/>
      <c r="B472" s="100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</row>
    <row r="473" ht="15.75" customHeight="1">
      <c r="A473" s="99"/>
      <c r="B473" s="100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</row>
    <row r="474" ht="15.75" customHeight="1">
      <c r="A474" s="99"/>
      <c r="B474" s="100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</row>
    <row r="475" ht="15.75" customHeight="1">
      <c r="A475" s="99"/>
      <c r="B475" s="100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</row>
    <row r="476" ht="15.75" customHeight="1">
      <c r="A476" s="99"/>
      <c r="B476" s="100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</row>
    <row r="477" ht="15.75" customHeight="1">
      <c r="A477" s="99"/>
      <c r="B477" s="100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</row>
    <row r="478" ht="15.75" customHeight="1">
      <c r="A478" s="99"/>
      <c r="B478" s="100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</row>
    <row r="479" ht="15.75" customHeight="1">
      <c r="A479" s="99"/>
      <c r="B479" s="100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</row>
    <row r="480" ht="15.75" customHeight="1">
      <c r="A480" s="99"/>
      <c r="B480" s="100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</row>
    <row r="481" ht="15.75" customHeight="1">
      <c r="A481" s="99"/>
      <c r="B481" s="100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</row>
    <row r="482" ht="15.75" customHeight="1">
      <c r="A482" s="99"/>
      <c r="B482" s="100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</row>
    <row r="483" ht="15.75" customHeight="1">
      <c r="A483" s="99"/>
      <c r="B483" s="100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</row>
    <row r="484" ht="15.75" customHeight="1">
      <c r="A484" s="99"/>
      <c r="B484" s="100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</row>
    <row r="485" ht="15.75" customHeight="1">
      <c r="A485" s="99"/>
      <c r="B485" s="100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</row>
    <row r="486" ht="15.75" customHeight="1">
      <c r="A486" s="99"/>
      <c r="B486" s="100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</row>
    <row r="487" ht="15.75" customHeight="1">
      <c r="A487" s="99"/>
      <c r="B487" s="100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</row>
    <row r="488" ht="15.75" customHeight="1">
      <c r="A488" s="99"/>
      <c r="B488" s="100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</row>
    <row r="489" ht="15.75" customHeight="1">
      <c r="A489" s="99"/>
      <c r="B489" s="100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</row>
    <row r="490" ht="15.75" customHeight="1">
      <c r="A490" s="99"/>
      <c r="B490" s="100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</row>
    <row r="491" ht="15.75" customHeight="1">
      <c r="A491" s="99"/>
      <c r="B491" s="100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</row>
    <row r="492" ht="15.75" customHeight="1">
      <c r="A492" s="99"/>
      <c r="B492" s="100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</row>
    <row r="493" ht="15.75" customHeight="1">
      <c r="A493" s="99"/>
      <c r="B493" s="100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</row>
    <row r="494" ht="15.75" customHeight="1">
      <c r="A494" s="99"/>
      <c r="B494" s="100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</row>
    <row r="495" ht="15.75" customHeight="1">
      <c r="A495" s="99"/>
      <c r="B495" s="100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</row>
    <row r="496" ht="15.75" customHeight="1">
      <c r="A496" s="99"/>
      <c r="B496" s="100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</row>
    <row r="497" ht="15.75" customHeight="1">
      <c r="A497" s="99"/>
      <c r="B497" s="100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</row>
    <row r="498" ht="15.75" customHeight="1">
      <c r="A498" s="99"/>
      <c r="B498" s="100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</row>
    <row r="499" ht="15.75" customHeight="1">
      <c r="A499" s="99"/>
      <c r="B499" s="100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</row>
    <row r="500" ht="15.75" customHeight="1">
      <c r="A500" s="99"/>
      <c r="B500" s="100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</row>
    <row r="501" ht="15.75" customHeight="1">
      <c r="A501" s="99"/>
      <c r="B501" s="100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</row>
    <row r="502" ht="15.75" customHeight="1">
      <c r="A502" s="99"/>
      <c r="B502" s="100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</row>
    <row r="503" ht="15.75" customHeight="1">
      <c r="A503" s="99"/>
      <c r="B503" s="100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</row>
    <row r="504" ht="15.75" customHeight="1">
      <c r="A504" s="99"/>
      <c r="B504" s="100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</row>
    <row r="505" ht="15.75" customHeight="1">
      <c r="A505" s="99"/>
      <c r="B505" s="100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</row>
    <row r="506" ht="15.75" customHeight="1">
      <c r="A506" s="99"/>
      <c r="B506" s="100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</row>
    <row r="507" ht="15.75" customHeight="1">
      <c r="A507" s="99"/>
      <c r="B507" s="100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</row>
    <row r="508" ht="15.75" customHeight="1">
      <c r="A508" s="99"/>
      <c r="B508" s="100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</row>
    <row r="509" ht="15.75" customHeight="1">
      <c r="A509" s="99"/>
      <c r="B509" s="100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</row>
    <row r="510" ht="15.75" customHeight="1">
      <c r="A510" s="99"/>
      <c r="B510" s="100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</row>
    <row r="511" ht="15.75" customHeight="1">
      <c r="A511" s="99"/>
      <c r="B511" s="100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</row>
    <row r="512" ht="15.75" customHeight="1">
      <c r="A512" s="99"/>
      <c r="B512" s="100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</row>
    <row r="513" ht="15.75" customHeight="1">
      <c r="A513" s="99"/>
      <c r="B513" s="100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</row>
    <row r="514" ht="15.75" customHeight="1">
      <c r="A514" s="99"/>
      <c r="B514" s="100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</row>
    <row r="515" ht="15.75" customHeight="1">
      <c r="A515" s="99"/>
      <c r="B515" s="100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</row>
    <row r="516" ht="15.75" customHeight="1">
      <c r="A516" s="99"/>
      <c r="B516" s="100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</row>
    <row r="517" ht="15.75" customHeight="1">
      <c r="A517" s="99"/>
      <c r="B517" s="100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</row>
    <row r="518" ht="15.75" customHeight="1">
      <c r="A518" s="99"/>
      <c r="B518" s="100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</row>
    <row r="519" ht="15.75" customHeight="1">
      <c r="A519" s="99"/>
      <c r="B519" s="100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</row>
    <row r="520" ht="15.75" customHeight="1">
      <c r="A520" s="99"/>
      <c r="B520" s="100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</row>
    <row r="521" ht="15.75" customHeight="1">
      <c r="A521" s="99"/>
      <c r="B521" s="100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</row>
    <row r="522" ht="15.75" customHeight="1">
      <c r="A522" s="99"/>
      <c r="B522" s="100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</row>
    <row r="523" ht="15.75" customHeight="1">
      <c r="A523" s="99"/>
      <c r="B523" s="100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</row>
    <row r="524" ht="15.75" customHeight="1">
      <c r="A524" s="99"/>
      <c r="B524" s="100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</row>
    <row r="525" ht="15.75" customHeight="1">
      <c r="A525" s="99"/>
      <c r="B525" s="100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</row>
    <row r="526" ht="15.75" customHeight="1">
      <c r="A526" s="99"/>
      <c r="B526" s="100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</row>
    <row r="527" ht="15.75" customHeight="1">
      <c r="A527" s="99"/>
      <c r="B527" s="100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</row>
    <row r="528" ht="15.75" customHeight="1">
      <c r="A528" s="99"/>
      <c r="B528" s="100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</row>
    <row r="529" ht="15.75" customHeight="1">
      <c r="A529" s="99"/>
      <c r="B529" s="100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</row>
    <row r="530" ht="15.75" customHeight="1">
      <c r="A530" s="99"/>
      <c r="B530" s="100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</row>
    <row r="531" ht="15.75" customHeight="1">
      <c r="A531" s="99"/>
      <c r="B531" s="100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</row>
    <row r="532" ht="15.75" customHeight="1">
      <c r="A532" s="99"/>
      <c r="B532" s="100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</row>
    <row r="533" ht="15.75" customHeight="1">
      <c r="A533" s="99"/>
      <c r="B533" s="100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</row>
    <row r="534" ht="15.75" customHeight="1">
      <c r="A534" s="99"/>
      <c r="B534" s="100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</row>
    <row r="535" ht="15.75" customHeight="1">
      <c r="A535" s="99"/>
      <c r="B535" s="100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</row>
    <row r="536" ht="15.75" customHeight="1">
      <c r="A536" s="99"/>
      <c r="B536" s="100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</row>
    <row r="537" ht="15.75" customHeight="1">
      <c r="A537" s="99"/>
      <c r="B537" s="100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</row>
    <row r="538" ht="15.75" customHeight="1">
      <c r="A538" s="99"/>
      <c r="B538" s="100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</row>
    <row r="539" ht="15.75" customHeight="1">
      <c r="A539" s="99"/>
      <c r="B539" s="100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</row>
    <row r="540" ht="15.75" customHeight="1">
      <c r="A540" s="99"/>
      <c r="B540" s="100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</row>
    <row r="541" ht="15.75" customHeight="1">
      <c r="A541" s="99"/>
      <c r="B541" s="100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</row>
    <row r="542" ht="15.75" customHeight="1">
      <c r="A542" s="99"/>
      <c r="B542" s="100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</row>
    <row r="543" ht="15.75" customHeight="1">
      <c r="A543" s="99"/>
      <c r="B543" s="100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</row>
    <row r="544" ht="15.75" customHeight="1">
      <c r="A544" s="99"/>
      <c r="B544" s="100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</row>
    <row r="545" ht="15.75" customHeight="1">
      <c r="A545" s="99"/>
      <c r="B545" s="100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</row>
    <row r="546" ht="15.75" customHeight="1">
      <c r="A546" s="99"/>
      <c r="B546" s="100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</row>
    <row r="547" ht="15.75" customHeight="1">
      <c r="A547" s="99"/>
      <c r="B547" s="100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</row>
    <row r="548" ht="15.75" customHeight="1">
      <c r="A548" s="99"/>
      <c r="B548" s="100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</row>
    <row r="549" ht="15.75" customHeight="1">
      <c r="A549" s="99"/>
      <c r="B549" s="100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</row>
    <row r="550" ht="15.75" customHeight="1">
      <c r="A550" s="99"/>
      <c r="B550" s="100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</row>
    <row r="551" ht="15.75" customHeight="1">
      <c r="A551" s="99"/>
      <c r="B551" s="100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</row>
    <row r="552" ht="15.75" customHeight="1">
      <c r="A552" s="99"/>
      <c r="B552" s="100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</row>
    <row r="553" ht="15.75" customHeight="1">
      <c r="A553" s="99"/>
      <c r="B553" s="100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</row>
    <row r="554" ht="15.75" customHeight="1">
      <c r="A554" s="99"/>
      <c r="B554" s="100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</row>
    <row r="555" ht="15.75" customHeight="1">
      <c r="A555" s="99"/>
      <c r="B555" s="100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</row>
    <row r="556" ht="15.75" customHeight="1">
      <c r="A556" s="99"/>
      <c r="B556" s="100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</row>
    <row r="557" ht="15.75" customHeight="1">
      <c r="A557" s="99"/>
      <c r="B557" s="100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</row>
    <row r="558" ht="15.75" customHeight="1">
      <c r="A558" s="99"/>
      <c r="B558" s="100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</row>
    <row r="559" ht="15.75" customHeight="1">
      <c r="A559" s="99"/>
      <c r="B559" s="100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</row>
    <row r="560" ht="15.75" customHeight="1">
      <c r="A560" s="99"/>
      <c r="B560" s="100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</row>
    <row r="561" ht="15.75" customHeight="1">
      <c r="A561" s="99"/>
      <c r="B561" s="100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</row>
    <row r="562" ht="15.75" customHeight="1">
      <c r="A562" s="99"/>
      <c r="B562" s="100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</row>
    <row r="563" ht="15.75" customHeight="1">
      <c r="A563" s="99"/>
      <c r="B563" s="100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</row>
    <row r="564" ht="15.75" customHeight="1">
      <c r="A564" s="99"/>
      <c r="B564" s="100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</row>
    <row r="565" ht="15.75" customHeight="1">
      <c r="A565" s="99"/>
      <c r="B565" s="100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</row>
    <row r="566" ht="15.75" customHeight="1">
      <c r="A566" s="99"/>
      <c r="B566" s="100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</row>
    <row r="567" ht="15.75" customHeight="1">
      <c r="A567" s="99"/>
      <c r="B567" s="100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</row>
    <row r="568" ht="15.75" customHeight="1">
      <c r="A568" s="99"/>
      <c r="B568" s="100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</row>
    <row r="569" ht="15.75" customHeight="1">
      <c r="A569" s="99"/>
      <c r="B569" s="100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</row>
    <row r="570" ht="15.75" customHeight="1">
      <c r="A570" s="99"/>
      <c r="B570" s="100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</row>
    <row r="571" ht="15.75" customHeight="1">
      <c r="A571" s="99"/>
      <c r="B571" s="100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</row>
    <row r="572" ht="15.75" customHeight="1">
      <c r="A572" s="99"/>
      <c r="B572" s="100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</row>
    <row r="573" ht="15.75" customHeight="1">
      <c r="A573" s="99"/>
      <c r="B573" s="100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</row>
    <row r="574" ht="15.75" customHeight="1">
      <c r="A574" s="99"/>
      <c r="B574" s="100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</row>
    <row r="575" ht="15.75" customHeight="1">
      <c r="A575" s="99"/>
      <c r="B575" s="100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</row>
    <row r="576" ht="15.75" customHeight="1">
      <c r="A576" s="99"/>
      <c r="B576" s="100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</row>
    <row r="577" ht="15.75" customHeight="1">
      <c r="A577" s="99"/>
      <c r="B577" s="100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</row>
    <row r="578" ht="15.75" customHeight="1">
      <c r="A578" s="99"/>
      <c r="B578" s="100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</row>
    <row r="579" ht="15.75" customHeight="1">
      <c r="A579" s="99"/>
      <c r="B579" s="100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</row>
    <row r="580" ht="15.75" customHeight="1">
      <c r="A580" s="99"/>
      <c r="B580" s="100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</row>
    <row r="581" ht="15.75" customHeight="1">
      <c r="A581" s="99"/>
      <c r="B581" s="100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</row>
    <row r="582" ht="15.75" customHeight="1">
      <c r="A582" s="99"/>
      <c r="B582" s="100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</row>
    <row r="583" ht="15.75" customHeight="1">
      <c r="A583" s="99"/>
      <c r="B583" s="100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</row>
    <row r="584" ht="15.75" customHeight="1">
      <c r="A584" s="99"/>
      <c r="B584" s="100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</row>
    <row r="585" ht="15.75" customHeight="1">
      <c r="A585" s="99"/>
      <c r="B585" s="100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</row>
    <row r="586" ht="15.75" customHeight="1">
      <c r="A586" s="99"/>
      <c r="B586" s="100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</row>
    <row r="587" ht="15.75" customHeight="1">
      <c r="A587" s="99"/>
      <c r="B587" s="100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</row>
    <row r="588" ht="15.75" customHeight="1">
      <c r="A588" s="99"/>
      <c r="B588" s="100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</row>
    <row r="589" ht="15.75" customHeight="1">
      <c r="A589" s="99"/>
      <c r="B589" s="100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</row>
    <row r="590" ht="15.75" customHeight="1">
      <c r="A590" s="99"/>
      <c r="B590" s="100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</row>
    <row r="591" ht="15.75" customHeight="1">
      <c r="A591" s="99"/>
      <c r="B591" s="100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</row>
    <row r="592" ht="15.75" customHeight="1">
      <c r="A592" s="99"/>
      <c r="B592" s="100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</row>
    <row r="593" ht="15.75" customHeight="1">
      <c r="A593" s="99"/>
      <c r="B593" s="100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</row>
    <row r="594" ht="15.75" customHeight="1">
      <c r="A594" s="99"/>
      <c r="B594" s="100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</row>
    <row r="595" ht="15.75" customHeight="1">
      <c r="A595" s="99"/>
      <c r="B595" s="100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</row>
    <row r="596" ht="15.75" customHeight="1">
      <c r="A596" s="99"/>
      <c r="B596" s="100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</row>
    <row r="597" ht="15.75" customHeight="1">
      <c r="A597" s="99"/>
      <c r="B597" s="100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</row>
    <row r="598" ht="15.75" customHeight="1">
      <c r="A598" s="99"/>
      <c r="B598" s="100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</row>
    <row r="599" ht="15.75" customHeight="1">
      <c r="A599" s="99"/>
      <c r="B599" s="100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</row>
    <row r="600" ht="15.75" customHeight="1">
      <c r="A600" s="99"/>
      <c r="B600" s="100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</row>
    <row r="601" ht="15.75" customHeight="1">
      <c r="A601" s="99"/>
      <c r="B601" s="100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</row>
    <row r="602" ht="15.75" customHeight="1">
      <c r="A602" s="99"/>
      <c r="B602" s="100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</row>
    <row r="603" ht="15.75" customHeight="1">
      <c r="A603" s="99"/>
      <c r="B603" s="100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</row>
    <row r="604" ht="15.75" customHeight="1">
      <c r="A604" s="99"/>
      <c r="B604" s="100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</row>
    <row r="605" ht="15.75" customHeight="1">
      <c r="A605" s="99"/>
      <c r="B605" s="100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</row>
    <row r="606" ht="15.75" customHeight="1">
      <c r="A606" s="99"/>
      <c r="B606" s="100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</row>
    <row r="607" ht="15.75" customHeight="1">
      <c r="A607" s="99"/>
      <c r="B607" s="100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</row>
    <row r="608" ht="15.75" customHeight="1">
      <c r="A608" s="99"/>
      <c r="B608" s="100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</row>
    <row r="609" ht="15.75" customHeight="1">
      <c r="A609" s="99"/>
      <c r="B609" s="100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</row>
    <row r="610" ht="15.75" customHeight="1">
      <c r="A610" s="99"/>
      <c r="B610" s="100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</row>
    <row r="611" ht="15.75" customHeight="1">
      <c r="A611" s="99"/>
      <c r="B611" s="100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</row>
  </sheetData>
  <mergeCells count="16">
    <mergeCell ref="J3:K3"/>
    <mergeCell ref="I4:K8"/>
    <mergeCell ref="B5:C5"/>
    <mergeCell ref="B6:C6"/>
    <mergeCell ref="B7:C7"/>
    <mergeCell ref="B8:C8"/>
    <mergeCell ref="B9:C9"/>
    <mergeCell ref="B10:C10"/>
    <mergeCell ref="B1:C1"/>
    <mergeCell ref="D1:H11"/>
    <mergeCell ref="J1:K1"/>
    <mergeCell ref="B2:C2"/>
    <mergeCell ref="J2:K2"/>
    <mergeCell ref="B3:C3"/>
    <mergeCell ref="B4:C4"/>
    <mergeCell ref="B11:C11"/>
  </mergeCells>
  <conditionalFormatting sqref="A13:A611">
    <cfRule type="containsText" dxfId="17" priority="1" operator="containsText" text="↑">
      <formula>NOT(ISERROR(SEARCH(("↑"),(A13))))</formula>
    </cfRule>
  </conditionalFormatting>
  <conditionalFormatting sqref="B13:W16">
    <cfRule type="expression" dxfId="18" priority="2">
      <formula>ROW()&lt;=16</formula>
    </cfRule>
  </conditionalFormatting>
  <conditionalFormatting sqref="B47:W48">
    <cfRule type="expression" dxfId="19" priority="3">
      <formula>ROW()&gt;=47</formula>
    </cfRule>
  </conditionalFormatting>
  <conditionalFormatting sqref="A13:A611">
    <cfRule type="containsText" dxfId="20" priority="4" operator="containsText" text="↓">
      <formula>NOT(ISERROR(SEARCH(("↓"),(A13))))</formula>
    </cfRule>
  </conditionalFormatting>
  <conditionalFormatting sqref="A13:A611">
    <cfRule type="expression" dxfId="21" priority="5">
      <formula>ISNA(A13)</formula>
    </cfRule>
  </conditionalFormatting>
  <conditionalFormatting sqref="B49:W50">
    <cfRule type="expression" dxfId="22" priority="6">
      <formula>ROW()&gt;=49</formula>
    </cfRule>
  </conditionalFormatting>
  <printOptions horizontalCentered="1" verticalCentered="1"/>
  <pageMargins bottom="0.75" footer="0.0" header="0.0" left="0.25" right="0.25" top="0.75"/>
  <pageSetup scale="9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5" width="22.33"/>
  </cols>
  <sheetData>
    <row r="1" ht="18.75" customHeight="1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 ht="18.75" customHeight="1">
      <c r="A2" s="104"/>
      <c r="B2" s="105" t="s">
        <v>243</v>
      </c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ht="18.75" customHeight="1">
      <c r="A3" s="104"/>
      <c r="B3" s="106" t="str">
        <f t="array" ref="B3">IFERROR(INDEX(LEAGUE_STANDINGS!$D$13:$D$100, ROWS($A$1:A1) * 4 - 3), "")</f>
        <v>🏆 Jordan</v>
      </c>
      <c r="C3" s="107" t="str">
        <f t="array" ref="C3">IFERROR(INDEX(LEAGUE_STANDINGS!$D$13:$D$100, ROWS($A$1:A1) * 4 - 2), "")</f>
        <v>Rodrigo Mena</v>
      </c>
      <c r="D3" s="108" t="str">
        <f t="array" ref="D3">IFERROR(INDEX(LEAGUE_STANDINGS!$D$13:$D$100, ROWS($A$1:A1) * 4 - 1), "")</f>
        <v>Fer</v>
      </c>
      <c r="E3" s="109" t="str">
        <f t="array" ref="E3">IFERROR(INDEX(LEAGUE_STANDINGS!$D$13:$D$100, ROWS($A$1:A1) * 4), "")</f>
        <v>Fabian</v>
      </c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 ht="18.75" customHeight="1">
      <c r="A4" s="104"/>
      <c r="B4" s="106" t="str">
        <f t="array" ref="B4">IFERROR(INDEX(LEAGUE_STANDINGS!$D$13:$D$100, ROWS($A$1:A2) * 4 - 3), "")</f>
        <v>Valencia</v>
      </c>
      <c r="C4" s="107" t="str">
        <f t="array" ref="C4">IFERROR(INDEX(LEAGUE_STANDINGS!$D$13:$D$100, ROWS($A$1:A2) * 4 - 2), "")</f>
        <v>Osmin</v>
      </c>
      <c r="D4" s="108" t="str">
        <f t="array" ref="D4">IFERROR(INDEX(LEAGUE_STANDINGS!$D$13:$D$100, ROWS($A$1:A2) * 4 - 1), "")</f>
        <v>Pirlo</v>
      </c>
      <c r="E4" s="109" t="str">
        <f t="array" ref="E4">IFERROR(INDEX(LEAGUE_STANDINGS!$D$13:$D$100, ROWS($A$1:A2) * 4), "")</f>
        <v>Gerardo</v>
      </c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 ht="18.75" customHeight="1">
      <c r="A5" s="104"/>
      <c r="B5" s="106" t="str">
        <f t="array" ref="B5">IFERROR(INDEX(LEAGUE_STANDINGS!$D$13:$D$100, ROWS($A$1:A3) * 4 - 3), "")</f>
        <v>Christian</v>
      </c>
      <c r="C5" s="107" t="str">
        <f t="array" ref="C5">IFERROR(INDEX(LEAGUE_STANDINGS!$D$13:$D$100, ROWS($A$1:A3) * 4 - 2), "")</f>
        <v>Cuñis 👨🏽‍🤝‍👨🏼 Karter</v>
      </c>
      <c r="D5" s="108" t="str">
        <f t="array" ref="D5">IFERROR(INDEX(LEAGUE_STANDINGS!$D$13:$D$100, ROWS($A$1:A3) * 4 - 1), "")</f>
        <v>Asdruval</v>
      </c>
      <c r="E5" s="109" t="str">
        <f t="array" ref="E5">IFERROR(INDEX(LEAGUE_STANDINGS!$D$13:$D$100, ROWS($A$1:A3) * 4), "")</f>
        <v>Rob 👬🏽 Toño</v>
      </c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 ht="18.75" customHeight="1">
      <c r="A6" s="104"/>
      <c r="B6" s="106" t="str">
        <f t="array" ref="B6">IFERROR(INDEX(LEAGUE_STANDINGS!$D$13:$D$100, ROWS($A$1:A4) * 4 - 3), "")</f>
        <v>Alex</v>
      </c>
      <c r="C6" s="107" t="str">
        <f t="array" ref="C6">IFERROR(INDEX(LEAGUE_STANDINGS!$D$13:$D$100, ROWS($A$1:A4) * 4 - 2), "")</f>
        <v>Chato 👨🏻‍🤝‍👨🏽 Miguel</v>
      </c>
      <c r="D6" s="108" t="str">
        <f t="array" ref="D6">IFERROR(INDEX(LEAGUE_STANDINGS!$D$13:$D$100, ROWS($A$1:A4) * 4 - 1), "")</f>
        <v>Mikey</v>
      </c>
      <c r="E6" s="109" t="str">
        <f t="array" ref="E6">IFERROR(INDEX(LEAGUE_STANDINGS!$D$13:$D$100, ROWS($A$1:A4) * 4), "")</f>
        <v>Gabriel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 ht="18.75" customHeight="1">
      <c r="A7" s="104"/>
      <c r="B7" s="106" t="str">
        <f t="array" ref="B7">IFERROR(INDEX(LEAGUE_STANDINGS!$D$13:$D$100, ROWS($A$1:A5) * 4 - 3), "")</f>
        <v>Nicky</v>
      </c>
      <c r="C7" s="107" t="str">
        <f t="array" ref="C7">IFERROR(INDEX(LEAGUE_STANDINGS!$D$13:$D$100, ROWS($A$1:A5) * 4 - 2), "")</f>
        <v>Javier</v>
      </c>
      <c r="D7" s="108" t="str">
        <f t="array" ref="D7">IFERROR(INDEX(LEAGUE_STANDINGS!$D$13:$D$100, ROWS($A$1:A5) * 4 - 1), "")</f>
        <v>Gus</v>
      </c>
      <c r="E7" s="109" t="str">
        <f t="array" ref="E7">IFERROR(INDEX(LEAGUE_STANDINGS!$D$13:$D$100, ROWS($A$1:A5) * 4), "")</f>
        <v>Carlos S.</v>
      </c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ht="18.75" customHeight="1">
      <c r="A8" s="104"/>
      <c r="B8" s="106" t="str">
        <f t="array" ref="B8">IFERROR(INDEX(LEAGUE_STANDINGS!$D$13:$D$100, ROWS($A$1:A6) * 4 - 3), "")</f>
        <v>Rodolfo</v>
      </c>
      <c r="C8" s="107" t="str">
        <f t="array" ref="C8">IFERROR(INDEX(LEAGUE_STANDINGS!$D$13:$D$100, ROWS($A$1:A6) * 4 - 2), "")</f>
        <v>Ruben</v>
      </c>
      <c r="D8" s="108" t="str">
        <f t="array" ref="D8">IFERROR(INDEX(LEAGUE_STANDINGS!$D$13:$D$100, ROWS($A$1:A6) * 4 - 1), "")</f>
        <v>Carlos Haro</v>
      </c>
      <c r="E8" s="109" t="str">
        <f t="array" ref="E8">IFERROR(INDEX(LEAGUE_STANDINGS!$D$13:$D$100, ROWS($A$1:A6) * 4), "")</f>
        <v>Guille 👨🏻‍🤝‍👨🏾 Mike</v>
      </c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 ht="18.75" customHeight="1">
      <c r="A9" s="104"/>
      <c r="B9" s="106" t="str">
        <f t="array" ref="B9">IFERROR(INDEX(LEAGUE_STANDINGS!$D$13:$D$100, ROWS($A$1:A7) * 4 - 3), "")</f>
        <v>Alexis 👨🏾‍🤝‍👨🏿 Lopez</v>
      </c>
      <c r="C9" s="107" t="str">
        <f t="array" ref="C9">IFERROR(INDEX(LEAGUE_STANDINGS!$D$13:$D$100, ROWS($A$1:A7) * 4 - 2), "")</f>
        <v>Chilas 👨🏻‍🤝‍👨🏾 Netto</v>
      </c>
      <c r="D9" s="108" t="str">
        <f t="array" ref="D9">IFERROR(INDEX(LEAGUE_STANDINGS!$D$13:$D$100, ROWS($A$1:A7) * 4 - 1), "")</f>
        <v>Kevin</v>
      </c>
      <c r="E9" s="109" t="str">
        <f t="array" ref="E9">IFERROR(INDEX(LEAGUE_STANDINGS!$D$13:$D$100, ROWS($A$1:A7) * 4), "")</f>
        <v>V. Nizama</v>
      </c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 ht="18.75" customHeight="1">
      <c r="A10" s="104"/>
      <c r="B10" s="106" t="str">
        <f t="array" ref="B10">IFERROR(INDEX(LEAGUE_STANDINGS!$D$13:$D$100, ROWS($A$1:A8) * 4 - 3), "")</f>
        <v>Efra</v>
      </c>
      <c r="C10" s="107" t="str">
        <f t="array" ref="C10">IFERROR(INDEX(LEAGUE_STANDINGS!$D$13:$D$100, ROWS($A$1:A8) * 4 - 2), "")</f>
        <v>Andres</v>
      </c>
      <c r="D10" s="108" t="str">
        <f t="array" ref="D10">IFERROR(INDEX(LEAGUE_STANDINGS!$D$13:$D$100, ROWS($A$1:A8) * 4 - 1), "")</f>
        <v>Eder</v>
      </c>
      <c r="E10" s="109" t="str">
        <f t="array" ref="E10">IFERROR(INDEX(LEAGUE_STANDINGS!$D$13:$D$100, ROWS($A$1:A8) * 4), "")</f>
        <v>Jose Blanco</v>
      </c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 ht="18.75" customHeight="1">
      <c r="A11" s="104"/>
      <c r="B11" s="106" t="str">
        <f t="array" ref="B11">IFERROR(INDEX(LEAGUE_STANDINGS!$D$13:$D$100, ROWS($A$1:A9) * 4 - 3), "")</f>
        <v>David</v>
      </c>
      <c r="C11" s="107" t="str">
        <f t="array" ref="C11">IFERROR(INDEX(LEAGUE_STANDINGS!$D$13:$D$100, ROWS($A$1:A9) * 4 - 2), "")</f>
        <v>Chavito</v>
      </c>
      <c r="D11" s="108" t="str">
        <f t="array" ref="D11">IFERROR(INDEX(LEAGUE_STANDINGS!$D$13:$D$100, ROWS($A$1:A9) * 4 - 1), "")</f>
        <v>J. Sarza</v>
      </c>
      <c r="E11" s="109" t="str">
        <f t="array" ref="E11">IFERROR(INDEX(LEAGUE_STANDINGS!$D$13:$D$100, ROWS($A$1:A9) * 4), "")</f>
        <v>A. Espinoza</v>
      </c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 ht="18.75" customHeight="1">
      <c r="A12" s="104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 ht="18.75" customHeight="1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 ht="18.75" customHeight="1">
      <c r="A14" s="104"/>
      <c r="B14" s="105" t="s">
        <v>244</v>
      </c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 ht="18.75" customHeight="1">
      <c r="A15" s="104"/>
      <c r="B15" s="106" t="str">
        <f t="array" ref="B15">IFERROR(INDEX(LEAGUE_STANDINGS!$D$13:$D$100, (ROWS($A$1:A1)-1) * 4 + 1 + MOD(QUOTIENT(ROWS($A$1:A1)-1, 2), 2) * (3 - 2 * MOD(ROWS($A$1:A1)-1, 2))), "")
</f>
        <v>🏆 Jordan</v>
      </c>
      <c r="C15" s="107" t="str">
        <f t="array" ref="C15">IFERROR(INDEX(LEAGUE_STANDINGS!$D$13:$D$100, (ROWS($A$1:A1)-1) * 4 + 2 + MOD(QUOTIENT(ROWS($A$1:A1)-1, 2), 2) * (1 - 2 * MOD(ROWS($A$1:A1)-1, 2))), "")</f>
        <v>Rodrigo Mena</v>
      </c>
      <c r="D15" s="108" t="str">
        <f t="array" ref="D15">IFERROR(INDEX(LEAGUE_STANDINGS!$D$13:$D$100, (ROWS($A$1:A1)-1) * 4 + 3 - MOD(QUOTIENT(ROWS($A$1:A1)-1, 2), 2) * (1 - 2 * MOD(ROWS($A$1:A1)-1, 2))), "")</f>
        <v>Fer</v>
      </c>
      <c r="E15" s="109" t="str">
        <f t="array" ref="E15">IFERROR(INDEX(LEAGUE_STANDINGS!$D$13:$D$100, (ROWS($A$1:A1)-1) * 4 + 4 - MOD(QUOTIENT(ROWS($A$1:A1)-1, 2), 2) * (3 - 2 * MOD(ROWS($A$1:A1)-1, 2))), "")</f>
        <v>Fabian</v>
      </c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 ht="18.75" customHeight="1">
      <c r="A16" s="104"/>
      <c r="B16" s="106" t="str">
        <f t="array" ref="B16">IFERROR(INDEX(LEAGUE_STANDINGS!$D$13:$D$100, (ROWS($A$1:A2)-1) * 4 + 1 + MOD(QUOTIENT(ROWS($A$1:A2)-1, 2), 2) * (3 - 2 * MOD(ROWS($A$1:A2)-1, 2))), "")
</f>
        <v>Valencia</v>
      </c>
      <c r="C16" s="107" t="str">
        <f t="array" ref="C16">IFERROR(INDEX(LEAGUE_STANDINGS!$D$13:$D$100, (ROWS($A$1:A2)-1) * 4 + 2 + MOD(QUOTIENT(ROWS($A$1:A2)-1, 2), 2) * (1 - 2 * MOD(ROWS($A$1:A2)-1, 2))), "")</f>
        <v>Osmin</v>
      </c>
      <c r="D16" s="108" t="str">
        <f t="array" ref="D16">IFERROR(INDEX(LEAGUE_STANDINGS!$D$13:$D$100, (ROWS($A$1:A2)-1) * 4 + 3 - MOD(QUOTIENT(ROWS($A$1:A2)-1, 2), 2) * (1 - 2 * MOD(ROWS($A$1:A2)-1, 2))), "")</f>
        <v>Pirlo</v>
      </c>
      <c r="E16" s="109" t="str">
        <f t="array" ref="E16">IFERROR(INDEX(LEAGUE_STANDINGS!$D$13:$D$100, (ROWS($A$1:A2)-1) * 4 + 4 - MOD(QUOTIENT(ROWS($A$1:A2)-1, 2), 2) * (3 - 2 * MOD(ROWS($A$1:A2)-1, 2))), "")</f>
        <v>Gerardo</v>
      </c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 ht="18.75" customHeight="1">
      <c r="A17" s="104"/>
      <c r="B17" s="106" t="str">
        <f t="array" ref="B17">IFERROR(INDEX(LEAGUE_STANDINGS!$D$13:$D$100, (ROWS($A$1:A3)-1) * 4 + 1 + MOD(QUOTIENT(ROWS($A$1:A3)-1, 2), 2) * (3 - 2 * MOD(ROWS($A$1:A3)-1, 2))), "")
</f>
        <v>Rob 👬🏽 Toño</v>
      </c>
      <c r="C17" s="107" t="str">
        <f t="array" ref="C17">IFERROR(INDEX(LEAGUE_STANDINGS!$D$13:$D$100, (ROWS($A$1:A3)-1) * 4 + 2 + MOD(QUOTIENT(ROWS($A$1:A3)-1, 2), 2) * (1 - 2 * MOD(ROWS($A$1:A3)-1, 2))), "")</f>
        <v>Asdruval</v>
      </c>
      <c r="D17" s="108" t="str">
        <f t="array" ref="D17">IFERROR(INDEX(LEAGUE_STANDINGS!$D$13:$D$100, (ROWS($A$1:A3)-1) * 4 + 3 - MOD(QUOTIENT(ROWS($A$1:A3)-1, 2), 2) * (1 - 2 * MOD(ROWS($A$1:A3)-1, 2))), "")</f>
        <v>Cuñis 👨🏽‍🤝‍👨🏼 Karter</v>
      </c>
      <c r="E17" s="109" t="str">
        <f t="array" ref="E17">IFERROR(INDEX(LEAGUE_STANDINGS!$D$13:$D$100, (ROWS($A$1:A3)-1) * 4 + 4 - MOD(QUOTIENT(ROWS($A$1:A3)-1, 2), 2) * (3 - 2 * MOD(ROWS($A$1:A3)-1, 2))), "")</f>
        <v>Christian</v>
      </c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 ht="18.75" customHeight="1">
      <c r="A18" s="104"/>
      <c r="B18" s="106" t="str">
        <f t="array" ref="B18">IFERROR(INDEX(LEAGUE_STANDINGS!$D$13:$D$100, (ROWS($A$1:A4)-1) * 4 + 1 + MOD(QUOTIENT(ROWS($A$1:A4)-1, 2), 2) * (3 - 2 * MOD(ROWS($A$1:A4)-1, 2))), "")
</f>
        <v>Chato 👨🏻‍🤝‍👨🏽 Miguel</v>
      </c>
      <c r="C18" s="107" t="str">
        <f t="array" ref="C18">IFERROR(INDEX(LEAGUE_STANDINGS!$D$13:$D$100, (ROWS($A$1:A4)-1) * 4 + 2 + MOD(QUOTIENT(ROWS($A$1:A4)-1, 2), 2) * (1 - 2 * MOD(ROWS($A$1:A4)-1, 2))), "")</f>
        <v>Alex</v>
      </c>
      <c r="D18" s="108" t="str">
        <f t="array" ref="D18">IFERROR(INDEX(LEAGUE_STANDINGS!$D$13:$D$100, (ROWS($A$1:A4)-1) * 4 + 3 - MOD(QUOTIENT(ROWS($A$1:A4)-1, 2), 2) * (1 - 2 * MOD(ROWS($A$1:A4)-1, 2))), "")</f>
        <v>Gabriel</v>
      </c>
      <c r="E18" s="109" t="str">
        <f t="array" ref="E18">IFERROR(INDEX(LEAGUE_STANDINGS!$D$13:$D$100, (ROWS($A$1:A4)-1) * 4 + 4 - MOD(QUOTIENT(ROWS($A$1:A4)-1, 2), 2) * (3 - 2 * MOD(ROWS($A$1:A4)-1, 2))), "")</f>
        <v>Mikey</v>
      </c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 ht="18.75" customHeight="1">
      <c r="A19" s="104"/>
      <c r="B19" s="106" t="str">
        <f t="array" ref="B19">IFERROR(INDEX(LEAGUE_STANDINGS!$D$13:$D$100, (ROWS($A$1:A5)-1) * 4 + 1 + MOD(QUOTIENT(ROWS($A$1:A5)-1, 2), 2) * (3 - 2 * MOD(ROWS($A$1:A5)-1, 2))), "")
</f>
        <v>Nicky</v>
      </c>
      <c r="C19" s="107" t="str">
        <f t="array" ref="C19">IFERROR(INDEX(LEAGUE_STANDINGS!$D$13:$D$100, (ROWS($A$1:A5)-1) * 4 + 2 + MOD(QUOTIENT(ROWS($A$1:A5)-1, 2), 2) * (1 - 2 * MOD(ROWS($A$1:A5)-1, 2))), "")</f>
        <v>Javier</v>
      </c>
      <c r="D19" s="108" t="str">
        <f t="array" ref="D19">IFERROR(INDEX(LEAGUE_STANDINGS!$D$13:$D$100, (ROWS($A$1:A5)-1) * 4 + 3 - MOD(QUOTIENT(ROWS($A$1:A5)-1, 2), 2) * (1 - 2 * MOD(ROWS($A$1:A5)-1, 2))), "")</f>
        <v>Gus</v>
      </c>
      <c r="E19" s="109" t="str">
        <f t="array" ref="E19">IFERROR(INDEX(LEAGUE_STANDINGS!$D$13:$D$100, (ROWS($A$1:A5)-1) * 4 + 4 - MOD(QUOTIENT(ROWS($A$1:A5)-1, 2), 2) * (3 - 2 * MOD(ROWS($A$1:A5)-1, 2))), "")</f>
        <v>Carlos S.</v>
      </c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ht="18.75" customHeight="1">
      <c r="A20" s="104"/>
      <c r="B20" s="106" t="str">
        <f t="array" ref="B20">IFERROR(INDEX(LEAGUE_STANDINGS!$D$13:$D$100, (ROWS($A$1:A6)-1) * 4 + 1 + MOD(QUOTIENT(ROWS($A$1:A6)-1, 2), 2) * (3 - 2 * MOD(ROWS($A$1:A6)-1, 2))), "")
</f>
        <v>Rodolfo</v>
      </c>
      <c r="C20" s="107" t="str">
        <f t="array" ref="C20">IFERROR(INDEX(LEAGUE_STANDINGS!$D$13:$D$100, (ROWS($A$1:A6)-1) * 4 + 2 + MOD(QUOTIENT(ROWS($A$1:A6)-1, 2), 2) * (1 - 2 * MOD(ROWS($A$1:A6)-1, 2))), "")</f>
        <v>Ruben</v>
      </c>
      <c r="D20" s="108" t="str">
        <f t="array" ref="D20">IFERROR(INDEX(LEAGUE_STANDINGS!$D$13:$D$100, (ROWS($A$1:A6)-1) * 4 + 3 - MOD(QUOTIENT(ROWS($A$1:A6)-1, 2), 2) * (1 - 2 * MOD(ROWS($A$1:A6)-1, 2))), "")</f>
        <v>Carlos Haro</v>
      </c>
      <c r="E20" s="109" t="str">
        <f t="array" ref="E20">IFERROR(INDEX(LEAGUE_STANDINGS!$D$13:$D$100, (ROWS($A$1:A6)-1) * 4 + 4 - MOD(QUOTIENT(ROWS($A$1:A6)-1, 2), 2) * (3 - 2 * MOD(ROWS($A$1:A6)-1, 2))), "")</f>
        <v>Guille 👨🏻‍🤝‍👨🏾 Mike</v>
      </c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ht="18.75" customHeight="1">
      <c r="A21" s="104"/>
      <c r="B21" s="106" t="str">
        <f t="array" ref="B21">IFERROR(INDEX(LEAGUE_STANDINGS!$D$13:$D$100, (ROWS($A$1:A7)-1) * 4 + 1 + MOD(QUOTIENT(ROWS($A$1:A7)-1, 2), 2) * (3 - 2 * MOD(ROWS($A$1:A7)-1, 2))), "")
</f>
        <v>V. Nizama</v>
      </c>
      <c r="C21" s="107" t="str">
        <f t="array" ref="C21">IFERROR(INDEX(LEAGUE_STANDINGS!$D$13:$D$100, (ROWS($A$1:A7)-1) * 4 + 2 + MOD(QUOTIENT(ROWS($A$1:A7)-1, 2), 2) * (1 - 2 * MOD(ROWS($A$1:A7)-1, 2))), "")</f>
        <v>Kevin</v>
      </c>
      <c r="D21" s="108" t="str">
        <f t="array" ref="D21">IFERROR(INDEX(LEAGUE_STANDINGS!$D$13:$D$100, (ROWS($A$1:A7)-1) * 4 + 3 - MOD(QUOTIENT(ROWS($A$1:A7)-1, 2), 2) * (1 - 2 * MOD(ROWS($A$1:A7)-1, 2))), "")</f>
        <v>Chilas 👨🏻‍🤝‍👨🏾 Netto</v>
      </c>
      <c r="E21" s="109" t="str">
        <f t="array" ref="E21">IFERROR(INDEX(LEAGUE_STANDINGS!$D$13:$D$100, (ROWS($A$1:A7)-1) * 4 + 4 - MOD(QUOTIENT(ROWS($A$1:A7)-1, 2), 2) * (3 - 2 * MOD(ROWS($A$1:A7)-1, 2))), "")</f>
        <v>Alexis 👨🏾‍🤝‍👨🏿 Lopez</v>
      </c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ht="18.75" customHeight="1">
      <c r="A22" s="104"/>
      <c r="B22" s="106" t="str">
        <f t="array" ref="B22">IFERROR(INDEX(LEAGUE_STANDINGS!$D$13:$D$100, (ROWS($A$1:A8)-1) * 4 + 1 + MOD(QUOTIENT(ROWS($A$1:A8)-1, 2), 2) * (3 - 2 * MOD(ROWS($A$1:A8)-1, 2))), "")
</f>
        <v>Andres</v>
      </c>
      <c r="C22" s="107" t="str">
        <f t="array" ref="C22">IFERROR(INDEX(LEAGUE_STANDINGS!$D$13:$D$100, (ROWS($A$1:A8)-1) * 4 + 2 + MOD(QUOTIENT(ROWS($A$1:A8)-1, 2), 2) * (1 - 2 * MOD(ROWS($A$1:A8)-1, 2))), "")</f>
        <v>Efra</v>
      </c>
      <c r="D22" s="108" t="str">
        <f t="array" ref="D22">IFERROR(INDEX(LEAGUE_STANDINGS!$D$13:$D$100, (ROWS($A$1:A8)-1) * 4 + 3 - MOD(QUOTIENT(ROWS($A$1:A8)-1, 2), 2) * (1 - 2 * MOD(ROWS($A$1:A8)-1, 2))), "")</f>
        <v>Jose Blanco</v>
      </c>
      <c r="E22" s="109" t="str">
        <f t="array" ref="E22">IFERROR(INDEX(LEAGUE_STANDINGS!$D$13:$D$100, (ROWS($A$1:A8)-1) * 4 + 4 - MOD(QUOTIENT(ROWS($A$1:A8)-1, 2), 2) * (3 - 2 * MOD(ROWS($A$1:A8)-1, 2))), "")</f>
        <v>Eder</v>
      </c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ht="18.75" customHeight="1">
      <c r="A23" s="104"/>
      <c r="B23" s="106" t="str">
        <f t="array" ref="B23">IFERROR(INDEX(LEAGUE_STANDINGS!$D$13:$D$100, (ROWS($A$1:A9)-1) * 4 + 1 + MOD(QUOTIENT(ROWS($A$1:A9)-1, 2), 2) * (3 - 2 * MOD(ROWS($A$1:A9)-1, 2))), "")
</f>
        <v>David</v>
      </c>
      <c r="C23" s="107" t="str">
        <f t="array" ref="C23">IFERROR(INDEX(LEAGUE_STANDINGS!$D$13:$D$100, (ROWS($A$1:A9)-1) * 4 + 2 + MOD(QUOTIENT(ROWS($A$1:A9)-1, 2), 2) * (1 - 2 * MOD(ROWS($A$1:A9)-1, 2))), "")</f>
        <v>Chavito</v>
      </c>
      <c r="D23" s="108" t="str">
        <f t="array" ref="D23">IFERROR(INDEX(LEAGUE_STANDINGS!$D$13:$D$100, (ROWS($A$1:A9)-1) * 4 + 3 - MOD(QUOTIENT(ROWS($A$1:A9)-1, 2), 2) * (1 - 2 * MOD(ROWS($A$1:A9)-1, 2))), "")</f>
        <v>J. Sarza</v>
      </c>
      <c r="E23" s="109" t="str">
        <f t="array" ref="E23">IFERROR(INDEX(LEAGUE_STANDINGS!$D$13:$D$100, (ROWS($A$1:A9)-1) * 4 + 4 - MOD(QUOTIENT(ROWS($A$1:A9)-1, 2), 2) * (3 - 2 * MOD(ROWS($A$1:A9)-1, 2))), "")</f>
        <v>A. Espinoza</v>
      </c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ht="18.75" customHeight="1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  <row r="99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</row>
    <row r="994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</row>
    <row r="995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</row>
    <row r="996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</row>
    <row r="997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</row>
    <row r="998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</row>
    <row r="999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</row>
    <row r="1000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</row>
    <row r="1001">
      <c r="A1001" s="104"/>
      <c r="B1001" s="104"/>
      <c r="C1001" s="104"/>
      <c r="D1001" s="104"/>
      <c r="E1001" s="104"/>
      <c r="F1001" s="104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4"/>
      <c r="V1001" s="104"/>
      <c r="W1001" s="104"/>
      <c r="X1001" s="104"/>
      <c r="Y1001" s="104"/>
      <c r="Z1001" s="104"/>
    </row>
  </sheetData>
  <mergeCells count="2">
    <mergeCell ref="B2:E2"/>
    <mergeCell ref="B14:E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4.0"/>
    <col customWidth="1" min="2" max="3" width="35.33"/>
    <col customWidth="1" min="4" max="4" width="39.78"/>
  </cols>
  <sheetData>
    <row r="1">
      <c r="A1" s="110" t="s">
        <v>245</v>
      </c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hidden="1">
      <c r="A2" s="112" t="s">
        <v>138</v>
      </c>
      <c r="B2" s="113" t="s">
        <v>140</v>
      </c>
      <c r="C2" s="114" t="s">
        <v>141</v>
      </c>
      <c r="D2" s="115" t="s">
        <v>139</v>
      </c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>
      <c r="A3" s="110" t="str">
        <f>MATCH_INPUT!F2</f>
        <v>BLUE</v>
      </c>
      <c r="B3" s="116">
        <f>MATCH_INPUT!G2</f>
        <v>4</v>
      </c>
      <c r="C3" s="116">
        <f>MATCH_INPUT!I2</f>
        <v>1</v>
      </c>
      <c r="D3" s="110" t="str">
        <f>MATCH_INPUT!J2</f>
        <v>MAGENTA</v>
      </c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>
      <c r="A4" s="117" t="str">
        <f>MATCH_INPUT!F3</f>
        <v>GREEN</v>
      </c>
      <c r="B4" s="118">
        <f>MATCH_INPUT!G3</f>
        <v>3</v>
      </c>
      <c r="C4" s="118">
        <f>MATCH_INPUT!I3</f>
        <v>0</v>
      </c>
      <c r="D4" s="117" t="str">
        <f>MATCH_INPUT!J3</f>
        <v>ORANGE</v>
      </c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>
      <c r="A5" s="110" t="str">
        <f>MATCH_INPUT!F4</f>
        <v>BLUE</v>
      </c>
      <c r="B5" s="119">
        <f>MATCH_INPUT!G4</f>
        <v>3</v>
      </c>
      <c r="C5" s="119">
        <f>MATCH_INPUT!I4</f>
        <v>2</v>
      </c>
      <c r="D5" s="110" t="str">
        <f>MATCH_INPUT!J4</f>
        <v>GREEN</v>
      </c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>
      <c r="A6" s="110" t="str">
        <f>MATCH_INPUT!F5</f>
        <v>MAGENTA</v>
      </c>
      <c r="B6" s="119">
        <f>MATCH_INPUT!G5</f>
        <v>2</v>
      </c>
      <c r="C6" s="119">
        <f>MATCH_INPUT!I5</f>
        <v>3</v>
      </c>
      <c r="D6" s="110" t="str">
        <f>MATCH_INPUT!J5</f>
        <v>ORANGE</v>
      </c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>
      <c r="A7" s="110" t="s">
        <v>246</v>
      </c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>
      <c r="A8" s="111" t="str">
        <f>IFERROR(__xludf.DUMMYFUNCTION("FILTER(
  ""("" &amp; ROW(WEEKLY_TEAMS!A3:A99)-2 &amp; "") "" &amp; WEEKLY_TEAMS!A3:A99 &amp; "" "" &amp; WEEKLY_TEAMS!B3:B99 &amp;
  IF(WEEKLY_TEAMS!K3:K99=1, "" -was goalie"", """") &amp;
  IF(WEEKLY_TEAMS!J3:J99&lt;&gt;"""", "" - Goals: "" &amp; WEEKLY_TEAMS!J3:J99, """") &amp;
  IF(WEEKLY_TEA"&amp;"MS!L3:L99&lt;&gt;"""", "" - Clean Sheets: "" &amp; WEEKLY_TEAMS!L3:L99, """"),
  (WEEKLY_TEAMS!C3:C99=""BLUE"") * 
  IF(
    SUM(NOT(ISBLANK(WEEKLY_TEAMS!J3:J99))) + SUM(WEEKLY_TEAMS!K3:K99) + SUM(NOT(ISBLANK(WEEKLY_TEAMS!L3:L99))) = 0, 
    TRUE, 
    ((WEEKLY_TEA"&amp;"MS!J3:J99&lt;&gt;"""") + (WEEKLY_TEAMS!K3:K99=1) + (WEEKLY_TEAMS!L3:L99&lt;&gt;"""") &gt; 0)
  )
)
"),"(2) ⭐️ Fabian -was goalie")</f>
        <v>(2) ⭐️ Fabian -was goalie</v>
      </c>
      <c r="B8" s="111" t="str">
        <f>IFERROR(__xludf.DUMMYFUNCTION("FILTER(
  ""("" &amp; ROW(WEEKLY_TEAMS!A3:A99)-2 &amp; "") "" &amp; WEEKLY_TEAMS!A3:A99 &amp; "" "" &amp; WEEKLY_TEAMS!B3:B99 &amp;
  IF(WEEKLY_TEAMS!K3:K99=1, "" -was goalie"", """") &amp;
  IF(WEEKLY_TEAMS!J3:J99&lt;&gt;"""", "" - Goals: "" &amp; WEEKLY_TEAMS!J3:J99, """") &amp;
  IF(WEEKLY_TEA"&amp;"MS!L3:L99&lt;&gt;"""", "" - Clean Sheets: "" &amp; WEEKLY_TEAMS!L3:L99, """"),
  (WEEKLY_TEAMS!C3:C99=""green"") * 
  IF(
    SUM(NOT(ISBLANK(WEEKLY_TEAMS!J3:J99))) + SUM(WEEKLY_TEAMS!K3:K99) + SUM(NOT(ISBLANK(WEEKLY_TEAMS!L3:L99))) = 0, 
    TRUE, 
    ((WEEKLY_TE"&amp;"AMS!J3:J99&lt;&gt;"""") + (WEEKLY_TEAMS!K3:K99=1) + (WEEKLY_TEAMS!L3:L99&lt;&gt;"""") &gt; 0)
  )
)
"),"(4) ⭐️ Cuñis 👨🏽‍🤝‍👨🏼 Karter - Goals: 1")</f>
        <v>(4) ⭐️ Cuñis 👨🏽‍🤝‍👨🏼 Karter - Goals: 1</v>
      </c>
      <c r="C8" s="111" t="str">
        <f>IFERROR(__xludf.DUMMYFUNCTION("FILTER(
  ""("" &amp; ROW(WEEKLY_TEAMS!A3:A99)-2 &amp; "") "" &amp; WEEKLY_TEAMS!A3:A99 &amp; "" "" &amp; WEEKLY_TEAMS!B3:B99 &amp;
  IF(WEEKLY_TEAMS!K3:K99=1, "" -was goalie"", """") &amp;
  IF(WEEKLY_TEAMS!J3:J99&lt;&gt;"""", "" - Goals: "" &amp; WEEKLY_TEAMS!J3:J99, """") &amp;
  IF(WEEKLY_TEA"&amp;"MS!L3:L99&lt;&gt;"""", "" - Clean Sheets: "" &amp; WEEKLY_TEAMS!L3:L99, """"),
  (WEEKLY_TEAMS!C3:C99=""orange"") * 
  IF(
    SUM(NOT(ISBLANK(WEEKLY_TEAMS!J3:J99))) + SUM(WEEKLY_TEAMS!K3:K99) + SUM(NOT(ISBLANK(WEEKLY_TEAMS!L3:L99))) = 0, 
    TRUE, 
    ((WEEKLY_T"&amp;"EAMS!J3:J99&lt;&gt;"""") + (WEEKLY_TEAMS!K3:K99=1) + (WEEKLY_TEAMS!L3:L99&lt;&gt;"""") &gt; 0)
  )
)
"),"(10) ⭐️ Fer -was goalie")</f>
        <v>(10) ⭐️ Fer -was goalie</v>
      </c>
      <c r="D8" s="111" t="str">
        <f>IFERROR(__xludf.DUMMYFUNCTION("FILTER(
  ""("" &amp; ROW(WEEKLY_TEAMS!A3:A99)-2 &amp; "") "" &amp; WEEKLY_TEAMS!A3:A99 &amp; "" "" &amp; WEEKLY_TEAMS!B3:B99 &amp;
  IF(WEEKLY_TEAMS!K3:K99=1, "" -was goalie"", """") &amp;
  IF(WEEKLY_TEAMS!J3:J99&lt;&gt;"""", "" - Goals: "" &amp; WEEKLY_TEAMS!J3:J99, """") &amp;
  IF(WEEKLY_TEA"&amp;"MS!L3:L99&lt;&gt;"""", "" - Clean Sheets: "" &amp; WEEKLY_TEAMS!L3:L99, """"),
  (WEEKLY_TEAMS!C3:C99=""magenta"") * 
  IF(
    SUM(NOT(ISBLANK(WEEKLY_TEAMS!J3:J99))) + SUM(WEEKLY_TEAMS!K3:K99) + SUM(NOT(ISBLANK(WEEKLY_TEAMS!L3:L99))) = 0, 
    TRUE, 
    ((WEEKLY_"&amp;"TEAMS!J3:J99&lt;&gt;"""") + (WEEKLY_TEAMS!K3:K99=1) + (WEEKLY_TEAMS!L3:L99&lt;&gt;"""") &gt; 0)
  )
)
"),"(21) ⭐️ Chilas 👨🏻‍🤝‍👨🏾 Netto -was goalie")</f>
        <v>(21) ⭐️ Chilas 👨🏻‍🤝‍👨🏾 Netto -was goalie</v>
      </c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>
      <c r="A9" s="110" t="str">
        <f>IFERROR(__xludf.DUMMYFUNCTION("""COMPUTED_VALUE"""),"(3) ⭐️ 🏆 Jordan - Goals: 1")</f>
        <v>(3) ⭐️ 🏆 Jordan - Goals: 1</v>
      </c>
      <c r="B9" s="111" t="str">
        <f>IFERROR(__xludf.DUMMYFUNCTION("""COMPUTED_VALUE"""),"(8) ⭐️ Carlos S. - Goals: 1")</f>
        <v>(8) ⭐️ Carlos S. - Goals: 1</v>
      </c>
      <c r="C9" s="111" t="str">
        <f>IFERROR(__xludf.DUMMYFUNCTION("""COMPUTED_VALUE"""),"(17) ⭐️ Gus - Goals: 2")</f>
        <v>(17) ⭐️ Gus - Goals: 2</v>
      </c>
      <c r="D9" s="111" t="str">
        <f>IFERROR(__xludf.DUMMYFUNCTION("""COMPUTED_VALUE"""),"(26) ⭐️ Mikey - Goals: 1")</f>
        <v>(26) ⭐️ Mikey - Goals: 1</v>
      </c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>
      <c r="A10" s="120" t="str">
        <f>IFERROR(__xludf.DUMMYFUNCTION("""COMPUTED_VALUE"""),"(5) ⭐️ Javier - Goals: 1")</f>
        <v>(5) ⭐️ Javier - Goals: 1</v>
      </c>
      <c r="B10" s="111" t="str">
        <f>IFERROR(__xludf.DUMMYFUNCTION("""COMPUTED_VALUE"""),"(14) ⭐️ Pirlo - Goals: 1")</f>
        <v>(14) ⭐️ Pirlo - Goals: 1</v>
      </c>
      <c r="C10" s="111" t="str">
        <f>IFERROR(__xludf.DUMMYFUNCTION("""COMPUTED_VALUE"""),"(37)  🔄 (Jhonatan A) - Goals: 1")</f>
        <v>(37)  🔄 (Jhonatan A) - Goals: 1</v>
      </c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>
      <c r="A11" s="120" t="str">
        <f>IFERROR(__xludf.DUMMYFUNCTION("""COMPUTED_VALUE"""),"(7) ⭐️ Nicky - Goals: 1")</f>
        <v>(7) ⭐️ Nicky - Goals: 1</v>
      </c>
      <c r="B11" s="111" t="str">
        <f>IFERROR(__xludf.DUMMYFUNCTION("""COMPUTED_VALUE"""),"(22) ⭐️ V. Nizama -was goalie - Clean Sheets: 1")</f>
        <v>(22) ⭐️ V. Nizama -was goalie - Clean Sheets: 1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>
      <c r="A12" s="120" t="str">
        <f>IFERROR(__xludf.DUMMYFUNCTION("""COMPUTED_VALUE"""),"(9) ⭐️ Valencia - Goals: 1")</f>
        <v>(9) ⭐️ Valencia - Goals: 1</v>
      </c>
      <c r="B12" s="111" t="str">
        <f>IFERROR(__xludf.DUMMYFUNCTION("""COMPUTED_VALUE"""),"(23) ⭐️ Kevin - Goals: 1")</f>
        <v>(23) ⭐️ Kevin - Goals: 1</v>
      </c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>
      <c r="A13" s="120" t="str">
        <f>IFERROR(__xludf.DUMMYFUNCTION("""COMPUTED_VALUE"""),"(39)  🔄 (Valverde) - Goals: 3")</f>
        <v>(39)  🔄 (Valverde) - Goals: 3</v>
      </c>
      <c r="B13" s="111" t="str">
        <f>IFERROR(__xludf.DUMMYFUNCTION("""COMPUTED_VALUE"""),"(32) ⭐️ Carlos Haro - Goals: 1")</f>
        <v>(32) ⭐️ Carlos Haro - Goals: 1</v>
      </c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>
      <c r="A14" s="120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>
      <c r="A15" s="120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>
      <c r="A16" s="120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>
      <c r="A17" s="121" t="s">
        <v>247</v>
      </c>
      <c r="B17" s="121" t="s">
        <v>247</v>
      </c>
      <c r="C17" s="121" t="s">
        <v>247</v>
      </c>
      <c r="D17" s="121" t="s">
        <v>247</v>
      </c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>
      <c r="A18" s="110" t="s">
        <v>248</v>
      </c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>
      <c r="A19" s="110" t="str">
        <f>MATCH_INPUT!F6</f>
        <v>BLUE</v>
      </c>
      <c r="B19" s="122">
        <f>MATCH_INPUT!G6</f>
        <v>1</v>
      </c>
      <c r="C19" s="122">
        <f>MATCH_INPUT!I6</f>
        <v>4</v>
      </c>
      <c r="D19" s="110" t="str">
        <f>MATCH_INPUT!J6</f>
        <v>MAGENTA</v>
      </c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>
      <c r="A20" s="110" t="str">
        <f>MATCH_INPUT!F7</f>
        <v>GREEN</v>
      </c>
      <c r="B20" s="122">
        <f>MATCH_INPUT!G7</f>
        <v>1</v>
      </c>
      <c r="C20" s="122">
        <f>MATCH_INPUT!I7</f>
        <v>1</v>
      </c>
      <c r="D20" s="110" t="str">
        <f>MATCH_INPUT!J7</f>
        <v>ORANGE</v>
      </c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>
      <c r="A21" s="110" t="str">
        <f>MATCH_INPUT!F8</f>
        <v>ORANGE</v>
      </c>
      <c r="B21" s="122">
        <f>MATCH_INPUT!G8</f>
        <v>1</v>
      </c>
      <c r="C21" s="122">
        <f>MATCH_INPUT!I8</f>
        <v>0</v>
      </c>
      <c r="D21" s="110" t="str">
        <f>MATCH_INPUT!J8</f>
        <v>BLUE</v>
      </c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>
      <c r="A22" s="110" t="str">
        <f>MATCH_INPUT!F9</f>
        <v>GREEN</v>
      </c>
      <c r="B22" s="122">
        <f>MATCH_INPUT!G9</f>
        <v>0</v>
      </c>
      <c r="C22" s="122">
        <f>MATCH_INPUT!I9</f>
        <v>1</v>
      </c>
      <c r="D22" s="110" t="str">
        <f>MATCH_INPUT!J9</f>
        <v>MAGENTA</v>
      </c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>
      <c r="A23" s="110" t="s">
        <v>246</v>
      </c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>
      <c r="A24" s="111" t="str">
        <f>IFERROR(__xludf.DUMMYFUNCTION("FILTER(
  ""("" &amp; ROW(WEEKLY_TEAMS!A3:A99)-2 &amp; "") "" &amp; WEEKLY_TEAMS!A3:A99 &amp; "" "" &amp; WEEKLY_TEAMS!B3:B99 &amp;
  IF(WEEKLY_TEAMS!W3:W99=1, "" -was goalie"", """") &amp;
  IF(WEEKLY_TEAMS!V3:V99&lt;&gt;"""", "" - Goals: "" &amp; WEEKLY_TEAMS!V3:V99, """") &amp;
  IF(WEEKLY_TEA"&amp;"MS!X3:X99&lt;&gt;"""", "" - Clean Sheets: "" &amp; WEEKLY_TEAMS!X3:X99, """"),
  (WEEKLY_TEAMS!O3:O99=""BLUE"") * 
  IF(
    SUM(NOT(ISBLANK(WEEKLY_TEAMS!V3:V99))) + SUM(WEEKLY_TEAMS!W3:W99) + SUM(NOT(ISBLANK(WEEKLY_TEAMS!X3:X99))) = 0, 
    TRUE, 
    ((WEEKLY_TEA"&amp;"MS!V3:V99&lt;&gt;"""") + (WEEKLY_TEAMS!W3:W99=1) + (WEEKLY_TEAMS!X3:X99&lt;&gt;"""") &gt; 0)
  )
)
"),"(5) ⭐️ Javier - Goals: 1")</f>
        <v>(5) ⭐️ Javier - Goals: 1</v>
      </c>
      <c r="B24" s="111" t="str">
        <f>IFERROR(__xludf.DUMMYFUNCTION("FILTER(
  ""("" &amp; ROW(WEEKLY_TEAMS!A3:A99)-2 &amp; "") "" &amp; WEEKLY_TEAMS!A3:A99 &amp; "" "" &amp; WEEKLY_TEAMS!B3:B99 &amp;
  IF(WEEKLY_TEAMS!W3:W99=1, "" -was goalie"", """") &amp;
  IF(WEEKLY_TEAMS!V3:V99&lt;&gt;"""", "" - Goals: "" &amp; WEEKLY_TEAMS!V3:V99, """") &amp;
  IF(WEEKLY_TEA"&amp;"MS!X3:X99&lt;&gt;"""", "" - Clean Sheets: "" &amp; WEEKLY_TEAMS!X3:X99, """"),
  (WEEKLY_TEAMS!O3:O99=""green"") * 
  IF(
    SUM(NOT(ISBLANK(WEEKLY_TEAMS!V3:V99))) + SUM(WEEKLY_TEAMS!W3:W99) + SUM(NOT(ISBLANK(WEEKLY_TEAMS!X3:X99))) = 0, 
    TRUE, 
    ((WEEKLY_TE"&amp;"AMS!V3:V99&lt;&gt;"""") + (WEEKLY_TEAMS!W3:W99=1) + (WEEKLY_TEAMS!X3:X99&lt;&gt;"""") &gt; 0)
  )
)
"),"(28) ⭐️ Efra -was goalie")</f>
        <v>(28) ⭐️ Efra -was goalie</v>
      </c>
      <c r="C24" s="111" t="str">
        <f>IFERROR(__xludf.DUMMYFUNCTION("FILTER(
  ""("" &amp; ROW(WEEKLY_TEAMS!A3:A99)-2 &amp; "") "" &amp; WEEKLY_TEAMS!A3:A99 &amp; "" "" &amp; WEEKLY_TEAMS!B3:B99 &amp;
  IF(WEEKLY_TEAMS!W3:W99=1, "" -was goalie"", """") &amp;
  IF(WEEKLY_TEAMS!V3:V99&lt;&gt;"""", "" - Goals: "" &amp; WEEKLY_TEAMS!V3:V99, """") &amp;
  IF(WEEKLY_TEA"&amp;"MS!X3:X99&lt;&gt;"""", "" - Clean Sheets: "" &amp; WEEKLY_TEAMS!X3:X99, """"),
  (WEEKLY_TEAMS!O3:O99=""orange"") * 
  IF(
    SUM(NOT(ISBLANK(WEEKLY_TEAMS!V3:V99))) + SUM(WEEKLY_TEAMS!W3:W99) + SUM(NOT(ISBLANK(WEEKLY_TEAMS!X3:X99))) = 0, 
    TRUE, 
    ((WEEKLY_T"&amp;"EAMS!V3:V99&lt;&gt;"""") + (WEEKLY_TEAMS!W3:W99=1) + (WEEKLY_TEAMS!X3:X99&lt;&gt;"""") &gt; 0)
  )
)
"),"(7) ⭐️ Nicky - Goals: 1")</f>
        <v>(7) ⭐️ Nicky - Goals: 1</v>
      </c>
      <c r="D24" s="111" t="str">
        <f>IFERROR(__xludf.DUMMYFUNCTION("FILTER(
  ""("" &amp; ROW(WEEKLY_TEAMS!A3:A99)-2 &amp; "") "" &amp; WEEKLY_TEAMS!A3:A99 &amp; "" "" &amp; WEEKLY_TEAMS!B3:B99 &amp;
  IF(WEEKLY_TEAMS!W3:W99=1, "" -was goalie"", """") &amp;
  IF(WEEKLY_TEAMS!V3:V99&lt;&gt;"""", "" - Goals: "" &amp; WEEKLY_TEAMS!V3:V99, """") &amp;
  IF(WEEKLY_TEA"&amp;"MS!X3:X99&lt;&gt;"""", "" - Clean Sheets: "" &amp; WEEKLY_TEAMS!X3:X99, """"),
  (WEEKLY_TEAMS!O3:O99=""magenta"") * 
  IF(
    SUM(NOT(ISBLANK(WEEKLY_TEAMS!V3:V99))) + SUM(WEEKLY_TEAMS!W3:W99) + SUM(NOT(ISBLANK(WEEKLY_TEAMS!X3:X99))) = 0, 
    TRUE, 
    ((WEEKLY_"&amp;"TEAMS!V3:V99&lt;&gt;"""") + (WEEKLY_TEAMS!W3:W99=1) + (WEEKLY_TEAMS!X3:X99&lt;&gt;"""") &gt; 0)
  )
)
"),"(2) ⭐️ Fabian -was goalie")</f>
        <v>(2) ⭐️ Fabian -was goalie</v>
      </c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>
      <c r="A25" s="110"/>
      <c r="B25" s="110"/>
      <c r="C25" s="110" t="str">
        <f>IFERROR(__xludf.DUMMYFUNCTION("""COMPUTED_VALUE"""),"(16) ⭐️ Rob 👬🏽 Toño -was goalie")</f>
        <v>(16) ⭐️ Rob 👬🏽 Toño -was goalie</v>
      </c>
      <c r="D25" s="111" t="str">
        <f>IFERROR(__xludf.DUMMYFUNCTION("""COMPUTED_VALUE"""),"(9) ⭐️ Valencia - Goals: 1")</f>
        <v>(9) ⭐️ Valencia - Goals: 1</v>
      </c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>
      <c r="A26" s="120"/>
      <c r="B26" s="111"/>
      <c r="C26" s="111" t="str">
        <f>IFERROR(__xludf.DUMMYFUNCTION("""COMPUTED_VALUE"""),"(22) ⭐️ V. Nizama -was goalie - Clean Sheets: 1")</f>
        <v>(22) ⭐️ V. Nizama -was goalie - Clean Sheets: 1</v>
      </c>
      <c r="D26" s="111" t="str">
        <f>IFERROR(__xludf.DUMMYFUNCTION("""COMPUTED_VALUE"""),"(20) ⭐️ Christian - Goals: 2")</f>
        <v>(20) ⭐️ Christian - Goals: 2</v>
      </c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>
      <c r="A27" s="120"/>
      <c r="B27" s="111"/>
      <c r="C27" s="111" t="str">
        <f>IFERROR(__xludf.DUMMYFUNCTION("""COMPUTED_VALUE"""),"(27) ⭐️ Alex - Goals: 1")</f>
        <v>(27) ⭐️ Alex - Goals: 1</v>
      </c>
      <c r="D27" s="111" t="str">
        <f>IFERROR(__xludf.DUMMYFUNCTION("""COMPUTED_VALUE"""),"(24) ⭐️ Guille 👨🏻‍🤝‍👨🏾 Mike -was goalie - Clean Sheets: 1")</f>
        <v>(24) ⭐️ Guille 👨🏻‍🤝‍👨🏾 Mike -was goalie - Clean Sheets: 1</v>
      </c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>
      <c r="A28" s="120"/>
      <c r="B28" s="111"/>
      <c r="C28" s="111"/>
      <c r="D28" s="111" t="str">
        <f>IFERROR(__xludf.DUMMYFUNCTION("""COMPUTED_VALUE"""),"(26) ⭐️ Mikey - Goals: 2")</f>
        <v>(26) ⭐️ Mikey - Goals: 2</v>
      </c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>
      <c r="A29" s="120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>
      <c r="A30" s="120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>
      <c r="A31" s="120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>
      <c r="A32" s="120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>
      <c r="A33" s="121" t="s">
        <v>247</v>
      </c>
      <c r="B33" s="121" t="s">
        <v>247</v>
      </c>
      <c r="C33" s="121" t="s">
        <v>247</v>
      </c>
      <c r="D33" s="121" t="s">
        <v>247</v>
      </c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>
      <c r="A34" s="110" t="s">
        <v>249</v>
      </c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>
      <c r="A35" s="110" t="str">
        <f>MATCH_INPUT!F10</f>
        <v>BLUE</v>
      </c>
      <c r="B35" s="122">
        <f>MATCH_INPUT!G10</f>
        <v>0</v>
      </c>
      <c r="C35" s="122">
        <f>MATCH_INPUT!I10</f>
        <v>3</v>
      </c>
      <c r="D35" s="110" t="str">
        <f>MATCH_INPUT!J10</f>
        <v>MAGENTA</v>
      </c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>
      <c r="A36" s="110" t="str">
        <f>MATCH_INPUT!F11</f>
        <v>GREEN</v>
      </c>
      <c r="B36" s="122">
        <f>MATCH_INPUT!G11</f>
        <v>0</v>
      </c>
      <c r="C36" s="122">
        <f>MATCH_INPUT!I11</f>
        <v>2</v>
      </c>
      <c r="D36" s="110" t="str">
        <f>MATCH_INPUT!J11</f>
        <v>ORANGE</v>
      </c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>
      <c r="A37" s="110" t="str">
        <f>MATCH_INPUT!F12</f>
        <v>MAGENTA</v>
      </c>
      <c r="B37" s="122">
        <f>MATCH_INPUT!G12</f>
        <v>1</v>
      </c>
      <c r="C37" s="122">
        <f>MATCH_INPUT!I12</f>
        <v>2</v>
      </c>
      <c r="D37" s="110" t="str">
        <f>MATCH_INPUT!J12</f>
        <v>ORANGE</v>
      </c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>
      <c r="A38" s="110" t="str">
        <f>MATCH_INPUT!F13</f>
        <v>BLUE</v>
      </c>
      <c r="B38" s="122">
        <f>MATCH_INPUT!G13</f>
        <v>1</v>
      </c>
      <c r="C38" s="122">
        <f>MATCH_INPUT!I13</f>
        <v>2</v>
      </c>
      <c r="D38" s="110" t="str">
        <f>MATCH_INPUT!J13</f>
        <v>GREEN</v>
      </c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>
      <c r="A39" s="110" t="s">
        <v>246</v>
      </c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>
      <c r="A40" s="111" t="str">
        <f>IFERROR(__xludf.DUMMYFUNCTION("FILTER(
  ""("" &amp; ROW(WEEKLY_TEAMS!A3:A99)-2 &amp; "") "" &amp; WEEKLY_TEAMS!A3:A99 &amp; "" "" &amp; WEEKLY_TEAMS!B3:B99 &amp;
  IF(WEEKLY_TEAMS!AI3:AI99=1, "" -was goalie"", """") &amp;
  IF(WEEKLY_TEAMS!AH3:AH99&lt;&gt;"""", "" - Goals: "" &amp; WEEKLY_TEAMS!AH3:AH99, """") &amp;
  IF(WEEK"&amp;"LY_TEAMS!AJ3:AJ99&lt;&gt;"""", "" - Clean Sheets: "" &amp; WEEKLY_TEAMS!AJ3:AJ99, """"),
  (WEEKLY_TEAMS!AA3:AA99=""BLUE"") * 
  IF(
    SUM(NOT(ISBLANK(WEEKLY_TEAMS!AH3:AH99))) + SUM(WEEKLY_TEAMS!AI3:AI99) + SUM(NOT(ISBLANK(WEEKLY_TEAMS!AJ3:AJ99))) = 0, 
    TRUE,"&amp;" 
    ((WEEKLY_TEAMS!AH3:AH99&lt;&gt;"""") + (WEEKLY_TEAMS!AI3:AI99=1) + (WEEKLY_TEAMS!AJ3:AJ99&lt;&gt;"""") &gt; 0)
  )
)
"),"(10) ⭐️ Fer -was goalie")</f>
        <v>(10) ⭐️ Fer -was goalie</v>
      </c>
      <c r="B40" s="111" t="str">
        <f>IFERROR(__xludf.DUMMYFUNCTION("FILTER(
  ""("" &amp; ROW(WEEKLY_TEAMS!A3:A99)-2 &amp; "") "" &amp; WEEKLY_TEAMS!A3:A99 &amp; "" "" &amp; WEEKLY_TEAMS!B3:B99 &amp;
  IF(WEEKLY_TEAMS!AI3:AI99=1, "" -was goalie"", """") &amp;
  IF(WEEKLY_TEAMS!AH3:AH99&lt;&gt;"""", "" - Goals: "" &amp; WEEKLY_TEAMS!AH3:AH99, """") &amp;
  IF(WEEK"&amp;"LY_TEAMS!AJ3:AJ99&lt;&gt;"""", "" - Clean Sheets: "" &amp; WEEKLY_TEAMS!AJ3:AJ99, """"),
  (WEEKLY_TEAMS!AA3:AA99=""green"") * 
  IF(
    SUM(NOT(ISBLANK(WEEKLY_TEAMS!AH3:AH99))) + SUM(WEEKLY_TEAMS!AI3:AI99) + SUM(NOT(ISBLANK(WEEKLY_TEAMS!AJ3:AJ99))) = 0, 
    TRUE"&amp;", 
    ((WEEKLY_TEAMS!AH3:AH99&lt;&gt;"""") + (WEEKLY_TEAMS!AI3:AI99=1) + (WEEKLY_TEAMS!AJ3:AJ99&lt;&gt;"""") &gt; 0)
  )
)
"),"(11) ⭐️ Asdruval -was goalie")</f>
        <v>(11) ⭐️ Asdruval -was goalie</v>
      </c>
      <c r="C40" s="111" t="str">
        <f>IFERROR(__xludf.DUMMYFUNCTION("FILTER(
  ""("" &amp; ROW(WEEKLY_TEAMS!A3:A99)-2 &amp; "") "" &amp; WEEKLY_TEAMS!A3:A99 &amp; "" "" &amp; WEEKLY_TEAMS!B3:B99 &amp;
  IF(WEEKLY_TEAMS!AI3:AI99=1, "" -was goalie"", """") &amp;
  IF(WEEKLY_TEAMS!AH3:AH99&lt;&gt;"""", "" - Goals: "" &amp; WEEKLY_TEAMS!AH3:AH99, """") &amp;
  IF(WEEK"&amp;"LY_TEAMS!AJ3:AJ99&lt;&gt;"""", "" - Clean Sheets: "" &amp; WEEKLY_TEAMS!AJ3:AJ99, """"),
  (WEEKLY_TEAMS!AA3:AA99=""orange"") * 
  IF(
    SUM(NOT(ISBLANK(WEEKLY_TEAMS!AH3:AH99))) + SUM(WEEKLY_TEAMS!AI3:AI99) + SUM(NOT(ISBLANK(WEEKLY_TEAMS!AJ3:AJ99))) = 0, 
    TRU"&amp;"E, 
    ((WEEKLY_TEAMS!AH3:AH99&lt;&gt;"""") + (WEEKLY_TEAMS!AI3:AI99=1) + (WEEKLY_TEAMS!AJ3:AJ99&lt;&gt;"""") &gt; 0)
  )
)
"),"(17) ⭐️ Gus - Goals: 2")</f>
        <v>(17) ⭐️ Gus - Goals: 2</v>
      </c>
      <c r="D40" s="111" t="str">
        <f>IFERROR(__xludf.DUMMYFUNCTION("FILTER(
  ""("" &amp; ROW(WEEKLY_TEAMS!A3:A99)-2 &amp; "") "" &amp; WEEKLY_TEAMS!A3:A99 &amp; "" "" &amp; WEEKLY_TEAMS!B3:B99 &amp;
  IF(WEEKLY_TEAMS!AI3:AI99=1, "" -was goalie"", """") &amp;
  IF(WEEKLY_TEAMS!AH3:AH99&lt;&gt;"""", "" - Goals: "" &amp; WEEKLY_TEAMS!AH3:AH99, """") &amp;
  IF(WEEK"&amp;"LY_TEAMS!AJ3:AJ99&lt;&gt;"""", "" - Clean Sheets: "" &amp; WEEKLY_TEAMS!AJ3:AJ99, """"),
  (WEEKLY_TEAMS!AA3:AA99=""magenta"") * 
  IF(
    SUM(NOT(ISBLANK(WEEKLY_TEAMS!AH3:AH99))) + SUM(WEEKLY_TEAMS!AI3:AI99) + SUM(NOT(ISBLANK(WEEKLY_TEAMS!AJ3:AJ99))) = 0, 
    TR"&amp;"UE, 
    ((WEEKLY_TEAMS!AH3:AH99&lt;&gt;"""") + (WEEKLY_TEAMS!AI3:AI99=1) + (WEEKLY_TEAMS!AJ3:AJ99&lt;&gt;"""") &gt; 0)
  )
)
"),"(4) ⭐️ Cuñis 👨🏽‍🤝‍👨🏼 Karter - Goals: 3")</f>
        <v>(4) ⭐️ Cuñis 👨🏽‍🤝‍👨🏼 Karter - Goals: 3</v>
      </c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>
      <c r="A41" s="110" t="str">
        <f>IFERROR(__xludf.DUMMYFUNCTION("""COMPUTED_VALUE"""),"(26) ⭐️ Mikey - Goals: 1")</f>
        <v>(26) ⭐️ Mikey - Goals: 1</v>
      </c>
      <c r="B41" s="111" t="str">
        <f>IFERROR(__xludf.DUMMYFUNCTION("""COMPUTED_VALUE"""),"(29) ⭐️ Jose Blanco - Goals: 1")</f>
        <v>(29) ⭐️ Jose Blanco - Goals: 1</v>
      </c>
      <c r="C41" s="111" t="str">
        <f>IFERROR(__xludf.DUMMYFUNCTION("""COMPUTED_VALUE"""),"(31) ⭐️ Eder -was goalie - Clean Sheets: 1")</f>
        <v>(31) ⭐️ Eder -was goalie - Clean Sheets: 1</v>
      </c>
      <c r="D41" s="111" t="str">
        <f>IFERROR(__xludf.DUMMYFUNCTION("""COMPUTED_VALUE"""),"(8) ⭐️ Carlos S. -was goalie - Clean Sheets: 1")</f>
        <v>(8) ⭐️ Carlos S. -was goalie - Clean Sheets: 1</v>
      </c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>
      <c r="A42" s="120"/>
      <c r="B42" s="111" t="str">
        <f>IFERROR(__xludf.DUMMYFUNCTION("""COMPUTED_VALUE"""),"(33) ⭐️ David - Goals: 1")</f>
        <v>(33) ⭐️ David - Goals: 1</v>
      </c>
      <c r="C42" s="111" t="str">
        <f>IFERROR(__xludf.DUMMYFUNCTION("""COMPUTED_VALUE"""),"(39)  🔄 (Valverde) - Goals: 1")</f>
        <v>(39)  🔄 (Valverde) - Goals: 1</v>
      </c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>
      <c r="A43" s="120"/>
      <c r="B43" s="111"/>
      <c r="C43" s="111" t="str">
        <f>IFERROR(__xludf.DUMMYFUNCTION("""COMPUTED_VALUE"""),"(41)  🔄 (Karter) - Goals: 1")</f>
        <v>(41)  🔄 (Karter) - Goals: 1</v>
      </c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>
      <c r="A44" s="120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>
      <c r="A45" s="120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>
      <c r="A46" s="120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>
      <c r="A47" s="120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>
      <c r="A48" s="120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>
      <c r="A49" s="121" t="s">
        <v>247</v>
      </c>
      <c r="B49" s="121" t="s">
        <v>247</v>
      </c>
      <c r="C49" s="121" t="s">
        <v>247</v>
      </c>
      <c r="D49" s="121" t="s">
        <v>247</v>
      </c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>
      <c r="A50" s="110" t="s">
        <v>250</v>
      </c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>
      <c r="A51" s="110" t="str">
        <f>MATCH_INPUT!F14</f>
        <v>BLUE</v>
      </c>
      <c r="B51" s="122">
        <f>MATCH_INPUT!G14</f>
        <v>0</v>
      </c>
      <c r="C51" s="122">
        <f>MATCH_INPUT!I14</f>
        <v>2</v>
      </c>
      <c r="D51" s="110" t="str">
        <f>MATCH_INPUT!J14</f>
        <v>MAGENTA</v>
      </c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>
      <c r="A52" s="110" t="str">
        <f>MATCH_INPUT!F15</f>
        <v>GREEN</v>
      </c>
      <c r="B52" s="122">
        <f>MATCH_INPUT!G15</f>
        <v>1</v>
      </c>
      <c r="C52" s="122">
        <f>MATCH_INPUT!I15</f>
        <v>3</v>
      </c>
      <c r="D52" s="110" t="str">
        <f>MATCH_INPUT!J15</f>
        <v>ORANGE</v>
      </c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>
      <c r="A53" s="110" t="str">
        <f>MATCH_INPUT!F16</f>
        <v>BLUE</v>
      </c>
      <c r="B53" s="122">
        <f>MATCH_INPUT!G16</f>
        <v>2</v>
      </c>
      <c r="C53" s="122">
        <f>MATCH_INPUT!I16</f>
        <v>3</v>
      </c>
      <c r="D53" s="110" t="str">
        <f>MATCH_INPUT!J16</f>
        <v>GREEN</v>
      </c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>
      <c r="A54" s="110" t="str">
        <f>MATCH_INPUT!F17</f>
        <v>MAGENTA</v>
      </c>
      <c r="B54" s="122">
        <f>MATCH_INPUT!G17</f>
        <v>3</v>
      </c>
      <c r="C54" s="122">
        <f>MATCH_INPUT!I17</f>
        <v>1</v>
      </c>
      <c r="D54" s="110" t="str">
        <f>MATCH_INPUT!J17</f>
        <v>ORANGE</v>
      </c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>
      <c r="A55" s="110" t="s">
        <v>246</v>
      </c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>
      <c r="A56" s="111" t="str">
        <f>IFERROR(__xludf.DUMMYFUNCTION("FILTER(
  ""("" &amp; ROW(WEEKLY_TEAMS!A3:A99)-2 &amp; "") "" &amp; WEEKLY_TEAMS!A3:A99 &amp; "" "" &amp; WEEKLY_TEAMS!B3:B99 &amp;
  IF(WEEKLY_TEAMS!AU3:AU99=1, "" -was goalie"", """") &amp;
  IF(WEEKLY_TEAMS!AT3:AT99&lt;&gt;"""", "" - Goals: "" &amp; WEEKLY_TEAMS!AT3:AT99, """") &amp;
  IF(WEEK"&amp;"LY_TEAMS!AV3:AV99&lt;&gt;"""", "" - Clean Sheets: "" &amp; WEEKLY_TEAMS!AV3:AV99, """"),
  (WEEKLY_TEAMS!AM3:AM99=""BLUE"") * 
  IF(
    SUM(NOT(ISBLANK(WEEKLY_TEAMS!AT3:AT99))) + SUM(WEEKLY_TEAMS!AU3:AU99) + SUM(NOT(ISBLANK(WEEKLY_TEAMS!AV3:AV99))) = 0, 
    TRUE,"&amp;" 
    ((WEEKLY_TEAMS!AT3:AT99&lt;&gt;"""") + (WEEKLY_TEAMS!AU3:AU99=1) + (WEEKLY_TEAMS!AV3:AV99&lt;&gt;"""") &gt; 0)
  )
)
"),"(11) ⭐️ Asdruval -was goalie")</f>
        <v>(11) ⭐️ Asdruval -was goalie</v>
      </c>
      <c r="B56" s="111" t="str">
        <f>IFERROR(__xludf.DUMMYFUNCTION("FILTER(
  ""("" &amp; ROW(WEEKLY_TEAMS!A3:A99)-2 &amp; "") "" &amp; WEEKLY_TEAMS!A3:A99 &amp; "" "" &amp; WEEKLY_TEAMS!B3:B99 &amp;
  IF(WEEKLY_TEAMS!AU3:AU99=1, "" -was goalie"", """") &amp;
  IF(WEEKLY_TEAMS!AT3:AT99&lt;&gt;"""", "" - Goals: "" &amp; WEEKLY_TEAMS!AT3:AT99, """") &amp;
  IF(WEEK"&amp;"LY_TEAMS!AV3:AV99&lt;&gt;"""", "" - Clean Sheets: "" &amp; WEEKLY_TEAMS!AV3:AV99, """"),
  (WEEKLY_TEAMS!AM3:AM99=""green"") * 
  IF(
    SUM(NOT(ISBLANK(WEEKLY_TEAMS!AT3:AT99))) + SUM(WEEKLY_TEAMS!AU3:AU99) + SUM(NOT(ISBLANK(WEEKLY_TEAMS!AV3:AV99))) = 0, 
    TRUE"&amp;", 
    ((WEEKLY_TEAMS!AT3:AT99&lt;&gt;"""") + (WEEKLY_TEAMS!AU3:AU99=1) + (WEEKLY_TEAMS!AV3:AV99&lt;&gt;"""") &gt; 0)
  )
)
"),"(5) ⭐️ Javier - Goals: 2")</f>
        <v>(5) ⭐️ Javier - Goals: 2</v>
      </c>
      <c r="C56" s="111" t="str">
        <f>IFERROR(__xludf.DUMMYFUNCTION("FILTER(
  ""("" &amp; ROW(WEEKLY_TEAMS!A3:A99)-2 &amp; "") "" &amp; WEEKLY_TEAMS!A3:A99 &amp; "" "" &amp; WEEKLY_TEAMS!B3:B99 &amp;
  IF(WEEKLY_TEAMS!AU3:AU99=1, "" -was goalie"", """") &amp;
  IF(WEEKLY_TEAMS!AT3:AT99&lt;&gt;"""", "" - Goals: "" &amp; WEEKLY_TEAMS!AT3:AT99, """") &amp;
  IF(WEEK"&amp;"LY_TEAMS!AV3:AV99&lt;&gt;"""", "" - Clean Sheets: "" &amp; WEEKLY_TEAMS!AV3:AV99, """"),
  (WEEKLY_TEAMS!AM3:AM99=""orange"") * 
  IF(
    SUM(NOT(ISBLANK(WEEKLY_TEAMS!AT3:AT99))) + SUM(WEEKLY_TEAMS!AU3:AU99) + SUM(NOT(ISBLANK(WEEKLY_TEAMS!AV3:AV99))) = 0, 
    TRU"&amp;"E, 
    ((WEEKLY_TEAMS!AT3:AT99&lt;&gt;"""") + (WEEKLY_TEAMS!AU3:AU99=1) + (WEEKLY_TEAMS!AV3:AV99&lt;&gt;"""") &gt; 0)
  )
)
"),"(4) ⭐️ Cuñis 👨🏽‍🤝‍👨🏼 Karter -was goalie")</f>
        <v>(4) ⭐️ Cuñis 👨🏽‍🤝‍👨🏼 Karter -was goalie</v>
      </c>
      <c r="D56" s="111" t="str">
        <f>IFERROR(__xludf.DUMMYFUNCTION("FILTER(
  ""("" &amp; ROW(WEEKLY_TEAMS!A3:A99)-2 &amp; "") "" &amp; WEEKLY_TEAMS!A3:A99 &amp; "" "" &amp; WEEKLY_TEAMS!B3:B99 &amp;
  IF(WEEKLY_TEAMS!AU3:AU99=1, "" -was goalie"", """") &amp;
  IF(WEEKLY_TEAMS!AT3:AT99&lt;&gt;"""", "" - Goals: "" &amp; WEEKLY_TEAMS!AT3:AT99, """") &amp;
  IF(WEEK"&amp;"LY_TEAMS!AV3:AV99&lt;&gt;"""", "" - Clean Sheets: "" &amp; WEEKLY_TEAMS!AV3:AV99, """"),
  (WEEKLY_TEAMS!AM3:AM99=""magenta"") * 
  IF(
    SUM(NOT(ISBLANK(WEEKLY_TEAMS!AT3:AT99))) + SUM(WEEKLY_TEAMS!AU3:AU99) + SUM(NOT(ISBLANK(WEEKLY_TEAMS!AV3:AV99))) = 0, 
    TR"&amp;"UE, 
    ((WEEKLY_TEAMS!AT3:AT99&lt;&gt;"""") + (WEEKLY_TEAMS!AU3:AU99=1) + (WEEKLY_TEAMS!AV3:AV99&lt;&gt;"""") &gt; 0)
  )
)
"),"(7) ⭐️ Nicky - Goals: 1")</f>
        <v>(7) ⭐️ Nicky - Goals: 1</v>
      </c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>
      <c r="A57" s="110" t="str">
        <f>IFERROR(__xludf.DUMMYFUNCTION("""COMPUTED_VALUE"""),"(34) ⭐️ Chavito - Goals: 1")</f>
        <v>(34) ⭐️ Chavito - Goals: 1</v>
      </c>
      <c r="B57" s="111" t="str">
        <f>IFERROR(__xludf.DUMMYFUNCTION("""COMPUTED_VALUE"""),"(9) ⭐️ Valencia - Goals: 1")</f>
        <v>(9) ⭐️ Valencia - Goals: 1</v>
      </c>
      <c r="C57" s="111" t="str">
        <f>IFERROR(__xludf.DUMMYFUNCTION("""COMPUTED_VALUE"""),"(8) ⭐️ Carlos S. - Goals: 1")</f>
        <v>(8) ⭐️ Carlos S. - Goals: 1</v>
      </c>
      <c r="D57" s="111" t="str">
        <f>IFERROR(__xludf.DUMMYFUNCTION("""COMPUTED_VALUE"""),"(12) ⭐️ Rodolfo -was goalie - Clean Sheets: 1")</f>
        <v>(12) ⭐️ Rodolfo -was goalie - Clean Sheets: 1</v>
      </c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>
      <c r="A58" s="120"/>
      <c r="B58" s="111" t="str">
        <f>IFERROR(__xludf.DUMMYFUNCTION("""COMPUTED_VALUE"""),"(10) ⭐️ Fer -was goalie")</f>
        <v>(10) ⭐️ Fer -was goalie</v>
      </c>
      <c r="C58" s="111" t="str">
        <f>IFERROR(__xludf.DUMMYFUNCTION("""COMPUTED_VALUE"""),"(20) ⭐️ Christian - Goals: 2")</f>
        <v>(20) ⭐️ Christian - Goals: 2</v>
      </c>
      <c r="D58" s="111" t="str">
        <f>IFERROR(__xludf.DUMMYFUNCTION("""COMPUTED_VALUE"""),"(15) ⭐️ Ruben - Goals: 2")</f>
        <v>(15) ⭐️ Ruben - Goals: 2</v>
      </c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>
      <c r="A59" s="120"/>
      <c r="B59" s="111" t="str">
        <f>IFERROR(__xludf.DUMMYFUNCTION("""COMPUTED_VALUE"""),"(33) ⭐️ David - Goals: 1")</f>
        <v>(33) ⭐️ David - Goals: 1</v>
      </c>
      <c r="C59" s="111" t="str">
        <f>IFERROR(__xludf.DUMMYFUNCTION("""COMPUTED_VALUE"""),"(46)  🔄 (Chilas) - Goals: 1")</f>
        <v>(46)  🔄 (Chilas) - Goals: 1</v>
      </c>
      <c r="D59" s="111" t="str">
        <f>IFERROR(__xludf.DUMMYFUNCTION("""COMPUTED_VALUE"""),"(22) ⭐️ V. Nizama - Goals: 1")</f>
        <v>(22) ⭐️ V. Nizama - Goals: 1</v>
      </c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>
      <c r="A60" s="120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>
      <c r="A61" s="120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>
      <c r="A62" s="120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>
      <c r="A63" s="120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>
      <c r="A64" s="120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>
      <c r="A65" s="121" t="s">
        <v>247</v>
      </c>
      <c r="B65" s="121" t="s">
        <v>247</v>
      </c>
      <c r="C65" s="121" t="s">
        <v>247</v>
      </c>
      <c r="D65" s="121" t="s">
        <v>247</v>
      </c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>
      <c r="A66" s="110" t="s">
        <v>251</v>
      </c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>
      <c r="A67" s="110" t="str">
        <f>MATCH_INPUT!F18</f>
        <v>BLUE</v>
      </c>
      <c r="B67" s="122">
        <f>MATCH_INPUT!G18</f>
        <v>1</v>
      </c>
      <c r="C67" s="110">
        <f>MATCH_INPUT!I18</f>
        <v>4</v>
      </c>
      <c r="D67" s="110" t="str">
        <f>MATCH_INPUT!J18</f>
        <v>MAGENTA</v>
      </c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>
      <c r="A68" s="110" t="str">
        <f>MATCH_INPUT!F19</f>
        <v>GREEN</v>
      </c>
      <c r="B68" s="122">
        <f>MATCH_INPUT!G19</f>
        <v>2</v>
      </c>
      <c r="C68" s="110">
        <f>MATCH_INPUT!I19</f>
        <v>2</v>
      </c>
      <c r="D68" s="110" t="str">
        <f>MATCH_INPUT!J19</f>
        <v>ORANGE</v>
      </c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>
      <c r="A69" s="110" t="str">
        <f>MATCH_INPUT!F20</f>
        <v>BLUE</v>
      </c>
      <c r="B69" s="122">
        <f>MATCH_INPUT!G20</f>
        <v>2</v>
      </c>
      <c r="C69" s="110">
        <f>MATCH_INPUT!I20</f>
        <v>1</v>
      </c>
      <c r="D69" s="110" t="str">
        <f>MATCH_INPUT!J20</f>
        <v>ORANGE</v>
      </c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>
      <c r="A70" s="110" t="str">
        <f>MATCH_INPUT!F21</f>
        <v>MAGENTA</v>
      </c>
      <c r="B70" s="122">
        <f>MATCH_INPUT!G21</f>
        <v>0</v>
      </c>
      <c r="C70" s="110">
        <f>MATCH_INPUT!I21</f>
        <v>2</v>
      </c>
      <c r="D70" s="110" t="str">
        <f>MATCH_INPUT!J21</f>
        <v>GREEN</v>
      </c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>
      <c r="A71" s="110" t="s">
        <v>246</v>
      </c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>
      <c r="A72" s="111" t="str">
        <f>IFERROR(__xludf.DUMMYFUNCTION("FILTER(
  ""("" &amp; ROW(WEEKLY_TEAMS!A3:A99)-2 &amp; "") "" &amp; WEEKLY_TEAMS!A3:A99 &amp; "" "" &amp; WEEKLY_TEAMS!B3:B99 &amp;
  IF(WEEKLY_TEAMS!BG3:BG99=1, "" - was goalie"", """") &amp;
  IF(WEEKLY_TEAMS!BF3:BF99&lt;&gt;"""", "" - Goals: "" &amp; WEEKLY_TEAMS!BF3:BF99, """") &amp;
  IF(WEE"&amp;"KLY_TEAMS!BH3:BH99&lt;&gt;"""", "" - Clean Sheets: "" &amp; WEEKLY_TEAMS!BH3:BH99, """"),
  (WEEKLY_TEAMS!AY3:AY99=""BLUE"") * 
  IF(
    SUM(NOT(ISBLANK(WEEKLY_TEAMS!BF3:BF99))) + SUM(WEEKLY_TEAMS!BG3:BG99) + SUM(NOT(ISBLANK(WEEKLY_TEAMS!BH3:BH99))) = 0, 
    TRUE"&amp;", 
    ((WEEKLY_TEAMS!BF3:BF99&lt;&gt;"""") + (WEEKLY_TEAMS!BG3:BG99=1) + (WEEKLY_TEAMS!BH3:BH99&lt;&gt;"""") &gt; 0)
  )
)
"),"(9) ⭐️ Valencia - Goals: 1")</f>
        <v>(9) ⭐️ Valencia - Goals: 1</v>
      </c>
      <c r="B72" s="111" t="str">
        <f>IFERROR(__xludf.DUMMYFUNCTION("FILTER(
  ""("" &amp; ROW(WEEKLY_TEAMS!A3:A99)-2 &amp; "") "" &amp; WEEKLY_TEAMS!A3:A99 &amp; "" "" &amp; WEEKLY_TEAMS!B3:B99 &amp;
  IF(WEEKLY_TEAMS!BG3:BG99=1, "" - was goalie"", """") &amp;
  IF(WEEKLY_TEAMS!BF3:BF99&lt;&gt;"""", "" - Goals: "" &amp; WEEKLY_TEAMS!BF3:BF99, """") &amp;
  IF(WEE"&amp;"KLY_TEAMS!BH3:BH99&lt;&gt;"""", "" - Clean Sheets: "" &amp; WEEKLY_TEAMS!BH3:BH99, """"),
  (WEEKLY_TEAMS!AY3:AY99=""green"") * 
  IF(
    SUM(NOT(ISBLANK(WEEKLY_TEAMS!BF3:BF99))) + SUM(WEEKLY_TEAMS!BG3:BG99) + SUM(NOT(ISBLANK(WEEKLY_TEAMS!BH3:BH99))) = 0, 
    TRU"&amp;"E, 
    ((WEEKLY_TEAMS!BF3:BF99&lt;&gt;"""") + (WEEKLY_TEAMS!BG3:BG99=1) + (WEEKLY_TEAMS!BH3:BH99&lt;&gt;"""") &gt; 0)
  )
)
"),"(6) ⭐️ Gabriel - Goals: 1")</f>
        <v>(6) ⭐️ Gabriel - Goals: 1</v>
      </c>
      <c r="C72" s="111" t="str">
        <f>IFERROR(__xludf.DUMMYFUNCTION("FILTER(
  ""("" &amp; ROW(WEEKLY_TEAMS!A3:A99)-2 &amp; "") "" &amp; WEEKLY_TEAMS!A3:A99 &amp; "" "" &amp; WEEKLY_TEAMS!B3:B99 &amp;
  IF(WEEKLY_TEAMS!BG3:BG99=1, "" - was goalie"", """") &amp;
  IF(WEEKLY_TEAMS!BF3:BF99&lt;&gt;"""", "" - Goals: "" &amp; WEEKLY_TEAMS!BF3:BF99, """") &amp;
  IF(WEE"&amp;"KLY_TEAMS!BH3:BH99&lt;&gt;"""", "" - Clean Sheets: "" &amp; WEEKLY_TEAMS!BH3:BH99, """"),
  (WEEKLY_TEAMS!AY3:AY99=""orange"") * 
  IF(
    SUM(NOT(ISBLANK(WEEKLY_TEAMS!BF3:BF99))) + SUM(WEEKLY_TEAMS!BG3:BG99) + SUM(NOT(ISBLANK(WEEKLY_TEAMS!BH3:BH99))) = 0, 
    TR"&amp;"UE, 
    ((WEEKLY_TEAMS!BF3:BF99&lt;&gt;"""") + (WEEKLY_TEAMS!BG3:BG99=1) + (WEEKLY_TEAMS!BH3:BH99&lt;&gt;"""") &gt; 0)
  )
)
"),"(2) ⭐️ Fabian - was goalie")</f>
        <v>(2) ⭐️ Fabian - was goalie</v>
      </c>
      <c r="D72" s="111" t="str">
        <f>IFERROR(__xludf.DUMMYFUNCTION("FILTER(
  ""("" &amp; ROW(WEEKLY_TEAMS!A3:A99)-2 &amp; "") "" &amp; WEEKLY_TEAMS!A3:A99 &amp; "" "" &amp; WEEKLY_TEAMS!B3:B99 &amp;
  IF(WEEKLY_TEAMS!BG3:BG99=1, "" - was goalie"", """") &amp;
  IF(WEEKLY_TEAMS!BF3:BF99&lt;&gt;"""", "" - Goals: "" &amp; WEEKLY_TEAMS!BF3:BF99, """") &amp;
  IF(WEE"&amp;"KLY_TEAMS!BH3:BH99&lt;&gt;"""", "" - Clean Sheets: "" &amp; WEEKLY_TEAMS!BH3:BH99, """"),
  (WEEKLY_TEAMS!AY3:AY99=""magenta"") * 
  IF(
    SUM(NOT(ISBLANK(WEEKLY_TEAMS!BF3:BF99))) + SUM(WEEKLY_TEAMS!BG3:BG99) + SUM(NOT(ISBLANK(WEEKLY_TEAMS!BH3:BH99))) = 0, 
    T"&amp;"RUE, 
    ((WEEKLY_TEAMS!BF3:BF99&lt;&gt;"""") + (WEEKLY_TEAMS!BG3:BG99=1) + (WEEKLY_TEAMS!BH3:BH99&lt;&gt;"""") &gt; 0)
  )
)
"),"(11) ⭐️ Asdruval - was goalie")</f>
        <v>(11) ⭐️ Asdruval - was goalie</v>
      </c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>
      <c r="A73" s="110" t="str">
        <f>IFERROR(__xludf.DUMMYFUNCTION("""COMPUTED_VALUE"""),"(10) ⭐️ Fer - was goalie")</f>
        <v>(10) ⭐️ Fer - was goalie</v>
      </c>
      <c r="B73" s="111" t="str">
        <f>IFERROR(__xludf.DUMMYFUNCTION("""COMPUTED_VALUE"""),"(8) ⭐️ Carlos S. - Goals: 1")</f>
        <v>(8) ⭐️ Carlos S. - Goals: 1</v>
      </c>
      <c r="C73" s="111" t="str">
        <f>IFERROR(__xludf.DUMMYFUNCTION("""COMPUTED_VALUE"""),"(4) ⭐️ Cuñis 👨🏽‍🤝‍👨🏼 Karter - Goals: 3")</f>
        <v>(4) ⭐️ Cuñis 👨🏽‍🤝‍👨🏼 Karter - Goals: 3</v>
      </c>
      <c r="D73" s="111" t="str">
        <f>IFERROR(__xludf.DUMMYFUNCTION("""COMPUTED_VALUE"""),"(13) ⭐️ Gerardo - Goals: 1")</f>
        <v>(13) ⭐️ Gerardo - Goals: 1</v>
      </c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>
      <c r="A74" s="120"/>
      <c r="B74" s="111" t="str">
        <f>IFERROR(__xludf.DUMMYFUNCTION("""COMPUTED_VALUE"""),"(12) ⭐️ Rodolfo - was goalie - Clean Sheets: 1")</f>
        <v>(12) ⭐️ Rodolfo - was goalie - Clean Sheets: 1</v>
      </c>
      <c r="C74" s="111" t="str">
        <f>IFERROR(__xludf.DUMMYFUNCTION("""COMPUTED_VALUE"""),"(22) ⭐️ V. Nizama - was goalie")</f>
        <v>(22) ⭐️ V. Nizama - was goalie</v>
      </c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>
      <c r="A75" s="120"/>
      <c r="B75" s="111" t="str">
        <f>IFERROR(__xludf.DUMMYFUNCTION("""COMPUTED_VALUE"""),"(20) ⭐️ Christian - Goals: 1")</f>
        <v>(20) ⭐️ Christian - Goals: 1</v>
      </c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>
      <c r="A76" s="120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>
      <c r="A77" s="120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>
      <c r="A78" s="120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>
      <c r="A79" s="120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>
      <c r="A80" s="120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>
      <c r="A81" s="121" t="s">
        <v>247</v>
      </c>
      <c r="B81" s="121" t="s">
        <v>247</v>
      </c>
      <c r="C81" s="121" t="s">
        <v>247</v>
      </c>
      <c r="D81" s="121" t="s">
        <v>247</v>
      </c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>
      <c r="A82" s="110" t="s">
        <v>252</v>
      </c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>
      <c r="A83" s="110" t="str">
        <f>MATCH_INPUT!F22</f>
        <v>BLUE</v>
      </c>
      <c r="B83" s="122">
        <f>MATCH_INPUT!G22</f>
        <v>1</v>
      </c>
      <c r="C83" s="110">
        <f>MATCH_INPUT!I22</f>
        <v>2</v>
      </c>
      <c r="D83" s="110" t="str">
        <f>MATCH_INPUT!J22</f>
        <v>MAGENTA</v>
      </c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>
      <c r="A84" s="110" t="str">
        <f>MATCH_INPUT!F23</f>
        <v>ORANGE</v>
      </c>
      <c r="B84" s="122">
        <f>MATCH_INPUT!G23</f>
        <v>0</v>
      </c>
      <c r="C84" s="110">
        <f>MATCH_INPUT!I23</f>
        <v>4</v>
      </c>
      <c r="D84" s="110" t="str">
        <f>MATCH_INPUT!J23</f>
        <v>GREEN</v>
      </c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>
      <c r="A85" s="110" t="str">
        <f>MATCH_INPUT!F24</f>
        <v>GREEN</v>
      </c>
      <c r="B85" s="122">
        <f>MATCH_INPUT!G24</f>
        <v>1</v>
      </c>
      <c r="C85" s="110">
        <f>MATCH_INPUT!I24</f>
        <v>1</v>
      </c>
      <c r="D85" s="110" t="str">
        <f>MATCH_INPUT!J24</f>
        <v>MAGENTA</v>
      </c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>
      <c r="A86" s="110" t="str">
        <f>MATCH_INPUT!F25</f>
        <v>BLUE</v>
      </c>
      <c r="B86" s="122">
        <f>MATCH_INPUT!G25</f>
        <v>2</v>
      </c>
      <c r="C86" s="110">
        <f>MATCH_INPUT!I25</f>
        <v>1</v>
      </c>
      <c r="D86" s="110" t="str">
        <f>MATCH_INPUT!J25</f>
        <v>ORANGE</v>
      </c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>
      <c r="A87" s="110" t="s">
        <v>246</v>
      </c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>
      <c r="A88" s="111" t="str">
        <f>IFERROR(__xludf.DUMMYFUNCTION("FILTER(
  ""("" &amp; ROW(WEEKLY_TEAMS!A3:A99)-2 &amp; "") "" &amp; WEEKLY_TEAMS!A3:A99 &amp; "" "" &amp; WEEKLY_TEAMS!B3:B99 &amp;
  IF(WEEKLY_TEAMS!BS3:BS99=1, "" -was goalie"", """") &amp;
  IF(WEEKLY_TEAMS!BR3:BR99&lt;&gt;"""", "" - Goals: "" &amp; WEEKLY_TEAMS!BR3:BR99, """") &amp;
  IF(WEEK"&amp;"LY_TEAMS!BT3:BT99&lt;&gt;"""", "" - Clean Sheets: "" &amp; WEEKLY_TEAMS!BT3:BT99, """"),
  (WEEKLY_TEAMS!BK3:BK99=""BLUE"") * 
  IF(
    SUM(NOT(ISBLANK(WEEKLY_TEAMS!BR3:BR99))) + SUM(WEEKLY_TEAMS!BS3:BS99) + SUM(NOT(ISBLANK(WEEKLY_TEAMS!BT3:BT99))) = 0, 
    TRUE,"&amp;" 
    ((WEEKLY_TEAMS!BR3:BR99&lt;&gt;"""") + (WEEKLY_TEAMS!BS3:BS99=1) + (WEEKLY_TEAMS!BT3:BT99&lt;&gt;"""") &gt; 0)
  )
)
"),"(7) ⭐️ Nicky - Goals: 1")</f>
        <v>(7) ⭐️ Nicky - Goals: 1</v>
      </c>
      <c r="B88" s="111" t="str">
        <f>IFERROR(__xludf.DUMMYFUNCTION("FILTER(
  ""("" &amp; ROW(WEEKLY_TEAMS!A3:A99)-2 &amp; "") "" &amp; WEEKLY_TEAMS!A3:A99 &amp; "" "" &amp; WEEKLY_TEAMS!B3:B99 &amp;
  IF(WEEKLY_TEAMS!BS3:BS99=1, "" -was goalie"", """") &amp;
  IF(WEEKLY_TEAMS!BR3:BR99&lt;&gt;"""", "" - Goals: "" &amp; WEEKLY_TEAMS!BR3:BR99, """") &amp;
  IF(WEEK"&amp;"LY_TEAMS!BT3:BT99&lt;&gt;"""", "" - Clean Sheets: "" &amp; WEEKLY_TEAMS!BT3:BT99, """"),
  (WEEKLY_TEAMS!BK3:BK99=""green"") * 
  IF(
    SUM(NOT(ISBLANK(WEEKLY_TEAMS!BR3:BR99))) + SUM(WEEKLY_TEAMS!BS3:BS99) + SUM(NOT(ISBLANK(WEEKLY_TEAMS!BT3:BT99))) = 0, 
    TRUE"&amp;", 
    ((WEEKLY_TEAMS!BR3:BR99&lt;&gt;"""") + (WEEKLY_TEAMS!BS3:BS99=1) + (WEEKLY_TEAMS!BT3:BT99&lt;&gt;"""") &gt; 0)
  )
)
"),"(3) ⭐️ 🏆 Jordan - Goals: 1")</f>
        <v>(3) ⭐️ 🏆 Jordan - Goals: 1</v>
      </c>
      <c r="C88" s="111" t="str">
        <f>IFERROR(__xludf.DUMMYFUNCTION("FILTER(
  ""("" &amp; ROW(WEEKLY_TEAMS!A3:A99)-2 &amp; "") "" &amp; WEEKLY_TEAMS!A3:A99 &amp; "" "" &amp; WEEKLY_TEAMS!B3:B99 &amp;
  IF(WEEKLY_TEAMS!BS3:BS99=1, "" -was goalie"", """") &amp;
  IF(WEEKLY_TEAMS!BR3:BR99&lt;&gt;"""", "" - Goals: "" &amp; WEEKLY_TEAMS!BR3:BR99, """") &amp;
  IF(WEEK"&amp;"LY_TEAMS!BT3:BT99&lt;&gt;"""", "" - Clean Sheets: "" &amp; WEEKLY_TEAMS!BT3:BT99, """"),
  (WEEKLY_TEAMS!BK3:BK99=""orange"") * 
  IF(
    SUM(NOT(ISBLANK(WEEKLY_TEAMS!BR3:BR99))) + SUM(WEEKLY_TEAMS!BS3:BS99) + SUM(NOT(ISBLANK(WEEKLY_TEAMS!BT3:BT99))) = 0, 
    TRU"&amp;"E, 
    ((WEEKLY_TEAMS!BR3:BR99&lt;&gt;"""") + (WEEKLY_TEAMS!BS3:BS99=1) + (WEEKLY_TEAMS!BT3:BT99&lt;&gt;"""") &gt; 0)
  )
)
"),"(18) ⭐️ Chato 👨🏻‍🤝‍👨🏽 Miguel -was goalie")</f>
        <v>(18) ⭐️ Chato 👨🏻‍🤝‍👨🏽 Miguel -was goalie</v>
      </c>
      <c r="D88" s="111" t="str">
        <f>IFERROR(__xludf.DUMMYFUNCTION("FILTER(
  ""("" &amp; ROW(WEEKLY_TEAMS!A3:A99)-2 &amp; "") "" &amp; WEEKLY_TEAMS!A3:A99 &amp; "" "" &amp; WEEKLY_TEAMS!B3:B99 &amp;
  IF(WEEKLY_TEAMS!BS3:BS99=1, "" -was goalie"", """") &amp;
  IF(WEEKLY_TEAMS!BR3:BR99&lt;&gt;"""", "" - Goals: "" &amp; WEEKLY_TEAMS!BR3:BR99, """") &amp;
  IF(WEEK"&amp;"LY_TEAMS!BT3:BT99&lt;&gt;"""", "" - Clean Sheets: "" &amp; WEEKLY_TEAMS!BT3:BT99, """"),
  (WEEKLY_TEAMS!BK3:BK99=""magenta"") * 
  IF(
    SUM(NOT(ISBLANK(WEEKLY_TEAMS!BR3:BR99))) + SUM(WEEKLY_TEAMS!BS3:BS99) + SUM(NOT(ISBLANK(WEEKLY_TEAMS!BT3:BT99))) = 0, 
    TR"&amp;"UE, 
    ((WEEKLY_TEAMS!BR3:BR99&lt;&gt;"""") + (WEEKLY_TEAMS!BS3:BS99=1) + (WEEKLY_TEAMS!BT3:BT99&lt;&gt;"""") &gt; 0)
  )
)
"),"(5) ⭐️ Javier - Goals: 2")</f>
        <v>(5) ⭐️ Javier - Goals: 2</v>
      </c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>
      <c r="A89" s="110" t="str">
        <f>IFERROR(__xludf.DUMMYFUNCTION("""COMPUTED_VALUE"""),"(9) ⭐️ Valencia - Goals: 2")</f>
        <v>(9) ⭐️ Valencia - Goals: 2</v>
      </c>
      <c r="B89" s="111" t="str">
        <f>IFERROR(__xludf.DUMMYFUNCTION("""COMPUTED_VALUE"""),"(10) ⭐️ Fer -was goalie - Clean Sheets: 1")</f>
        <v>(10) ⭐️ Fer -was goalie - Clean Sheets: 1</v>
      </c>
      <c r="C89" s="111" t="str">
        <f>IFERROR(__xludf.DUMMYFUNCTION("""COMPUTED_VALUE"""),"(20) ⭐️ Christian - Goals: 1")</f>
        <v>(20) ⭐️ Christian - Goals: 1</v>
      </c>
      <c r="D89" s="111" t="str">
        <f>IFERROR(__xludf.DUMMYFUNCTION("""COMPUTED_VALUE"""),"(12) ⭐️ Rodolfo -was goalie")</f>
        <v>(12) ⭐️ Rodolfo -was goalie</v>
      </c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>
      <c r="A90" s="120" t="str">
        <f>IFERROR(__xludf.DUMMYFUNCTION("""COMPUTED_VALUE"""),"(16) ⭐️ Rob 👬🏽 Toño -was goalie")</f>
        <v>(16) ⭐️ Rob 👬🏽 Toño -was goalie</v>
      </c>
      <c r="B90" s="111" t="str">
        <f>IFERROR(__xludf.DUMMYFUNCTION("""COMPUTED_VALUE"""),"(13) ⭐️ Gerardo - Goals: 1")</f>
        <v>(13) ⭐️ Gerardo - Goals: 1</v>
      </c>
      <c r="C90" s="111"/>
      <c r="D90" s="111" t="str">
        <f>IFERROR(__xludf.DUMMYFUNCTION("""COMPUTED_VALUE"""),"(40)  🔄 (Cuñis) - Goals: 1")</f>
        <v>(40)  🔄 (Cuñis) - Goals: 1</v>
      </c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>
      <c r="A91" s="120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>
      <c r="A92" s="120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>
      <c r="A93" s="120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>
      <c r="A94" s="120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>
      <c r="A95" s="120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>
      <c r="A96" s="120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>
      <c r="A97" s="121" t="s">
        <v>247</v>
      </c>
      <c r="B97" s="121" t="s">
        <v>247</v>
      </c>
      <c r="C97" s="121" t="s">
        <v>247</v>
      </c>
      <c r="D97" s="121" t="s">
        <v>247</v>
      </c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>
      <c r="A98" s="110" t="s">
        <v>253</v>
      </c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>
      <c r="A99" s="110" t="str">
        <f>MATCH_INPUT!F26</f>
        <v>BLUE</v>
      </c>
      <c r="B99" s="122">
        <f>MATCH_INPUT!G26</f>
        <v>2</v>
      </c>
      <c r="C99" s="110">
        <f>MATCH_INPUT!I26</f>
        <v>1</v>
      </c>
      <c r="D99" s="110" t="str">
        <f>MATCH_INPUT!J26</f>
        <v>MAGENTA</v>
      </c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>
      <c r="A100" s="110" t="str">
        <f>MATCH_INPUT!F27</f>
        <v>ORANGE</v>
      </c>
      <c r="B100" s="122">
        <f>MATCH_INPUT!G27</f>
        <v>2</v>
      </c>
      <c r="C100" s="110">
        <f>MATCH_INPUT!I27</f>
        <v>0</v>
      </c>
      <c r="D100" s="110" t="str">
        <f>MATCH_INPUT!J27</f>
        <v>GREEN</v>
      </c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>
      <c r="A101" s="110" t="str">
        <f>MATCH_INPUT!F28</f>
        <v>MAGENTA</v>
      </c>
      <c r="B101" s="122">
        <f>MATCH_INPUT!G28</f>
        <v>1</v>
      </c>
      <c r="C101" s="110">
        <f>MATCH_INPUT!I28</f>
        <v>2</v>
      </c>
      <c r="D101" s="110" t="str">
        <f>MATCH_INPUT!J28</f>
        <v>GREEN</v>
      </c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>
      <c r="A102" s="110" t="str">
        <f>MATCH_INPUT!F29</f>
        <v>BLUE</v>
      </c>
      <c r="B102" s="122">
        <f>MATCH_INPUT!G29</f>
        <v>3</v>
      </c>
      <c r="C102" s="110">
        <f>MATCH_INPUT!I29</f>
        <v>0</v>
      </c>
      <c r="D102" s="110" t="str">
        <f>MATCH_INPUT!J29</f>
        <v>ORANGE</v>
      </c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>
      <c r="A103" s="110" t="s">
        <v>246</v>
      </c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>
      <c r="A104" s="111" t="str">
        <f>IFERROR(__xludf.DUMMYFUNCTION("FILTER(
  ""("" &amp; ROW(WEEKLY_TEAMS!A3:A99)-2 &amp; "") "" &amp; WEEKLY_TEAMS!A3:A99 &amp; "" "" &amp; WEEKLY_TEAMS!B3:B99 &amp;
  IF(WEEKLY_TEAMS!CE3:CE99=1, "" -was goalie"", """") &amp;
  IF(WEEKLY_TEAMS!CD3:CD99&lt;&gt;"""", "" - Goals: "" &amp; WEEKLY_TEAMS!CD3:CD99, """") &amp;
  IF(WEEK"&amp;"LY_TEAMS!CF3:CF99&lt;&gt;"""", "" - Clean Sheets: "" &amp; WEEKLY_TEAMS!CF3:CF99, """"),
  (WEEKLY_TEAMS!BW3:BW99=""BLUE"") * 
  IF(
    SUM(NOT(ISBLANK(WEEKLY_TEAMS!CD3:CD99))) + SUM(WEEKLY_TEAMS!CE3:CE99) + SUM(NOT(ISBLANK(WEEKLY_TEAMS!CF3:CF99))) = 0, 
    TRUE,"&amp;" 
    ((WEEKLY_TEAMS!CD3:CD99&lt;&gt;"""") + (WEEKLY_TEAMS!CE3:CE99=1) + (WEEKLY_TEAMS!CF3:CF99&lt;&gt;"""") &gt; 0)
  )
)
"),"(9) ⭐️ Valencia - Goals: 2")</f>
        <v>(9) ⭐️ Valencia - Goals: 2</v>
      </c>
      <c r="B104" s="111" t="str">
        <f>IFERROR(__xludf.DUMMYFUNCTION("FILTER(
  ""("" &amp; ROW(WEEKLY_TEAMS!A3:A99)-2 &amp; "") "" &amp; WEEKLY_TEAMS!A3:A99 &amp; "" "" &amp; WEEKLY_TEAMS!B3:B99 &amp;
  IF(WEEKLY_TEAMS!CE3:CE99=1, "" -was goalie"", """") &amp;
  IF(WEEKLY_TEAMS!CD3:CD99&lt;&gt;"""", "" - Goals: "" &amp; WEEKLY_TEAMS!CD3:CD99, """") &amp;
  IF(WEEK"&amp;"LY_TEAMS!CF3:CF99&lt;&gt;"""", "" - Clean Sheets: "" &amp; WEEKLY_TEAMS!CF3:CF99, """"),
  (WEEKLY_TEAMS!BW3:BW99=""green"") * 
  IF(
    SUM(NOT(ISBLANK(WEEKLY_TEAMS!CD3:CD99))) + SUM(WEEKLY_TEAMS!CE3:CE99) + SUM(NOT(ISBLANK(WEEKLY_TEAMS!CF3:CF99))) = 0, 
    TRUE"&amp;", 
    ((WEEKLY_TEAMS!CD3:CD99&lt;&gt;"""") + (WEEKLY_TEAMS!CE3:CE99=1) + (WEEKLY_TEAMS!CF3:CF99&lt;&gt;"""") &gt; 0)
  )
)
"),"(18) ⭐️ Chato 👨🏻‍🤝‍👨🏽 Miguel - Goals: 1")</f>
        <v>(18) ⭐️ Chato 👨🏻‍🤝‍👨🏽 Miguel - Goals: 1</v>
      </c>
      <c r="C104" s="111" t="str">
        <f>IFERROR(__xludf.DUMMYFUNCTION("FILTER(
  ""("" &amp; ROW(WEEKLY_TEAMS!A3:A99)-2 &amp; "") "" &amp; WEEKLY_TEAMS!A3:A99 &amp; "" "" &amp; WEEKLY_TEAMS!B3:B99 &amp;
  IF(WEEKLY_TEAMS!CE3:CE99=1, "" -was goalie"", """") &amp;
  IF(WEEKLY_TEAMS!CD3:CD99&lt;&gt;"""", "" - Goals: "" &amp; WEEKLY_TEAMS!CD3:CD99, """") &amp;
  IF(WEEK"&amp;"LY_TEAMS!CF3:CF99&lt;&gt;"""", "" - Clean Sheets: "" &amp; WEEKLY_TEAMS!CF3:CF99, """"),
  (WEEKLY_TEAMS!BW3:BW99=""orange"") * 
  IF(
    SUM(NOT(ISBLANK(WEEKLY_TEAMS!CD3:CD99))) + SUM(WEEKLY_TEAMS!CE3:CE99) + SUM(NOT(ISBLANK(WEEKLY_TEAMS!CF3:CF99))) = 0, 
    TRU"&amp;"E, 
    ((WEEKLY_TEAMS!CD3:CD99&lt;&gt;"""") + (WEEKLY_TEAMS!CE3:CE99=1) + (WEEKLY_TEAMS!CF3:CF99&lt;&gt;"""") &gt; 0)
  )
)
"),"(2) ⭐️ Fabian -was goalie - Clean Sheets: 1")</f>
        <v>(2) ⭐️ Fabian -was goalie - Clean Sheets: 1</v>
      </c>
      <c r="D104" s="111" t="str">
        <f>IFERROR(__xludf.DUMMYFUNCTION("FILTER(
  ""("" &amp; ROW(WEEKLY_TEAMS!A3:A99)-2 &amp; "") "" &amp; WEEKLY_TEAMS!A3:A99 &amp; "" "" &amp; WEEKLY_TEAMS!B3:B99 &amp;
  IF(WEEKLY_TEAMS!CE3:CE99=1, "" -was goalie"", """") &amp;
  IF(WEEKLY_TEAMS!CD3:CD99&lt;&gt;"""", "" - Goals: "" &amp; WEEKLY_TEAMS!CD3:CD99, """") &amp;
  IF(WEEK"&amp;"LY_TEAMS!CF3:CF99&lt;&gt;"""", "" - Clean Sheets: "" &amp; WEEKLY_TEAMS!CF3:CF99, """"),
  (WEEKLY_TEAMS!BW3:BW99=""Magenta"") * 
  IF(
    SUM(NOT(ISBLANK(WEEKLY_TEAMS!CD3:CD99))) + SUM(WEEKLY_TEAMS!CE3:CE99) + SUM(NOT(ISBLANK(WEEKLY_TEAMS!CF3:CF99))) = 0, 
    TR"&amp;"UE, 
    ((WEEKLY_TEAMS!CD3:CD99&lt;&gt;"""") + (WEEKLY_TEAMS!CE3:CE99=1) + (WEEKLY_TEAMS!CF3:CF99&lt;&gt;"""") &gt; 0)
  )
)
"),"(13) ⭐️ Gerardo - Goals: 1")</f>
        <v>(13) ⭐️ Gerardo - Goals: 1</v>
      </c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>
      <c r="A105" s="110" t="str">
        <f>IFERROR(__xludf.DUMMYFUNCTION("""COMPUTED_VALUE"""),"(20) ⭐️ Christian - Goals: 1")</f>
        <v>(20) ⭐️ Christian - Goals: 1</v>
      </c>
      <c r="B105" s="111"/>
      <c r="C105" s="111" t="str">
        <f>IFERROR(__xludf.DUMMYFUNCTION("""COMPUTED_VALUE"""),"(4) ⭐️ Cuñis 👨🏽‍🤝‍👨🏼 Karter - Goals: 1")</f>
        <v>(4) ⭐️ Cuñis 👨🏽‍🤝‍👨🏼 Karter - Goals: 1</v>
      </c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>
      <c r="A106" s="120" t="str">
        <f>IFERROR(__xludf.DUMMYFUNCTION("""COMPUTED_VALUE"""),"(26) ⭐️ Mikey - Goals: 1")</f>
        <v>(26) ⭐️ Mikey - Goals: 1</v>
      </c>
      <c r="B106" s="111"/>
      <c r="C106" s="111" t="str">
        <f>IFERROR(__xludf.DUMMYFUNCTION("""COMPUTED_VALUE"""),"(31) ⭐️ Eder - Goals: 1")</f>
        <v>(31) ⭐️ Eder - Goals: 1</v>
      </c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>
      <c r="A107" s="120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>
      <c r="A108" s="120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>
      <c r="A109" s="120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>
      <c r="A110" s="120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>
      <c r="A111" s="120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>
      <c r="A112" s="120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>
      <c r="A113" s="121" t="s">
        <v>247</v>
      </c>
      <c r="B113" s="121" t="s">
        <v>247</v>
      </c>
      <c r="C113" s="121" t="s">
        <v>247</v>
      </c>
      <c r="D113" s="121" t="s">
        <v>247</v>
      </c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>
      <c r="A114" s="110" t="s">
        <v>254</v>
      </c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>
      <c r="A115" s="110" t="str">
        <f>MATCH_INPUT!F30</f>
        <v>ORANGE</v>
      </c>
      <c r="B115" s="122">
        <f>MATCH_INPUT!G30</f>
        <v>3</v>
      </c>
      <c r="C115" s="110">
        <f>MATCH_INPUT!I30</f>
        <v>1</v>
      </c>
      <c r="D115" s="110" t="str">
        <f>MATCH_INPUT!J30</f>
        <v>MAGENTA</v>
      </c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>
      <c r="A116" s="110" t="str">
        <f>MATCH_INPUT!F31</f>
        <v>BLUE</v>
      </c>
      <c r="B116" s="122">
        <f>MATCH_INPUT!G31</f>
        <v>0</v>
      </c>
      <c r="C116" s="110">
        <f>MATCH_INPUT!I31</f>
        <v>1</v>
      </c>
      <c r="D116" s="110" t="str">
        <f>MATCH_INPUT!J31</f>
        <v>GREEN</v>
      </c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>
      <c r="A117" s="110" t="str">
        <f>MATCH_INPUT!F32</f>
        <v>GREEN</v>
      </c>
      <c r="B117" s="122">
        <f>MATCH_INPUT!G32</f>
        <v>0</v>
      </c>
      <c r="C117" s="110">
        <f>MATCH_INPUT!I32</f>
        <v>3</v>
      </c>
      <c r="D117" s="110" t="str">
        <f>MATCH_INPUT!J32</f>
        <v>ORANGE</v>
      </c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>
      <c r="A118" s="110" t="str">
        <f>MATCH_INPUT!F33</f>
        <v>MAGENTA</v>
      </c>
      <c r="B118" s="122">
        <f>MATCH_INPUT!G33</f>
        <v>0</v>
      </c>
      <c r="C118" s="110">
        <f>MATCH_INPUT!I33</f>
        <v>1</v>
      </c>
      <c r="D118" s="110" t="str">
        <f>MATCH_INPUT!J33</f>
        <v>BLUE</v>
      </c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>
      <c r="A119" s="110" t="s">
        <v>246</v>
      </c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>
      <c r="A120" s="111" t="str">
        <f>IFERROR(__xludf.DUMMYFUNCTION("FILTER(
  ""("" &amp; ROW(WEEKLY_TEAMS!A3:A99)-2 &amp; "") "" &amp; WEEKLY_TEAMS!A3:A99 &amp; "" "" &amp; WEEKLY_TEAMS!B3:B99 &amp;
  IF(WEEKLY_TEAMS!CQ3:CQ99=1, "" -was goalie"", """") &amp;
  IF(WEEKLY_TEAMS!CP3:CP99&lt;&gt;"""", "" - Goals: "" &amp; WEEKLY_TEAMS!CP3:CP99, """") &amp;
  IF(WEEK"&amp;"LY_TEAMS!CR3:CR99&lt;&gt;"""", "" - Clean Sheets: "" &amp; WEEKLY_TEAMS!CR3:CR99, """"),
  (WEEKLY_TEAMS!CI3:CI99=""BLUE"") * 
  IF(
    SUM(NOT(ISBLANK(WEEKLY_TEAMS!CP3:CP99))) + SUM(WEEKLY_TEAMS!CQ3:CQ99) + SUM(NOT(ISBLANK(WEEKLY_TEAMS!CR3:CR99))) = 0, 
    TRUE,"&amp;" 
    ((WEEKLY_TEAMS!CP3:CP99&lt;&gt;"""") + (WEEKLY_TEAMS!CQ3:CQ99=1) + (WEEKLY_TEAMS!CR3:CR99&lt;&gt;"""") &gt; 0)
  )
)
"),"(18) ⭐️ Chato 👨🏻‍🤝‍👨🏽 Miguel - Goals: 1")</f>
        <v>(18) ⭐️ Chato 👨🏻‍🤝‍👨🏽 Miguel - Goals: 1</v>
      </c>
      <c r="B120" s="111" t="str">
        <f>IFERROR(__xludf.DUMMYFUNCTION("FILTER(
  ""("" &amp; ROW(WEEKLY_TEAMS!A3:A99)-2 &amp; "") "" &amp; WEEKLY_TEAMS!A3:A99 &amp; "" "" &amp; WEEKLY_TEAMS!B3:B99 &amp;
  IF(WEEKLY_TEAMS!CQ3:CQ99=1, "" -was goalie"", """") &amp;
  IF(WEEKLY_TEAMS!CP3:CP99&lt;&gt;"""", "" - Goals: "" &amp; WEEKLY_TEAMS!CP3:CP99, """") &amp;
  IF(WEEK"&amp;"LY_TEAMS!CR3:CR99&lt;&gt;"""", "" - Clean Sheets: "" &amp; WEEKLY_TEAMS!CR3:CR99, """"),
  (WEEKLY_TEAMS!CI3:CI99=""GREEN"") * 
  IF(
    SUM(NOT(ISBLANK(WEEKLY_TEAMS!CP3:CP99))) + SUM(WEEKLY_TEAMS!CQ3:CQ99) + SUM(NOT(ISBLANK(WEEKLY_TEAMS!CR3:CR99))) = 0, 
    TRUE"&amp;", 
    ((WEEKLY_TEAMS!CP3:CP99&lt;&gt;"""") + (WEEKLY_TEAMS!CQ3:CQ99=1) + (WEEKLY_TEAMS!CR3:CR99&lt;&gt;"""") &gt; 0)
  )
)
"),"(2) ⭐️ Fabian -was goalie - Clean Sheets: 1")</f>
        <v>(2) ⭐️ Fabian -was goalie - Clean Sheets: 1</v>
      </c>
      <c r="C120" s="111" t="str">
        <f>IFERROR(__xludf.DUMMYFUNCTION("FILTER(
  ""("" &amp; ROW(WEEKLY_TEAMS!A3:A99)-2 &amp; "") "" &amp; WEEKLY_TEAMS!A3:A99 &amp; "" "" &amp; WEEKLY_TEAMS!B3:B99 &amp;
  IF(WEEKLY_TEAMS!CQ3:CQ99=1, "" -was goalie"", """") &amp;
  IF(WEEKLY_TEAMS!CP3:CP99&lt;&gt;"""", "" - Goals: "" &amp; WEEKLY_TEAMS!CP3:CP99, """") &amp;
  IF(WEEK"&amp;"LY_TEAMS!CR3:CR99&lt;&gt;"""", "" - Clean Sheets: "" &amp; WEEKLY_TEAMS!CR3:CR99, """"),
  (WEEKLY_TEAMS!CI3:CI99=""ORANGE"") * 
  IF(
    SUM(NOT(ISBLANK(WEEKLY_TEAMS!CP3:CP99))) + SUM(WEEKLY_TEAMS!CQ3:CQ99) + SUM(NOT(ISBLANK(WEEKLY_TEAMS!CR3:CR99))) = 0, 
    TRU"&amp;"E, 
    ((WEEKLY_TEAMS!CP3:CP99&lt;&gt;"""") + (WEEKLY_TEAMS!CQ3:CQ99=1) + (WEEKLY_TEAMS!CR3:CR99&lt;&gt;"""") &gt; 0)
  )
)
"),"(10) ⭐️ Fer -was goalie - Clean Sheets: 1")</f>
        <v>(10) ⭐️ Fer -was goalie - Clean Sheets: 1</v>
      </c>
      <c r="D120" s="111" t="str">
        <f>IFERROR(__xludf.DUMMYFUNCTION("FILTER(
  ""("" &amp; ROW(WEEKLY_TEAMS!A3:A99)-2 &amp; "") "" &amp; WEEKLY_TEAMS!A3:A99 &amp; "" "" &amp; WEEKLY_TEAMS!B3:B99 &amp;
  IF(WEEKLY_TEAMS!CQ3:CQ99=1, "" -was goalie"", """") &amp;
  IF(WEEKLY_TEAMS!CP3:CP99&lt;&gt;"""", "" - Goals: "" &amp; WEEKLY_TEAMS!CP3:CP99, """") &amp;
  IF(WEEK"&amp;"LY_TEAMS!CR3:CR99&lt;&gt;"""", "" - Clean Sheets: "" &amp; WEEKLY_TEAMS!CR3:CR99, """"),
  (WEEKLY_TEAMS!CI3:CI99=""MAGENTA"") * 
  IF(
    SUM(NOT(ISBLANK(WEEKLY_TEAMS!CP3:CP99))) + SUM(WEEKLY_TEAMS!CQ3:CQ99) + SUM(NOT(ISBLANK(WEEKLY_TEAMS!CR3:CR99))) = 0, 
    TR"&amp;"UE, 
    ((WEEKLY_TEAMS!CP3:CP99&lt;&gt;"""") + (WEEKLY_TEAMS!CQ3:CQ99=1) + (WEEKLY_TEAMS!CR3:CR99&lt;&gt;"""") &gt; 0)
  )
)
"),"#N/A")</f>
        <v>#N/A</v>
      </c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>
      <c r="A121" s="110" t="str">
        <f>IFERROR(__xludf.DUMMYFUNCTION("""COMPUTED_VALUE"""),"(29) ⭐️ Jose Blanco -was goalie - Clean Sheets: 1")</f>
        <v>(29) ⭐️ Jose Blanco -was goalie - Clean Sheets: 1</v>
      </c>
      <c r="B121" s="111"/>
      <c r="C121" s="111" t="str">
        <f>IFERROR(__xludf.DUMMYFUNCTION("""COMPUTED_VALUE"""),"(13) ⭐️ Gerardo - Goals: 2")</f>
        <v>(13) ⭐️ Gerardo - Goals: 2</v>
      </c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>
      <c r="A122" s="120"/>
      <c r="B122" s="111"/>
      <c r="C122" s="111" t="str">
        <f>IFERROR(__xludf.DUMMYFUNCTION("""COMPUTED_VALUE"""),"(19) ⭐️ Rodrigo Mena - Goals: 1")</f>
        <v>(19) ⭐️ Rodrigo Mena - Goals: 1</v>
      </c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>
      <c r="A123" s="120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>
      <c r="A124" s="120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>
      <c r="A125" s="120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>
      <c r="A126" s="120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>
      <c r="A127" s="120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>
      <c r="A128" s="120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>
      <c r="A129" s="121" t="s">
        <v>247</v>
      </c>
      <c r="B129" s="121" t="s">
        <v>247</v>
      </c>
      <c r="C129" s="121" t="s">
        <v>247</v>
      </c>
      <c r="D129" s="121" t="s">
        <v>247</v>
      </c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  <row r="1001">
      <c r="A1001" s="111"/>
      <c r="B1001" s="111"/>
      <c r="C1001" s="111"/>
      <c r="D1001" s="111"/>
      <c r="E1001" s="111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</row>
    <row r="1002">
      <c r="A1002" s="111"/>
      <c r="B1002" s="111"/>
      <c r="C1002" s="111"/>
      <c r="D1002" s="111"/>
      <c r="E1002" s="111"/>
      <c r="F1002" s="11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</row>
    <row r="1003">
      <c r="A1003" s="111"/>
      <c r="B1003" s="111"/>
      <c r="C1003" s="111"/>
      <c r="D1003" s="111"/>
      <c r="E1003" s="111"/>
      <c r="F1003" s="111"/>
      <c r="G1003" s="111"/>
      <c r="H1003" s="111"/>
      <c r="I1003" s="111"/>
      <c r="J1003" s="111"/>
      <c r="K1003" s="111"/>
      <c r="L1003" s="111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</row>
    <row r="1004">
      <c r="A1004" s="111"/>
      <c r="B1004" s="111"/>
      <c r="C1004" s="111"/>
      <c r="D1004" s="111"/>
      <c r="E1004" s="111"/>
      <c r="F1004" s="111"/>
      <c r="G1004" s="111"/>
      <c r="H1004" s="111"/>
      <c r="I1004" s="111"/>
      <c r="J1004" s="111"/>
      <c r="K1004" s="111"/>
      <c r="L1004" s="111"/>
      <c r="M1004" s="111"/>
      <c r="N1004" s="111"/>
      <c r="O1004" s="111"/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</row>
    <row r="1005">
      <c r="A1005" s="111"/>
      <c r="B1005" s="111"/>
      <c r="C1005" s="111"/>
      <c r="D1005" s="111"/>
      <c r="E1005" s="111"/>
      <c r="F1005" s="111"/>
      <c r="G1005" s="111"/>
      <c r="H1005" s="111"/>
      <c r="I1005" s="111"/>
      <c r="J1005" s="111"/>
      <c r="K1005" s="111"/>
      <c r="L1005" s="111"/>
      <c r="M1005" s="111"/>
      <c r="N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</row>
    <row r="1006">
      <c r="A1006" s="111"/>
      <c r="B1006" s="111"/>
      <c r="C1006" s="111"/>
      <c r="D1006" s="111"/>
      <c r="E1006" s="111"/>
      <c r="F1006" s="111"/>
      <c r="G1006" s="111"/>
      <c r="H1006" s="111"/>
      <c r="I1006" s="111"/>
      <c r="J1006" s="111"/>
      <c r="K1006" s="111"/>
      <c r="L1006" s="111"/>
      <c r="M1006" s="111"/>
      <c r="N1006" s="111"/>
      <c r="O1006" s="111"/>
      <c r="P1006" s="111"/>
      <c r="Q1006" s="111"/>
      <c r="R1006" s="111"/>
      <c r="S1006" s="111"/>
      <c r="T1006" s="111"/>
      <c r="U1006" s="111"/>
      <c r="V1006" s="111"/>
      <c r="W1006" s="111"/>
      <c r="X1006" s="111"/>
      <c r="Y1006" s="111"/>
      <c r="Z1006" s="111"/>
    </row>
    <row r="1007">
      <c r="A1007" s="111"/>
      <c r="B1007" s="111"/>
      <c r="C1007" s="111"/>
      <c r="D1007" s="111"/>
      <c r="E1007" s="111"/>
      <c r="F1007" s="111"/>
      <c r="G1007" s="111"/>
      <c r="H1007" s="111"/>
      <c r="I1007" s="111"/>
      <c r="J1007" s="111"/>
      <c r="K1007" s="111"/>
      <c r="L1007" s="111"/>
      <c r="M1007" s="111"/>
      <c r="N1007" s="111"/>
      <c r="O1007" s="111"/>
      <c r="P1007" s="111"/>
      <c r="Q1007" s="111"/>
      <c r="R1007" s="111"/>
      <c r="S1007" s="111"/>
      <c r="T1007" s="111"/>
      <c r="U1007" s="111"/>
      <c r="V1007" s="111"/>
      <c r="W1007" s="111"/>
      <c r="X1007" s="111"/>
      <c r="Y1007" s="111"/>
      <c r="Z1007" s="111"/>
    </row>
    <row r="1008">
      <c r="A1008" s="111"/>
      <c r="B1008" s="111"/>
      <c r="C1008" s="111"/>
      <c r="D1008" s="111"/>
      <c r="E1008" s="111"/>
      <c r="F1008" s="111"/>
      <c r="G1008" s="111"/>
      <c r="H1008" s="111"/>
      <c r="I1008" s="111"/>
      <c r="J1008" s="111"/>
      <c r="K1008" s="111"/>
      <c r="L1008" s="111"/>
      <c r="M1008" s="111"/>
      <c r="N1008" s="111"/>
      <c r="O1008" s="111"/>
      <c r="P1008" s="111"/>
      <c r="Q1008" s="111"/>
      <c r="R1008" s="111"/>
      <c r="S1008" s="111"/>
      <c r="T1008" s="111"/>
      <c r="U1008" s="111"/>
      <c r="V1008" s="111"/>
      <c r="W1008" s="111"/>
      <c r="X1008" s="111"/>
      <c r="Y1008" s="111"/>
      <c r="Z1008" s="111"/>
    </row>
    <row r="1009">
      <c r="A1009" s="111"/>
      <c r="B1009" s="111"/>
      <c r="C1009" s="111"/>
      <c r="D1009" s="111"/>
      <c r="E1009" s="111"/>
      <c r="F1009" s="111"/>
      <c r="G1009" s="111"/>
      <c r="H1009" s="111"/>
      <c r="I1009" s="111"/>
      <c r="J1009" s="111"/>
      <c r="K1009" s="111"/>
      <c r="L1009" s="111"/>
      <c r="M1009" s="111"/>
      <c r="N1009" s="111"/>
      <c r="O1009" s="111"/>
      <c r="P1009" s="111"/>
      <c r="Q1009" s="111"/>
      <c r="R1009" s="111"/>
      <c r="S1009" s="111"/>
      <c r="T1009" s="111"/>
      <c r="U1009" s="111"/>
      <c r="V1009" s="111"/>
      <c r="W1009" s="111"/>
      <c r="X1009" s="111"/>
      <c r="Y1009" s="111"/>
      <c r="Z1009" s="111"/>
    </row>
    <row r="1010">
      <c r="A1010" s="111"/>
      <c r="B1010" s="111"/>
      <c r="C1010" s="111"/>
      <c r="D1010" s="111"/>
      <c r="E1010" s="111"/>
      <c r="F1010" s="111"/>
      <c r="G1010" s="111"/>
      <c r="H1010" s="111"/>
      <c r="I1010" s="111"/>
      <c r="J1010" s="111"/>
      <c r="K1010" s="111"/>
      <c r="L1010" s="111"/>
      <c r="M1010" s="111"/>
      <c r="N1010" s="111"/>
      <c r="O1010" s="111"/>
      <c r="P1010" s="111"/>
      <c r="Q1010" s="111"/>
      <c r="R1010" s="111"/>
      <c r="S1010" s="111"/>
      <c r="T1010" s="111"/>
      <c r="U1010" s="111"/>
      <c r="V1010" s="111"/>
      <c r="W1010" s="111"/>
      <c r="X1010" s="111"/>
      <c r="Y1010" s="111"/>
      <c r="Z1010" s="111"/>
    </row>
    <row r="1011">
      <c r="A1011" s="111"/>
      <c r="B1011" s="111"/>
      <c r="C1011" s="111"/>
      <c r="D1011" s="111"/>
      <c r="E1011" s="111"/>
      <c r="F1011" s="111"/>
      <c r="G1011" s="111"/>
      <c r="H1011" s="111"/>
      <c r="I1011" s="111"/>
      <c r="J1011" s="111"/>
      <c r="K1011" s="111"/>
      <c r="L1011" s="111"/>
      <c r="M1011" s="111"/>
      <c r="N1011" s="111"/>
      <c r="O1011" s="111"/>
      <c r="P1011" s="111"/>
      <c r="Q1011" s="111"/>
      <c r="R1011" s="111"/>
      <c r="S1011" s="111"/>
      <c r="T1011" s="111"/>
      <c r="U1011" s="111"/>
      <c r="V1011" s="111"/>
      <c r="W1011" s="111"/>
      <c r="X1011" s="111"/>
      <c r="Y1011" s="111"/>
      <c r="Z1011" s="111"/>
    </row>
    <row r="1012">
      <c r="A1012" s="111"/>
      <c r="B1012" s="111"/>
      <c r="C1012" s="111"/>
      <c r="D1012" s="111"/>
      <c r="E1012" s="111"/>
      <c r="F1012" s="111"/>
      <c r="G1012" s="111"/>
      <c r="H1012" s="111"/>
      <c r="I1012" s="111"/>
      <c r="J1012" s="111"/>
      <c r="K1012" s="111"/>
      <c r="L1012" s="111"/>
      <c r="M1012" s="111"/>
      <c r="N1012" s="111"/>
      <c r="O1012" s="111"/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</row>
    <row r="1013">
      <c r="A1013" s="111"/>
      <c r="B1013" s="111"/>
      <c r="C1013" s="111"/>
      <c r="D1013" s="111"/>
      <c r="E1013" s="111"/>
      <c r="F1013" s="111"/>
      <c r="G1013" s="111"/>
      <c r="H1013" s="111"/>
      <c r="I1013" s="111"/>
      <c r="J1013" s="111"/>
      <c r="K1013" s="111"/>
      <c r="L1013" s="111"/>
      <c r="M1013" s="111"/>
      <c r="N1013" s="111"/>
      <c r="O1013" s="111"/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</row>
    <row r="1014">
      <c r="A1014" s="111"/>
      <c r="B1014" s="111"/>
      <c r="C1014" s="111"/>
      <c r="D1014" s="111"/>
      <c r="E1014" s="111"/>
      <c r="F1014" s="111"/>
      <c r="G1014" s="111"/>
      <c r="H1014" s="111"/>
      <c r="I1014" s="111"/>
      <c r="J1014" s="111"/>
      <c r="K1014" s="111"/>
      <c r="L1014" s="111"/>
      <c r="M1014" s="111"/>
      <c r="N1014" s="111"/>
      <c r="O1014" s="111"/>
      <c r="P1014" s="111"/>
      <c r="Q1014" s="111"/>
      <c r="R1014" s="111"/>
      <c r="S1014" s="111"/>
      <c r="T1014" s="111"/>
      <c r="U1014" s="111"/>
      <c r="V1014" s="111"/>
      <c r="W1014" s="111"/>
      <c r="X1014" s="111"/>
      <c r="Y1014" s="111"/>
      <c r="Z1014" s="111"/>
    </row>
    <row r="1015">
      <c r="A1015" s="111"/>
      <c r="B1015" s="111"/>
      <c r="C1015" s="111"/>
      <c r="D1015" s="111"/>
      <c r="E1015" s="111"/>
      <c r="F1015" s="111"/>
      <c r="G1015" s="111"/>
      <c r="H1015" s="111"/>
      <c r="I1015" s="111"/>
      <c r="J1015" s="111"/>
      <c r="K1015" s="111"/>
      <c r="L1015" s="111"/>
      <c r="M1015" s="111"/>
      <c r="N1015" s="111"/>
      <c r="O1015" s="111"/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</row>
    <row r="1016">
      <c r="A1016" s="111"/>
      <c r="B1016" s="111"/>
      <c r="C1016" s="111"/>
      <c r="D1016" s="111"/>
      <c r="E1016" s="111"/>
      <c r="F1016" s="111"/>
      <c r="G1016" s="111"/>
      <c r="H1016" s="111"/>
      <c r="I1016" s="111"/>
      <c r="J1016" s="111"/>
      <c r="K1016" s="111"/>
      <c r="L1016" s="111"/>
      <c r="M1016" s="111"/>
      <c r="N1016" s="111"/>
      <c r="O1016" s="111"/>
      <c r="P1016" s="111"/>
      <c r="Q1016" s="111"/>
      <c r="R1016" s="111"/>
      <c r="S1016" s="111"/>
      <c r="T1016" s="111"/>
      <c r="U1016" s="111"/>
      <c r="V1016" s="111"/>
      <c r="W1016" s="111"/>
      <c r="X1016" s="111"/>
      <c r="Y1016" s="111"/>
      <c r="Z1016" s="111"/>
    </row>
    <row r="1017">
      <c r="A1017" s="111"/>
      <c r="B1017" s="111"/>
      <c r="C1017" s="111"/>
      <c r="D1017" s="111"/>
      <c r="E1017" s="111"/>
      <c r="F1017" s="111"/>
      <c r="G1017" s="111"/>
      <c r="H1017" s="111"/>
      <c r="I1017" s="111"/>
      <c r="J1017" s="111"/>
      <c r="K1017" s="111"/>
      <c r="L1017" s="111"/>
      <c r="M1017" s="111"/>
      <c r="N1017" s="111"/>
      <c r="O1017" s="111"/>
      <c r="P1017" s="111"/>
      <c r="Q1017" s="111"/>
      <c r="R1017" s="111"/>
      <c r="S1017" s="111"/>
      <c r="T1017" s="111"/>
      <c r="U1017" s="111"/>
      <c r="V1017" s="111"/>
      <c r="W1017" s="111"/>
      <c r="X1017" s="111"/>
      <c r="Y1017" s="111"/>
      <c r="Z1017" s="111"/>
    </row>
    <row r="1018">
      <c r="A1018" s="111"/>
      <c r="B1018" s="111"/>
      <c r="C1018" s="111"/>
      <c r="D1018" s="111"/>
      <c r="E1018" s="111"/>
      <c r="F1018" s="111"/>
      <c r="G1018" s="111"/>
      <c r="H1018" s="111"/>
      <c r="I1018" s="111"/>
      <c r="J1018" s="111"/>
      <c r="K1018" s="111"/>
      <c r="L1018" s="111"/>
      <c r="M1018" s="111"/>
      <c r="N1018" s="111"/>
      <c r="O1018" s="111"/>
      <c r="P1018" s="111"/>
      <c r="Q1018" s="111"/>
      <c r="R1018" s="111"/>
      <c r="S1018" s="111"/>
      <c r="T1018" s="111"/>
      <c r="U1018" s="111"/>
      <c r="V1018" s="111"/>
      <c r="W1018" s="111"/>
      <c r="X1018" s="111"/>
      <c r="Y1018" s="111"/>
      <c r="Z1018" s="111"/>
    </row>
    <row r="1019">
      <c r="A1019" s="111"/>
      <c r="B1019" s="111"/>
      <c r="C1019" s="111"/>
      <c r="D1019" s="111"/>
      <c r="E1019" s="111"/>
      <c r="F1019" s="111"/>
      <c r="G1019" s="111"/>
      <c r="H1019" s="111"/>
      <c r="I1019" s="111"/>
      <c r="J1019" s="111"/>
      <c r="K1019" s="111"/>
      <c r="L1019" s="111"/>
      <c r="M1019" s="111"/>
      <c r="N1019" s="111"/>
      <c r="O1019" s="111"/>
      <c r="P1019" s="111"/>
      <c r="Q1019" s="111"/>
      <c r="R1019" s="111"/>
      <c r="S1019" s="111"/>
      <c r="T1019" s="111"/>
      <c r="U1019" s="111"/>
      <c r="V1019" s="111"/>
      <c r="W1019" s="111"/>
      <c r="X1019" s="111"/>
      <c r="Y1019" s="111"/>
      <c r="Z1019" s="111"/>
    </row>
    <row r="1020">
      <c r="A1020" s="111"/>
      <c r="B1020" s="111"/>
      <c r="C1020" s="111"/>
      <c r="D1020" s="111"/>
      <c r="E1020" s="111"/>
      <c r="F1020" s="111"/>
      <c r="G1020" s="111"/>
      <c r="H1020" s="111"/>
      <c r="I1020" s="111"/>
      <c r="J1020" s="111"/>
      <c r="K1020" s="111"/>
      <c r="L1020" s="111"/>
      <c r="M1020" s="111"/>
      <c r="N1020" s="111"/>
      <c r="O1020" s="111"/>
      <c r="P1020" s="111"/>
      <c r="Q1020" s="111"/>
      <c r="R1020" s="111"/>
      <c r="S1020" s="111"/>
      <c r="T1020" s="111"/>
      <c r="U1020" s="111"/>
      <c r="V1020" s="111"/>
      <c r="W1020" s="111"/>
      <c r="X1020" s="111"/>
      <c r="Y1020" s="111"/>
      <c r="Z1020" s="111"/>
    </row>
    <row r="1021">
      <c r="A1021" s="111"/>
      <c r="B1021" s="111"/>
      <c r="C1021" s="111"/>
      <c r="D1021" s="111"/>
      <c r="E1021" s="111"/>
      <c r="F1021" s="111"/>
      <c r="G1021" s="111"/>
      <c r="H1021" s="111"/>
      <c r="I1021" s="111"/>
      <c r="J1021" s="111"/>
      <c r="K1021" s="111"/>
      <c r="L1021" s="111"/>
      <c r="M1021" s="111"/>
      <c r="N1021" s="111"/>
      <c r="O1021" s="111"/>
      <c r="P1021" s="111"/>
      <c r="Q1021" s="111"/>
      <c r="R1021" s="111"/>
      <c r="S1021" s="111"/>
      <c r="T1021" s="111"/>
      <c r="U1021" s="111"/>
      <c r="V1021" s="111"/>
      <c r="W1021" s="111"/>
      <c r="X1021" s="111"/>
      <c r="Y1021" s="111"/>
      <c r="Z1021" s="111"/>
    </row>
    <row r="1022">
      <c r="A1022" s="111"/>
      <c r="B1022" s="111"/>
      <c r="C1022" s="111"/>
      <c r="D1022" s="111"/>
      <c r="E1022" s="111"/>
      <c r="F1022" s="111"/>
      <c r="G1022" s="111"/>
      <c r="H1022" s="111"/>
      <c r="I1022" s="111"/>
      <c r="J1022" s="111"/>
      <c r="K1022" s="111"/>
      <c r="L1022" s="111"/>
      <c r="M1022" s="111"/>
      <c r="N1022" s="111"/>
      <c r="O1022" s="111"/>
      <c r="P1022" s="111"/>
      <c r="Q1022" s="111"/>
      <c r="R1022" s="111"/>
      <c r="S1022" s="111"/>
      <c r="T1022" s="111"/>
      <c r="U1022" s="111"/>
      <c r="V1022" s="111"/>
      <c r="W1022" s="111"/>
      <c r="X1022" s="111"/>
      <c r="Y1022" s="111"/>
      <c r="Z1022" s="111"/>
    </row>
    <row r="1023">
      <c r="A1023" s="111"/>
      <c r="B1023" s="111"/>
      <c r="C1023" s="111"/>
      <c r="D1023" s="111"/>
      <c r="E1023" s="111"/>
      <c r="F1023" s="111"/>
      <c r="G1023" s="111"/>
      <c r="H1023" s="111"/>
      <c r="I1023" s="111"/>
      <c r="J1023" s="111"/>
      <c r="K1023" s="111"/>
      <c r="L1023" s="111"/>
      <c r="M1023" s="111"/>
      <c r="N1023" s="111"/>
      <c r="O1023" s="111"/>
      <c r="P1023" s="111"/>
      <c r="Q1023" s="111"/>
      <c r="R1023" s="111"/>
      <c r="S1023" s="111"/>
      <c r="T1023" s="111"/>
      <c r="U1023" s="111"/>
      <c r="V1023" s="111"/>
      <c r="W1023" s="111"/>
      <c r="X1023" s="111"/>
      <c r="Y1023" s="111"/>
      <c r="Z1023" s="111"/>
    </row>
    <row r="1024">
      <c r="A1024" s="111"/>
      <c r="B1024" s="111"/>
      <c r="C1024" s="111"/>
      <c r="D1024" s="111"/>
      <c r="E1024" s="111"/>
      <c r="F1024" s="111"/>
      <c r="G1024" s="111"/>
      <c r="H1024" s="111"/>
      <c r="I1024" s="111"/>
      <c r="J1024" s="111"/>
      <c r="K1024" s="111"/>
      <c r="L1024" s="111"/>
      <c r="M1024" s="111"/>
      <c r="N1024" s="111"/>
      <c r="O1024" s="111"/>
      <c r="P1024" s="111"/>
      <c r="Q1024" s="111"/>
      <c r="R1024" s="111"/>
      <c r="S1024" s="111"/>
      <c r="T1024" s="111"/>
      <c r="U1024" s="111"/>
      <c r="V1024" s="111"/>
      <c r="W1024" s="111"/>
      <c r="X1024" s="111"/>
      <c r="Y1024" s="111"/>
      <c r="Z1024" s="111"/>
    </row>
    <row r="1025">
      <c r="A1025" s="111"/>
      <c r="B1025" s="111"/>
      <c r="C1025" s="111"/>
      <c r="D1025" s="111"/>
      <c r="E1025" s="111"/>
      <c r="F1025" s="111"/>
      <c r="G1025" s="111"/>
      <c r="H1025" s="111"/>
      <c r="I1025" s="111"/>
      <c r="J1025" s="111"/>
      <c r="K1025" s="111"/>
      <c r="L1025" s="111"/>
      <c r="M1025" s="111"/>
      <c r="N1025" s="111"/>
      <c r="O1025" s="111"/>
      <c r="P1025" s="111"/>
      <c r="Q1025" s="111"/>
      <c r="R1025" s="111"/>
      <c r="S1025" s="111"/>
      <c r="T1025" s="111"/>
      <c r="U1025" s="111"/>
      <c r="V1025" s="111"/>
      <c r="W1025" s="111"/>
      <c r="X1025" s="111"/>
      <c r="Y1025" s="111"/>
      <c r="Z1025" s="111"/>
    </row>
    <row r="1026">
      <c r="A1026" s="111"/>
      <c r="B1026" s="111"/>
      <c r="C1026" s="111"/>
      <c r="D1026" s="111"/>
      <c r="E1026" s="111"/>
      <c r="F1026" s="111"/>
      <c r="G1026" s="111"/>
      <c r="H1026" s="111"/>
      <c r="I1026" s="111"/>
      <c r="J1026" s="111"/>
      <c r="K1026" s="111"/>
      <c r="L1026" s="111"/>
      <c r="M1026" s="111"/>
      <c r="N1026" s="111"/>
      <c r="O1026" s="111"/>
      <c r="P1026" s="111"/>
      <c r="Q1026" s="111"/>
      <c r="R1026" s="111"/>
      <c r="S1026" s="111"/>
      <c r="T1026" s="111"/>
      <c r="U1026" s="111"/>
      <c r="V1026" s="111"/>
      <c r="W1026" s="111"/>
      <c r="X1026" s="111"/>
      <c r="Y1026" s="111"/>
      <c r="Z1026" s="111"/>
    </row>
    <row r="1027">
      <c r="A1027" s="111"/>
      <c r="B1027" s="111"/>
      <c r="C1027" s="111"/>
      <c r="D1027" s="111"/>
      <c r="E1027" s="111"/>
      <c r="F1027" s="111"/>
      <c r="G1027" s="111"/>
      <c r="H1027" s="111"/>
      <c r="I1027" s="111"/>
      <c r="J1027" s="111"/>
      <c r="K1027" s="111"/>
      <c r="L1027" s="111"/>
      <c r="M1027" s="111"/>
      <c r="N1027" s="111"/>
      <c r="O1027" s="111"/>
      <c r="P1027" s="111"/>
      <c r="Q1027" s="111"/>
      <c r="R1027" s="111"/>
      <c r="S1027" s="111"/>
      <c r="T1027" s="111"/>
      <c r="U1027" s="111"/>
      <c r="V1027" s="111"/>
      <c r="W1027" s="111"/>
      <c r="X1027" s="111"/>
      <c r="Y1027" s="111"/>
      <c r="Z1027" s="111"/>
    </row>
    <row r="1028">
      <c r="A1028" s="111"/>
      <c r="B1028" s="111"/>
      <c r="C1028" s="111"/>
      <c r="D1028" s="111"/>
      <c r="E1028" s="111"/>
      <c r="F1028" s="111"/>
      <c r="G1028" s="111"/>
      <c r="H1028" s="111"/>
      <c r="I1028" s="111"/>
      <c r="J1028" s="111"/>
      <c r="K1028" s="111"/>
      <c r="L1028" s="111"/>
      <c r="M1028" s="111"/>
      <c r="N1028" s="111"/>
      <c r="O1028" s="111"/>
      <c r="P1028" s="111"/>
      <c r="Q1028" s="111"/>
      <c r="R1028" s="111"/>
      <c r="S1028" s="111"/>
      <c r="T1028" s="111"/>
      <c r="U1028" s="111"/>
      <c r="V1028" s="111"/>
      <c r="W1028" s="111"/>
      <c r="X1028" s="111"/>
      <c r="Y1028" s="111"/>
      <c r="Z1028" s="111"/>
    </row>
    <row r="1029">
      <c r="A1029" s="111"/>
      <c r="B1029" s="111"/>
      <c r="C1029" s="111"/>
      <c r="D1029" s="111"/>
      <c r="E1029" s="111"/>
      <c r="F1029" s="111"/>
      <c r="G1029" s="111"/>
      <c r="H1029" s="111"/>
      <c r="I1029" s="111"/>
      <c r="J1029" s="111"/>
      <c r="K1029" s="111"/>
      <c r="L1029" s="111"/>
      <c r="M1029" s="111"/>
      <c r="N1029" s="111"/>
      <c r="O1029" s="111"/>
      <c r="P1029" s="111"/>
      <c r="Q1029" s="111"/>
      <c r="R1029" s="111"/>
      <c r="S1029" s="111"/>
      <c r="T1029" s="111"/>
      <c r="U1029" s="111"/>
      <c r="V1029" s="111"/>
      <c r="W1029" s="111"/>
      <c r="X1029" s="111"/>
      <c r="Y1029" s="111"/>
      <c r="Z1029" s="111"/>
    </row>
    <row r="1030">
      <c r="A1030" s="111"/>
      <c r="B1030" s="111"/>
      <c r="C1030" s="111"/>
      <c r="D1030" s="111"/>
      <c r="E1030" s="111"/>
      <c r="F1030" s="111"/>
      <c r="G1030" s="111"/>
      <c r="H1030" s="111"/>
      <c r="I1030" s="111"/>
      <c r="J1030" s="111"/>
      <c r="K1030" s="111"/>
      <c r="L1030" s="111"/>
      <c r="M1030" s="111"/>
      <c r="N1030" s="111"/>
      <c r="O1030" s="111"/>
      <c r="P1030" s="111"/>
      <c r="Q1030" s="111"/>
      <c r="R1030" s="111"/>
      <c r="S1030" s="111"/>
      <c r="T1030" s="111"/>
      <c r="U1030" s="111"/>
      <c r="V1030" s="111"/>
      <c r="W1030" s="111"/>
      <c r="X1030" s="111"/>
      <c r="Y1030" s="111"/>
      <c r="Z1030" s="111"/>
    </row>
    <row r="1031">
      <c r="A1031" s="111"/>
      <c r="B1031" s="111"/>
      <c r="C1031" s="111"/>
      <c r="D1031" s="111"/>
      <c r="E1031" s="111"/>
      <c r="F1031" s="111"/>
      <c r="G1031" s="111"/>
      <c r="H1031" s="111"/>
      <c r="I1031" s="111"/>
      <c r="J1031" s="111"/>
      <c r="K1031" s="111"/>
      <c r="L1031" s="111"/>
      <c r="M1031" s="111"/>
      <c r="N1031" s="111"/>
      <c r="O1031" s="111"/>
      <c r="P1031" s="111"/>
      <c r="Q1031" s="111"/>
      <c r="R1031" s="111"/>
      <c r="S1031" s="111"/>
      <c r="T1031" s="111"/>
      <c r="U1031" s="111"/>
      <c r="V1031" s="111"/>
      <c r="W1031" s="111"/>
      <c r="X1031" s="111"/>
      <c r="Y1031" s="111"/>
      <c r="Z1031" s="111"/>
    </row>
    <row r="1032">
      <c r="A1032" s="111"/>
      <c r="B1032" s="111"/>
      <c r="C1032" s="111"/>
      <c r="D1032" s="111"/>
      <c r="E1032" s="111"/>
      <c r="F1032" s="111"/>
      <c r="G1032" s="111"/>
      <c r="H1032" s="111"/>
      <c r="I1032" s="111"/>
      <c r="J1032" s="111"/>
      <c r="K1032" s="111"/>
      <c r="L1032" s="111"/>
      <c r="M1032" s="111"/>
      <c r="N1032" s="111"/>
      <c r="O1032" s="111"/>
      <c r="P1032" s="111"/>
      <c r="Q1032" s="111"/>
      <c r="R1032" s="111"/>
      <c r="S1032" s="111"/>
      <c r="T1032" s="111"/>
      <c r="U1032" s="111"/>
      <c r="V1032" s="111"/>
      <c r="W1032" s="111"/>
      <c r="X1032" s="111"/>
      <c r="Y1032" s="111"/>
      <c r="Z1032" s="111"/>
    </row>
    <row r="1033">
      <c r="A1033" s="111"/>
      <c r="B1033" s="111"/>
      <c r="C1033" s="111"/>
      <c r="D1033" s="111"/>
      <c r="E1033" s="111"/>
      <c r="F1033" s="111"/>
      <c r="G1033" s="111"/>
      <c r="H1033" s="111"/>
      <c r="I1033" s="111"/>
      <c r="J1033" s="111"/>
      <c r="K1033" s="111"/>
      <c r="L1033" s="111"/>
      <c r="M1033" s="111"/>
      <c r="N1033" s="111"/>
      <c r="O1033" s="111"/>
      <c r="P1033" s="111"/>
      <c r="Q1033" s="111"/>
      <c r="R1033" s="111"/>
      <c r="S1033" s="111"/>
      <c r="T1033" s="111"/>
      <c r="U1033" s="111"/>
      <c r="V1033" s="111"/>
      <c r="W1033" s="111"/>
      <c r="X1033" s="111"/>
      <c r="Y1033" s="111"/>
      <c r="Z1033" s="111"/>
    </row>
    <row r="1034">
      <c r="A1034" s="111"/>
      <c r="B1034" s="111"/>
      <c r="C1034" s="111"/>
      <c r="D1034" s="111"/>
      <c r="E1034" s="111"/>
      <c r="F1034" s="111"/>
      <c r="G1034" s="111"/>
      <c r="H1034" s="111"/>
      <c r="I1034" s="111"/>
      <c r="J1034" s="111"/>
      <c r="K1034" s="111"/>
      <c r="L1034" s="111"/>
      <c r="M1034" s="111"/>
      <c r="N1034" s="111"/>
      <c r="O1034" s="111"/>
      <c r="P1034" s="111"/>
      <c r="Q1034" s="111"/>
      <c r="R1034" s="111"/>
      <c r="S1034" s="111"/>
      <c r="T1034" s="111"/>
      <c r="U1034" s="111"/>
      <c r="V1034" s="111"/>
      <c r="W1034" s="111"/>
      <c r="X1034" s="111"/>
      <c r="Y1034" s="111"/>
      <c r="Z1034" s="111"/>
    </row>
    <row r="1035">
      <c r="A1035" s="111"/>
      <c r="B1035" s="111"/>
      <c r="C1035" s="111"/>
      <c r="D1035" s="111"/>
      <c r="E1035" s="111"/>
      <c r="F1035" s="111"/>
      <c r="G1035" s="111"/>
      <c r="H1035" s="111"/>
      <c r="I1035" s="111"/>
      <c r="J1035" s="111"/>
      <c r="K1035" s="111"/>
      <c r="L1035" s="111"/>
      <c r="M1035" s="111"/>
      <c r="N1035" s="111"/>
      <c r="O1035" s="111"/>
      <c r="P1035" s="111"/>
      <c r="Q1035" s="111"/>
      <c r="R1035" s="111"/>
      <c r="S1035" s="111"/>
      <c r="T1035" s="111"/>
      <c r="U1035" s="111"/>
      <c r="V1035" s="111"/>
      <c r="W1035" s="111"/>
      <c r="X1035" s="111"/>
      <c r="Y1035" s="111"/>
      <c r="Z1035" s="111"/>
    </row>
    <row r="1036">
      <c r="A1036" s="111"/>
      <c r="B1036" s="111"/>
      <c r="C1036" s="111"/>
      <c r="D1036" s="111"/>
      <c r="E1036" s="111"/>
      <c r="F1036" s="111"/>
      <c r="G1036" s="111"/>
      <c r="H1036" s="111"/>
      <c r="I1036" s="111"/>
      <c r="J1036" s="111"/>
      <c r="K1036" s="111"/>
      <c r="L1036" s="111"/>
      <c r="M1036" s="111"/>
      <c r="N1036" s="111"/>
      <c r="O1036" s="111"/>
      <c r="P1036" s="111"/>
      <c r="Q1036" s="111"/>
      <c r="R1036" s="111"/>
      <c r="S1036" s="111"/>
      <c r="T1036" s="111"/>
      <c r="U1036" s="111"/>
      <c r="V1036" s="111"/>
      <c r="W1036" s="111"/>
      <c r="X1036" s="111"/>
      <c r="Y1036" s="111"/>
      <c r="Z1036" s="111"/>
    </row>
    <row r="1037">
      <c r="A1037" s="111"/>
      <c r="B1037" s="111"/>
      <c r="C1037" s="111"/>
      <c r="D1037" s="111"/>
      <c r="E1037" s="111"/>
      <c r="F1037" s="111"/>
      <c r="G1037" s="111"/>
      <c r="H1037" s="111"/>
      <c r="I1037" s="111"/>
      <c r="J1037" s="111"/>
      <c r="K1037" s="111"/>
      <c r="L1037" s="111"/>
      <c r="M1037" s="111"/>
      <c r="N1037" s="111"/>
      <c r="O1037" s="111"/>
      <c r="P1037" s="111"/>
      <c r="Q1037" s="111"/>
      <c r="R1037" s="111"/>
      <c r="S1037" s="111"/>
      <c r="T1037" s="111"/>
      <c r="U1037" s="111"/>
      <c r="V1037" s="111"/>
      <c r="W1037" s="111"/>
      <c r="X1037" s="111"/>
      <c r="Y1037" s="111"/>
      <c r="Z1037" s="111"/>
    </row>
    <row r="1038">
      <c r="A1038" s="111"/>
      <c r="B1038" s="111"/>
      <c r="C1038" s="111"/>
      <c r="D1038" s="111"/>
      <c r="E1038" s="111"/>
      <c r="F1038" s="111"/>
      <c r="G1038" s="111"/>
      <c r="H1038" s="111"/>
      <c r="I1038" s="111"/>
      <c r="J1038" s="111"/>
      <c r="K1038" s="111"/>
      <c r="L1038" s="111"/>
      <c r="M1038" s="111"/>
      <c r="N1038" s="111"/>
      <c r="O1038" s="111"/>
      <c r="P1038" s="111"/>
      <c r="Q1038" s="111"/>
      <c r="R1038" s="111"/>
      <c r="S1038" s="111"/>
      <c r="T1038" s="111"/>
      <c r="U1038" s="111"/>
      <c r="V1038" s="111"/>
      <c r="W1038" s="111"/>
      <c r="X1038" s="111"/>
      <c r="Y1038" s="111"/>
      <c r="Z1038" s="111"/>
    </row>
    <row r="1039">
      <c r="A1039" s="111"/>
      <c r="B1039" s="111"/>
      <c r="C1039" s="111"/>
      <c r="D1039" s="111"/>
      <c r="E1039" s="111"/>
      <c r="F1039" s="111"/>
      <c r="G1039" s="111"/>
      <c r="H1039" s="111"/>
      <c r="I1039" s="111"/>
      <c r="J1039" s="111"/>
      <c r="K1039" s="111"/>
      <c r="L1039" s="111"/>
      <c r="M1039" s="111"/>
      <c r="N1039" s="111"/>
      <c r="O1039" s="111"/>
      <c r="P1039" s="111"/>
      <c r="Q1039" s="111"/>
      <c r="R1039" s="111"/>
      <c r="S1039" s="111"/>
      <c r="T1039" s="111"/>
      <c r="U1039" s="111"/>
      <c r="V1039" s="111"/>
      <c r="W1039" s="111"/>
      <c r="X1039" s="111"/>
      <c r="Y1039" s="111"/>
      <c r="Z1039" s="111"/>
    </row>
    <row r="1040">
      <c r="A1040" s="111"/>
      <c r="B1040" s="111"/>
      <c r="C1040" s="111"/>
      <c r="D1040" s="111"/>
      <c r="E1040" s="111"/>
      <c r="F1040" s="111"/>
      <c r="G1040" s="111"/>
      <c r="H1040" s="111"/>
      <c r="I1040" s="111"/>
      <c r="J1040" s="111"/>
      <c r="K1040" s="111"/>
      <c r="L1040" s="111"/>
      <c r="M1040" s="111"/>
      <c r="N1040" s="111"/>
      <c r="O1040" s="111"/>
      <c r="P1040" s="111"/>
      <c r="Q1040" s="111"/>
      <c r="R1040" s="111"/>
      <c r="S1040" s="111"/>
      <c r="T1040" s="111"/>
      <c r="U1040" s="111"/>
      <c r="V1040" s="111"/>
      <c r="W1040" s="111"/>
      <c r="X1040" s="111"/>
      <c r="Y1040" s="111"/>
      <c r="Z1040" s="111"/>
    </row>
    <row r="1041">
      <c r="A1041" s="111"/>
      <c r="B1041" s="111"/>
      <c r="C1041" s="111"/>
      <c r="D1041" s="111"/>
      <c r="E1041" s="111"/>
      <c r="F1041" s="111"/>
      <c r="G1041" s="111"/>
      <c r="H1041" s="111"/>
      <c r="I1041" s="111"/>
      <c r="J1041" s="111"/>
      <c r="K1041" s="111"/>
      <c r="L1041" s="111"/>
      <c r="M1041" s="111"/>
      <c r="N1041" s="111"/>
      <c r="O1041" s="111"/>
      <c r="P1041" s="111"/>
      <c r="Q1041" s="111"/>
      <c r="R1041" s="111"/>
      <c r="S1041" s="111"/>
      <c r="T1041" s="111"/>
      <c r="U1041" s="111"/>
      <c r="V1041" s="111"/>
      <c r="W1041" s="111"/>
      <c r="X1041" s="111"/>
      <c r="Y1041" s="111"/>
      <c r="Z1041" s="111"/>
    </row>
    <row r="1042">
      <c r="A1042" s="111"/>
      <c r="B1042" s="111"/>
      <c r="C1042" s="111"/>
      <c r="D1042" s="111"/>
      <c r="E1042" s="111"/>
      <c r="F1042" s="111"/>
      <c r="G1042" s="111"/>
      <c r="H1042" s="111"/>
      <c r="I1042" s="111"/>
      <c r="J1042" s="111"/>
      <c r="K1042" s="111"/>
      <c r="L1042" s="111"/>
      <c r="M1042" s="111"/>
      <c r="N1042" s="111"/>
      <c r="O1042" s="111"/>
      <c r="P1042" s="111"/>
      <c r="Q1042" s="111"/>
      <c r="R1042" s="111"/>
      <c r="S1042" s="111"/>
      <c r="T1042" s="111"/>
      <c r="U1042" s="111"/>
      <c r="V1042" s="111"/>
      <c r="W1042" s="111"/>
      <c r="X1042" s="111"/>
      <c r="Y1042" s="111"/>
      <c r="Z1042" s="111"/>
    </row>
    <row r="1043">
      <c r="A1043" s="111"/>
      <c r="B1043" s="111"/>
      <c r="C1043" s="111"/>
      <c r="D1043" s="111"/>
      <c r="E1043" s="111"/>
      <c r="F1043" s="111"/>
      <c r="G1043" s="111"/>
      <c r="H1043" s="111"/>
      <c r="I1043" s="111"/>
      <c r="J1043" s="111"/>
      <c r="K1043" s="111"/>
      <c r="L1043" s="111"/>
      <c r="M1043" s="111"/>
      <c r="N1043" s="111"/>
      <c r="O1043" s="111"/>
      <c r="P1043" s="111"/>
      <c r="Q1043" s="111"/>
      <c r="R1043" s="111"/>
      <c r="S1043" s="111"/>
      <c r="T1043" s="111"/>
      <c r="U1043" s="111"/>
      <c r="V1043" s="111"/>
      <c r="W1043" s="111"/>
      <c r="X1043" s="111"/>
      <c r="Y1043" s="111"/>
      <c r="Z1043" s="111"/>
    </row>
    <row r="1044">
      <c r="A1044" s="111"/>
      <c r="B1044" s="111"/>
      <c r="C1044" s="111"/>
      <c r="D1044" s="111"/>
      <c r="E1044" s="111"/>
      <c r="F1044" s="111"/>
      <c r="G1044" s="111"/>
      <c r="H1044" s="111"/>
      <c r="I1044" s="111"/>
      <c r="J1044" s="111"/>
      <c r="K1044" s="111"/>
      <c r="L1044" s="111"/>
      <c r="M1044" s="111"/>
      <c r="N1044" s="111"/>
      <c r="O1044" s="111"/>
      <c r="P1044" s="111"/>
      <c r="Q1044" s="111"/>
      <c r="R1044" s="111"/>
      <c r="S1044" s="111"/>
      <c r="T1044" s="111"/>
      <c r="U1044" s="111"/>
      <c r="V1044" s="111"/>
      <c r="W1044" s="111"/>
      <c r="X1044" s="111"/>
      <c r="Y1044" s="111"/>
      <c r="Z1044" s="111"/>
    </row>
    <row r="1045">
      <c r="A1045" s="111"/>
      <c r="B1045" s="111"/>
      <c r="C1045" s="111"/>
      <c r="D1045" s="111"/>
      <c r="E1045" s="111"/>
      <c r="F1045" s="111"/>
      <c r="G1045" s="111"/>
      <c r="H1045" s="111"/>
      <c r="I1045" s="111"/>
      <c r="J1045" s="111"/>
      <c r="K1045" s="111"/>
      <c r="L1045" s="111"/>
      <c r="M1045" s="111"/>
      <c r="N1045" s="111"/>
      <c r="O1045" s="111"/>
      <c r="P1045" s="111"/>
      <c r="Q1045" s="111"/>
      <c r="R1045" s="111"/>
      <c r="S1045" s="111"/>
      <c r="T1045" s="111"/>
      <c r="U1045" s="111"/>
      <c r="V1045" s="111"/>
      <c r="W1045" s="111"/>
      <c r="X1045" s="111"/>
      <c r="Y1045" s="111"/>
      <c r="Z1045" s="111"/>
    </row>
    <row r="1046">
      <c r="A1046" s="111"/>
      <c r="B1046" s="111"/>
      <c r="C1046" s="111"/>
      <c r="D1046" s="111"/>
      <c r="E1046" s="111"/>
      <c r="F1046" s="111"/>
      <c r="G1046" s="111"/>
      <c r="H1046" s="111"/>
      <c r="I1046" s="111"/>
      <c r="J1046" s="111"/>
      <c r="K1046" s="111"/>
      <c r="L1046" s="111"/>
      <c r="M1046" s="111"/>
      <c r="N1046" s="111"/>
      <c r="O1046" s="111"/>
      <c r="P1046" s="111"/>
      <c r="Q1046" s="111"/>
      <c r="R1046" s="111"/>
      <c r="S1046" s="111"/>
      <c r="T1046" s="111"/>
      <c r="U1046" s="111"/>
      <c r="V1046" s="111"/>
      <c r="W1046" s="111"/>
      <c r="X1046" s="111"/>
      <c r="Y1046" s="111"/>
      <c r="Z1046" s="111"/>
    </row>
    <row r="1047">
      <c r="A1047" s="111"/>
      <c r="B1047" s="111"/>
      <c r="C1047" s="111"/>
      <c r="D1047" s="111"/>
      <c r="E1047" s="111"/>
      <c r="F1047" s="111"/>
      <c r="G1047" s="111"/>
      <c r="H1047" s="111"/>
      <c r="I1047" s="111"/>
      <c r="J1047" s="111"/>
      <c r="K1047" s="111"/>
      <c r="L1047" s="111"/>
      <c r="M1047" s="111"/>
      <c r="N1047" s="111"/>
      <c r="O1047" s="111"/>
      <c r="P1047" s="111"/>
      <c r="Q1047" s="111"/>
      <c r="R1047" s="111"/>
      <c r="S1047" s="111"/>
      <c r="T1047" s="111"/>
      <c r="U1047" s="111"/>
      <c r="V1047" s="111"/>
      <c r="W1047" s="111"/>
      <c r="X1047" s="111"/>
      <c r="Y1047" s="111"/>
      <c r="Z1047" s="111"/>
    </row>
    <row r="1048">
      <c r="A1048" s="111"/>
      <c r="B1048" s="111"/>
      <c r="C1048" s="111"/>
      <c r="D1048" s="111"/>
      <c r="E1048" s="111"/>
      <c r="F1048" s="111"/>
      <c r="G1048" s="111"/>
      <c r="H1048" s="111"/>
      <c r="I1048" s="111"/>
      <c r="J1048" s="111"/>
      <c r="K1048" s="111"/>
      <c r="L1048" s="111"/>
      <c r="M1048" s="111"/>
      <c r="N1048" s="111"/>
      <c r="O1048" s="111"/>
      <c r="P1048" s="111"/>
      <c r="Q1048" s="111"/>
      <c r="R1048" s="111"/>
      <c r="S1048" s="111"/>
      <c r="T1048" s="111"/>
      <c r="U1048" s="111"/>
      <c r="V1048" s="111"/>
      <c r="W1048" s="111"/>
      <c r="X1048" s="111"/>
      <c r="Y1048" s="111"/>
      <c r="Z1048" s="111"/>
    </row>
    <row r="1049">
      <c r="A1049" s="111"/>
      <c r="B1049" s="111"/>
      <c r="C1049" s="111"/>
      <c r="D1049" s="111"/>
      <c r="E1049" s="111"/>
      <c r="F1049" s="111"/>
      <c r="G1049" s="111"/>
      <c r="H1049" s="111"/>
      <c r="I1049" s="111"/>
      <c r="J1049" s="111"/>
      <c r="K1049" s="111"/>
      <c r="L1049" s="111"/>
      <c r="M1049" s="111"/>
      <c r="N1049" s="111"/>
      <c r="O1049" s="111"/>
      <c r="P1049" s="111"/>
      <c r="Q1049" s="111"/>
      <c r="R1049" s="111"/>
      <c r="S1049" s="111"/>
      <c r="T1049" s="111"/>
      <c r="U1049" s="111"/>
      <c r="V1049" s="111"/>
      <c r="W1049" s="111"/>
      <c r="X1049" s="111"/>
      <c r="Y1049" s="111"/>
      <c r="Z1049" s="111"/>
    </row>
    <row r="1050">
      <c r="A1050" s="111"/>
      <c r="B1050" s="111"/>
      <c r="C1050" s="111"/>
      <c r="D1050" s="111"/>
      <c r="E1050" s="111"/>
      <c r="F1050" s="111"/>
      <c r="G1050" s="111"/>
      <c r="H1050" s="111"/>
      <c r="I1050" s="111"/>
      <c r="J1050" s="111"/>
      <c r="K1050" s="111"/>
      <c r="L1050" s="111"/>
      <c r="M1050" s="111"/>
      <c r="N1050" s="111"/>
      <c r="O1050" s="111"/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</row>
    <row r="1051">
      <c r="A1051" s="111"/>
      <c r="B1051" s="111"/>
      <c r="C1051" s="111"/>
      <c r="D1051" s="111"/>
      <c r="E1051" s="111"/>
      <c r="F1051" s="111"/>
      <c r="G1051" s="111"/>
      <c r="H1051" s="111"/>
      <c r="I1051" s="111"/>
      <c r="J1051" s="111"/>
      <c r="K1051" s="111"/>
      <c r="L1051" s="111"/>
      <c r="M1051" s="111"/>
      <c r="N1051" s="111"/>
      <c r="O1051" s="111"/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</row>
    <row r="1052">
      <c r="A1052" s="111"/>
      <c r="B1052" s="111"/>
      <c r="C1052" s="111"/>
      <c r="D1052" s="111"/>
      <c r="E1052" s="111"/>
      <c r="F1052" s="111"/>
      <c r="G1052" s="111"/>
      <c r="H1052" s="111"/>
      <c r="I1052" s="111"/>
      <c r="J1052" s="111"/>
      <c r="K1052" s="111"/>
      <c r="L1052" s="111"/>
      <c r="M1052" s="111"/>
      <c r="N1052" s="111"/>
      <c r="O1052" s="111"/>
      <c r="P1052" s="111"/>
      <c r="Q1052" s="111"/>
      <c r="R1052" s="111"/>
      <c r="S1052" s="111"/>
      <c r="T1052" s="111"/>
      <c r="U1052" s="111"/>
      <c r="V1052" s="111"/>
      <c r="W1052" s="111"/>
      <c r="X1052" s="111"/>
      <c r="Y1052" s="111"/>
      <c r="Z1052" s="111"/>
    </row>
    <row r="1053">
      <c r="A1053" s="111"/>
      <c r="B1053" s="111"/>
      <c r="C1053" s="111"/>
      <c r="D1053" s="111"/>
      <c r="E1053" s="111"/>
      <c r="F1053" s="111"/>
      <c r="G1053" s="111"/>
      <c r="H1053" s="111"/>
      <c r="I1053" s="111"/>
      <c r="J1053" s="111"/>
      <c r="K1053" s="111"/>
      <c r="L1053" s="111"/>
      <c r="M1053" s="111"/>
      <c r="N1053" s="111"/>
      <c r="O1053" s="111"/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</row>
    <row r="1054">
      <c r="A1054" s="111"/>
      <c r="B1054" s="111"/>
      <c r="C1054" s="111"/>
      <c r="D1054" s="111"/>
      <c r="E1054" s="111"/>
      <c r="F1054" s="111"/>
      <c r="G1054" s="111"/>
      <c r="H1054" s="111"/>
      <c r="I1054" s="111"/>
      <c r="J1054" s="111"/>
      <c r="K1054" s="111"/>
      <c r="L1054" s="111"/>
      <c r="M1054" s="111"/>
      <c r="N1054" s="111"/>
      <c r="O1054" s="111"/>
      <c r="P1054" s="111"/>
      <c r="Q1054" s="111"/>
      <c r="R1054" s="111"/>
      <c r="S1054" s="111"/>
      <c r="T1054" s="111"/>
      <c r="U1054" s="111"/>
      <c r="V1054" s="111"/>
      <c r="W1054" s="111"/>
      <c r="X1054" s="111"/>
      <c r="Y1054" s="111"/>
      <c r="Z1054" s="111"/>
    </row>
    <row r="1055">
      <c r="A1055" s="111"/>
      <c r="B1055" s="111"/>
      <c r="C1055" s="111"/>
      <c r="D1055" s="111"/>
      <c r="E1055" s="111"/>
      <c r="F1055" s="111"/>
      <c r="G1055" s="111"/>
      <c r="H1055" s="111"/>
      <c r="I1055" s="111"/>
      <c r="J1055" s="111"/>
      <c r="K1055" s="111"/>
      <c r="L1055" s="111"/>
      <c r="M1055" s="111"/>
      <c r="N1055" s="111"/>
      <c r="O1055" s="111"/>
      <c r="P1055" s="111"/>
      <c r="Q1055" s="111"/>
      <c r="R1055" s="111"/>
      <c r="S1055" s="111"/>
      <c r="T1055" s="111"/>
      <c r="U1055" s="111"/>
      <c r="V1055" s="111"/>
      <c r="W1055" s="111"/>
      <c r="X1055" s="111"/>
      <c r="Y1055" s="111"/>
      <c r="Z1055" s="111"/>
    </row>
    <row r="1056">
      <c r="A1056" s="111"/>
      <c r="B1056" s="111"/>
      <c r="C1056" s="111"/>
      <c r="D1056" s="111"/>
      <c r="E1056" s="111"/>
      <c r="F1056" s="111"/>
      <c r="G1056" s="111"/>
      <c r="H1056" s="111"/>
      <c r="I1056" s="111"/>
      <c r="J1056" s="111"/>
      <c r="K1056" s="111"/>
      <c r="L1056" s="111"/>
      <c r="M1056" s="111"/>
      <c r="N1056" s="111"/>
      <c r="O1056" s="111"/>
      <c r="P1056" s="111"/>
      <c r="Q1056" s="111"/>
      <c r="R1056" s="111"/>
      <c r="S1056" s="111"/>
      <c r="T1056" s="111"/>
      <c r="U1056" s="111"/>
      <c r="V1056" s="111"/>
      <c r="W1056" s="111"/>
      <c r="X1056" s="111"/>
      <c r="Y1056" s="111"/>
      <c r="Z1056" s="111"/>
    </row>
    <row r="1057">
      <c r="A1057" s="111"/>
      <c r="B1057" s="111"/>
      <c r="C1057" s="111"/>
      <c r="D1057" s="111"/>
      <c r="E1057" s="111"/>
      <c r="F1057" s="111"/>
      <c r="G1057" s="111"/>
      <c r="H1057" s="111"/>
      <c r="I1057" s="111"/>
      <c r="J1057" s="111"/>
      <c r="K1057" s="111"/>
      <c r="L1057" s="111"/>
      <c r="M1057" s="111"/>
      <c r="N1057" s="111"/>
      <c r="O1057" s="111"/>
      <c r="P1057" s="111"/>
      <c r="Q1057" s="111"/>
      <c r="R1057" s="111"/>
      <c r="S1057" s="111"/>
      <c r="T1057" s="111"/>
      <c r="U1057" s="111"/>
      <c r="V1057" s="111"/>
      <c r="W1057" s="111"/>
      <c r="X1057" s="111"/>
      <c r="Y1057" s="111"/>
      <c r="Z1057" s="111"/>
    </row>
    <row r="1058">
      <c r="A1058" s="111"/>
      <c r="B1058" s="111"/>
      <c r="C1058" s="111"/>
      <c r="D1058" s="111"/>
      <c r="E1058" s="111"/>
      <c r="F1058" s="111"/>
      <c r="G1058" s="111"/>
      <c r="H1058" s="111"/>
      <c r="I1058" s="111"/>
      <c r="J1058" s="111"/>
      <c r="K1058" s="111"/>
      <c r="L1058" s="111"/>
      <c r="M1058" s="111"/>
      <c r="N1058" s="111"/>
      <c r="O1058" s="111"/>
      <c r="P1058" s="111"/>
      <c r="Q1058" s="111"/>
      <c r="R1058" s="111"/>
      <c r="S1058" s="111"/>
      <c r="T1058" s="111"/>
      <c r="U1058" s="111"/>
      <c r="V1058" s="111"/>
      <c r="W1058" s="111"/>
      <c r="X1058" s="111"/>
      <c r="Y1058" s="111"/>
      <c r="Z1058" s="111"/>
    </row>
    <row r="1059">
      <c r="A1059" s="111"/>
      <c r="B1059" s="111"/>
      <c r="C1059" s="111"/>
      <c r="D1059" s="111"/>
      <c r="E1059" s="111"/>
      <c r="F1059" s="111"/>
      <c r="G1059" s="111"/>
      <c r="H1059" s="111"/>
      <c r="I1059" s="111"/>
      <c r="J1059" s="111"/>
      <c r="K1059" s="111"/>
      <c r="L1059" s="111"/>
      <c r="M1059" s="111"/>
      <c r="N1059" s="111"/>
      <c r="O1059" s="111"/>
      <c r="P1059" s="111"/>
      <c r="Q1059" s="111"/>
      <c r="R1059" s="111"/>
      <c r="S1059" s="111"/>
      <c r="T1059" s="111"/>
      <c r="U1059" s="111"/>
      <c r="V1059" s="111"/>
      <c r="W1059" s="111"/>
      <c r="X1059" s="111"/>
      <c r="Y1059" s="111"/>
      <c r="Z1059" s="111"/>
    </row>
    <row r="1060">
      <c r="A1060" s="111"/>
      <c r="B1060" s="111"/>
      <c r="C1060" s="111"/>
      <c r="D1060" s="111"/>
      <c r="E1060" s="111"/>
      <c r="F1060" s="111"/>
      <c r="G1060" s="111"/>
      <c r="H1060" s="111"/>
      <c r="I1060" s="111"/>
      <c r="J1060" s="111"/>
      <c r="K1060" s="111"/>
      <c r="L1060" s="111"/>
      <c r="M1060" s="111"/>
      <c r="N1060" s="111"/>
      <c r="O1060" s="111"/>
      <c r="P1060" s="111"/>
      <c r="Q1060" s="111"/>
      <c r="R1060" s="111"/>
      <c r="S1060" s="111"/>
      <c r="T1060" s="111"/>
      <c r="U1060" s="111"/>
      <c r="V1060" s="111"/>
      <c r="W1060" s="111"/>
      <c r="X1060" s="111"/>
      <c r="Y1060" s="111"/>
      <c r="Z1060" s="111"/>
    </row>
    <row r="1061">
      <c r="A1061" s="111"/>
      <c r="B1061" s="111"/>
      <c r="C1061" s="111"/>
      <c r="D1061" s="111"/>
      <c r="E1061" s="111"/>
      <c r="F1061" s="111"/>
      <c r="G1061" s="111"/>
      <c r="H1061" s="111"/>
      <c r="I1061" s="111"/>
      <c r="J1061" s="111"/>
      <c r="K1061" s="111"/>
      <c r="L1061" s="111"/>
      <c r="M1061" s="111"/>
      <c r="N1061" s="111"/>
      <c r="O1061" s="111"/>
      <c r="P1061" s="111"/>
      <c r="Q1061" s="111"/>
      <c r="R1061" s="111"/>
      <c r="S1061" s="111"/>
      <c r="T1061" s="111"/>
      <c r="U1061" s="111"/>
      <c r="V1061" s="111"/>
      <c r="W1061" s="111"/>
      <c r="X1061" s="111"/>
      <c r="Y1061" s="111"/>
      <c r="Z1061" s="111"/>
    </row>
    <row r="1062">
      <c r="A1062" s="111"/>
      <c r="B1062" s="111"/>
      <c r="C1062" s="111"/>
      <c r="D1062" s="111"/>
      <c r="E1062" s="111"/>
      <c r="F1062" s="111"/>
      <c r="G1062" s="111"/>
      <c r="H1062" s="111"/>
      <c r="I1062" s="111"/>
      <c r="J1062" s="111"/>
      <c r="K1062" s="111"/>
      <c r="L1062" s="111"/>
      <c r="M1062" s="111"/>
      <c r="N1062" s="111"/>
      <c r="O1062" s="111"/>
      <c r="P1062" s="111"/>
      <c r="Q1062" s="111"/>
      <c r="R1062" s="111"/>
      <c r="S1062" s="111"/>
      <c r="T1062" s="111"/>
      <c r="U1062" s="111"/>
      <c r="V1062" s="111"/>
      <c r="W1062" s="111"/>
      <c r="X1062" s="111"/>
      <c r="Y1062" s="111"/>
      <c r="Z1062" s="111"/>
    </row>
    <row r="1063">
      <c r="A1063" s="111"/>
      <c r="B1063" s="111"/>
      <c r="C1063" s="111"/>
      <c r="D1063" s="111"/>
      <c r="E1063" s="111"/>
      <c r="F1063" s="111"/>
      <c r="G1063" s="111"/>
      <c r="H1063" s="111"/>
      <c r="I1063" s="111"/>
      <c r="J1063" s="111"/>
      <c r="K1063" s="111"/>
      <c r="L1063" s="111"/>
      <c r="M1063" s="111"/>
      <c r="N1063" s="111"/>
      <c r="O1063" s="111"/>
      <c r="P1063" s="111"/>
      <c r="Q1063" s="111"/>
      <c r="R1063" s="111"/>
      <c r="S1063" s="111"/>
      <c r="T1063" s="111"/>
      <c r="U1063" s="111"/>
      <c r="V1063" s="111"/>
      <c r="W1063" s="111"/>
      <c r="X1063" s="111"/>
      <c r="Y1063" s="111"/>
      <c r="Z1063" s="111"/>
    </row>
    <row r="1064">
      <c r="A1064" s="111"/>
      <c r="B1064" s="111"/>
      <c r="C1064" s="111"/>
      <c r="D1064" s="111"/>
      <c r="E1064" s="111"/>
      <c r="F1064" s="111"/>
      <c r="G1064" s="111"/>
      <c r="H1064" s="111"/>
      <c r="I1064" s="111"/>
      <c r="J1064" s="111"/>
      <c r="K1064" s="111"/>
      <c r="L1064" s="111"/>
      <c r="M1064" s="111"/>
      <c r="N1064" s="111"/>
      <c r="O1064" s="111"/>
      <c r="P1064" s="111"/>
      <c r="Q1064" s="111"/>
      <c r="R1064" s="111"/>
      <c r="S1064" s="111"/>
      <c r="T1064" s="111"/>
      <c r="U1064" s="111"/>
      <c r="V1064" s="111"/>
      <c r="W1064" s="111"/>
      <c r="X1064" s="111"/>
      <c r="Y1064" s="111"/>
      <c r="Z1064" s="111"/>
    </row>
    <row r="1065">
      <c r="A1065" s="111"/>
      <c r="B1065" s="111"/>
      <c r="C1065" s="111"/>
      <c r="D1065" s="111"/>
      <c r="E1065" s="111"/>
      <c r="F1065" s="111"/>
      <c r="G1065" s="111"/>
      <c r="H1065" s="111"/>
      <c r="I1065" s="111"/>
      <c r="J1065" s="111"/>
      <c r="K1065" s="111"/>
      <c r="L1065" s="111"/>
      <c r="M1065" s="111"/>
      <c r="N1065" s="111"/>
      <c r="O1065" s="111"/>
      <c r="P1065" s="111"/>
      <c r="Q1065" s="111"/>
      <c r="R1065" s="111"/>
      <c r="S1065" s="111"/>
      <c r="T1065" s="111"/>
      <c r="U1065" s="111"/>
      <c r="V1065" s="111"/>
      <c r="W1065" s="111"/>
      <c r="X1065" s="111"/>
      <c r="Y1065" s="111"/>
      <c r="Z1065" s="111"/>
    </row>
    <row r="1066">
      <c r="A1066" s="111"/>
      <c r="B1066" s="111"/>
      <c r="C1066" s="111"/>
      <c r="D1066" s="111"/>
      <c r="E1066" s="111"/>
      <c r="F1066" s="111"/>
      <c r="G1066" s="111"/>
      <c r="H1066" s="111"/>
      <c r="I1066" s="111"/>
      <c r="J1066" s="111"/>
      <c r="K1066" s="111"/>
      <c r="L1066" s="111"/>
      <c r="M1066" s="111"/>
      <c r="N1066" s="111"/>
      <c r="O1066" s="111"/>
      <c r="P1066" s="111"/>
      <c r="Q1066" s="111"/>
      <c r="R1066" s="111"/>
      <c r="S1066" s="111"/>
      <c r="T1066" s="111"/>
      <c r="U1066" s="111"/>
      <c r="V1066" s="111"/>
      <c r="W1066" s="111"/>
      <c r="X1066" s="111"/>
      <c r="Y1066" s="111"/>
      <c r="Z1066" s="111"/>
    </row>
    <row r="1067">
      <c r="A1067" s="111"/>
      <c r="B1067" s="111"/>
      <c r="C1067" s="111"/>
      <c r="D1067" s="111"/>
      <c r="E1067" s="111"/>
      <c r="F1067" s="111"/>
      <c r="G1067" s="111"/>
      <c r="H1067" s="111"/>
      <c r="I1067" s="111"/>
      <c r="J1067" s="111"/>
      <c r="K1067" s="111"/>
      <c r="L1067" s="111"/>
      <c r="M1067" s="111"/>
      <c r="N1067" s="111"/>
      <c r="O1067" s="111"/>
      <c r="P1067" s="111"/>
      <c r="Q1067" s="111"/>
      <c r="R1067" s="111"/>
      <c r="S1067" s="111"/>
      <c r="T1067" s="111"/>
      <c r="U1067" s="111"/>
      <c r="V1067" s="111"/>
      <c r="W1067" s="111"/>
      <c r="X1067" s="111"/>
      <c r="Y1067" s="111"/>
      <c r="Z1067" s="111"/>
    </row>
  </sheetData>
  <mergeCells count="16">
    <mergeCell ref="A1:D1"/>
    <mergeCell ref="A7:D7"/>
    <mergeCell ref="A18:D18"/>
    <mergeCell ref="A23:D23"/>
    <mergeCell ref="A34:D34"/>
    <mergeCell ref="A39:D39"/>
    <mergeCell ref="A50:D50"/>
    <mergeCell ref="A114:D114"/>
    <mergeCell ref="A119:D119"/>
    <mergeCell ref="A55:D55"/>
    <mergeCell ref="A66:D66"/>
    <mergeCell ref="A71:D71"/>
    <mergeCell ref="A82:D82"/>
    <mergeCell ref="A87:D87"/>
    <mergeCell ref="A98:D98"/>
    <mergeCell ref="A103:D103"/>
  </mergeCells>
  <conditionalFormatting sqref="A8:A16 A24:A32 A40:A48 A56:A64 A72:A80 A88:A96 A104:A112 A120:A128">
    <cfRule type="expression" dxfId="11" priority="1">
      <formula>$A$2="BLUE"</formula>
    </cfRule>
  </conditionalFormatting>
  <conditionalFormatting sqref="B8:B16 B24:B32 B40:B48 B56:B64 B72:B80 B88:B96 B104:B112 B120:B128">
    <cfRule type="expression" dxfId="23" priority="2">
      <formula>$B$2="GREEN"</formula>
    </cfRule>
  </conditionalFormatting>
  <conditionalFormatting sqref="C8:C16 C24:C32 C40:C48 C56:C64 C72:C80 C88:C96 C104:C112 C120:C128">
    <cfRule type="expression" dxfId="24" priority="3">
      <formula>$C$2="ORANGE"</formula>
    </cfRule>
  </conditionalFormatting>
  <conditionalFormatting sqref="D8:D16 D24:D32 D40:D48 D56:D64 D72:D80 D88:D96 D104:D112 D120:D128">
    <cfRule type="expression" dxfId="25" priority="4">
      <formula>$D$2="MAGENTA"</formula>
    </cfRule>
  </conditionalFormatting>
  <conditionalFormatting sqref="A3:A6 D3:D6 A19:A22 D19:D22 A35:A38 D35:D38 A51:A54 D51:D54 A67:A70 D67:D70 A83:A86 D83:D86 A99:A102 D99:D102 A115:A118 D115:D118">
    <cfRule type="expression" dxfId="6" priority="5" operator="containsText">
      <formula>NOT(ISERROR(SEARCH(("BLUE"),(A3))))</formula>
    </cfRule>
  </conditionalFormatting>
  <conditionalFormatting sqref="A3:A6 D3:D6 A19:A22 D19:D22 A35:A38 D35:D38 A51:A54 D51:D54 A67:A70 D67:D70 A83:A86 D83:D86 A99:A102 D99:D102 A115:A118 D115:D118">
    <cfRule type="containsText" dxfId="9" priority="6" operator="containsText" text="ORANGE">
      <formula>NOT(ISERROR(SEARCH(("ORANGE"),(A3))))</formula>
    </cfRule>
  </conditionalFormatting>
  <conditionalFormatting sqref="A3:A6 D3:D6 A19:A22 D19:D22 A35:A38 D35:D38 A51:A54 D51:D54 A67:A70 D67:D70 A83:A86 D83:D86 A99:A102 D99:D102 A115:A118 D115:D118">
    <cfRule type="containsText" dxfId="7" priority="7" operator="containsText" text="MAGENTA">
      <formula>NOT(ISERROR(SEARCH(("MAGENTA"),(A3))))</formula>
    </cfRule>
  </conditionalFormatting>
  <conditionalFormatting sqref="A3:A6 D3:D6 A19:A22 D19:D22 A35:A38 D35:D38 A51:A54 D51:D54 A67:A70 D67:D70 A83:A86 D83:D86 A99:A102 D99:D102 A115:A118 D115:D118">
    <cfRule type="cellIs" dxfId="8" priority="8" operator="equal">
      <formula>"GREEN"</formula>
    </cfRule>
  </conditionalFormatting>
  <conditionalFormatting sqref="B3:B6 B19:C22 B35:C38 B51:C54 B67:B70 B83:B86 B99:B102 B115:B118">
    <cfRule type="expression" dxfId="26" priority="9">
      <formula>A3="blue"</formula>
    </cfRule>
  </conditionalFormatting>
  <conditionalFormatting sqref="B3:B6 B19:C22 B35:C38 B51:C54 B67:B70 B83:B86 B99:B102 B115:B118">
    <cfRule type="expression" dxfId="27" priority="10">
      <formula>A3="orange"</formula>
    </cfRule>
  </conditionalFormatting>
  <conditionalFormatting sqref="B3:B6 B19:C22 B35:C38 B51:C54 B67:B70 B83:B86 B99:B102 B115:B118">
    <cfRule type="expression" dxfId="28" priority="11">
      <formula>A3="green"</formula>
    </cfRule>
  </conditionalFormatting>
  <conditionalFormatting sqref="B3:B6 B19:C22 B35:C38 B51:C54 B67:B70 B83:B86 B99:B102 B115:B118">
    <cfRule type="expression" dxfId="29" priority="12">
      <formula>A3="magenta"</formula>
    </cfRule>
  </conditionalFormatting>
  <conditionalFormatting sqref="C3:C6 C19:D22 C35:D38 C51:D54 C67:D70 C83:D86 C99:D102 C115:D118">
    <cfRule type="expression" dxfId="30" priority="13">
      <formula>D3="magenta"</formula>
    </cfRule>
  </conditionalFormatting>
  <conditionalFormatting sqref="C3:C6 C19:D22 C35:D38 C51:D54 C67:D70 C83:D86 C99:D102 C115:D118">
    <cfRule type="expression" dxfId="31" priority="14">
      <formula>D3="blue"</formula>
    </cfRule>
  </conditionalFormatting>
  <conditionalFormatting sqref="C3:C6 C19:D22 C35:D38 C51:D54 C67:D70 C83:D86 C99:D102 C115:D118">
    <cfRule type="expression" dxfId="32" priority="15">
      <formula>D3="orange"</formula>
    </cfRule>
  </conditionalFormatting>
  <conditionalFormatting sqref="C3:C6 C19:D22 C35:D38 C51:D54 C67:D70 C83:D86 C99:D102 C115:D118">
    <cfRule type="expression" dxfId="33" priority="16">
      <formula>D3="green"</formula>
    </cfRule>
  </conditionalFormatting>
  <conditionalFormatting sqref="A19:A22 D19:D22">
    <cfRule type="cellIs" dxfId="34" priority="17" operator="equal">
      <formula>"BLUE"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10" width="12.56"/>
  </cols>
  <sheetData>
    <row r="1">
      <c r="A1" s="123" t="s">
        <v>28</v>
      </c>
      <c r="B1" s="110" t="s">
        <v>0</v>
      </c>
      <c r="C1" s="110" t="s">
        <v>1</v>
      </c>
      <c r="D1" s="110" t="s">
        <v>2</v>
      </c>
      <c r="E1" s="110" t="s">
        <v>3</v>
      </c>
      <c r="F1" s="110" t="s">
        <v>4</v>
      </c>
      <c r="G1" s="110" t="s">
        <v>5</v>
      </c>
      <c r="H1" s="110" t="s">
        <v>6</v>
      </c>
      <c r="I1" s="110" t="s">
        <v>7</v>
      </c>
      <c r="J1" s="110" t="s">
        <v>8</v>
      </c>
    </row>
    <row r="2">
      <c r="A2" s="124" t="str">
        <f>WEEKLY_TEAMS!B3</f>
        <v>Osmin</v>
      </c>
      <c r="B2" s="125" t="s">
        <v>255</v>
      </c>
      <c r="C2" s="124" t="str">
        <f>VLOOKUP($A2,WEEKLY_TEAMS!$B$3:$CME99,13,0)</f>
        <v>↓</v>
      </c>
      <c r="D2" s="124" t="str">
        <f>VLOOKUP($A2,WEEKLY_TEAMS!$B$3:$CME99,25,0)</f>
        <v>↓</v>
      </c>
      <c r="E2" s="124" t="str">
        <f>VLOOKUP($A2,WEEKLY_TEAMS!$B$3:$CME99,37,0)</f>
        <v>↑</v>
      </c>
      <c r="F2" s="124" t="str">
        <f>VLOOKUP($A2,WEEKLY_TEAMS!$B$3:$CME99,49,0)</f>
        <v>↑</v>
      </c>
      <c r="G2" s="124" t="str">
        <f>VLOOKUP($A2,WEEKLY_TEAMS!$B$3:$CME99,61,0)</f>
        <v>=</v>
      </c>
      <c r="H2" s="124" t="str">
        <f>VLOOKUP($A2,WEEKLY_TEAMS!$B$3:$CME99,73,0)</f>
        <v>=</v>
      </c>
      <c r="I2" s="124" t="str">
        <f>VLOOKUP($A2,WEEKLY_TEAMS!$B$3:$CME99,85,0)</f>
        <v>↓</v>
      </c>
      <c r="J2" s="124" t="str">
        <f>VLOOKUP($A2,WEEKLY_TEAMS!$B$3:$CME99,97,0)</f>
        <v>↓</v>
      </c>
    </row>
    <row r="3">
      <c r="A3" s="124" t="str">
        <f>WEEKLY_TEAMS!B4</f>
        <v>Fabian</v>
      </c>
      <c r="B3" s="125" t="s">
        <v>255</v>
      </c>
      <c r="C3" s="124" t="str">
        <f>VLOOKUP($A3,WEEKLY_TEAMS!$B$3:$CME100,13,0)</f>
        <v>=</v>
      </c>
      <c r="D3" s="124" t="str">
        <f>VLOOKUP($A3,WEEKLY_TEAMS!$B$3:$CME100,25,0)</f>
        <v>=</v>
      </c>
      <c r="E3" s="124" t="str">
        <f>VLOOKUP($A3,WEEKLY_TEAMS!$B$3:$CME100,37,0)</f>
        <v>↓</v>
      </c>
      <c r="F3" s="124" t="str">
        <f>VLOOKUP($A3,WEEKLY_TEAMS!$B$3:$CME100,49,0)</f>
        <v>↓</v>
      </c>
      <c r="G3" s="124" t="str">
        <f>VLOOKUP($A3,WEEKLY_TEAMS!$B$3:$CME100,61,0)</f>
        <v>↑</v>
      </c>
      <c r="H3" s="124" t="str">
        <f>VLOOKUP($A3,WEEKLY_TEAMS!$B$3:$CME100,73,0)</f>
        <v>↑</v>
      </c>
      <c r="I3" s="124" t="str">
        <f>VLOOKUP($A3,WEEKLY_TEAMS!$B$3:$CME100,85,0)</f>
        <v>=</v>
      </c>
      <c r="J3" s="124" t="str">
        <f>VLOOKUP($A3,WEEKLY_TEAMS!$B$3:$CME100,97,0)</f>
        <v>↓</v>
      </c>
    </row>
    <row r="4">
      <c r="A4" s="124" t="str">
        <f>WEEKLY_TEAMS!B5</f>
        <v>🏆 Jordan</v>
      </c>
      <c r="B4" s="125" t="s">
        <v>255</v>
      </c>
      <c r="C4" s="124" t="str">
        <f>VLOOKUP($A4,WEEKLY_TEAMS!$B$3:$CME101,13,0)</f>
        <v>↓</v>
      </c>
      <c r="D4" s="124" t="str">
        <f>VLOOKUP($A4,WEEKLY_TEAMS!$B$3:$CME101,25,0)</f>
        <v>↓</v>
      </c>
      <c r="E4" s="124" t="str">
        <f>VLOOKUP($A4,WEEKLY_TEAMS!$B$3:$CME101,37,0)</f>
        <v>↓</v>
      </c>
      <c r="F4" s="124" t="str">
        <f>VLOOKUP($A4,WEEKLY_TEAMS!$B$3:$CME101,49,0)</f>
        <v>↑</v>
      </c>
      <c r="G4" s="124" t="str">
        <f>VLOOKUP($A4,WEEKLY_TEAMS!$B$3:$CME101,61,0)</f>
        <v>↑</v>
      </c>
      <c r="H4" s="124" t="str">
        <f>VLOOKUP($A4,WEEKLY_TEAMS!$B$3:$CME101,73,0)</f>
        <v>↑</v>
      </c>
      <c r="I4" s="124" t="str">
        <f>VLOOKUP($A4,WEEKLY_TEAMS!$B$3:$CME101,85,0)</f>
        <v>↑</v>
      </c>
      <c r="J4" s="124" t="str">
        <f>VLOOKUP($A4,WEEKLY_TEAMS!$B$3:$CME101,97,0)</f>
        <v>=</v>
      </c>
    </row>
    <row r="5">
      <c r="A5" s="124" t="str">
        <f>WEEKLY_TEAMS!B6</f>
        <v>Cuñis 👨🏽‍🤝‍👨🏼 Karter</v>
      </c>
      <c r="B5" s="125" t="s">
        <v>255</v>
      </c>
      <c r="C5" s="124" t="str">
        <f>VLOOKUP($A5,WEEKLY_TEAMS!$B$3:$CME102,13,0)</f>
        <v>↓</v>
      </c>
      <c r="D5" s="124" t="str">
        <f>VLOOKUP($A5,WEEKLY_TEAMS!$B$3:$CME102,25,0)</f>
        <v>=</v>
      </c>
      <c r="E5" s="124" t="str">
        <f>VLOOKUP($A5,WEEKLY_TEAMS!$B$3:$CME102,37,0)</f>
        <v>↑</v>
      </c>
      <c r="F5" s="124" t="str">
        <f>VLOOKUP($A5,WEEKLY_TEAMS!$B$3:$CME102,49,0)</f>
        <v>↑</v>
      </c>
      <c r="G5" s="124" t="str">
        <f>VLOOKUP($A5,WEEKLY_TEAMS!$B$3:$CME102,61,0)</f>
        <v>↓</v>
      </c>
      <c r="H5" s="124" t="str">
        <f>VLOOKUP($A5,WEEKLY_TEAMS!$B$3:$CME102,73,0)</f>
        <v>↑</v>
      </c>
      <c r="I5" s="124" t="str">
        <f>VLOOKUP($A5,WEEKLY_TEAMS!$B$3:$CME102,85,0)</f>
        <v>↓</v>
      </c>
      <c r="J5" s="124" t="str">
        <f>VLOOKUP($A5,WEEKLY_TEAMS!$B$3:$CME102,97,0)</f>
        <v>↓</v>
      </c>
    </row>
    <row r="6">
      <c r="A6" s="124" t="str">
        <f>WEEKLY_TEAMS!B7</f>
        <v>Javier</v>
      </c>
      <c r="B6" s="125" t="s">
        <v>255</v>
      </c>
      <c r="C6" s="124" t="str">
        <f>VLOOKUP($A6,WEEKLY_TEAMS!$B$3:$CME103,13,0)</f>
        <v>↓</v>
      </c>
      <c r="D6" s="124" t="str">
        <f>VLOOKUP($A6,WEEKLY_TEAMS!$B$3:$CME103,25,0)</f>
        <v>↓</v>
      </c>
      <c r="E6" s="124" t="str">
        <f>VLOOKUP($A6,WEEKLY_TEAMS!$B$3:$CME103,37,0)</f>
        <v>↑</v>
      </c>
      <c r="F6" s="124" t="str">
        <f>VLOOKUP($A6,WEEKLY_TEAMS!$B$3:$CME103,49,0)</f>
        <v>↓</v>
      </c>
      <c r="G6" s="124" t="str">
        <f>VLOOKUP($A6,WEEKLY_TEAMS!$B$3:$CME103,61,0)</f>
        <v>↑</v>
      </c>
      <c r="H6" s="124" t="str">
        <f>VLOOKUP($A6,WEEKLY_TEAMS!$B$3:$CME103,73,0)</f>
        <v>↑</v>
      </c>
      <c r="I6" s="124" t="str">
        <f>VLOOKUP($A6,WEEKLY_TEAMS!$B$3:$CME103,85,0)</f>
        <v>↓</v>
      </c>
      <c r="J6" s="124" t="str">
        <f>VLOOKUP($A6,WEEKLY_TEAMS!$B$3:$CME103,97,0)</f>
        <v>↓</v>
      </c>
    </row>
    <row r="7">
      <c r="A7" s="124" t="str">
        <f>WEEKLY_TEAMS!B8</f>
        <v>Gabriel</v>
      </c>
      <c r="B7" s="125" t="s">
        <v>255</v>
      </c>
      <c r="C7" s="124" t="str">
        <f>VLOOKUP($A7,WEEKLY_TEAMS!$B$3:$CME104,13,0)</f>
        <v>↓</v>
      </c>
      <c r="D7" s="124" t="str">
        <f>VLOOKUP($A7,WEEKLY_TEAMS!$B$3:$CME104,25,0)</f>
        <v>↑</v>
      </c>
      <c r="E7" s="124" t="str">
        <f>VLOOKUP($A7,WEEKLY_TEAMS!$B$3:$CME104,37,0)</f>
        <v>↑</v>
      </c>
      <c r="F7" s="124" t="str">
        <f>VLOOKUP($A7,WEEKLY_TEAMS!$B$3:$CME104,49,0)</f>
        <v>↑</v>
      </c>
      <c r="G7" s="124" t="str">
        <f>VLOOKUP($A7,WEEKLY_TEAMS!$B$3:$CME104,61,0)</f>
        <v>↑</v>
      </c>
      <c r="H7" s="124" t="str">
        <f>VLOOKUP($A7,WEEKLY_TEAMS!$B$3:$CME104,73,0)</f>
        <v>↓</v>
      </c>
      <c r="I7" s="124" t="str">
        <f>VLOOKUP($A7,WEEKLY_TEAMS!$B$3:$CME104,85,0)</f>
        <v>↓</v>
      </c>
      <c r="J7" s="124" t="str">
        <f>VLOOKUP($A7,WEEKLY_TEAMS!$B$3:$CME104,97,0)</f>
        <v>↓</v>
      </c>
    </row>
    <row r="8">
      <c r="A8" s="124" t="str">
        <f>WEEKLY_TEAMS!B9</f>
        <v>Nicky</v>
      </c>
      <c r="B8" s="125" t="s">
        <v>255</v>
      </c>
      <c r="C8" s="124" t="str">
        <f>VLOOKUP($A8,WEEKLY_TEAMS!$B$3:$CME105,13,0)</f>
        <v>↓</v>
      </c>
      <c r="D8" s="124" t="str">
        <f>VLOOKUP($A8,WEEKLY_TEAMS!$B$3:$CME105,25,0)</f>
        <v>↓</v>
      </c>
      <c r="E8" s="124" t="str">
        <f>VLOOKUP($A8,WEEKLY_TEAMS!$B$3:$CME105,37,0)</f>
        <v>↓</v>
      </c>
      <c r="F8" s="124" t="str">
        <f>VLOOKUP($A8,WEEKLY_TEAMS!$B$3:$CME105,49,0)</f>
        <v>↑</v>
      </c>
      <c r="G8" s="124" t="str">
        <f>VLOOKUP($A8,WEEKLY_TEAMS!$B$3:$CME105,61,0)</f>
        <v>↓</v>
      </c>
      <c r="H8" s="124" t="str">
        <f>VLOOKUP($A8,WEEKLY_TEAMS!$B$3:$CME105,73,0)</f>
        <v>↑</v>
      </c>
      <c r="I8" s="124" t="str">
        <f>VLOOKUP($A8,WEEKLY_TEAMS!$B$3:$CME105,85,0)</f>
        <v>↓</v>
      </c>
      <c r="J8" s="124" t="str">
        <f>VLOOKUP($A8,WEEKLY_TEAMS!$B$3:$CME105,97,0)</f>
        <v>↓</v>
      </c>
    </row>
    <row r="9">
      <c r="A9" s="124" t="str">
        <f>WEEKLY_TEAMS!B10</f>
        <v>Carlos S.</v>
      </c>
      <c r="B9" s="125" t="s">
        <v>255</v>
      </c>
      <c r="C9" s="124" t="str">
        <f>VLOOKUP($A9,WEEKLY_TEAMS!$B$3:$CME106,13,0)</f>
        <v>↓</v>
      </c>
      <c r="D9" s="124" t="str">
        <f>VLOOKUP($A9,WEEKLY_TEAMS!$B$3:$CME106,25,0)</f>
        <v>↓</v>
      </c>
      <c r="E9" s="124" t="str">
        <f>VLOOKUP($A9,WEEKLY_TEAMS!$B$3:$CME106,37,0)</f>
        <v>↑</v>
      </c>
      <c r="F9" s="124" t="str">
        <f>VLOOKUP($A9,WEEKLY_TEAMS!$B$3:$CME106,49,0)</f>
        <v>↑</v>
      </c>
      <c r="G9" s="124" t="str">
        <f>VLOOKUP($A9,WEEKLY_TEAMS!$B$3:$CME106,61,0)</f>
        <v>↑</v>
      </c>
      <c r="H9" s="124" t="str">
        <f>VLOOKUP($A9,WEEKLY_TEAMS!$B$3:$CME106,73,0)</f>
        <v>↑</v>
      </c>
      <c r="I9" s="124" t="str">
        <f>VLOOKUP($A9,WEEKLY_TEAMS!$B$3:$CME106,85,0)</f>
        <v>↓</v>
      </c>
      <c r="J9" s="124" t="str">
        <f>VLOOKUP($A9,WEEKLY_TEAMS!$B$3:$CME106,97,0)</f>
        <v>↓</v>
      </c>
    </row>
    <row r="10">
      <c r="A10" s="124" t="str">
        <f>WEEKLY_TEAMS!B11</f>
        <v>Valencia</v>
      </c>
      <c r="B10" s="125" t="s">
        <v>255</v>
      </c>
      <c r="C10" s="124" t="str">
        <f>VLOOKUP($A10,WEEKLY_TEAMS!$B$3:$CME107,13,0)</f>
        <v>↓</v>
      </c>
      <c r="D10" s="124" t="str">
        <f>VLOOKUP($A10,WEEKLY_TEAMS!$B$3:$CME107,25,0)</f>
        <v>↓</v>
      </c>
      <c r="E10" s="124" t="str">
        <f>VLOOKUP($A10,WEEKLY_TEAMS!$B$3:$CME107,37,0)</f>
        <v>↓</v>
      </c>
      <c r="F10" s="124" t="str">
        <f>VLOOKUP($A10,WEEKLY_TEAMS!$B$3:$CME107,49,0)</f>
        <v>↓</v>
      </c>
      <c r="G10" s="124" t="str">
        <f>VLOOKUP($A10,WEEKLY_TEAMS!$B$3:$CME107,61,0)</f>
        <v>↓</v>
      </c>
      <c r="H10" s="124" t="str">
        <f>VLOOKUP($A10,WEEKLY_TEAMS!$B$3:$CME107,73,0)</f>
        <v>↑</v>
      </c>
      <c r="I10" s="124" t="str">
        <f>VLOOKUP($A10,WEEKLY_TEAMS!$B$3:$CME107,85,0)</f>
        <v>↑</v>
      </c>
      <c r="J10" s="124" t="str">
        <f>VLOOKUP($A10,WEEKLY_TEAMS!$B$3:$CME107,97,0)</f>
        <v>↓</v>
      </c>
    </row>
    <row r="11">
      <c r="A11" s="124" t="str">
        <f>WEEKLY_TEAMS!B12</f>
        <v>Fer</v>
      </c>
      <c r="B11" s="125" t="s">
        <v>255</v>
      </c>
      <c r="C11" s="124" t="str">
        <f>VLOOKUP($A11,WEEKLY_TEAMS!$B$3:$CME108,13,0)</f>
        <v>↓</v>
      </c>
      <c r="D11" s="124" t="str">
        <f>VLOOKUP($A11,WEEKLY_TEAMS!$B$3:$CME108,25,0)</f>
        <v>↓</v>
      </c>
      <c r="E11" s="124" t="str">
        <f>VLOOKUP($A11,WEEKLY_TEAMS!$B$3:$CME108,37,0)</f>
        <v>↓</v>
      </c>
      <c r="F11" s="124" t="str">
        <f>VLOOKUP($A11,WEEKLY_TEAMS!$B$3:$CME108,49,0)</f>
        <v>↑</v>
      </c>
      <c r="G11" s="124" t="str">
        <f>VLOOKUP($A11,WEEKLY_TEAMS!$B$3:$CME108,61,0)</f>
        <v>↑</v>
      </c>
      <c r="H11" s="124" t="str">
        <f>VLOOKUP($A11,WEEKLY_TEAMS!$B$3:$CME108,73,0)</f>
        <v>↑</v>
      </c>
      <c r="I11" s="124" t="str">
        <f>VLOOKUP($A11,WEEKLY_TEAMS!$B$3:$CME108,85,0)</f>
        <v>↓</v>
      </c>
      <c r="J11" s="124" t="str">
        <f>VLOOKUP($A11,WEEKLY_TEAMS!$B$3:$CME108,97,0)</f>
        <v>↑</v>
      </c>
    </row>
    <row r="12">
      <c r="A12" s="124" t="str">
        <f>WEEKLY_TEAMS!B13</f>
        <v>Asdruval</v>
      </c>
      <c r="B12" s="125" t="s">
        <v>255</v>
      </c>
      <c r="C12" s="124" t="str">
        <f>VLOOKUP($A12,WEEKLY_TEAMS!$B$3:$CME109,13,0)</f>
        <v>↓</v>
      </c>
      <c r="D12" s="124" t="str">
        <f>VLOOKUP($A12,WEEKLY_TEAMS!$B$3:$CME109,25,0)</f>
        <v>↓</v>
      </c>
      <c r="E12" s="124" t="str">
        <f>VLOOKUP($A12,WEEKLY_TEAMS!$B$3:$CME109,37,0)</f>
        <v>↑</v>
      </c>
      <c r="F12" s="124" t="str">
        <f>VLOOKUP($A12,WEEKLY_TEAMS!$B$3:$CME109,49,0)</f>
        <v>↓</v>
      </c>
      <c r="G12" s="124" t="str">
        <f>VLOOKUP($A12,WEEKLY_TEAMS!$B$3:$CME109,61,0)</f>
        <v>↑</v>
      </c>
      <c r="H12" s="124" t="str">
        <f>VLOOKUP($A12,WEEKLY_TEAMS!$B$3:$CME109,73,0)</f>
        <v>↑</v>
      </c>
      <c r="I12" s="124" t="str">
        <f>VLOOKUP($A12,WEEKLY_TEAMS!$B$3:$CME109,85,0)</f>
        <v>↓</v>
      </c>
      <c r="J12" s="124" t="str">
        <f>VLOOKUP($A12,WEEKLY_TEAMS!$B$3:$CME109,97,0)</f>
        <v>=</v>
      </c>
    </row>
    <row r="13">
      <c r="A13" s="124" t="str">
        <f>WEEKLY_TEAMS!B14</f>
        <v>Rodolfo</v>
      </c>
      <c r="B13" s="125" t="s">
        <v>255</v>
      </c>
      <c r="C13" s="124" t="str">
        <f>VLOOKUP($A13,WEEKLY_TEAMS!$B$3:$CME110,13,0)</f>
        <v>↓</v>
      </c>
      <c r="D13" s="124" t="str">
        <f>VLOOKUP($A13,WEEKLY_TEAMS!$B$3:$CME110,25,0)</f>
        <v>↓</v>
      </c>
      <c r="E13" s="124" t="str">
        <f>VLOOKUP($A13,WEEKLY_TEAMS!$B$3:$CME110,37,0)</f>
        <v>↓</v>
      </c>
      <c r="F13" s="124" t="str">
        <f>VLOOKUP($A13,WEEKLY_TEAMS!$B$3:$CME110,49,0)</f>
        <v>↑</v>
      </c>
      <c r="G13" s="124" t="str">
        <f>VLOOKUP($A13,WEEKLY_TEAMS!$B$3:$CME110,61,0)</f>
        <v>↑</v>
      </c>
      <c r="H13" s="124" t="str">
        <f>VLOOKUP($A13,WEEKLY_TEAMS!$B$3:$CME110,73,0)</f>
        <v>↑</v>
      </c>
      <c r="I13" s="124" t="str">
        <f>VLOOKUP($A13,WEEKLY_TEAMS!$B$3:$CME110,85,0)</f>
        <v>↓</v>
      </c>
      <c r="J13" s="124" t="str">
        <f>VLOOKUP($A13,WEEKLY_TEAMS!$B$3:$CME110,97,0)</f>
        <v>↓</v>
      </c>
    </row>
    <row r="14">
      <c r="A14" s="124" t="str">
        <f>WEEKLY_TEAMS!B15</f>
        <v>Gerardo</v>
      </c>
      <c r="B14" s="125" t="s">
        <v>255</v>
      </c>
      <c r="C14" s="124" t="str">
        <f>VLOOKUP($A14,WEEKLY_TEAMS!$B$3:$CME111,13,0)</f>
        <v>↓</v>
      </c>
      <c r="D14" s="124" t="str">
        <f>VLOOKUP($A14,WEEKLY_TEAMS!$B$3:$CME111,25,0)</f>
        <v>↓</v>
      </c>
      <c r="E14" s="124" t="str">
        <f>VLOOKUP($A14,WEEKLY_TEAMS!$B$3:$CME111,37,0)</f>
        <v>↓</v>
      </c>
      <c r="F14" s="124" t="str">
        <f>VLOOKUP($A14,WEEKLY_TEAMS!$B$3:$CME111,49,0)</f>
        <v>↓</v>
      </c>
      <c r="G14" s="124" t="str">
        <f>VLOOKUP($A14,WEEKLY_TEAMS!$B$3:$CME111,61,0)</f>
        <v>↑</v>
      </c>
      <c r="H14" s="124" t="str">
        <f>VLOOKUP($A14,WEEKLY_TEAMS!$B$3:$CME111,73,0)</f>
        <v>↑</v>
      </c>
      <c r="I14" s="124" t="str">
        <f>VLOOKUP($A14,WEEKLY_TEAMS!$B$3:$CME111,85,0)</f>
        <v>↓</v>
      </c>
      <c r="J14" s="124" t="str">
        <f>VLOOKUP($A14,WEEKLY_TEAMS!$B$3:$CME111,97,0)</f>
        <v>↑</v>
      </c>
    </row>
    <row r="15">
      <c r="A15" s="124" t="str">
        <f>WEEKLY_TEAMS!B16</f>
        <v>Pirlo</v>
      </c>
      <c r="B15" s="125" t="s">
        <v>255</v>
      </c>
      <c r="C15" s="124" t="str">
        <f>VLOOKUP($A15,WEEKLY_TEAMS!$B$3:$CME112,13,0)</f>
        <v>↓</v>
      </c>
      <c r="D15" s="124" t="str">
        <f>VLOOKUP($A15,WEEKLY_TEAMS!$B$3:$CME112,25,0)</f>
        <v>↑</v>
      </c>
      <c r="E15" s="124" t="str">
        <f>VLOOKUP($A15,WEEKLY_TEAMS!$B$3:$CME112,37,0)</f>
        <v>↓</v>
      </c>
      <c r="F15" s="124" t="str">
        <f>VLOOKUP($A15,WEEKLY_TEAMS!$B$3:$CME112,49,0)</f>
        <v>↓</v>
      </c>
      <c r="G15" s="124" t="str">
        <f>VLOOKUP($A15,WEEKLY_TEAMS!$B$3:$CME112,61,0)</f>
        <v>↓</v>
      </c>
      <c r="H15" s="124" t="str">
        <f>VLOOKUP($A15,WEEKLY_TEAMS!$B$3:$CME112,73,0)</f>
        <v>↑</v>
      </c>
      <c r="I15" s="124" t="str">
        <f>VLOOKUP($A15,WEEKLY_TEAMS!$B$3:$CME112,85,0)</f>
        <v>↑</v>
      </c>
      <c r="J15" s="124" t="str">
        <f>VLOOKUP($A15,WEEKLY_TEAMS!$B$3:$CME112,97,0)</f>
        <v>↓</v>
      </c>
    </row>
    <row r="16">
      <c r="A16" s="124" t="str">
        <f>WEEKLY_TEAMS!B17</f>
        <v>Ruben</v>
      </c>
      <c r="B16" s="125" t="s">
        <v>255</v>
      </c>
      <c r="C16" s="124" t="str">
        <f>VLOOKUP($A16,WEEKLY_TEAMS!$B$3:$CME113,13,0)</f>
        <v>↓</v>
      </c>
      <c r="D16" s="124" t="str">
        <f>VLOOKUP($A16,WEEKLY_TEAMS!$B$3:$CME113,25,0)</f>
        <v>↓</v>
      </c>
      <c r="E16" s="124" t="str">
        <f>VLOOKUP($A16,WEEKLY_TEAMS!$B$3:$CME113,37,0)</f>
        <v>↑</v>
      </c>
      <c r="F16" s="124" t="str">
        <f>VLOOKUP($A16,WEEKLY_TEAMS!$B$3:$CME113,49,0)</f>
        <v>↑</v>
      </c>
      <c r="G16" s="124" t="str">
        <f>VLOOKUP($A16,WEEKLY_TEAMS!$B$3:$CME113,61,0)</f>
        <v>↓</v>
      </c>
      <c r="H16" s="124" t="str">
        <f>VLOOKUP($A16,WEEKLY_TEAMS!$B$3:$CME113,73,0)</f>
        <v>↑</v>
      </c>
      <c r="I16" s="124" t="str">
        <f>VLOOKUP($A16,WEEKLY_TEAMS!$B$3:$CME113,85,0)</f>
        <v>↓</v>
      </c>
      <c r="J16" s="124" t="str">
        <f>VLOOKUP($A16,WEEKLY_TEAMS!$B$3:$CME113,97,0)</f>
        <v>=</v>
      </c>
    </row>
    <row r="17">
      <c r="A17" s="124" t="str">
        <f>WEEKLY_TEAMS!B18</f>
        <v>Rob 👬🏽 Toño</v>
      </c>
      <c r="B17" s="125" t="s">
        <v>255</v>
      </c>
      <c r="C17" s="124" t="str">
        <f>VLOOKUP($A17,WEEKLY_TEAMS!$B$3:$CME114,13,0)</f>
        <v>↓</v>
      </c>
      <c r="D17" s="124" t="str">
        <f>VLOOKUP($A17,WEEKLY_TEAMS!$B$3:$CME114,25,0)</f>
        <v>↑</v>
      </c>
      <c r="E17" s="124" t="str">
        <f>VLOOKUP($A17,WEEKLY_TEAMS!$B$3:$CME114,37,0)</f>
        <v>↑</v>
      </c>
      <c r="F17" s="124" t="str">
        <f>VLOOKUP($A17,WEEKLY_TEAMS!$B$3:$CME114,49,0)</f>
        <v>↓</v>
      </c>
      <c r="G17" s="124" t="str">
        <f>VLOOKUP($A17,WEEKLY_TEAMS!$B$3:$CME114,61,0)</f>
        <v>↓</v>
      </c>
      <c r="H17" s="124" t="str">
        <f>VLOOKUP($A17,WEEKLY_TEAMS!$B$3:$CME114,73,0)</f>
        <v>↑</v>
      </c>
      <c r="I17" s="124" t="str">
        <f>VLOOKUP($A17,WEEKLY_TEAMS!$B$3:$CME114,85,0)</f>
        <v>=</v>
      </c>
      <c r="J17" s="124" t="str">
        <f>VLOOKUP($A17,WEEKLY_TEAMS!$B$3:$CME114,97,0)</f>
        <v>↑</v>
      </c>
    </row>
    <row r="18">
      <c r="A18" s="124" t="str">
        <f>WEEKLY_TEAMS!B19</f>
        <v>Gus</v>
      </c>
      <c r="B18" s="125" t="s">
        <v>255</v>
      </c>
      <c r="C18" s="124" t="str">
        <f>VLOOKUP($A18,WEEKLY_TEAMS!$B$3:$CME115,13,0)</f>
        <v>↓</v>
      </c>
      <c r="D18" s="124" t="str">
        <f>VLOOKUP($A18,WEEKLY_TEAMS!$B$3:$CME115,25,0)</f>
        <v>↓</v>
      </c>
      <c r="E18" s="124" t="str">
        <f>VLOOKUP($A18,WEEKLY_TEAMS!$B$3:$CME115,37,0)</f>
        <v>↑</v>
      </c>
      <c r="F18" s="124" t="str">
        <f>VLOOKUP($A18,WEEKLY_TEAMS!$B$3:$CME115,49,0)</f>
        <v>↓</v>
      </c>
      <c r="G18" s="124" t="str">
        <f>VLOOKUP($A18,WEEKLY_TEAMS!$B$3:$CME115,61,0)</f>
        <v>↑</v>
      </c>
      <c r="H18" s="124" t="str">
        <f>VLOOKUP($A18,WEEKLY_TEAMS!$B$3:$CME115,73,0)</f>
        <v>↑</v>
      </c>
      <c r="I18" s="124" t="str">
        <f>VLOOKUP($A18,WEEKLY_TEAMS!$B$3:$CME115,85,0)</f>
        <v>↓</v>
      </c>
      <c r="J18" s="124" t="str">
        <f>VLOOKUP($A18,WEEKLY_TEAMS!$B$3:$CME115,97,0)</f>
        <v>↑</v>
      </c>
    </row>
    <row r="19">
      <c r="A19" s="124" t="str">
        <f>WEEKLY_TEAMS!B20</f>
        <v>Chato 👨🏻‍🤝‍👨🏽 Miguel</v>
      </c>
      <c r="B19" s="125" t="s">
        <v>255</v>
      </c>
      <c r="C19" s="124" t="str">
        <f>VLOOKUP($A19,WEEKLY_TEAMS!$B$3:$CME116,13,0)</f>
        <v>↓</v>
      </c>
      <c r="D19" s="124" t="str">
        <f>VLOOKUP($A19,WEEKLY_TEAMS!$B$3:$CME116,25,0)</f>
        <v>↓</v>
      </c>
      <c r="E19" s="124" t="str">
        <f>VLOOKUP($A19,WEEKLY_TEAMS!$B$3:$CME116,37,0)</f>
        <v>↑</v>
      </c>
      <c r="F19" s="124" t="str">
        <f>VLOOKUP($A19,WEEKLY_TEAMS!$B$3:$CME116,49,0)</f>
        <v>↑</v>
      </c>
      <c r="G19" s="124" t="str">
        <f>VLOOKUP($A19,WEEKLY_TEAMS!$B$3:$CME116,61,0)</f>
        <v>↑</v>
      </c>
      <c r="H19" s="124" t="str">
        <f>VLOOKUP($A19,WEEKLY_TEAMS!$B$3:$CME116,73,0)</f>
        <v>↓</v>
      </c>
      <c r="I19" s="124" t="str">
        <f>VLOOKUP($A19,WEEKLY_TEAMS!$B$3:$CME116,85,0)</f>
        <v>=</v>
      </c>
      <c r="J19" s="124" t="str">
        <f>VLOOKUP($A19,WEEKLY_TEAMS!$B$3:$CME116,97,0)</f>
        <v>↑</v>
      </c>
    </row>
    <row r="20">
      <c r="A20" s="124" t="str">
        <f>WEEKLY_TEAMS!B21</f>
        <v>Rodrigo Mena</v>
      </c>
      <c r="B20" s="125" t="s">
        <v>255</v>
      </c>
      <c r="C20" s="124" t="str">
        <f>VLOOKUP($A20,WEEKLY_TEAMS!$B$3:$CME117,13,0)</f>
        <v>↓</v>
      </c>
      <c r="D20" s="124" t="str">
        <f>VLOOKUP($A20,WEEKLY_TEAMS!$B$3:$CME117,25,0)</f>
        <v>↓</v>
      </c>
      <c r="E20" s="124" t="str">
        <f>VLOOKUP($A20,WEEKLY_TEAMS!$B$3:$CME117,37,0)</f>
        <v>=</v>
      </c>
      <c r="F20" s="124" t="str">
        <f>VLOOKUP($A20,WEEKLY_TEAMS!$B$3:$CME117,49,0)</f>
        <v>↑</v>
      </c>
      <c r="G20" s="124" t="str">
        <f>VLOOKUP($A20,WEEKLY_TEAMS!$B$3:$CME117,61,0)</f>
        <v>↓</v>
      </c>
      <c r="H20" s="124" t="str">
        <f>VLOOKUP($A20,WEEKLY_TEAMS!$B$3:$CME117,73,0)</f>
        <v>↑</v>
      </c>
      <c r="I20" s="124" t="str">
        <f>VLOOKUP($A20,WEEKLY_TEAMS!$B$3:$CME117,85,0)</f>
        <v>↑</v>
      </c>
      <c r="J20" s="124" t="str">
        <f>VLOOKUP($A20,WEEKLY_TEAMS!$B$3:$CME117,97,0)</f>
        <v>↑</v>
      </c>
    </row>
    <row r="21" ht="15.75" customHeight="1">
      <c r="A21" s="124" t="str">
        <f>WEEKLY_TEAMS!B22</f>
        <v>Christian</v>
      </c>
      <c r="B21" s="125" t="s">
        <v>255</v>
      </c>
      <c r="C21" s="124" t="str">
        <f>VLOOKUP($A21,WEEKLY_TEAMS!$B$3:$CME118,13,0)</f>
        <v>↓</v>
      </c>
      <c r="D21" s="124" t="str">
        <f>VLOOKUP($A21,WEEKLY_TEAMS!$B$3:$CME118,25,0)</f>
        <v>↑</v>
      </c>
      <c r="E21" s="124" t="str">
        <f>VLOOKUP($A21,WEEKLY_TEAMS!$B$3:$CME118,37,0)</f>
        <v>↓</v>
      </c>
      <c r="F21" s="124" t="str">
        <f>VLOOKUP($A21,WEEKLY_TEAMS!$B$3:$CME118,49,0)</f>
        <v>↑</v>
      </c>
      <c r="G21" s="124" t="str">
        <f>VLOOKUP($A21,WEEKLY_TEAMS!$B$3:$CME118,61,0)</f>
        <v>↑</v>
      </c>
      <c r="H21" s="124" t="str">
        <f>VLOOKUP($A21,WEEKLY_TEAMS!$B$3:$CME118,73,0)</f>
        <v>↓</v>
      </c>
      <c r="I21" s="124" t="str">
        <f>VLOOKUP($A21,WEEKLY_TEAMS!$B$3:$CME118,85,0)</f>
        <v>↑</v>
      </c>
      <c r="J21" s="124" t="str">
        <f>VLOOKUP($A21,WEEKLY_TEAMS!$B$3:$CME118,97,0)</f>
        <v>↓</v>
      </c>
    </row>
    <row r="22" ht="15.75" customHeight="1">
      <c r="A22" s="124" t="str">
        <f>WEEKLY_TEAMS!B23</f>
        <v>Chilas 👨🏻‍🤝‍👨🏾 Netto</v>
      </c>
      <c r="B22" s="125" t="s">
        <v>255</v>
      </c>
      <c r="C22" s="124" t="str">
        <f>VLOOKUP($A22,WEEKLY_TEAMS!$B$3:$CME119,13,0)</f>
        <v>↓</v>
      </c>
      <c r="D22" s="124" t="str">
        <f>VLOOKUP($A22,WEEKLY_TEAMS!$B$3:$CME119,25,0)</f>
        <v>↑</v>
      </c>
      <c r="E22" s="124" t="str">
        <f>VLOOKUP($A22,WEEKLY_TEAMS!$B$3:$CME119,37,0)</f>
        <v>↓</v>
      </c>
      <c r="F22" s="124" t="str">
        <f>VLOOKUP($A22,WEEKLY_TEAMS!$B$3:$CME119,49,0)</f>
        <v>↓</v>
      </c>
      <c r="G22" s="124" t="str">
        <f>VLOOKUP($A22,WEEKLY_TEAMS!$B$3:$CME119,61,0)</f>
        <v>↑</v>
      </c>
      <c r="H22" s="124" t="str">
        <f>VLOOKUP($A22,WEEKLY_TEAMS!$B$3:$CME119,73,0)</f>
        <v>↑</v>
      </c>
      <c r="I22" s="124" t="str">
        <f>VLOOKUP($A22,WEEKLY_TEAMS!$B$3:$CME119,85,0)</f>
        <v>↓</v>
      </c>
      <c r="J22" s="124" t="str">
        <f>VLOOKUP($A22,WEEKLY_TEAMS!$B$3:$CME119,97,0)</f>
        <v>=</v>
      </c>
    </row>
    <row r="23" ht="15.75" customHeight="1">
      <c r="A23" s="124" t="str">
        <f>WEEKLY_TEAMS!B24</f>
        <v>V. Nizama</v>
      </c>
      <c r="B23" s="125" t="s">
        <v>255</v>
      </c>
      <c r="C23" s="124" t="str">
        <f>VLOOKUP($A23,WEEKLY_TEAMS!$B$3:$CME120,13,0)</f>
        <v>↓</v>
      </c>
      <c r="D23" s="124" t="str">
        <f>VLOOKUP($A23,WEEKLY_TEAMS!$B$3:$CME120,25,0)</f>
        <v>↑</v>
      </c>
      <c r="E23" s="124" t="str">
        <f>VLOOKUP($A23,WEEKLY_TEAMS!$B$3:$CME120,37,0)</f>
        <v>↑</v>
      </c>
      <c r="F23" s="124" t="str">
        <f>VLOOKUP($A23,WEEKLY_TEAMS!$B$3:$CME120,49,0)</f>
        <v>↑</v>
      </c>
      <c r="G23" s="124" t="str">
        <f>VLOOKUP($A23,WEEKLY_TEAMS!$B$3:$CME120,61,0)</f>
        <v>=</v>
      </c>
      <c r="H23" s="124" t="str">
        <f>VLOOKUP($A23,WEEKLY_TEAMS!$B$3:$CME120,73,0)</f>
        <v>↓</v>
      </c>
      <c r="I23" s="124" t="str">
        <f>VLOOKUP($A23,WEEKLY_TEAMS!$B$3:$CME120,85,0)</f>
        <v>↓</v>
      </c>
      <c r="J23" s="124" t="str">
        <f>VLOOKUP($A23,WEEKLY_TEAMS!$B$3:$CME120,97,0)</f>
        <v>↓</v>
      </c>
    </row>
    <row r="24" ht="15.75" customHeight="1">
      <c r="A24" s="124" t="str">
        <f>WEEKLY_TEAMS!B25</f>
        <v>Kevin</v>
      </c>
      <c r="B24" s="125" t="s">
        <v>255</v>
      </c>
      <c r="C24" s="124" t="str">
        <f>VLOOKUP($A24,WEEKLY_TEAMS!$B$3:$CME121,13,0)</f>
        <v>↓</v>
      </c>
      <c r="D24" s="124" t="str">
        <f>VLOOKUP($A24,WEEKLY_TEAMS!$B$3:$CME121,25,0)</f>
        <v>↓</v>
      </c>
      <c r="E24" s="124" t="str">
        <f>VLOOKUP($A24,WEEKLY_TEAMS!$B$3:$CME121,37,0)</f>
        <v>=</v>
      </c>
      <c r="F24" s="124" t="str">
        <f>VLOOKUP($A24,WEEKLY_TEAMS!$B$3:$CME121,49,0)</f>
        <v>↑</v>
      </c>
      <c r="G24" s="124" t="str">
        <f>VLOOKUP($A24,WEEKLY_TEAMS!$B$3:$CME121,61,0)</f>
        <v>↑</v>
      </c>
      <c r="H24" s="124" t="str">
        <f>VLOOKUP($A24,WEEKLY_TEAMS!$B$3:$CME121,73,0)</f>
        <v>↓</v>
      </c>
      <c r="I24" s="124" t="str">
        <f>VLOOKUP($A24,WEEKLY_TEAMS!$B$3:$CME121,85,0)</f>
        <v>↓</v>
      </c>
      <c r="J24" s="124" t="str">
        <f>VLOOKUP($A24,WEEKLY_TEAMS!$B$3:$CME121,97,0)</f>
        <v>↑</v>
      </c>
    </row>
    <row r="25" ht="15.75" customHeight="1">
      <c r="A25" s="124" t="str">
        <f>WEEKLY_TEAMS!B26</f>
        <v>Guille 👨🏻‍🤝‍👨🏾 Mike</v>
      </c>
      <c r="B25" s="125" t="s">
        <v>255</v>
      </c>
      <c r="C25" s="124" t="str">
        <f>VLOOKUP($A25,WEEKLY_TEAMS!$B$3:$CME122,13,0)</f>
        <v>↓</v>
      </c>
      <c r="D25" s="124" t="str">
        <f>VLOOKUP($A25,WEEKLY_TEAMS!$B$3:$CME122,25,0)</f>
        <v>=</v>
      </c>
      <c r="E25" s="124" t="str">
        <f>VLOOKUP($A25,WEEKLY_TEAMS!$B$3:$CME122,37,0)</f>
        <v>↑</v>
      </c>
      <c r="F25" s="124" t="str">
        <f>VLOOKUP($A25,WEEKLY_TEAMS!$B$3:$CME122,49,0)</f>
        <v>↓</v>
      </c>
      <c r="G25" s="124" t="str">
        <f>VLOOKUP($A25,WEEKLY_TEAMS!$B$3:$CME122,61,0)</f>
        <v>↓</v>
      </c>
      <c r="H25" s="124" t="str">
        <f>VLOOKUP($A25,WEEKLY_TEAMS!$B$3:$CME122,73,0)</f>
        <v>↓</v>
      </c>
      <c r="I25" s="124" t="str">
        <f>VLOOKUP($A25,WEEKLY_TEAMS!$B$3:$CME122,85,0)</f>
        <v>↑</v>
      </c>
      <c r="J25" s="124" t="str">
        <f>VLOOKUP($A25,WEEKLY_TEAMS!$B$3:$CME122,97,0)</f>
        <v>↓</v>
      </c>
    </row>
    <row r="26" ht="15.75" customHeight="1">
      <c r="A26" s="124" t="str">
        <f>WEEKLY_TEAMS!B27</f>
        <v>Andres</v>
      </c>
      <c r="B26" s="125" t="s">
        <v>255</v>
      </c>
      <c r="C26" s="124" t="str">
        <f>VLOOKUP($A26,WEEKLY_TEAMS!$B$3:$CME123,13,0)</f>
        <v>↓</v>
      </c>
      <c r="D26" s="124" t="str">
        <f>VLOOKUP($A26,WEEKLY_TEAMS!$B$3:$CME123,25,0)</f>
        <v>=</v>
      </c>
      <c r="E26" s="124" t="str">
        <f>VLOOKUP($A26,WEEKLY_TEAMS!$B$3:$CME123,37,0)</f>
        <v>↑</v>
      </c>
      <c r="F26" s="124" t="str">
        <f>VLOOKUP($A26,WEEKLY_TEAMS!$B$3:$CME123,49,0)</f>
        <v>↓</v>
      </c>
      <c r="G26" s="124" t="str">
        <f>VLOOKUP($A26,WEEKLY_TEAMS!$B$3:$CME123,61,0)</f>
        <v>↑</v>
      </c>
      <c r="H26" s="124" t="str">
        <f>VLOOKUP($A26,WEEKLY_TEAMS!$B$3:$CME123,73,0)</f>
        <v>↑</v>
      </c>
      <c r="I26" s="124" t="str">
        <f>VLOOKUP($A26,WEEKLY_TEAMS!$B$3:$CME123,85,0)</f>
        <v>↑</v>
      </c>
      <c r="J26" s="124" t="str">
        <f>VLOOKUP($A26,WEEKLY_TEAMS!$B$3:$CME123,97,0)</f>
        <v>↓</v>
      </c>
    </row>
    <row r="27" ht="15.75" customHeight="1">
      <c r="A27" s="124" t="str">
        <f>WEEKLY_TEAMS!B28</f>
        <v>Mikey</v>
      </c>
      <c r="B27" s="125" t="s">
        <v>255</v>
      </c>
      <c r="C27" s="124" t="str">
        <f>VLOOKUP($A27,WEEKLY_TEAMS!$B$3:$CME124,13,0)</f>
        <v>↓</v>
      </c>
      <c r="D27" s="124" t="str">
        <f>VLOOKUP($A27,WEEKLY_TEAMS!$B$3:$CME124,25,0)</f>
        <v>↑</v>
      </c>
      <c r="E27" s="124" t="str">
        <f>VLOOKUP($A27,WEEKLY_TEAMS!$B$3:$CME124,37,0)</f>
        <v>↓</v>
      </c>
      <c r="F27" s="124" t="str">
        <f>VLOOKUP($A27,WEEKLY_TEAMS!$B$3:$CME124,49,0)</f>
        <v>↑</v>
      </c>
      <c r="G27" s="124" t="str">
        <f>VLOOKUP($A27,WEEKLY_TEAMS!$B$3:$CME124,61,0)</f>
        <v>↓</v>
      </c>
      <c r="H27" s="124" t="str">
        <f>VLOOKUP($A27,WEEKLY_TEAMS!$B$3:$CME124,73,0)</f>
        <v>↓</v>
      </c>
      <c r="I27" s="124" t="str">
        <f>VLOOKUP($A27,WEEKLY_TEAMS!$B$3:$CME124,85,0)</f>
        <v>↑</v>
      </c>
      <c r="J27" s="124" t="str">
        <f>VLOOKUP($A27,WEEKLY_TEAMS!$B$3:$CME124,97,0)</f>
        <v>↑</v>
      </c>
    </row>
    <row r="28" ht="15.75" customHeight="1">
      <c r="A28" s="124" t="str">
        <f>WEEKLY_TEAMS!B29</f>
        <v>Alex</v>
      </c>
      <c r="B28" s="125" t="s">
        <v>255</v>
      </c>
      <c r="C28" s="124" t="str">
        <f>VLOOKUP($A28,WEEKLY_TEAMS!$B$3:$CME125,13,0)</f>
        <v>↓</v>
      </c>
      <c r="D28" s="124" t="str">
        <f>VLOOKUP($A28,WEEKLY_TEAMS!$B$3:$CME125,25,0)</f>
        <v>↑</v>
      </c>
      <c r="E28" s="124" t="str">
        <f>VLOOKUP($A28,WEEKLY_TEAMS!$B$3:$CME125,37,0)</f>
        <v>↑</v>
      </c>
      <c r="F28" s="124" t="str">
        <f>VLOOKUP($A28,WEEKLY_TEAMS!$B$3:$CME125,49,0)</f>
        <v>↓</v>
      </c>
      <c r="G28" s="124" t="str">
        <f>VLOOKUP($A28,WEEKLY_TEAMS!$B$3:$CME125,61,0)</f>
        <v>↓</v>
      </c>
      <c r="H28" s="124" t="str">
        <f>VLOOKUP($A28,WEEKLY_TEAMS!$B$3:$CME125,73,0)</f>
        <v>↓</v>
      </c>
      <c r="I28" s="124" t="str">
        <f>VLOOKUP($A28,WEEKLY_TEAMS!$B$3:$CME125,85,0)</f>
        <v>↑</v>
      </c>
      <c r="J28" s="124" t="str">
        <f>VLOOKUP($A28,WEEKLY_TEAMS!$B$3:$CME125,97,0)</f>
        <v>↑</v>
      </c>
    </row>
    <row r="29" ht="15.75" customHeight="1">
      <c r="A29" s="124" t="str">
        <f>WEEKLY_TEAMS!B30</f>
        <v>Efra</v>
      </c>
      <c r="B29" s="125" t="s">
        <v>255</v>
      </c>
      <c r="C29" s="124" t="str">
        <f>VLOOKUP($A29,WEEKLY_TEAMS!$B$3:$CME126,13,0)</f>
        <v>↓</v>
      </c>
      <c r="D29" s="124" t="str">
        <f>VLOOKUP($A29,WEEKLY_TEAMS!$B$3:$CME126,25,0)</f>
        <v>↑</v>
      </c>
      <c r="E29" s="124" t="str">
        <f>VLOOKUP($A29,WEEKLY_TEAMS!$B$3:$CME126,37,0)</f>
        <v>=</v>
      </c>
      <c r="F29" s="124" t="str">
        <f>VLOOKUP($A29,WEEKLY_TEAMS!$B$3:$CME126,49,0)</f>
        <v>↓</v>
      </c>
      <c r="G29" s="124" t="str">
        <f>VLOOKUP($A29,WEEKLY_TEAMS!$B$3:$CME126,61,0)</f>
        <v>↑</v>
      </c>
      <c r="H29" s="124" t="str">
        <f>VLOOKUP($A29,WEEKLY_TEAMS!$B$3:$CME126,73,0)</f>
        <v>↓</v>
      </c>
      <c r="I29" s="124" t="str">
        <f>VLOOKUP($A29,WEEKLY_TEAMS!$B$3:$CME126,85,0)</f>
        <v>↓</v>
      </c>
      <c r="J29" s="124" t="str">
        <f>VLOOKUP($A29,WEEKLY_TEAMS!$B$3:$CME126,97,0)</f>
        <v>↑</v>
      </c>
    </row>
    <row r="30" ht="15.75" customHeight="1">
      <c r="A30" s="124" t="str">
        <f>WEEKLY_TEAMS!B31</f>
        <v>Jose Blanco</v>
      </c>
      <c r="B30" s="125" t="s">
        <v>255</v>
      </c>
      <c r="C30" s="124" t="str">
        <f>VLOOKUP($A30,WEEKLY_TEAMS!$B$3:$CME127,13,0)</f>
        <v>↓</v>
      </c>
      <c r="D30" s="124" t="str">
        <f>VLOOKUP($A30,WEEKLY_TEAMS!$B$3:$CME127,25,0)</f>
        <v>↑</v>
      </c>
      <c r="E30" s="124" t="str">
        <f>VLOOKUP($A30,WEEKLY_TEAMS!$B$3:$CME127,37,0)</f>
        <v>=</v>
      </c>
      <c r="F30" s="124" t="str">
        <f>VLOOKUP($A30,WEEKLY_TEAMS!$B$3:$CME127,49,0)</f>
        <v>↓</v>
      </c>
      <c r="G30" s="124" t="str">
        <f>VLOOKUP($A30,WEEKLY_TEAMS!$B$3:$CME127,61,0)</f>
        <v>↑</v>
      </c>
      <c r="H30" s="124" t="str">
        <f>VLOOKUP($A30,WEEKLY_TEAMS!$B$3:$CME127,73,0)</f>
        <v>↓</v>
      </c>
      <c r="I30" s="124" t="str">
        <f>VLOOKUP($A30,WEEKLY_TEAMS!$B$3:$CME127,85,0)</f>
        <v>↓</v>
      </c>
      <c r="J30" s="124" t="str">
        <f>VLOOKUP($A30,WEEKLY_TEAMS!$B$3:$CME127,97,0)</f>
        <v>=</v>
      </c>
    </row>
    <row r="31" ht="15.75" customHeight="1">
      <c r="A31" s="124" t="str">
        <f>WEEKLY_TEAMS!B32</f>
        <v>Alexis 👨🏾‍🤝‍👨🏿 Lopez</v>
      </c>
      <c r="B31" s="125" t="s">
        <v>255</v>
      </c>
      <c r="C31" s="124" t="str">
        <f>VLOOKUP($A31,WEEKLY_TEAMS!$B$3:$CME128,13,0)</f>
        <v>↓</v>
      </c>
      <c r="D31" s="124" t="str">
        <f>VLOOKUP($A31,WEEKLY_TEAMS!$B$3:$CME128,25,0)</f>
        <v>↓</v>
      </c>
      <c r="E31" s="124" t="str">
        <f>VLOOKUP($A31,WEEKLY_TEAMS!$B$3:$CME128,37,0)</f>
        <v>↑</v>
      </c>
      <c r="F31" s="124" t="str">
        <f>VLOOKUP($A31,WEEKLY_TEAMS!$B$3:$CME128,49,0)</f>
        <v>=</v>
      </c>
      <c r="G31" s="124" t="str">
        <f>VLOOKUP($A31,WEEKLY_TEAMS!$B$3:$CME128,61,0)</f>
        <v>↑</v>
      </c>
      <c r="H31" s="124" t="str">
        <f>VLOOKUP($A31,WEEKLY_TEAMS!$B$3:$CME128,73,0)</f>
        <v>↓</v>
      </c>
      <c r="I31" s="124" t="str">
        <f>VLOOKUP($A31,WEEKLY_TEAMS!$B$3:$CME128,85,0)</f>
        <v>↑</v>
      </c>
      <c r="J31" s="124" t="str">
        <f>VLOOKUP($A31,WEEKLY_TEAMS!$B$3:$CME128,97,0)</f>
        <v>↓</v>
      </c>
    </row>
    <row r="32" ht="15.75" customHeight="1">
      <c r="A32" s="124" t="str">
        <f>WEEKLY_TEAMS!B33</f>
        <v>Eder</v>
      </c>
      <c r="B32" s="125" t="s">
        <v>255</v>
      </c>
      <c r="C32" s="124" t="str">
        <f>VLOOKUP($A32,WEEKLY_TEAMS!$B$3:$CME129,13,0)</f>
        <v>↓</v>
      </c>
      <c r="D32" s="124" t="str">
        <f>VLOOKUP($A32,WEEKLY_TEAMS!$B$3:$CME129,25,0)</f>
        <v>↓</v>
      </c>
      <c r="E32" s="124" t="str">
        <f>VLOOKUP($A32,WEEKLY_TEAMS!$B$3:$CME129,37,0)</f>
        <v>↑</v>
      </c>
      <c r="F32" s="124" t="str">
        <f>VLOOKUP($A32,WEEKLY_TEAMS!$B$3:$CME129,49,0)</f>
        <v>↑</v>
      </c>
      <c r="G32" s="124" t="str">
        <f>VLOOKUP($A32,WEEKLY_TEAMS!$B$3:$CME129,61,0)</f>
        <v>↓</v>
      </c>
      <c r="H32" s="124" t="str">
        <f>VLOOKUP($A32,WEEKLY_TEAMS!$B$3:$CME129,73,0)</f>
        <v>↑</v>
      </c>
      <c r="I32" s="124" t="str">
        <f>VLOOKUP($A32,WEEKLY_TEAMS!$B$3:$CME129,85,0)</f>
        <v>=</v>
      </c>
      <c r="J32" s="124" t="str">
        <f>VLOOKUP($A32,WEEKLY_TEAMS!$B$3:$CME129,97,0)</f>
        <v>=</v>
      </c>
    </row>
    <row r="33" ht="15.75" customHeight="1">
      <c r="A33" s="124" t="str">
        <f>WEEKLY_TEAMS!B34</f>
        <v>Carlos Haro</v>
      </c>
      <c r="B33" s="125" t="s">
        <v>255</v>
      </c>
      <c r="C33" s="124" t="str">
        <f>VLOOKUP($A33,WEEKLY_TEAMS!$B$3:$CME130,13,0)</f>
        <v>↓</v>
      </c>
      <c r="D33" s="124" t="str">
        <f>VLOOKUP($A33,WEEKLY_TEAMS!$B$3:$CME130,25,0)</f>
        <v>=</v>
      </c>
      <c r="E33" s="124" t="str">
        <f>VLOOKUP($A33,WEEKLY_TEAMS!$B$3:$CME130,37,0)</f>
        <v>↑</v>
      </c>
      <c r="F33" s="124" t="str">
        <f>VLOOKUP($A33,WEEKLY_TEAMS!$B$3:$CME130,49,0)</f>
        <v>↓</v>
      </c>
      <c r="G33" s="124" t="str">
        <f>VLOOKUP($A33,WEEKLY_TEAMS!$B$3:$CME130,61,0)</f>
        <v>↓</v>
      </c>
      <c r="H33" s="124" t="str">
        <f>VLOOKUP($A33,WEEKLY_TEAMS!$B$3:$CME130,73,0)</f>
        <v>↓</v>
      </c>
      <c r="I33" s="124" t="str">
        <f>VLOOKUP($A33,WEEKLY_TEAMS!$B$3:$CME130,85,0)</f>
        <v>↑</v>
      </c>
      <c r="J33" s="124" t="str">
        <f>VLOOKUP($A33,WEEKLY_TEAMS!$B$3:$CME130,97,0)</f>
        <v>↑</v>
      </c>
    </row>
    <row r="34" ht="15.75" customHeight="1">
      <c r="A34" s="124" t="str">
        <f>WEEKLY_TEAMS!B35</f>
        <v>David</v>
      </c>
      <c r="B34" s="125" t="s">
        <v>255</v>
      </c>
      <c r="C34" s="124" t="str">
        <f>VLOOKUP($A34,WEEKLY_TEAMS!$B$3:$CME131,13,0)</f>
        <v>↓</v>
      </c>
      <c r="D34" s="124" t="str">
        <f>VLOOKUP($A34,WEEKLY_TEAMS!$B$3:$CME131,25,0)</f>
        <v>↓</v>
      </c>
      <c r="E34" s="124" t="str">
        <f>VLOOKUP($A34,WEEKLY_TEAMS!$B$3:$CME131,37,0)</f>
        <v>=</v>
      </c>
      <c r="F34" s="124" t="str">
        <f>VLOOKUP($A34,WEEKLY_TEAMS!$B$3:$CME131,49,0)</f>
        <v>↑</v>
      </c>
      <c r="G34" s="124" t="str">
        <f>VLOOKUP($A34,WEEKLY_TEAMS!$B$3:$CME131,61,0)</f>
        <v>↓</v>
      </c>
      <c r="H34" s="124" t="str">
        <f>VLOOKUP($A34,WEEKLY_TEAMS!$B$3:$CME131,73,0)</f>
        <v>↓</v>
      </c>
      <c r="I34" s="124" t="str">
        <f>VLOOKUP($A34,WEEKLY_TEAMS!$B$3:$CME131,85,0)</f>
        <v>=</v>
      </c>
      <c r="J34" s="124" t="str">
        <f>VLOOKUP($A34,WEEKLY_TEAMS!$B$3:$CME131,97,0)</f>
        <v>=</v>
      </c>
    </row>
    <row r="35" ht="15.75" customHeight="1">
      <c r="A35" s="124" t="str">
        <f>WEEKLY_TEAMS!B36</f>
        <v>Chavito</v>
      </c>
      <c r="B35" s="125" t="s">
        <v>255</v>
      </c>
      <c r="C35" s="124" t="str">
        <f>VLOOKUP($A35,WEEKLY_TEAMS!$B$3:$CME132,13,0)</f>
        <v>↓</v>
      </c>
      <c r="D35" s="124" t="str">
        <f>VLOOKUP($A35,WEEKLY_TEAMS!$B$3:$CME132,25,0)</f>
        <v>↓</v>
      </c>
      <c r="E35" s="124" t="str">
        <f>VLOOKUP($A35,WEEKLY_TEAMS!$B$3:$CME132,37,0)</f>
        <v>↓</v>
      </c>
      <c r="F35" s="124" t="str">
        <f>VLOOKUP($A35,WEEKLY_TEAMS!$B$3:$CME132,49,0)</f>
        <v>↑</v>
      </c>
      <c r="G35" s="124" t="str">
        <f>VLOOKUP($A35,WEEKLY_TEAMS!$B$3:$CME132,61,0)</f>
        <v>↑</v>
      </c>
      <c r="H35" s="124" t="str">
        <f>VLOOKUP($A35,WEEKLY_TEAMS!$B$3:$CME132,73,0)</f>
        <v>=</v>
      </c>
      <c r="I35" s="124" t="str">
        <f>VLOOKUP($A35,WEEKLY_TEAMS!$B$3:$CME132,85,0)</f>
        <v>=</v>
      </c>
      <c r="J35" s="124" t="str">
        <f>VLOOKUP($A35,WEEKLY_TEAMS!$B$3:$CME132,97,0)</f>
        <v>=</v>
      </c>
    </row>
    <row r="36" ht="15.75" customHeight="1">
      <c r="A36" s="124" t="str">
        <f>WEEKLY_TEAMS!B37</f>
        <v>A. Espinoza</v>
      </c>
      <c r="B36" s="125" t="s">
        <v>255</v>
      </c>
      <c r="C36" s="124" t="str">
        <f>VLOOKUP($A36,WEEKLY_TEAMS!$B$3:$CME133,13,0)</f>
        <v>↓</v>
      </c>
      <c r="D36" s="124" t="str">
        <f>VLOOKUP($A36,WEEKLY_TEAMS!$B$3:$CME133,25,0)</f>
        <v>↓</v>
      </c>
      <c r="E36" s="124" t="str">
        <f>VLOOKUP($A36,WEEKLY_TEAMS!$B$3:$CME133,37,0)</f>
        <v>↓</v>
      </c>
      <c r="F36" s="124" t="str">
        <f>VLOOKUP($A36,WEEKLY_TEAMS!$B$3:$CME133,49,0)</f>
        <v>=</v>
      </c>
      <c r="G36" s="124" t="str">
        <f>VLOOKUP($A36,WEEKLY_TEAMS!$B$3:$CME133,61,0)</f>
        <v>↓</v>
      </c>
      <c r="H36" s="124" t="str">
        <f>VLOOKUP($A36,WEEKLY_TEAMS!$B$3:$CME133,73,0)</f>
        <v>=</v>
      </c>
      <c r="I36" s="124" t="str">
        <f>VLOOKUP($A36,WEEKLY_TEAMS!$B$3:$CME133,85,0)</f>
        <v>=</v>
      </c>
      <c r="J36" s="124" t="str">
        <f>VLOOKUP($A36,WEEKLY_TEAMS!$B$3:$CME133,97,0)</f>
        <v>=</v>
      </c>
    </row>
    <row r="37" ht="15.75" customHeight="1">
      <c r="A37" s="124" t="str">
        <f>WEEKLY_TEAMS!B38</f>
        <v>J. Sarza</v>
      </c>
      <c r="B37" s="125" t="s">
        <v>255</v>
      </c>
      <c r="C37" s="124" t="str">
        <f>VLOOKUP($A37,WEEKLY_TEAMS!$B$3:$CME134,13,0)</f>
        <v>↓</v>
      </c>
      <c r="D37" s="124" t="str">
        <f>VLOOKUP($A37,WEEKLY_TEAMS!$B$3:$CME134,25,0)</f>
        <v>↓</v>
      </c>
      <c r="E37" s="124" t="str">
        <f>VLOOKUP($A37,WEEKLY_TEAMS!$B$3:$CME134,37,0)</f>
        <v>↓</v>
      </c>
      <c r="F37" s="124" t="str">
        <f>VLOOKUP($A37,WEEKLY_TEAMS!$B$3:$CME134,49,0)</f>
        <v>↓</v>
      </c>
      <c r="G37" s="124" t="str">
        <f>VLOOKUP($A37,WEEKLY_TEAMS!$B$3:$CME134,61,0)</f>
        <v>↓</v>
      </c>
      <c r="H37" s="124" t="str">
        <f>VLOOKUP($A37,WEEKLY_TEAMS!$B$3:$CME134,73,0)</f>
        <v>=</v>
      </c>
      <c r="I37" s="124" t="str">
        <f>VLOOKUP($A37,WEEKLY_TEAMS!$B$3:$CME134,85,0)</f>
        <v>=</v>
      </c>
      <c r="J37" s="124" t="str">
        <f>VLOOKUP($A37,WEEKLY_TEAMS!$B$3:$CME134,97,0)</f>
        <v>=</v>
      </c>
    </row>
    <row r="38" ht="15.75" customHeight="1">
      <c r="A38" s="124" t="str">
        <f>WEEKLY_TEAMS!B39</f>
        <v>🔄 (Jhonatan A)</v>
      </c>
      <c r="B38" s="125" t="s">
        <v>255</v>
      </c>
      <c r="C38" s="124" t="str">
        <f>VLOOKUP($A38,WEEKLY_TEAMS!$B$3:$CME135,13,0)</f>
        <v>↓</v>
      </c>
      <c r="D38" s="124" t="str">
        <f>VLOOKUP($A38,WEEKLY_TEAMS!$B$3:$CME135,25,0)</f>
        <v>↓</v>
      </c>
      <c r="E38" s="124" t="str">
        <f>VLOOKUP($A38,WEEKLY_TEAMS!$B$3:$CME135,37,0)</f>
        <v>=</v>
      </c>
      <c r="F38" s="124" t="str">
        <f>VLOOKUP($A38,WEEKLY_TEAMS!$B$3:$CME135,49,0)</f>
        <v>↑</v>
      </c>
      <c r="G38" s="124" t="str">
        <f>VLOOKUP($A38,WEEKLY_TEAMS!$B$3:$CME135,61,0)</f>
        <v>=</v>
      </c>
      <c r="H38" s="124" t="str">
        <f>VLOOKUP($A38,WEEKLY_TEAMS!$B$3:$CME135,73,0)</f>
        <v>=</v>
      </c>
      <c r="I38" s="124" t="str">
        <f>VLOOKUP($A38,WEEKLY_TEAMS!$B$3:$CME135,85,0)</f>
        <v>=</v>
      </c>
      <c r="J38" s="124" t="str">
        <f>VLOOKUP($A38,WEEKLY_TEAMS!$B$3:$CME135,97,0)</f>
        <v>=</v>
      </c>
    </row>
    <row r="39" ht="15.75" customHeight="1">
      <c r="A39" s="124" t="str">
        <f>WEEKLY_TEAMS!B40</f>
        <v>🔄 (Joel)</v>
      </c>
      <c r="B39" s="125" t="s">
        <v>255</v>
      </c>
      <c r="C39" s="124" t="str">
        <f>VLOOKUP($A39,WEEKLY_TEAMS!$B$3:$CME136,13,0)</f>
        <v>↓</v>
      </c>
      <c r="D39" s="124" t="str">
        <f>VLOOKUP($A39,WEEKLY_TEAMS!$B$3:$CME136,25,0)</f>
        <v>↓</v>
      </c>
      <c r="E39" s="124" t="str">
        <f>VLOOKUP($A39,WEEKLY_TEAMS!$B$3:$CME136,37,0)</f>
        <v>↓</v>
      </c>
      <c r="F39" s="124" t="str">
        <f>VLOOKUP($A39,WEEKLY_TEAMS!$B$3:$CME136,49,0)</f>
        <v>↑</v>
      </c>
      <c r="G39" s="124" t="str">
        <f>VLOOKUP($A39,WEEKLY_TEAMS!$B$3:$CME136,61,0)</f>
        <v>=</v>
      </c>
      <c r="H39" s="124" t="str">
        <f>VLOOKUP($A39,WEEKLY_TEAMS!$B$3:$CME136,73,0)</f>
        <v>↑</v>
      </c>
      <c r="I39" s="124" t="str">
        <f>VLOOKUP($A39,WEEKLY_TEAMS!$B$3:$CME136,85,0)</f>
        <v>=</v>
      </c>
      <c r="J39" s="124" t="str">
        <f>VLOOKUP($A39,WEEKLY_TEAMS!$B$3:$CME136,97,0)</f>
        <v>=</v>
      </c>
    </row>
    <row r="40" ht="15.75" customHeight="1">
      <c r="A40" s="124" t="str">
        <f>WEEKLY_TEAMS!B41</f>
        <v>🔄 (Valverde)</v>
      </c>
      <c r="B40" s="125" t="s">
        <v>255</v>
      </c>
      <c r="C40" s="124" t="str">
        <f>VLOOKUP($A40,WEEKLY_TEAMS!$B$3:$CME137,13,0)</f>
        <v>=</v>
      </c>
      <c r="D40" s="124" t="str">
        <f>VLOOKUP($A40,WEEKLY_TEAMS!$B$3:$CME137,25,0)</f>
        <v>=</v>
      </c>
      <c r="E40" s="124" t="str">
        <f>VLOOKUP($A40,WEEKLY_TEAMS!$B$3:$CME137,37,0)</f>
        <v>=</v>
      </c>
      <c r="F40" s="124" t="str">
        <f>VLOOKUP($A40,WEEKLY_TEAMS!$B$3:$CME137,49,0)</f>
        <v>=</v>
      </c>
      <c r="G40" s="124" t="str">
        <f>VLOOKUP($A40,WEEKLY_TEAMS!$B$3:$CME137,61,0)</f>
        <v>=</v>
      </c>
      <c r="H40" s="124" t="str">
        <f>VLOOKUP($A40,WEEKLY_TEAMS!$B$3:$CME137,73,0)</f>
        <v>=</v>
      </c>
      <c r="I40" s="124" t="str">
        <f>VLOOKUP($A40,WEEKLY_TEAMS!$B$3:$CME137,85,0)</f>
        <v>=</v>
      </c>
      <c r="J40" s="124" t="str">
        <f>VLOOKUP($A40,WEEKLY_TEAMS!$B$3:$CME137,97,0)</f>
        <v>=</v>
      </c>
    </row>
    <row r="41" ht="15.75" customHeight="1">
      <c r="A41" s="124" t="str">
        <f>WEEKLY_TEAMS!B42</f>
        <v>🔄 (Cuñis)</v>
      </c>
      <c r="B41" s="125" t="s">
        <v>255</v>
      </c>
      <c r="C41" s="124" t="str">
        <f>VLOOKUP($A41,WEEKLY_TEAMS!$B$3:$CME138,13,0)</f>
        <v>↓</v>
      </c>
      <c r="D41" s="124" t="str">
        <f>VLOOKUP($A41,WEEKLY_TEAMS!$B$3:$CME138,25,0)</f>
        <v>↑</v>
      </c>
      <c r="E41" s="124" t="str">
        <f>VLOOKUP($A41,WEEKLY_TEAMS!$B$3:$CME138,37,0)</f>
        <v>↓</v>
      </c>
      <c r="F41" s="124" t="str">
        <f>VLOOKUP($A41,WEEKLY_TEAMS!$B$3:$CME138,49,0)</f>
        <v>=</v>
      </c>
      <c r="G41" s="124" t="str">
        <f>VLOOKUP($A41,WEEKLY_TEAMS!$B$3:$CME138,61,0)</f>
        <v>↓</v>
      </c>
      <c r="H41" s="124" t="str">
        <f>VLOOKUP($A41,WEEKLY_TEAMS!$B$3:$CME138,73,0)</f>
        <v>↑</v>
      </c>
      <c r="I41" s="124" t="str">
        <f>VLOOKUP($A41,WEEKLY_TEAMS!$B$3:$CME138,85,0)</f>
        <v>=</v>
      </c>
      <c r="J41" s="124" t="str">
        <f>VLOOKUP($A41,WEEKLY_TEAMS!$B$3:$CME138,97,0)</f>
        <v>↓</v>
      </c>
    </row>
    <row r="42" ht="15.75" customHeight="1">
      <c r="A42" s="124" t="str">
        <f>WEEKLY_TEAMS!B43</f>
        <v>🔄 (Karter)</v>
      </c>
      <c r="B42" s="125" t="s">
        <v>255</v>
      </c>
      <c r="C42" s="124" t="str">
        <f>VLOOKUP($A42,WEEKLY_TEAMS!$B$3:$CME139,13,0)</f>
        <v>↓</v>
      </c>
      <c r="D42" s="124" t="str">
        <f>VLOOKUP($A42,WEEKLY_TEAMS!$B$3:$CME139,25,0)</f>
        <v>↓</v>
      </c>
      <c r="E42" s="124" t="str">
        <f>VLOOKUP($A42,WEEKLY_TEAMS!$B$3:$CME139,37,0)</f>
        <v>↑</v>
      </c>
      <c r="F42" s="124" t="str">
        <f>VLOOKUP($A42,WEEKLY_TEAMS!$B$3:$CME139,49,0)</f>
        <v>↓</v>
      </c>
      <c r="G42" s="124" t="str">
        <f>VLOOKUP($A42,WEEKLY_TEAMS!$B$3:$CME139,61,0)</f>
        <v>=</v>
      </c>
      <c r="H42" s="124" t="str">
        <f>VLOOKUP($A42,WEEKLY_TEAMS!$B$3:$CME139,73,0)</f>
        <v>↓</v>
      </c>
      <c r="I42" s="124" t="str">
        <f>VLOOKUP($A42,WEEKLY_TEAMS!$B$3:$CME139,85,0)</f>
        <v>=</v>
      </c>
      <c r="J42" s="124" t="str">
        <f>VLOOKUP($A42,WEEKLY_TEAMS!$B$3:$CME139,97,0)</f>
        <v>↓</v>
      </c>
    </row>
    <row r="43" ht="15.75" customHeight="1">
      <c r="A43" s="124" t="str">
        <f>WEEKLY_TEAMS!B44</f>
        <v>🔄 (Enerson)</v>
      </c>
      <c r="B43" s="125" t="s">
        <v>255</v>
      </c>
      <c r="C43" s="124" t="str">
        <f>VLOOKUP($A43,WEEKLY_TEAMS!$B$3:$CME140,13,0)</f>
        <v>↓</v>
      </c>
      <c r="D43" s="124" t="str">
        <f>VLOOKUP($A43,WEEKLY_TEAMS!$B$3:$CME140,25,0)</f>
        <v>↓</v>
      </c>
      <c r="E43" s="124" t="str">
        <f>VLOOKUP($A43,WEEKLY_TEAMS!$B$3:$CME140,37,0)</f>
        <v>↓</v>
      </c>
      <c r="F43" s="124" t="str">
        <f>VLOOKUP($A43,WEEKLY_TEAMS!$B$3:$CME140,49,0)</f>
        <v>↓</v>
      </c>
      <c r="G43" s="124" t="str">
        <f>VLOOKUP($A43,WEEKLY_TEAMS!$B$3:$CME140,61,0)</f>
        <v>↑</v>
      </c>
      <c r="H43" s="124" t="str">
        <f>VLOOKUP($A43,WEEKLY_TEAMS!$B$3:$CME140,73,0)</f>
        <v>↓</v>
      </c>
      <c r="I43" s="124" t="str">
        <f>VLOOKUP($A43,WEEKLY_TEAMS!$B$3:$CME140,85,0)</f>
        <v>↓</v>
      </c>
      <c r="J43" s="124" t="str">
        <f>VLOOKUP($A43,WEEKLY_TEAMS!$B$3:$CME140,97,0)</f>
        <v>↑</v>
      </c>
    </row>
    <row r="44" ht="15.75" customHeight="1">
      <c r="A44" s="124" t="str">
        <f>WEEKLY_TEAMS!B46</f>
        <v>🔄 (Yan Carlos)</v>
      </c>
      <c r="B44" s="125" t="s">
        <v>255</v>
      </c>
      <c r="C44" s="124" t="str">
        <f>VLOOKUP($A44,WEEKLY_TEAMS!$B$3:$CME141,13,0)</f>
        <v>↓</v>
      </c>
      <c r="D44" s="124" t="str">
        <f>VLOOKUP($A44,WEEKLY_TEAMS!$B$3:$CME141,25,0)</f>
        <v>↓</v>
      </c>
      <c r="E44" s="124" t="str">
        <f>VLOOKUP($A44,WEEKLY_TEAMS!$B$3:$CME141,37,0)</f>
        <v>↓</v>
      </c>
      <c r="F44" s="124" t="str">
        <f>VLOOKUP($A44,WEEKLY_TEAMS!$B$3:$CME141,49,0)</f>
        <v>↓</v>
      </c>
      <c r="G44" s="124" t="str">
        <f>VLOOKUP($A44,WEEKLY_TEAMS!$B$3:$CME141,61,0)</f>
        <v>↓</v>
      </c>
      <c r="H44" s="124" t="str">
        <f>VLOOKUP($A44,WEEKLY_TEAMS!$B$3:$CME141,73,0)</f>
        <v>↑</v>
      </c>
      <c r="I44" s="124" t="str">
        <f>VLOOKUP($A44,WEEKLY_TEAMS!$B$3:$CME141,85,0)</f>
        <v>↓</v>
      </c>
      <c r="J44" s="124" t="str">
        <f>VLOOKUP($A44,WEEKLY_TEAMS!$B$3:$CME141,97,0)</f>
        <v>↑</v>
      </c>
    </row>
    <row r="45" ht="15.75" customHeight="1">
      <c r="A45" s="124" t="str">
        <f>WEEKLY_TEAMS!B45</f>
        <v>🔄 (Rudy)</v>
      </c>
      <c r="B45" s="125" t="s">
        <v>255</v>
      </c>
      <c r="C45" s="124" t="str">
        <f>VLOOKUP($A45,WEEKLY_TEAMS!$B$3:$CME142,13,0)</f>
        <v>↓</v>
      </c>
      <c r="D45" s="124" t="str">
        <f>VLOOKUP($A45,WEEKLY_TEAMS!$B$3:$CME142,25,0)</f>
        <v>↓</v>
      </c>
      <c r="E45" s="124" t="str">
        <f>VLOOKUP($A45,WEEKLY_TEAMS!$B$3:$CME142,37,0)</f>
        <v>↓</v>
      </c>
      <c r="F45" s="124" t="str">
        <f>VLOOKUP($A45,WEEKLY_TEAMS!$B$3:$CME142,49,0)</f>
        <v>↓</v>
      </c>
      <c r="G45" s="124" t="str">
        <f>VLOOKUP($A45,WEEKLY_TEAMS!$B$3:$CME142,61,0)</f>
        <v>↓</v>
      </c>
      <c r="H45" s="124" t="str">
        <f>VLOOKUP($A45,WEEKLY_TEAMS!$B$3:$CME142,73,0)</f>
        <v>↑</v>
      </c>
      <c r="I45" s="124" t="str">
        <f>VLOOKUP($A45,WEEKLY_TEAMS!$B$3:$CME142,85,0)</f>
        <v>↑</v>
      </c>
      <c r="J45" s="124" t="str">
        <f>VLOOKUP($A45,WEEKLY_TEAMS!$B$3:$CME142,97,0)</f>
        <v>↓</v>
      </c>
    </row>
    <row r="46" ht="15.75" customHeight="1">
      <c r="A46" s="124" t="str">
        <f>WEEKLY_TEAMS!B47</f>
        <v>🔄 (Chato)</v>
      </c>
      <c r="B46" s="125" t="s">
        <v>255</v>
      </c>
      <c r="C46" s="124" t="str">
        <f>VLOOKUP($A46,WEEKLY_TEAMS!$B$3:$CME143,13,0)</f>
        <v>↓</v>
      </c>
      <c r="D46" s="124" t="str">
        <f>VLOOKUP($A46,WEEKLY_TEAMS!$B$3:$CME143,25,0)</f>
        <v>↓</v>
      </c>
      <c r="E46" s="124" t="str">
        <f>VLOOKUP($A46,WEEKLY_TEAMS!$B$3:$CME143,37,0)</f>
        <v>↓</v>
      </c>
      <c r="F46" s="124" t="str">
        <f>VLOOKUP($A46,WEEKLY_TEAMS!$B$3:$CME143,49,0)</f>
        <v>↓</v>
      </c>
      <c r="G46" s="124" t="str">
        <f>VLOOKUP($A46,WEEKLY_TEAMS!$B$3:$CME143,61,0)</f>
        <v>↓</v>
      </c>
      <c r="H46" s="124" t="str">
        <f>VLOOKUP($A46,WEEKLY_TEAMS!$B$3:$CME143,73,0)</f>
        <v>↑</v>
      </c>
      <c r="I46" s="124" t="str">
        <f>VLOOKUP($A46,WEEKLY_TEAMS!$B$3:$CME143,85,0)</f>
        <v>↓</v>
      </c>
      <c r="J46" s="124" t="str">
        <f>VLOOKUP($A46,WEEKLY_TEAMS!$B$3:$CME143,97,0)</f>
        <v>↓</v>
      </c>
    </row>
    <row r="47" ht="15.75" customHeight="1">
      <c r="A47" s="124" t="str">
        <f>WEEKLY_TEAMS!B48</f>
        <v>🔄 (Chilas)</v>
      </c>
      <c r="B47" s="125" t="s">
        <v>255</v>
      </c>
      <c r="C47" s="124" t="str">
        <f>VLOOKUP($A47,WEEKLY_TEAMS!$B$3:$CME144,13,0)</f>
        <v>↓</v>
      </c>
      <c r="D47" s="124" t="str">
        <f>VLOOKUP($A47,WEEKLY_TEAMS!$B$3:$CME144,25,0)</f>
        <v>↓</v>
      </c>
      <c r="E47" s="124" t="str">
        <f>VLOOKUP($A47,WEEKLY_TEAMS!$B$3:$CME144,37,0)</f>
        <v>↓</v>
      </c>
      <c r="F47" s="124" t="str">
        <f>VLOOKUP($A47,WEEKLY_TEAMS!$B$3:$CME144,49,0)</f>
        <v>↑</v>
      </c>
      <c r="G47" s="124" t="str">
        <f>VLOOKUP($A47,WEEKLY_TEAMS!$B$3:$CME144,61,0)</f>
        <v>↓</v>
      </c>
      <c r="H47" s="124" t="str">
        <f>VLOOKUP($A47,WEEKLY_TEAMS!$B$3:$CME144,73,0)</f>
        <v>↓</v>
      </c>
      <c r="I47" s="124" t="str">
        <f>VLOOKUP($A47,WEEKLY_TEAMS!$B$3:$CME144,85,0)</f>
        <v>↓</v>
      </c>
      <c r="J47" s="124" t="str">
        <f>VLOOKUP($A47,WEEKLY_TEAMS!$B$3:$CME144,97,0)</f>
        <v>↓</v>
      </c>
    </row>
    <row r="48" ht="15.75" customHeight="1">
      <c r="A48" s="124" t="str">
        <f>WEEKLY_TEAMS!B49</f>
        <v>🔄 (Netto)</v>
      </c>
      <c r="B48" s="125" t="s">
        <v>255</v>
      </c>
      <c r="C48" s="124" t="str">
        <f>VLOOKUP($A48,WEEKLY_TEAMS!$B$3:$CME145,13,0)</f>
        <v>↓</v>
      </c>
      <c r="D48" s="124" t="str">
        <f>VLOOKUP($A48,WEEKLY_TEAMS!$B$3:$CME145,25,0)</f>
        <v>↓</v>
      </c>
      <c r="E48" s="124" t="str">
        <f>VLOOKUP($A48,WEEKLY_TEAMS!$B$3:$CME145,37,0)</f>
        <v>↑</v>
      </c>
      <c r="F48" s="124" t="str">
        <f>VLOOKUP($A48,WEEKLY_TEAMS!$B$3:$CME145,49,0)</f>
        <v>↓</v>
      </c>
      <c r="G48" s="124" t="str">
        <f>VLOOKUP($A48,WEEKLY_TEAMS!$B$3:$CME145,61,0)</f>
        <v>↓</v>
      </c>
      <c r="H48" s="124" t="str">
        <f>VLOOKUP($A48,WEEKLY_TEAMS!$B$3:$CME145,73,0)</f>
        <v>↓</v>
      </c>
      <c r="I48" s="124" t="str">
        <f>VLOOKUP($A48,WEEKLY_TEAMS!$B$3:$CME145,85,0)</f>
        <v>↓</v>
      </c>
      <c r="J48" s="124" t="str">
        <f>VLOOKUP($A48,WEEKLY_TEAMS!$B$3:$CME145,97,0)</f>
        <v>↓</v>
      </c>
    </row>
    <row r="49" ht="15.75" customHeight="1">
      <c r="A49" s="124" t="str">
        <f>WEEKLY_TEAMS!B50</f>
        <v>🔄 (Saúl)</v>
      </c>
      <c r="B49" s="125" t="s">
        <v>255</v>
      </c>
      <c r="C49" s="124" t="str">
        <f>VLOOKUP($A49,WEEKLY_TEAMS!$B$3:$CME146,13,0)</f>
        <v>↓</v>
      </c>
      <c r="D49" s="124" t="str">
        <f>VLOOKUP($A49,WEEKLY_TEAMS!$B$3:$CME146,25,0)</f>
        <v>↓</v>
      </c>
      <c r="E49" s="124" t="str">
        <f>VLOOKUP($A49,WEEKLY_TEAMS!$B$3:$CME146,37,0)</f>
        <v>↑</v>
      </c>
      <c r="F49" s="124" t="str">
        <f>VLOOKUP($A49,WEEKLY_TEAMS!$B$3:$CME146,49,0)</f>
        <v>↓</v>
      </c>
      <c r="G49" s="124" t="str">
        <f>VLOOKUP($A49,WEEKLY_TEAMS!$B$3:$CME146,61,0)</f>
        <v>↓</v>
      </c>
      <c r="H49" s="124" t="str">
        <f>VLOOKUP($A49,WEEKLY_TEAMS!$B$3:$CME146,73,0)</f>
        <v>↓</v>
      </c>
      <c r="I49" s="124" t="str">
        <f>VLOOKUP($A49,WEEKLY_TEAMS!$B$3:$CME146,85,0)</f>
        <v>↓</v>
      </c>
      <c r="J49" s="124" t="str">
        <f>VLOOKUP($A49,WEEKLY_TEAMS!$B$3:$CME146,97,0)</f>
        <v>↓</v>
      </c>
    </row>
    <row r="50" ht="15.75" customHeight="1">
      <c r="A50" s="124" t="str">
        <f>#REF!</f>
        <v>#REF!</v>
      </c>
      <c r="B50" s="125" t="s">
        <v>255</v>
      </c>
      <c r="C50" s="124" t="str">
        <f>VLOOKUP($A50,WEEKLY_TEAMS!$B$3:$CME147,13,0)</f>
        <v>#REF!</v>
      </c>
      <c r="D50" s="124" t="str">
        <f>VLOOKUP($A50,WEEKLY_TEAMS!$B$3:$CME147,25,0)</f>
        <v>#REF!</v>
      </c>
      <c r="E50" s="124" t="str">
        <f>VLOOKUP($A50,WEEKLY_TEAMS!$B$3:$CME147,37,0)</f>
        <v>#REF!</v>
      </c>
      <c r="F50" s="124" t="str">
        <f>VLOOKUP($A50,WEEKLY_TEAMS!$B$3:$CME147,49,0)</f>
        <v>#REF!</v>
      </c>
      <c r="G50" s="124" t="str">
        <f>VLOOKUP($A50,WEEKLY_TEAMS!$B$3:$CME147,61,0)</f>
        <v>#REF!</v>
      </c>
      <c r="H50" s="124" t="str">
        <f>VLOOKUP($A50,WEEKLY_TEAMS!$B$3:$CME147,73,0)</f>
        <v>#REF!</v>
      </c>
      <c r="I50" s="124" t="str">
        <f>VLOOKUP($A50,WEEKLY_TEAMS!$B$3:$CME147,85,0)</f>
        <v>#REF!</v>
      </c>
      <c r="J50" s="124" t="str">
        <f>VLOOKUP($A50,WEEKLY_TEAMS!$B$3:$CME147,97,0)</f>
        <v>#REF!</v>
      </c>
    </row>
    <row r="51" ht="15.75" customHeight="1">
      <c r="A51" s="124" t="str">
        <f>WEEKLY_TEAMS!B51</f>
        <v>🔄 (Guille)</v>
      </c>
      <c r="B51" s="125" t="s">
        <v>255</v>
      </c>
      <c r="C51" s="124" t="str">
        <f>VLOOKUP($A51,WEEKLY_TEAMS!$B$3:$CME148,13,0)</f>
        <v>↓</v>
      </c>
      <c r="D51" s="124" t="str">
        <f>VLOOKUP($A51,WEEKLY_TEAMS!$B$3:$CME148,25,0)</f>
        <v>↓</v>
      </c>
      <c r="E51" s="124" t="str">
        <f>VLOOKUP($A51,WEEKLY_TEAMS!$B$3:$CME148,37,0)</f>
        <v>↓</v>
      </c>
      <c r="F51" s="124" t="str">
        <f>VLOOKUP($A51,WEEKLY_TEAMS!$B$3:$CME148,49,0)</f>
        <v>↓</v>
      </c>
      <c r="G51" s="124" t="str">
        <f>VLOOKUP($A51,WEEKLY_TEAMS!$B$3:$CME148,61,0)</f>
        <v>↓</v>
      </c>
      <c r="H51" s="124" t="str">
        <f>VLOOKUP($A51,WEEKLY_TEAMS!$B$3:$CME148,73,0)</f>
        <v>↓</v>
      </c>
      <c r="I51" s="124" t="str">
        <f>VLOOKUP($A51,WEEKLY_TEAMS!$B$3:$CME148,85,0)</f>
        <v>↓</v>
      </c>
      <c r="J51" s="124" t="str">
        <f>VLOOKUP($A51,WEEKLY_TEAMS!$B$3:$CME148,97,0)</f>
        <v>↓</v>
      </c>
    </row>
    <row r="52" ht="15.75" customHeight="1">
      <c r="A52" s="124" t="str">
        <f>WEEKLY_TEAMS!B52</f>
        <v>🔄 (Estavillo)</v>
      </c>
      <c r="B52" s="125" t="s">
        <v>255</v>
      </c>
      <c r="C52" s="124" t="str">
        <f>VLOOKUP($A52,WEEKLY_TEAMS!$B$3:$CME149,13,0)</f>
        <v>↓</v>
      </c>
      <c r="D52" s="124" t="str">
        <f>VLOOKUP($A52,WEEKLY_TEAMS!$B$3:$CME149,25,0)</f>
        <v>↓</v>
      </c>
      <c r="E52" s="124" t="str">
        <f>VLOOKUP($A52,WEEKLY_TEAMS!$B$3:$CME149,37,0)</f>
        <v>↓</v>
      </c>
      <c r="F52" s="124" t="str">
        <f>VLOOKUP($A52,WEEKLY_TEAMS!$B$3:$CME149,49,0)</f>
        <v>↓</v>
      </c>
      <c r="G52" s="124" t="str">
        <f>VLOOKUP($A52,WEEKLY_TEAMS!$B$3:$CME149,61,0)</f>
        <v>↓</v>
      </c>
      <c r="H52" s="124" t="str">
        <f>VLOOKUP($A52,WEEKLY_TEAMS!$B$3:$CME149,73,0)</f>
        <v>↓</v>
      </c>
      <c r="I52" s="124" t="str">
        <f>VLOOKUP($A52,WEEKLY_TEAMS!$B$3:$CME149,85,0)</f>
        <v>↑</v>
      </c>
      <c r="J52" s="124" t="str">
        <f>VLOOKUP($A52,WEEKLY_TEAMS!$B$3:$CME149,97,0)</f>
        <v>↓</v>
      </c>
    </row>
    <row r="53" ht="15.75" customHeight="1">
      <c r="A53" s="124" t="str">
        <f>WEEKLY_TEAMS!B53</f>
        <v>🔄 (Jhony S)</v>
      </c>
      <c r="B53" s="125" t="s">
        <v>255</v>
      </c>
      <c r="C53" s="124" t="str">
        <f>VLOOKUP($A53,WEEKLY_TEAMS!$B$3:$CME150,13,0)</f>
        <v>↓</v>
      </c>
      <c r="D53" s="124" t="str">
        <f>VLOOKUP($A53,WEEKLY_TEAMS!$B$3:$CME150,25,0)</f>
        <v>↓</v>
      </c>
      <c r="E53" s="124" t="str">
        <f>VLOOKUP($A53,WEEKLY_TEAMS!$B$3:$CME150,37,0)</f>
        <v>↓</v>
      </c>
      <c r="F53" s="124" t="str">
        <f>VLOOKUP($A53,WEEKLY_TEAMS!$B$3:$CME150,49,0)</f>
        <v>↓</v>
      </c>
      <c r="G53" s="124" t="str">
        <f>VLOOKUP($A53,WEEKLY_TEAMS!$B$3:$CME150,61,0)</f>
        <v>↓</v>
      </c>
      <c r="H53" s="124" t="str">
        <f>VLOOKUP($A53,WEEKLY_TEAMS!$B$3:$CME150,73,0)</f>
        <v>↓</v>
      </c>
      <c r="I53" s="124" t="str">
        <f>VLOOKUP($A53,WEEKLY_TEAMS!$B$3:$CME150,85,0)</f>
        <v>↓</v>
      </c>
      <c r="J53" s="124" t="str">
        <f>VLOOKUP($A53,WEEKLY_TEAMS!$B$3:$CME150,97,0)</f>
        <v>↑</v>
      </c>
    </row>
    <row r="54" ht="15.75" customHeight="1">
      <c r="A54" s="124" t="str">
        <f>WEEKLY_TEAMS!B54</f>
        <v>🔄 (Victor)</v>
      </c>
      <c r="B54" s="125" t="s">
        <v>255</v>
      </c>
      <c r="C54" s="124" t="str">
        <f>VLOOKUP($A54,WEEKLY_TEAMS!$B$3:$CME151,13,0)</f>
        <v>↓</v>
      </c>
      <c r="D54" s="124" t="str">
        <f>VLOOKUP($A54,WEEKLY_TEAMS!$B$3:$CME151,25,0)</f>
        <v>↓</v>
      </c>
      <c r="E54" s="124" t="str">
        <f>VLOOKUP($A54,WEEKLY_TEAMS!$B$3:$CME151,37,0)</f>
        <v>↓</v>
      </c>
      <c r="F54" s="124" t="str">
        <f>VLOOKUP($A54,WEEKLY_TEAMS!$B$3:$CME151,49,0)</f>
        <v>↓</v>
      </c>
      <c r="G54" s="124" t="str">
        <f>VLOOKUP($A54,WEEKLY_TEAMS!$B$3:$CME151,61,0)</f>
        <v>↓</v>
      </c>
      <c r="H54" s="124" t="str">
        <f>VLOOKUP($A54,WEEKLY_TEAMS!$B$3:$CME151,73,0)</f>
        <v>↓</v>
      </c>
      <c r="I54" s="124" t="str">
        <f>VLOOKUP($A54,WEEKLY_TEAMS!$B$3:$CME151,85,0)</f>
        <v>↓</v>
      </c>
      <c r="J54" s="124" t="str">
        <f>VLOOKUP($A54,WEEKLY_TEAMS!$B$3:$CME151,97,0)</f>
        <v>↑</v>
      </c>
    </row>
    <row r="55" ht="15.75" customHeight="1">
      <c r="A55" s="124" t="str">
        <f>WEEKLY_TEAMS!B55</f>
        <v>🔄 (Nicolas)</v>
      </c>
      <c r="B55" s="125" t="s">
        <v>255</v>
      </c>
      <c r="C55" s="124" t="str">
        <f>VLOOKUP($A55,WEEKLY_TEAMS!$B$3:$CME152,13,0)</f>
        <v>↓</v>
      </c>
      <c r="D55" s="124" t="str">
        <f>VLOOKUP($A55,WEEKLY_TEAMS!$B$3:$CME152,25,0)</f>
        <v>↓</v>
      </c>
      <c r="E55" s="124" t="str">
        <f>VLOOKUP($A55,WEEKLY_TEAMS!$B$3:$CME152,37,0)</f>
        <v>↓</v>
      </c>
      <c r="F55" s="124" t="str">
        <f>VLOOKUP($A55,WEEKLY_TEAMS!$B$3:$CME152,49,0)</f>
        <v>↓</v>
      </c>
      <c r="G55" s="124" t="str">
        <f>VLOOKUP($A55,WEEKLY_TEAMS!$B$3:$CME152,61,0)</f>
        <v>↓</v>
      </c>
      <c r="H55" s="124" t="str">
        <f>VLOOKUP($A55,WEEKLY_TEAMS!$B$3:$CME152,73,0)</f>
        <v>↓</v>
      </c>
      <c r="I55" s="124" t="str">
        <f>VLOOKUP($A55,WEEKLY_TEAMS!$B$3:$CME152,85,0)</f>
        <v>↓</v>
      </c>
      <c r="J55" s="124" t="str">
        <f>VLOOKUP($A55,WEEKLY_TEAMS!$B$3:$CME152,97,0)</f>
        <v>↓</v>
      </c>
    </row>
    <row r="56" ht="15.75" customHeight="1">
      <c r="A56" s="124" t="str">
        <f>WEEKLY_TEAMS!B56</f>
        <v/>
      </c>
      <c r="B56" s="125" t="s">
        <v>255</v>
      </c>
      <c r="C56" s="124" t="str">
        <f>VLOOKUP($A56,WEEKLY_TEAMS!$B$3:$CME153,13,0)</f>
        <v>#N/A</v>
      </c>
      <c r="D56" s="124" t="str">
        <f>VLOOKUP($A56,WEEKLY_TEAMS!$B$3:$CME153,25,0)</f>
        <v>#N/A</v>
      </c>
      <c r="E56" s="124" t="str">
        <f>VLOOKUP($A56,WEEKLY_TEAMS!$B$3:$CME153,37,0)</f>
        <v>#N/A</v>
      </c>
      <c r="F56" s="124" t="str">
        <f>VLOOKUP($A56,WEEKLY_TEAMS!$B$3:$CME153,49,0)</f>
        <v>#N/A</v>
      </c>
      <c r="G56" s="124" t="str">
        <f>VLOOKUP($A56,WEEKLY_TEAMS!$B$3:$CME153,61,0)</f>
        <v>#N/A</v>
      </c>
      <c r="H56" s="124" t="str">
        <f>VLOOKUP($A56,WEEKLY_TEAMS!$B$3:$CME153,73,0)</f>
        <v>#N/A</v>
      </c>
      <c r="I56" s="124" t="str">
        <f>VLOOKUP($A56,WEEKLY_TEAMS!$B$3:$CME153,85,0)</f>
        <v>#N/A</v>
      </c>
      <c r="J56" s="124" t="str">
        <f>VLOOKUP($A56,WEEKLY_TEAMS!$B$3:$CME153,97,0)</f>
        <v>#N/A</v>
      </c>
    </row>
    <row r="57" ht="15.75" customHeight="1">
      <c r="A57" s="124" t="str">
        <f>WEEKLY_TEAMS!B57</f>
        <v/>
      </c>
      <c r="B57" s="125" t="s">
        <v>255</v>
      </c>
      <c r="C57" s="124" t="str">
        <f>VLOOKUP($A57,WEEKLY_TEAMS!$B$3:$CME154,13,0)</f>
        <v>#N/A</v>
      </c>
      <c r="D57" s="124" t="str">
        <f>VLOOKUP($A57,WEEKLY_TEAMS!$B$3:$CME154,25,0)</f>
        <v>#N/A</v>
      </c>
      <c r="E57" s="124" t="str">
        <f>VLOOKUP($A57,WEEKLY_TEAMS!$B$3:$CME154,37,0)</f>
        <v>#N/A</v>
      </c>
      <c r="F57" s="124" t="str">
        <f>VLOOKUP($A57,WEEKLY_TEAMS!$B$3:$CME154,49,0)</f>
        <v>#N/A</v>
      </c>
      <c r="G57" s="124" t="str">
        <f>VLOOKUP($A57,WEEKLY_TEAMS!$B$3:$CME154,61,0)</f>
        <v>#N/A</v>
      </c>
      <c r="H57" s="124" t="str">
        <f>VLOOKUP($A57,WEEKLY_TEAMS!$B$3:$CME154,73,0)</f>
        <v>#N/A</v>
      </c>
      <c r="I57" s="124" t="str">
        <f>VLOOKUP($A57,WEEKLY_TEAMS!$B$3:$CME154,85,0)</f>
        <v>#N/A</v>
      </c>
      <c r="J57" s="124" t="str">
        <f>VLOOKUP($A57,WEEKLY_TEAMS!$B$3:$CME154,97,0)</f>
        <v>#N/A</v>
      </c>
    </row>
    <row r="58" ht="15.75" customHeight="1">
      <c r="A58" s="124" t="str">
        <f>WEEKLY_TEAMS!B58</f>
        <v/>
      </c>
      <c r="B58" s="125" t="s">
        <v>255</v>
      </c>
      <c r="C58" s="124" t="str">
        <f>VLOOKUP($A58,WEEKLY_TEAMS!$B$3:$CME155,13,0)</f>
        <v>#N/A</v>
      </c>
      <c r="D58" s="124" t="str">
        <f>VLOOKUP($A58,WEEKLY_TEAMS!$B$3:$CME155,25,0)</f>
        <v>#N/A</v>
      </c>
      <c r="E58" s="124" t="str">
        <f>VLOOKUP($A58,WEEKLY_TEAMS!$B$3:$CME155,37,0)</f>
        <v>#N/A</v>
      </c>
      <c r="F58" s="124" t="str">
        <f>VLOOKUP($A58,WEEKLY_TEAMS!$B$3:$CME155,49,0)</f>
        <v>#N/A</v>
      </c>
      <c r="G58" s="124" t="str">
        <f>VLOOKUP($A58,WEEKLY_TEAMS!$B$3:$CME155,61,0)</f>
        <v>#N/A</v>
      </c>
      <c r="H58" s="124" t="str">
        <f>VLOOKUP($A58,WEEKLY_TEAMS!$B$3:$CME155,73,0)</f>
        <v>#N/A</v>
      </c>
      <c r="I58" s="124" t="str">
        <f>VLOOKUP($A58,WEEKLY_TEAMS!$B$3:$CME155,85,0)</f>
        <v>#N/A</v>
      </c>
      <c r="J58" s="124" t="str">
        <f>VLOOKUP($A58,WEEKLY_TEAMS!$B$3:$CME155,97,0)</f>
        <v>#N/A</v>
      </c>
    </row>
    <row r="59" ht="15.75" customHeight="1">
      <c r="A59" s="124" t="str">
        <f>WEEKLY_TEAMS!B59</f>
        <v/>
      </c>
      <c r="B59" s="125" t="s">
        <v>255</v>
      </c>
      <c r="C59" s="124" t="str">
        <f>VLOOKUP($A59,WEEKLY_TEAMS!$B$3:$CME156,13,0)</f>
        <v>#N/A</v>
      </c>
      <c r="D59" s="124" t="str">
        <f>VLOOKUP($A59,WEEKLY_TEAMS!$B$3:$CME156,25,0)</f>
        <v>#N/A</v>
      </c>
      <c r="E59" s="124" t="str">
        <f>VLOOKUP($A59,WEEKLY_TEAMS!$B$3:$CME156,37,0)</f>
        <v>#N/A</v>
      </c>
      <c r="F59" s="124" t="str">
        <f>VLOOKUP($A59,WEEKLY_TEAMS!$B$3:$CME156,49,0)</f>
        <v>#N/A</v>
      </c>
      <c r="G59" s="124" t="str">
        <f>VLOOKUP($A59,WEEKLY_TEAMS!$B$3:$CME156,61,0)</f>
        <v>#N/A</v>
      </c>
      <c r="H59" s="124" t="str">
        <f>VLOOKUP($A59,WEEKLY_TEAMS!$B$3:$CME156,73,0)</f>
        <v>#N/A</v>
      </c>
      <c r="I59" s="124" t="str">
        <f>VLOOKUP($A59,WEEKLY_TEAMS!$B$3:$CME156,85,0)</f>
        <v>#N/A</v>
      </c>
      <c r="J59" s="124" t="str">
        <f>VLOOKUP($A59,WEEKLY_TEAMS!$B$3:$CME156,97,0)</f>
        <v>#N/A</v>
      </c>
    </row>
    <row r="60" ht="15.75" customHeight="1">
      <c r="A60" s="124" t="str">
        <f>WEEKLY_TEAMS!B60</f>
        <v/>
      </c>
      <c r="B60" s="125" t="s">
        <v>255</v>
      </c>
      <c r="C60" s="124" t="str">
        <f>VLOOKUP($A60,WEEKLY_TEAMS!$B$3:$CME157,13,0)</f>
        <v>#N/A</v>
      </c>
      <c r="D60" s="124" t="str">
        <f>VLOOKUP($A60,WEEKLY_TEAMS!$B$3:$CME157,25,0)</f>
        <v>#N/A</v>
      </c>
      <c r="E60" s="124" t="str">
        <f>VLOOKUP($A60,WEEKLY_TEAMS!$B$3:$CME157,37,0)</f>
        <v>#N/A</v>
      </c>
      <c r="F60" s="124" t="str">
        <f>VLOOKUP($A60,WEEKLY_TEAMS!$B$3:$CME157,49,0)</f>
        <v>#N/A</v>
      </c>
      <c r="G60" s="124" t="str">
        <f>VLOOKUP($A60,WEEKLY_TEAMS!$B$3:$CME157,61,0)</f>
        <v>#N/A</v>
      </c>
      <c r="H60" s="124" t="str">
        <f>VLOOKUP($A60,WEEKLY_TEAMS!$B$3:$CME157,73,0)</f>
        <v>#N/A</v>
      </c>
      <c r="I60" s="124" t="str">
        <f>VLOOKUP($A60,WEEKLY_TEAMS!$B$3:$CME157,85,0)</f>
        <v>#N/A</v>
      </c>
      <c r="J60" s="124" t="str">
        <f>VLOOKUP($A60,WEEKLY_TEAMS!$B$3:$CME157,97,0)</f>
        <v>#N/A</v>
      </c>
    </row>
    <row r="61" ht="15.75" customHeight="1">
      <c r="A61" s="124" t="str">
        <f>WEEKLY_TEAMS!B61</f>
        <v/>
      </c>
      <c r="B61" s="125" t="s">
        <v>255</v>
      </c>
      <c r="C61" s="124" t="str">
        <f>VLOOKUP($A61,WEEKLY_TEAMS!$B$3:$CME158,13,0)</f>
        <v>#N/A</v>
      </c>
      <c r="D61" s="124" t="str">
        <f>VLOOKUP($A61,WEEKLY_TEAMS!$B$3:$CME158,25,0)</f>
        <v>#N/A</v>
      </c>
      <c r="E61" s="124" t="str">
        <f>VLOOKUP($A61,WEEKLY_TEAMS!$B$3:$CME158,37,0)</f>
        <v>#N/A</v>
      </c>
      <c r="F61" s="124" t="str">
        <f>VLOOKUP($A61,WEEKLY_TEAMS!$B$3:$CME158,49,0)</f>
        <v>#N/A</v>
      </c>
      <c r="G61" s="124" t="str">
        <f>VLOOKUP($A61,WEEKLY_TEAMS!$B$3:$CME158,61,0)</f>
        <v>#N/A</v>
      </c>
      <c r="H61" s="124" t="str">
        <f>VLOOKUP($A61,WEEKLY_TEAMS!$B$3:$CME158,73,0)</f>
        <v>#N/A</v>
      </c>
      <c r="I61" s="124" t="str">
        <f>VLOOKUP($A61,WEEKLY_TEAMS!$B$3:$CME158,85,0)</f>
        <v>#N/A</v>
      </c>
      <c r="J61" s="124" t="str">
        <f>VLOOKUP($A61,WEEKLY_TEAMS!$B$3:$CME158,97,0)</f>
        <v>#N/A</v>
      </c>
    </row>
    <row r="62" ht="15.75" customHeight="1">
      <c r="A62" s="124" t="str">
        <f>WEEKLY_TEAMS!B62</f>
        <v/>
      </c>
      <c r="B62" s="125" t="s">
        <v>255</v>
      </c>
      <c r="C62" s="124" t="str">
        <f>VLOOKUP($A62,WEEKLY_TEAMS!$B$3:$CME159,13,0)</f>
        <v>#N/A</v>
      </c>
      <c r="D62" s="124" t="str">
        <f>VLOOKUP($A62,WEEKLY_TEAMS!$B$3:$CME159,25,0)</f>
        <v>#N/A</v>
      </c>
      <c r="E62" s="124" t="str">
        <f>VLOOKUP($A62,WEEKLY_TEAMS!$B$3:$CME159,37,0)</f>
        <v>#N/A</v>
      </c>
      <c r="F62" s="124" t="str">
        <f>VLOOKUP($A62,WEEKLY_TEAMS!$B$3:$CME159,49,0)</f>
        <v>#N/A</v>
      </c>
      <c r="G62" s="124" t="str">
        <f>VLOOKUP($A62,WEEKLY_TEAMS!$B$3:$CME159,61,0)</f>
        <v>#N/A</v>
      </c>
      <c r="H62" s="124" t="str">
        <f>VLOOKUP($A62,WEEKLY_TEAMS!$B$3:$CME159,73,0)</f>
        <v>#N/A</v>
      </c>
      <c r="I62" s="124" t="str">
        <f>VLOOKUP($A62,WEEKLY_TEAMS!$B$3:$CME159,85,0)</f>
        <v>#N/A</v>
      </c>
      <c r="J62" s="124" t="str">
        <f>VLOOKUP($A62,WEEKLY_TEAMS!$B$3:$CME159,97,0)</f>
        <v>#N/A</v>
      </c>
    </row>
    <row r="63" ht="15.75" customHeight="1">
      <c r="A63" s="124" t="str">
        <f>WEEKLY_TEAMS!B63</f>
        <v/>
      </c>
      <c r="B63" s="125" t="s">
        <v>255</v>
      </c>
      <c r="C63" s="124" t="str">
        <f>VLOOKUP($A63,WEEKLY_TEAMS!$B$3:$CME160,13,0)</f>
        <v>#N/A</v>
      </c>
      <c r="D63" s="124" t="str">
        <f>VLOOKUP($A63,WEEKLY_TEAMS!$B$3:$CME160,25,0)</f>
        <v>#N/A</v>
      </c>
      <c r="E63" s="124" t="str">
        <f>VLOOKUP($A63,WEEKLY_TEAMS!$B$3:$CME160,37,0)</f>
        <v>#N/A</v>
      </c>
      <c r="F63" s="124" t="str">
        <f>VLOOKUP($A63,WEEKLY_TEAMS!$B$3:$CME160,49,0)</f>
        <v>#N/A</v>
      </c>
      <c r="G63" s="124" t="str">
        <f>VLOOKUP($A63,WEEKLY_TEAMS!$B$3:$CME160,61,0)</f>
        <v>#N/A</v>
      </c>
      <c r="H63" s="124" t="str">
        <f>VLOOKUP($A63,WEEKLY_TEAMS!$B$3:$CME160,73,0)</f>
        <v>#N/A</v>
      </c>
      <c r="I63" s="124" t="str">
        <f>VLOOKUP($A63,WEEKLY_TEAMS!$B$3:$CME160,85,0)</f>
        <v>#N/A</v>
      </c>
      <c r="J63" s="124" t="str">
        <f>VLOOKUP($A63,WEEKLY_TEAMS!$B$3:$CME160,97,0)</f>
        <v>#N/A</v>
      </c>
    </row>
    <row r="64" ht="15.75" customHeight="1">
      <c r="A64" s="124" t="str">
        <f>WEEKLY_TEAMS!B64</f>
        <v/>
      </c>
      <c r="B64" s="125" t="s">
        <v>255</v>
      </c>
      <c r="C64" s="124" t="str">
        <f>VLOOKUP($A64,WEEKLY_TEAMS!$B$3:$CME161,13,0)</f>
        <v>#N/A</v>
      </c>
      <c r="D64" s="124" t="str">
        <f>VLOOKUP($A64,WEEKLY_TEAMS!$B$3:$CME161,25,0)</f>
        <v>#N/A</v>
      </c>
      <c r="E64" s="124" t="str">
        <f>VLOOKUP($A64,WEEKLY_TEAMS!$B$3:$CME161,37,0)</f>
        <v>#N/A</v>
      </c>
      <c r="F64" s="124" t="str">
        <f>VLOOKUP($A64,WEEKLY_TEAMS!$B$3:$CME161,49,0)</f>
        <v>#N/A</v>
      </c>
      <c r="G64" s="124" t="str">
        <f>VLOOKUP($A64,WEEKLY_TEAMS!$B$3:$CME161,61,0)</f>
        <v>#N/A</v>
      </c>
      <c r="H64" s="124" t="str">
        <f>VLOOKUP($A64,WEEKLY_TEAMS!$B$3:$CME161,73,0)</f>
        <v>#N/A</v>
      </c>
      <c r="I64" s="124" t="str">
        <f>VLOOKUP($A64,WEEKLY_TEAMS!$B$3:$CME161,85,0)</f>
        <v>#N/A</v>
      </c>
      <c r="J64" s="124" t="str">
        <f>VLOOKUP($A64,WEEKLY_TEAMS!$B$3:$CME161,97,0)</f>
        <v>#N/A</v>
      </c>
    </row>
    <row r="65" ht="15.75" customHeight="1">
      <c r="A65" s="124" t="str">
        <f>WEEKLY_TEAMS!B65</f>
        <v/>
      </c>
      <c r="B65" s="125" t="s">
        <v>255</v>
      </c>
      <c r="C65" s="124" t="str">
        <f>VLOOKUP($A65,WEEKLY_TEAMS!$B$3:$CME162,13,0)</f>
        <v>#N/A</v>
      </c>
      <c r="D65" s="124" t="str">
        <f>VLOOKUP($A65,WEEKLY_TEAMS!$B$3:$CME162,25,0)</f>
        <v>#N/A</v>
      </c>
      <c r="E65" s="124" t="str">
        <f>VLOOKUP($A65,WEEKLY_TEAMS!$B$3:$CME162,37,0)</f>
        <v>#N/A</v>
      </c>
      <c r="F65" s="124" t="str">
        <f>VLOOKUP($A65,WEEKLY_TEAMS!$B$3:$CME162,49,0)</f>
        <v>#N/A</v>
      </c>
      <c r="G65" s="124" t="str">
        <f>VLOOKUP($A65,WEEKLY_TEAMS!$B$3:$CME162,61,0)</f>
        <v>#N/A</v>
      </c>
      <c r="H65" s="124" t="str">
        <f>VLOOKUP($A65,WEEKLY_TEAMS!$B$3:$CME162,73,0)</f>
        <v>#N/A</v>
      </c>
      <c r="I65" s="124" t="str">
        <f>VLOOKUP($A65,WEEKLY_TEAMS!$B$3:$CME162,85,0)</f>
        <v>#N/A</v>
      </c>
      <c r="J65" s="124" t="str">
        <f>VLOOKUP($A65,WEEKLY_TEAMS!$B$3:$CME162,97,0)</f>
        <v>#N/A</v>
      </c>
    </row>
    <row r="66" ht="15.75" customHeight="1">
      <c r="A66" s="124" t="str">
        <f>WEEKLY_TEAMS!B66</f>
        <v/>
      </c>
      <c r="B66" s="125" t="s">
        <v>255</v>
      </c>
      <c r="C66" s="124" t="str">
        <f>VLOOKUP($A66,WEEKLY_TEAMS!$B$3:$CME163,13,0)</f>
        <v>#N/A</v>
      </c>
      <c r="D66" s="124" t="str">
        <f>VLOOKUP($A66,WEEKLY_TEAMS!$B$3:$CME163,25,0)</f>
        <v>#N/A</v>
      </c>
      <c r="E66" s="124" t="str">
        <f>VLOOKUP($A66,WEEKLY_TEAMS!$B$3:$CME163,37,0)</f>
        <v>#N/A</v>
      </c>
      <c r="F66" s="124" t="str">
        <f>VLOOKUP($A66,WEEKLY_TEAMS!$B$3:$CME163,49,0)</f>
        <v>#N/A</v>
      </c>
      <c r="G66" s="124" t="str">
        <f>VLOOKUP($A66,WEEKLY_TEAMS!$B$3:$CME163,61,0)</f>
        <v>#N/A</v>
      </c>
      <c r="H66" s="124" t="str">
        <f>VLOOKUP($A66,WEEKLY_TEAMS!$B$3:$CME163,73,0)</f>
        <v>#N/A</v>
      </c>
      <c r="I66" s="124" t="str">
        <f>VLOOKUP($A66,WEEKLY_TEAMS!$B$3:$CME163,85,0)</f>
        <v>#N/A</v>
      </c>
      <c r="J66" s="124" t="str">
        <f>VLOOKUP($A66,WEEKLY_TEAMS!$B$3:$CME163,97,0)</f>
        <v>#N/A</v>
      </c>
    </row>
    <row r="67" ht="15.75" customHeight="1">
      <c r="A67" s="124" t="str">
        <f>WEEKLY_TEAMS!B67</f>
        <v/>
      </c>
      <c r="B67" s="125" t="s">
        <v>255</v>
      </c>
      <c r="C67" s="124" t="str">
        <f>VLOOKUP($A67,WEEKLY_TEAMS!$B$3:$CME164,13,0)</f>
        <v>#N/A</v>
      </c>
      <c r="D67" s="124" t="str">
        <f>VLOOKUP($A67,WEEKLY_TEAMS!$B$3:$CME164,25,0)</f>
        <v>#N/A</v>
      </c>
      <c r="E67" s="124" t="str">
        <f>VLOOKUP($A67,WEEKLY_TEAMS!$B$3:$CME164,37,0)</f>
        <v>#N/A</v>
      </c>
      <c r="F67" s="124" t="str">
        <f>VLOOKUP($A67,WEEKLY_TEAMS!$B$3:$CME164,49,0)</f>
        <v>#N/A</v>
      </c>
      <c r="G67" s="124" t="str">
        <f>VLOOKUP($A67,WEEKLY_TEAMS!$B$3:$CME164,61,0)</f>
        <v>#N/A</v>
      </c>
      <c r="H67" s="124" t="str">
        <f>VLOOKUP($A67,WEEKLY_TEAMS!$B$3:$CME164,73,0)</f>
        <v>#N/A</v>
      </c>
      <c r="I67" s="124" t="str">
        <f>VLOOKUP($A67,WEEKLY_TEAMS!$B$3:$CME164,85,0)</f>
        <v>#N/A</v>
      </c>
      <c r="J67" s="124" t="str">
        <f>VLOOKUP($A67,WEEKLY_TEAMS!$B$3:$CME164,97,0)</f>
        <v>#N/A</v>
      </c>
    </row>
    <row r="68" ht="15.75" customHeight="1">
      <c r="A68" s="124" t="str">
        <f>WEEKLY_TEAMS!B68</f>
        <v/>
      </c>
      <c r="B68" s="125" t="s">
        <v>255</v>
      </c>
      <c r="C68" s="124" t="str">
        <f>VLOOKUP($A68,WEEKLY_TEAMS!$B$3:$CME165,13,0)</f>
        <v>#N/A</v>
      </c>
      <c r="D68" s="124" t="str">
        <f>VLOOKUP($A68,WEEKLY_TEAMS!$B$3:$CME165,25,0)</f>
        <v>#N/A</v>
      </c>
      <c r="E68" s="124" t="str">
        <f>VLOOKUP($A68,WEEKLY_TEAMS!$B$3:$CME165,37,0)</f>
        <v>#N/A</v>
      </c>
      <c r="F68" s="124" t="str">
        <f>VLOOKUP($A68,WEEKLY_TEAMS!$B$3:$CME165,49,0)</f>
        <v>#N/A</v>
      </c>
      <c r="G68" s="124" t="str">
        <f>VLOOKUP($A68,WEEKLY_TEAMS!$B$3:$CME165,61,0)</f>
        <v>#N/A</v>
      </c>
      <c r="H68" s="124" t="str">
        <f>VLOOKUP($A68,WEEKLY_TEAMS!$B$3:$CME165,73,0)</f>
        <v>#N/A</v>
      </c>
      <c r="I68" s="124" t="str">
        <f>VLOOKUP($A68,WEEKLY_TEAMS!$B$3:$CME165,85,0)</f>
        <v>#N/A</v>
      </c>
      <c r="J68" s="124" t="str">
        <f>VLOOKUP($A68,WEEKLY_TEAMS!$B$3:$CME165,97,0)</f>
        <v>#N/A</v>
      </c>
    </row>
    <row r="69" ht="15.75" customHeight="1">
      <c r="A69" s="124" t="str">
        <f>WEEKLY_TEAMS!B69</f>
        <v/>
      </c>
      <c r="B69" s="125" t="s">
        <v>255</v>
      </c>
      <c r="C69" s="124" t="str">
        <f>VLOOKUP($A69,WEEKLY_TEAMS!$B$3:$CME166,13,0)</f>
        <v>#N/A</v>
      </c>
      <c r="D69" s="124" t="str">
        <f>VLOOKUP($A69,WEEKLY_TEAMS!$B$3:$CME166,25,0)</f>
        <v>#N/A</v>
      </c>
      <c r="E69" s="124" t="str">
        <f>VLOOKUP($A69,WEEKLY_TEAMS!$B$3:$CME166,37,0)</f>
        <v>#N/A</v>
      </c>
      <c r="F69" s="124" t="str">
        <f>VLOOKUP($A69,WEEKLY_TEAMS!$B$3:$CME166,49,0)</f>
        <v>#N/A</v>
      </c>
      <c r="G69" s="124" t="str">
        <f>VLOOKUP($A69,WEEKLY_TEAMS!$B$3:$CME166,61,0)</f>
        <v>#N/A</v>
      </c>
      <c r="H69" s="124" t="str">
        <f>VLOOKUP($A69,WEEKLY_TEAMS!$B$3:$CME166,73,0)</f>
        <v>#N/A</v>
      </c>
      <c r="I69" s="124" t="str">
        <f>VLOOKUP($A69,WEEKLY_TEAMS!$B$3:$CME166,85,0)</f>
        <v>#N/A</v>
      </c>
      <c r="J69" s="124" t="str">
        <f>VLOOKUP($A69,WEEKLY_TEAMS!$B$3:$CME166,97,0)</f>
        <v>#N/A</v>
      </c>
    </row>
    <row r="70" ht="15.75" customHeight="1">
      <c r="A70" s="124" t="str">
        <f>WEEKLY_TEAMS!B70</f>
        <v/>
      </c>
      <c r="B70" s="125" t="s">
        <v>255</v>
      </c>
      <c r="C70" s="124" t="str">
        <f>VLOOKUP($A70,WEEKLY_TEAMS!$B$3:$CME167,13,0)</f>
        <v>#N/A</v>
      </c>
      <c r="D70" s="124" t="str">
        <f>VLOOKUP($A70,WEEKLY_TEAMS!$B$3:$CME167,25,0)</f>
        <v>#N/A</v>
      </c>
      <c r="E70" s="124" t="str">
        <f>VLOOKUP($A70,WEEKLY_TEAMS!$B$3:$CME167,37,0)</f>
        <v>#N/A</v>
      </c>
      <c r="F70" s="124" t="str">
        <f>VLOOKUP($A70,WEEKLY_TEAMS!$B$3:$CME167,49,0)</f>
        <v>#N/A</v>
      </c>
      <c r="G70" s="124" t="str">
        <f>VLOOKUP($A70,WEEKLY_TEAMS!$B$3:$CME167,61,0)</f>
        <v>#N/A</v>
      </c>
      <c r="H70" s="124" t="str">
        <f>VLOOKUP($A70,WEEKLY_TEAMS!$B$3:$CME167,73,0)</f>
        <v>#N/A</v>
      </c>
      <c r="I70" s="124" t="str">
        <f>VLOOKUP($A70,WEEKLY_TEAMS!$B$3:$CME167,85,0)</f>
        <v>#N/A</v>
      </c>
      <c r="J70" s="124" t="str">
        <f>VLOOKUP($A70,WEEKLY_TEAMS!$B$3:$CME167,97,0)</f>
        <v>#N/A</v>
      </c>
    </row>
    <row r="71" ht="15.75" customHeight="1">
      <c r="A71" s="124" t="str">
        <f>WEEKLY_TEAMS!B71</f>
        <v/>
      </c>
      <c r="B71" s="125" t="s">
        <v>255</v>
      </c>
      <c r="C71" s="124" t="str">
        <f>VLOOKUP($A71,WEEKLY_TEAMS!$B$3:$CME168,13,0)</f>
        <v>#N/A</v>
      </c>
      <c r="D71" s="124" t="str">
        <f>VLOOKUP($A71,WEEKLY_TEAMS!$B$3:$CME168,25,0)</f>
        <v>#N/A</v>
      </c>
      <c r="E71" s="124" t="str">
        <f>VLOOKUP($A71,WEEKLY_TEAMS!$B$3:$CME168,37,0)</f>
        <v>#N/A</v>
      </c>
      <c r="F71" s="124" t="str">
        <f>VLOOKUP($A71,WEEKLY_TEAMS!$B$3:$CME168,49,0)</f>
        <v>#N/A</v>
      </c>
      <c r="G71" s="124" t="str">
        <f>VLOOKUP($A71,WEEKLY_TEAMS!$B$3:$CME168,61,0)</f>
        <v>#N/A</v>
      </c>
      <c r="H71" s="124" t="str">
        <f>VLOOKUP($A71,WEEKLY_TEAMS!$B$3:$CME168,73,0)</f>
        <v>#N/A</v>
      </c>
      <c r="I71" s="124" t="str">
        <f>VLOOKUP($A71,WEEKLY_TEAMS!$B$3:$CME168,85,0)</f>
        <v>#N/A</v>
      </c>
      <c r="J71" s="124" t="str">
        <f>VLOOKUP($A71,WEEKLY_TEAMS!$B$3:$CME168,97,0)</f>
        <v>#N/A</v>
      </c>
    </row>
    <row r="72" ht="15.75" customHeight="1">
      <c r="A72" s="124" t="str">
        <f>WEEKLY_TEAMS!B72</f>
        <v/>
      </c>
      <c r="B72" s="125" t="s">
        <v>255</v>
      </c>
      <c r="C72" s="124" t="str">
        <f>VLOOKUP($A72,WEEKLY_TEAMS!$B$3:$CME169,13,0)</f>
        <v>#N/A</v>
      </c>
      <c r="D72" s="124" t="str">
        <f>VLOOKUP($A72,WEEKLY_TEAMS!$B$3:$CME169,25,0)</f>
        <v>#N/A</v>
      </c>
      <c r="E72" s="124" t="str">
        <f>VLOOKUP($A72,WEEKLY_TEAMS!$B$3:$CME169,37,0)</f>
        <v>#N/A</v>
      </c>
      <c r="F72" s="124" t="str">
        <f>VLOOKUP($A72,WEEKLY_TEAMS!$B$3:$CME169,49,0)</f>
        <v>#N/A</v>
      </c>
      <c r="G72" s="124" t="str">
        <f>VLOOKUP($A72,WEEKLY_TEAMS!$B$3:$CME169,61,0)</f>
        <v>#N/A</v>
      </c>
      <c r="H72" s="124" t="str">
        <f>VLOOKUP($A72,WEEKLY_TEAMS!$B$3:$CME169,73,0)</f>
        <v>#N/A</v>
      </c>
      <c r="I72" s="124" t="str">
        <f>VLOOKUP($A72,WEEKLY_TEAMS!$B$3:$CME169,85,0)</f>
        <v>#N/A</v>
      </c>
      <c r="J72" s="124" t="str">
        <f>VLOOKUP($A72,WEEKLY_TEAMS!$B$3:$CME169,97,0)</f>
        <v>#N/A</v>
      </c>
    </row>
    <row r="73" ht="15.75" customHeight="1">
      <c r="A73" s="124" t="str">
        <f>WEEKLY_TEAMS!B73</f>
        <v/>
      </c>
      <c r="B73" s="125" t="s">
        <v>255</v>
      </c>
      <c r="C73" s="124" t="str">
        <f>VLOOKUP($A73,WEEKLY_TEAMS!$B$3:$CME170,13,0)</f>
        <v>#N/A</v>
      </c>
      <c r="D73" s="124" t="str">
        <f>VLOOKUP($A73,WEEKLY_TEAMS!$B$3:$CME170,25,0)</f>
        <v>#N/A</v>
      </c>
      <c r="E73" s="124" t="str">
        <f>VLOOKUP($A73,WEEKLY_TEAMS!$B$3:$CME170,37,0)</f>
        <v>#N/A</v>
      </c>
      <c r="F73" s="124" t="str">
        <f>VLOOKUP($A73,WEEKLY_TEAMS!$B$3:$CME170,49,0)</f>
        <v>#N/A</v>
      </c>
      <c r="G73" s="124" t="str">
        <f>VLOOKUP($A73,WEEKLY_TEAMS!$B$3:$CME170,61,0)</f>
        <v>#N/A</v>
      </c>
      <c r="H73" s="124" t="str">
        <f>VLOOKUP($A73,WEEKLY_TEAMS!$B$3:$CME170,73,0)</f>
        <v>#N/A</v>
      </c>
      <c r="I73" s="124" t="str">
        <f>VLOOKUP($A73,WEEKLY_TEAMS!$B$3:$CME170,85,0)</f>
        <v>#N/A</v>
      </c>
      <c r="J73" s="124" t="str">
        <f>VLOOKUP($A73,WEEKLY_TEAMS!$B$3:$CME170,97,0)</f>
        <v>#N/A</v>
      </c>
    </row>
    <row r="74" ht="15.75" customHeight="1">
      <c r="A74" s="124" t="str">
        <f>WEEKLY_TEAMS!B74</f>
        <v/>
      </c>
      <c r="B74" s="125" t="s">
        <v>255</v>
      </c>
      <c r="C74" s="124" t="str">
        <f>VLOOKUP($A74,WEEKLY_TEAMS!$B$3:$CME171,13,0)</f>
        <v>#N/A</v>
      </c>
      <c r="D74" s="124" t="str">
        <f>VLOOKUP($A74,WEEKLY_TEAMS!$B$3:$CME171,25,0)</f>
        <v>#N/A</v>
      </c>
      <c r="E74" s="124" t="str">
        <f>VLOOKUP($A74,WEEKLY_TEAMS!$B$3:$CME171,37,0)</f>
        <v>#N/A</v>
      </c>
      <c r="F74" s="124" t="str">
        <f>VLOOKUP($A74,WEEKLY_TEAMS!$B$3:$CME171,49,0)</f>
        <v>#N/A</v>
      </c>
      <c r="G74" s="124" t="str">
        <f>VLOOKUP($A74,WEEKLY_TEAMS!$B$3:$CME171,61,0)</f>
        <v>#N/A</v>
      </c>
      <c r="H74" s="124" t="str">
        <f>VLOOKUP($A74,WEEKLY_TEAMS!$B$3:$CME171,73,0)</f>
        <v>#N/A</v>
      </c>
      <c r="I74" s="124" t="str">
        <f>VLOOKUP($A74,WEEKLY_TEAMS!$B$3:$CME171,85,0)</f>
        <v>#N/A</v>
      </c>
      <c r="J74" s="124" t="str">
        <f>VLOOKUP($A74,WEEKLY_TEAMS!$B$3:$CME171,97,0)</f>
        <v>#N/A</v>
      </c>
    </row>
    <row r="75" ht="15.75" customHeight="1">
      <c r="A75" s="124" t="str">
        <f>WEEKLY_TEAMS!B75</f>
        <v/>
      </c>
      <c r="B75" s="125" t="s">
        <v>255</v>
      </c>
      <c r="C75" s="124" t="str">
        <f>VLOOKUP($A75,WEEKLY_TEAMS!$B$3:$CME172,13,0)</f>
        <v>#N/A</v>
      </c>
      <c r="D75" s="124" t="str">
        <f>VLOOKUP($A75,WEEKLY_TEAMS!$B$3:$CME172,25,0)</f>
        <v>#N/A</v>
      </c>
      <c r="E75" s="124" t="str">
        <f>VLOOKUP($A75,WEEKLY_TEAMS!$B$3:$CME172,37,0)</f>
        <v>#N/A</v>
      </c>
      <c r="F75" s="124" t="str">
        <f>VLOOKUP($A75,WEEKLY_TEAMS!$B$3:$CME172,49,0)</f>
        <v>#N/A</v>
      </c>
      <c r="G75" s="124" t="str">
        <f>VLOOKUP($A75,WEEKLY_TEAMS!$B$3:$CME172,61,0)</f>
        <v>#N/A</v>
      </c>
      <c r="H75" s="124" t="str">
        <f>VLOOKUP($A75,WEEKLY_TEAMS!$B$3:$CME172,73,0)</f>
        <v>#N/A</v>
      </c>
      <c r="I75" s="124" t="str">
        <f>VLOOKUP($A75,WEEKLY_TEAMS!$B$3:$CME172,85,0)</f>
        <v>#N/A</v>
      </c>
      <c r="J75" s="124" t="str">
        <f>VLOOKUP($A75,WEEKLY_TEAMS!$B$3:$CME172,97,0)</f>
        <v>#N/A</v>
      </c>
    </row>
    <row r="76" ht="15.75" customHeight="1">
      <c r="A76" s="124" t="str">
        <f>WEEKLY_TEAMS!B76</f>
        <v/>
      </c>
      <c r="B76" s="125" t="s">
        <v>255</v>
      </c>
      <c r="C76" s="124" t="str">
        <f>VLOOKUP($A76,WEEKLY_TEAMS!$B$3:$CME173,13,0)</f>
        <v>#N/A</v>
      </c>
      <c r="D76" s="124" t="str">
        <f>VLOOKUP($A76,WEEKLY_TEAMS!$B$3:$CME173,25,0)</f>
        <v>#N/A</v>
      </c>
      <c r="E76" s="124" t="str">
        <f>VLOOKUP($A76,WEEKLY_TEAMS!$B$3:$CME173,37,0)</f>
        <v>#N/A</v>
      </c>
      <c r="F76" s="124" t="str">
        <f>VLOOKUP($A76,WEEKLY_TEAMS!$B$3:$CME173,49,0)</f>
        <v>#N/A</v>
      </c>
      <c r="G76" s="124" t="str">
        <f>VLOOKUP($A76,WEEKLY_TEAMS!$B$3:$CME173,61,0)</f>
        <v>#N/A</v>
      </c>
      <c r="H76" s="124" t="str">
        <f>VLOOKUP($A76,WEEKLY_TEAMS!$B$3:$CME173,73,0)</f>
        <v>#N/A</v>
      </c>
      <c r="I76" s="124" t="str">
        <f>VLOOKUP($A76,WEEKLY_TEAMS!$B$3:$CME173,85,0)</f>
        <v>#N/A</v>
      </c>
      <c r="J76" s="124" t="str">
        <f>VLOOKUP($A76,WEEKLY_TEAMS!$B$3:$CME173,97,0)</f>
        <v>#N/A</v>
      </c>
    </row>
    <row r="77" ht="15.75" customHeight="1">
      <c r="A77" s="124" t="str">
        <f>WEEKLY_TEAMS!B77</f>
        <v/>
      </c>
      <c r="B77" s="125" t="s">
        <v>255</v>
      </c>
      <c r="C77" s="124" t="str">
        <f>VLOOKUP($A77,WEEKLY_TEAMS!$B$3:$CME174,13,0)</f>
        <v>#N/A</v>
      </c>
      <c r="D77" s="124" t="str">
        <f>VLOOKUP($A77,WEEKLY_TEAMS!$B$3:$CME174,25,0)</f>
        <v>#N/A</v>
      </c>
      <c r="E77" s="124" t="str">
        <f>VLOOKUP($A77,WEEKLY_TEAMS!$B$3:$CME174,37,0)</f>
        <v>#N/A</v>
      </c>
      <c r="F77" s="124" t="str">
        <f>VLOOKUP($A77,WEEKLY_TEAMS!$B$3:$CME174,49,0)</f>
        <v>#N/A</v>
      </c>
      <c r="G77" s="124" t="str">
        <f>VLOOKUP($A77,WEEKLY_TEAMS!$B$3:$CME174,61,0)</f>
        <v>#N/A</v>
      </c>
      <c r="H77" s="124" t="str">
        <f>VLOOKUP($A77,WEEKLY_TEAMS!$B$3:$CME174,73,0)</f>
        <v>#N/A</v>
      </c>
      <c r="I77" s="124" t="str">
        <f>VLOOKUP($A77,WEEKLY_TEAMS!$B$3:$CME174,85,0)</f>
        <v>#N/A</v>
      </c>
      <c r="J77" s="124" t="str">
        <f>VLOOKUP($A77,WEEKLY_TEAMS!$B$3:$CME174,97,0)</f>
        <v>#N/A</v>
      </c>
    </row>
    <row r="78" ht="15.75" customHeight="1">
      <c r="A78" s="124" t="str">
        <f>WEEKLY_TEAMS!B78</f>
        <v/>
      </c>
      <c r="B78" s="125" t="s">
        <v>255</v>
      </c>
      <c r="C78" s="124" t="str">
        <f>VLOOKUP($A78,WEEKLY_TEAMS!$B$3:$CME175,13,0)</f>
        <v>#N/A</v>
      </c>
      <c r="D78" s="124" t="str">
        <f>VLOOKUP($A78,WEEKLY_TEAMS!$B$3:$CME175,25,0)</f>
        <v>#N/A</v>
      </c>
      <c r="E78" s="124" t="str">
        <f>VLOOKUP($A78,WEEKLY_TEAMS!$B$3:$CME175,37,0)</f>
        <v>#N/A</v>
      </c>
      <c r="F78" s="124" t="str">
        <f>VLOOKUP($A78,WEEKLY_TEAMS!$B$3:$CME175,49,0)</f>
        <v>#N/A</v>
      </c>
      <c r="G78" s="124" t="str">
        <f>VLOOKUP($A78,WEEKLY_TEAMS!$B$3:$CME175,61,0)</f>
        <v>#N/A</v>
      </c>
      <c r="H78" s="124" t="str">
        <f>VLOOKUP($A78,WEEKLY_TEAMS!$B$3:$CME175,73,0)</f>
        <v>#N/A</v>
      </c>
      <c r="I78" s="124" t="str">
        <f>VLOOKUP($A78,WEEKLY_TEAMS!$B$3:$CME175,85,0)</f>
        <v>#N/A</v>
      </c>
      <c r="J78" s="124" t="str">
        <f>VLOOKUP($A78,WEEKLY_TEAMS!$B$3:$CME175,97,0)</f>
        <v>#N/A</v>
      </c>
    </row>
    <row r="79" ht="15.75" customHeight="1">
      <c r="A79" s="124" t="str">
        <f>WEEKLY_TEAMS!B79</f>
        <v/>
      </c>
      <c r="B79" s="125" t="s">
        <v>255</v>
      </c>
      <c r="C79" s="124" t="str">
        <f>VLOOKUP($A79,WEEKLY_TEAMS!$B$3:$CME176,13,0)</f>
        <v>#N/A</v>
      </c>
      <c r="D79" s="124" t="str">
        <f>VLOOKUP($A79,WEEKLY_TEAMS!$B$3:$CME176,25,0)</f>
        <v>#N/A</v>
      </c>
      <c r="E79" s="124" t="str">
        <f>VLOOKUP($A79,WEEKLY_TEAMS!$B$3:$CME176,37,0)</f>
        <v>#N/A</v>
      </c>
      <c r="F79" s="124" t="str">
        <f>VLOOKUP($A79,WEEKLY_TEAMS!$B$3:$CME176,49,0)</f>
        <v>#N/A</v>
      </c>
      <c r="G79" s="124" t="str">
        <f>VLOOKUP($A79,WEEKLY_TEAMS!$B$3:$CME176,61,0)</f>
        <v>#N/A</v>
      </c>
      <c r="H79" s="124" t="str">
        <f>VLOOKUP($A79,WEEKLY_TEAMS!$B$3:$CME176,73,0)</f>
        <v>#N/A</v>
      </c>
      <c r="I79" s="124" t="str">
        <f>VLOOKUP($A79,WEEKLY_TEAMS!$B$3:$CME176,85,0)</f>
        <v>#N/A</v>
      </c>
      <c r="J79" s="124" t="str">
        <f>VLOOKUP($A79,WEEKLY_TEAMS!$B$3:$CME176,97,0)</f>
        <v>#N/A</v>
      </c>
    </row>
    <row r="80" ht="15.75" customHeight="1">
      <c r="A80" s="124" t="str">
        <f>WEEKLY_TEAMS!B80</f>
        <v/>
      </c>
      <c r="B80" s="125" t="s">
        <v>255</v>
      </c>
      <c r="C80" s="124" t="str">
        <f>VLOOKUP($A80,WEEKLY_TEAMS!$B$3:$CME177,13,0)</f>
        <v>#N/A</v>
      </c>
      <c r="D80" s="124" t="str">
        <f>VLOOKUP($A80,WEEKLY_TEAMS!$B$3:$CME177,25,0)</f>
        <v>#N/A</v>
      </c>
      <c r="E80" s="124" t="str">
        <f>VLOOKUP($A80,WEEKLY_TEAMS!$B$3:$CME177,37,0)</f>
        <v>#N/A</v>
      </c>
      <c r="F80" s="124" t="str">
        <f>VLOOKUP($A80,WEEKLY_TEAMS!$B$3:$CME177,49,0)</f>
        <v>#N/A</v>
      </c>
      <c r="G80" s="124" t="str">
        <f>VLOOKUP($A80,WEEKLY_TEAMS!$B$3:$CME177,61,0)</f>
        <v>#N/A</v>
      </c>
      <c r="H80" s="124" t="str">
        <f>VLOOKUP($A80,WEEKLY_TEAMS!$B$3:$CME177,73,0)</f>
        <v>#N/A</v>
      </c>
      <c r="I80" s="124" t="str">
        <f>VLOOKUP($A80,WEEKLY_TEAMS!$B$3:$CME177,85,0)</f>
        <v>#N/A</v>
      </c>
      <c r="J80" s="124" t="str">
        <f>VLOOKUP($A80,WEEKLY_TEAMS!$B$3:$CME177,97,0)</f>
        <v>#N/A</v>
      </c>
    </row>
    <row r="81" ht="15.75" customHeight="1">
      <c r="A81" s="124" t="str">
        <f>WEEKLY_TEAMS!B81</f>
        <v/>
      </c>
      <c r="B81" s="125" t="s">
        <v>255</v>
      </c>
      <c r="C81" s="124" t="str">
        <f>VLOOKUP($A81,WEEKLY_TEAMS!$B$3:$CME178,13,0)</f>
        <v>#N/A</v>
      </c>
      <c r="D81" s="124" t="str">
        <f>VLOOKUP($A81,WEEKLY_TEAMS!$B$3:$CME178,25,0)</f>
        <v>#N/A</v>
      </c>
      <c r="E81" s="124" t="str">
        <f>VLOOKUP($A81,WEEKLY_TEAMS!$B$3:$CME178,37,0)</f>
        <v>#N/A</v>
      </c>
      <c r="F81" s="124" t="str">
        <f>VLOOKUP($A81,WEEKLY_TEAMS!$B$3:$CME178,49,0)</f>
        <v>#N/A</v>
      </c>
      <c r="G81" s="124" t="str">
        <f>VLOOKUP($A81,WEEKLY_TEAMS!$B$3:$CME178,61,0)</f>
        <v>#N/A</v>
      </c>
      <c r="H81" s="124" t="str">
        <f>VLOOKUP($A81,WEEKLY_TEAMS!$B$3:$CME178,73,0)</f>
        <v>#N/A</v>
      </c>
      <c r="I81" s="124" t="str">
        <f>VLOOKUP($A81,WEEKLY_TEAMS!$B$3:$CME178,85,0)</f>
        <v>#N/A</v>
      </c>
      <c r="J81" s="124" t="str">
        <f>VLOOKUP($A81,WEEKLY_TEAMS!$B$3:$CME178,97,0)</f>
        <v>#N/A</v>
      </c>
    </row>
    <row r="82" ht="15.75" customHeight="1">
      <c r="A82" s="124" t="str">
        <f>WEEKLY_TEAMS!B82</f>
        <v/>
      </c>
      <c r="B82" s="125" t="s">
        <v>255</v>
      </c>
      <c r="C82" s="124" t="str">
        <f>VLOOKUP($A82,WEEKLY_TEAMS!$B$3:$CME179,13,0)</f>
        <v>#N/A</v>
      </c>
      <c r="D82" s="124" t="str">
        <f>VLOOKUP($A82,WEEKLY_TEAMS!$B$3:$CME179,25,0)</f>
        <v>#N/A</v>
      </c>
      <c r="E82" s="124" t="str">
        <f>VLOOKUP($A82,WEEKLY_TEAMS!$B$3:$CME179,37,0)</f>
        <v>#N/A</v>
      </c>
      <c r="F82" s="124" t="str">
        <f>VLOOKUP($A82,WEEKLY_TEAMS!$B$3:$CME179,49,0)</f>
        <v>#N/A</v>
      </c>
      <c r="G82" s="124" t="str">
        <f>VLOOKUP($A82,WEEKLY_TEAMS!$B$3:$CME179,61,0)</f>
        <v>#N/A</v>
      </c>
      <c r="H82" s="124" t="str">
        <f>VLOOKUP($A82,WEEKLY_TEAMS!$B$3:$CME179,73,0)</f>
        <v>#N/A</v>
      </c>
      <c r="I82" s="124" t="str">
        <f>VLOOKUP($A82,WEEKLY_TEAMS!$B$3:$CME179,85,0)</f>
        <v>#N/A</v>
      </c>
      <c r="J82" s="124" t="str">
        <f>VLOOKUP($A82,WEEKLY_TEAMS!$B$3:$CME179,97,0)</f>
        <v>#N/A</v>
      </c>
    </row>
    <row r="83" ht="15.75" customHeight="1">
      <c r="A83" s="124" t="str">
        <f>WEEKLY_TEAMS!B83</f>
        <v/>
      </c>
      <c r="B83" s="125" t="s">
        <v>255</v>
      </c>
      <c r="C83" s="124" t="str">
        <f>VLOOKUP($A83,WEEKLY_TEAMS!$B$3:$CME180,13,0)</f>
        <v>#N/A</v>
      </c>
      <c r="D83" s="124" t="str">
        <f>VLOOKUP($A83,WEEKLY_TEAMS!$B$3:$CME180,25,0)</f>
        <v>#N/A</v>
      </c>
      <c r="E83" s="124" t="str">
        <f>VLOOKUP($A83,WEEKLY_TEAMS!$B$3:$CME180,37,0)</f>
        <v>#N/A</v>
      </c>
      <c r="F83" s="124" t="str">
        <f>VLOOKUP($A83,WEEKLY_TEAMS!$B$3:$CME180,49,0)</f>
        <v>#N/A</v>
      </c>
      <c r="G83" s="124" t="str">
        <f>VLOOKUP($A83,WEEKLY_TEAMS!$B$3:$CME180,61,0)</f>
        <v>#N/A</v>
      </c>
      <c r="H83" s="124" t="str">
        <f>VLOOKUP($A83,WEEKLY_TEAMS!$B$3:$CME180,73,0)</f>
        <v>#N/A</v>
      </c>
      <c r="I83" s="124" t="str">
        <f>VLOOKUP($A83,WEEKLY_TEAMS!$B$3:$CME180,85,0)</f>
        <v>#N/A</v>
      </c>
      <c r="J83" s="124" t="str">
        <f>VLOOKUP($A83,WEEKLY_TEAMS!$B$3:$CME180,97,0)</f>
        <v>#N/A</v>
      </c>
    </row>
    <row r="84" ht="15.75" customHeight="1">
      <c r="A84" s="124" t="str">
        <f>WEEKLY_TEAMS!B84</f>
        <v/>
      </c>
      <c r="B84" s="125" t="s">
        <v>255</v>
      </c>
      <c r="C84" s="124" t="str">
        <f>VLOOKUP($A84,WEEKLY_TEAMS!$B$3:$CME181,13,0)</f>
        <v>#N/A</v>
      </c>
      <c r="D84" s="124" t="str">
        <f>VLOOKUP($A84,WEEKLY_TEAMS!$B$3:$CME181,25,0)</f>
        <v>#N/A</v>
      </c>
      <c r="E84" s="124" t="str">
        <f>VLOOKUP($A84,WEEKLY_TEAMS!$B$3:$CME181,37,0)</f>
        <v>#N/A</v>
      </c>
      <c r="F84" s="124" t="str">
        <f>VLOOKUP($A84,WEEKLY_TEAMS!$B$3:$CME181,49,0)</f>
        <v>#N/A</v>
      </c>
      <c r="G84" s="124" t="str">
        <f>VLOOKUP($A84,WEEKLY_TEAMS!$B$3:$CME181,61,0)</f>
        <v>#N/A</v>
      </c>
      <c r="H84" s="124" t="str">
        <f>VLOOKUP($A84,WEEKLY_TEAMS!$B$3:$CME181,73,0)</f>
        <v>#N/A</v>
      </c>
      <c r="I84" s="124" t="str">
        <f>VLOOKUP($A84,WEEKLY_TEAMS!$B$3:$CME181,85,0)</f>
        <v>#N/A</v>
      </c>
      <c r="J84" s="124" t="str">
        <f>VLOOKUP($A84,WEEKLY_TEAMS!$B$3:$CME181,97,0)</f>
        <v>#N/A</v>
      </c>
    </row>
    <row r="85" ht="15.75" customHeight="1">
      <c r="A85" s="124" t="str">
        <f>WEEKLY_TEAMS!B85</f>
        <v/>
      </c>
      <c r="B85" s="125" t="s">
        <v>255</v>
      </c>
      <c r="C85" s="124" t="str">
        <f>VLOOKUP($A85,WEEKLY_TEAMS!$B$3:$CME182,13,0)</f>
        <v>#N/A</v>
      </c>
      <c r="D85" s="124" t="str">
        <f>VLOOKUP($A85,WEEKLY_TEAMS!$B$3:$CME182,25,0)</f>
        <v>#N/A</v>
      </c>
      <c r="E85" s="124" t="str">
        <f>VLOOKUP($A85,WEEKLY_TEAMS!$B$3:$CME182,37,0)</f>
        <v>#N/A</v>
      </c>
      <c r="F85" s="124" t="str">
        <f>VLOOKUP($A85,WEEKLY_TEAMS!$B$3:$CME182,49,0)</f>
        <v>#N/A</v>
      </c>
      <c r="G85" s="124" t="str">
        <f>VLOOKUP($A85,WEEKLY_TEAMS!$B$3:$CME182,61,0)</f>
        <v>#N/A</v>
      </c>
      <c r="H85" s="124" t="str">
        <f>VLOOKUP($A85,WEEKLY_TEAMS!$B$3:$CME182,73,0)</f>
        <v>#N/A</v>
      </c>
      <c r="I85" s="124" t="str">
        <f>VLOOKUP($A85,WEEKLY_TEAMS!$B$3:$CME182,85,0)</f>
        <v>#N/A</v>
      </c>
      <c r="J85" s="124" t="str">
        <f>VLOOKUP($A85,WEEKLY_TEAMS!$B$3:$CME182,97,0)</f>
        <v>#N/A</v>
      </c>
    </row>
    <row r="86" ht="15.75" customHeight="1">
      <c r="A86" s="124" t="str">
        <f>WEEKLY_TEAMS!B86</f>
        <v/>
      </c>
      <c r="B86" s="125" t="s">
        <v>255</v>
      </c>
      <c r="C86" s="124" t="str">
        <f>VLOOKUP($A86,WEEKLY_TEAMS!$B$3:$CME183,13,0)</f>
        <v>#N/A</v>
      </c>
      <c r="D86" s="124" t="str">
        <f>VLOOKUP($A86,WEEKLY_TEAMS!$B$3:$CME183,25,0)</f>
        <v>#N/A</v>
      </c>
      <c r="E86" s="124" t="str">
        <f>VLOOKUP($A86,WEEKLY_TEAMS!$B$3:$CME183,37,0)</f>
        <v>#N/A</v>
      </c>
      <c r="F86" s="124" t="str">
        <f>VLOOKUP($A86,WEEKLY_TEAMS!$B$3:$CME183,49,0)</f>
        <v>#N/A</v>
      </c>
      <c r="G86" s="124" t="str">
        <f>VLOOKUP($A86,WEEKLY_TEAMS!$B$3:$CME183,61,0)</f>
        <v>#N/A</v>
      </c>
      <c r="H86" s="124" t="str">
        <f>VLOOKUP($A86,WEEKLY_TEAMS!$B$3:$CME183,73,0)</f>
        <v>#N/A</v>
      </c>
      <c r="I86" s="124" t="str">
        <f>VLOOKUP($A86,WEEKLY_TEAMS!$B$3:$CME183,85,0)</f>
        <v>#N/A</v>
      </c>
      <c r="J86" s="124" t="str">
        <f>VLOOKUP($A86,WEEKLY_TEAMS!$B$3:$CME183,97,0)</f>
        <v>#N/A</v>
      </c>
    </row>
    <row r="87" ht="15.75" customHeight="1">
      <c r="A87" s="124" t="str">
        <f>WEEKLY_TEAMS!B87</f>
        <v/>
      </c>
      <c r="B87" s="125" t="s">
        <v>255</v>
      </c>
      <c r="C87" s="124" t="str">
        <f>VLOOKUP($A87,WEEKLY_TEAMS!$B$3:$CME184,13,0)</f>
        <v>#N/A</v>
      </c>
      <c r="D87" s="124" t="str">
        <f>VLOOKUP($A87,WEEKLY_TEAMS!$B$3:$CME184,25,0)</f>
        <v>#N/A</v>
      </c>
      <c r="E87" s="124" t="str">
        <f>VLOOKUP($A87,WEEKLY_TEAMS!$B$3:$CME184,37,0)</f>
        <v>#N/A</v>
      </c>
      <c r="F87" s="124" t="str">
        <f>VLOOKUP($A87,WEEKLY_TEAMS!$B$3:$CME184,49,0)</f>
        <v>#N/A</v>
      </c>
      <c r="G87" s="124" t="str">
        <f>VLOOKUP($A87,WEEKLY_TEAMS!$B$3:$CME184,61,0)</f>
        <v>#N/A</v>
      </c>
      <c r="H87" s="124" t="str">
        <f>VLOOKUP($A87,WEEKLY_TEAMS!$B$3:$CME184,73,0)</f>
        <v>#N/A</v>
      </c>
      <c r="I87" s="124" t="str">
        <f>VLOOKUP($A87,WEEKLY_TEAMS!$B$3:$CME184,85,0)</f>
        <v>#N/A</v>
      </c>
      <c r="J87" s="124" t="str">
        <f>VLOOKUP($A87,WEEKLY_TEAMS!$B$3:$CME184,97,0)</f>
        <v>#N/A</v>
      </c>
    </row>
    <row r="88" ht="15.75" customHeight="1">
      <c r="A88" s="124" t="str">
        <f>WEEKLY_TEAMS!B88</f>
        <v/>
      </c>
      <c r="B88" s="125" t="s">
        <v>255</v>
      </c>
      <c r="C88" s="124" t="str">
        <f>VLOOKUP($A88,WEEKLY_TEAMS!$B$3:$CME185,13,0)</f>
        <v>#N/A</v>
      </c>
      <c r="D88" s="124" t="str">
        <f>VLOOKUP($A88,WEEKLY_TEAMS!$B$3:$CME185,25,0)</f>
        <v>#N/A</v>
      </c>
      <c r="E88" s="124" t="str">
        <f>VLOOKUP($A88,WEEKLY_TEAMS!$B$3:$CME185,37,0)</f>
        <v>#N/A</v>
      </c>
      <c r="F88" s="124" t="str">
        <f>VLOOKUP($A88,WEEKLY_TEAMS!$B$3:$CME185,49,0)</f>
        <v>#N/A</v>
      </c>
      <c r="G88" s="124" t="str">
        <f>VLOOKUP($A88,WEEKLY_TEAMS!$B$3:$CME185,61,0)</f>
        <v>#N/A</v>
      </c>
      <c r="H88" s="124" t="str">
        <f>VLOOKUP($A88,WEEKLY_TEAMS!$B$3:$CME185,73,0)</f>
        <v>#N/A</v>
      </c>
      <c r="I88" s="124" t="str">
        <f>VLOOKUP($A88,WEEKLY_TEAMS!$B$3:$CME185,85,0)</f>
        <v>#N/A</v>
      </c>
      <c r="J88" s="124" t="str">
        <f>VLOOKUP($A88,WEEKLY_TEAMS!$B$3:$CME185,97,0)</f>
        <v>#N/A</v>
      </c>
    </row>
    <row r="89" ht="15.75" customHeight="1">
      <c r="A89" s="124" t="str">
        <f>WEEKLY_TEAMS!B89</f>
        <v/>
      </c>
      <c r="B89" s="125" t="s">
        <v>255</v>
      </c>
      <c r="C89" s="124" t="str">
        <f>VLOOKUP($A89,WEEKLY_TEAMS!$B$3:$CME186,13,0)</f>
        <v>#N/A</v>
      </c>
      <c r="D89" s="124" t="str">
        <f>VLOOKUP($A89,WEEKLY_TEAMS!$B$3:$CME186,25,0)</f>
        <v>#N/A</v>
      </c>
      <c r="E89" s="124" t="str">
        <f>VLOOKUP($A89,WEEKLY_TEAMS!$B$3:$CME186,37,0)</f>
        <v>#N/A</v>
      </c>
      <c r="F89" s="124" t="str">
        <f>VLOOKUP($A89,WEEKLY_TEAMS!$B$3:$CME186,49,0)</f>
        <v>#N/A</v>
      </c>
      <c r="G89" s="124" t="str">
        <f>VLOOKUP($A89,WEEKLY_TEAMS!$B$3:$CME186,61,0)</f>
        <v>#N/A</v>
      </c>
      <c r="H89" s="124" t="str">
        <f>VLOOKUP($A89,WEEKLY_TEAMS!$B$3:$CME186,73,0)</f>
        <v>#N/A</v>
      </c>
      <c r="I89" s="124" t="str">
        <f>VLOOKUP($A89,WEEKLY_TEAMS!$B$3:$CME186,85,0)</f>
        <v>#N/A</v>
      </c>
      <c r="J89" s="124" t="str">
        <f>VLOOKUP($A89,WEEKLY_TEAMS!$B$3:$CME186,97,0)</f>
        <v>#N/A</v>
      </c>
    </row>
    <row r="90" ht="15.75" customHeight="1">
      <c r="A90" s="124" t="str">
        <f>WEEKLY_TEAMS!B90</f>
        <v/>
      </c>
      <c r="B90" s="125" t="s">
        <v>255</v>
      </c>
      <c r="C90" s="124" t="str">
        <f>VLOOKUP($A90,WEEKLY_TEAMS!$B$3:$CME187,13,0)</f>
        <v>#N/A</v>
      </c>
      <c r="D90" s="124" t="str">
        <f>VLOOKUP($A90,WEEKLY_TEAMS!$B$3:$CME187,25,0)</f>
        <v>#N/A</v>
      </c>
      <c r="E90" s="124" t="str">
        <f>VLOOKUP($A90,WEEKLY_TEAMS!$B$3:$CME187,37,0)</f>
        <v>#N/A</v>
      </c>
      <c r="F90" s="124" t="str">
        <f>VLOOKUP($A90,WEEKLY_TEAMS!$B$3:$CME187,49,0)</f>
        <v>#N/A</v>
      </c>
      <c r="G90" s="124" t="str">
        <f>VLOOKUP($A90,WEEKLY_TEAMS!$B$3:$CME187,61,0)</f>
        <v>#N/A</v>
      </c>
      <c r="H90" s="124" t="str">
        <f>VLOOKUP($A90,WEEKLY_TEAMS!$B$3:$CME187,73,0)</f>
        <v>#N/A</v>
      </c>
      <c r="I90" s="124" t="str">
        <f>VLOOKUP($A90,WEEKLY_TEAMS!$B$3:$CME187,85,0)</f>
        <v>#N/A</v>
      </c>
      <c r="J90" s="124" t="str">
        <f>VLOOKUP($A90,WEEKLY_TEAMS!$B$3:$CME187,97,0)</f>
        <v>#N/A</v>
      </c>
    </row>
    <row r="91" ht="15.75" customHeight="1">
      <c r="A91" s="124" t="str">
        <f>WEEKLY_TEAMS!B91</f>
        <v/>
      </c>
      <c r="B91" s="125" t="s">
        <v>255</v>
      </c>
      <c r="C91" s="124" t="str">
        <f>VLOOKUP($A91,WEEKLY_TEAMS!$B$3:$CME188,13,0)</f>
        <v>#N/A</v>
      </c>
      <c r="D91" s="124" t="str">
        <f>VLOOKUP($A91,WEEKLY_TEAMS!$B$3:$CME188,25,0)</f>
        <v>#N/A</v>
      </c>
      <c r="E91" s="124" t="str">
        <f>VLOOKUP($A91,WEEKLY_TEAMS!$B$3:$CME188,37,0)</f>
        <v>#N/A</v>
      </c>
      <c r="F91" s="124" t="str">
        <f>VLOOKUP($A91,WEEKLY_TEAMS!$B$3:$CME188,49,0)</f>
        <v>#N/A</v>
      </c>
      <c r="G91" s="124" t="str">
        <f>VLOOKUP($A91,WEEKLY_TEAMS!$B$3:$CME188,61,0)</f>
        <v>#N/A</v>
      </c>
      <c r="H91" s="124" t="str">
        <f>VLOOKUP($A91,WEEKLY_TEAMS!$B$3:$CME188,73,0)</f>
        <v>#N/A</v>
      </c>
      <c r="I91" s="124" t="str">
        <f>VLOOKUP($A91,WEEKLY_TEAMS!$B$3:$CME188,85,0)</f>
        <v>#N/A</v>
      </c>
      <c r="J91" s="124" t="str">
        <f>VLOOKUP($A91,WEEKLY_TEAMS!$B$3:$CME188,97,0)</f>
        <v>#N/A</v>
      </c>
    </row>
    <row r="92" ht="15.75" customHeight="1">
      <c r="A92" s="124" t="str">
        <f>WEEKLY_TEAMS!B92</f>
        <v/>
      </c>
      <c r="B92" s="125" t="s">
        <v>255</v>
      </c>
      <c r="C92" s="124" t="str">
        <f>VLOOKUP($A92,WEEKLY_TEAMS!$B$3:$CME189,13,0)</f>
        <v>#N/A</v>
      </c>
      <c r="D92" s="124" t="str">
        <f>VLOOKUP($A92,WEEKLY_TEAMS!$B$3:$CME189,25,0)</f>
        <v>#N/A</v>
      </c>
      <c r="E92" s="124" t="str">
        <f>VLOOKUP($A92,WEEKLY_TEAMS!$B$3:$CME189,37,0)</f>
        <v>#N/A</v>
      </c>
      <c r="F92" s="124" t="str">
        <f>VLOOKUP($A92,WEEKLY_TEAMS!$B$3:$CME189,49,0)</f>
        <v>#N/A</v>
      </c>
      <c r="G92" s="124" t="str">
        <f>VLOOKUP($A92,WEEKLY_TEAMS!$B$3:$CME189,61,0)</f>
        <v>#N/A</v>
      </c>
      <c r="H92" s="124" t="str">
        <f>VLOOKUP($A92,WEEKLY_TEAMS!$B$3:$CME189,73,0)</f>
        <v>#N/A</v>
      </c>
      <c r="I92" s="124" t="str">
        <f>VLOOKUP($A92,WEEKLY_TEAMS!$B$3:$CME189,85,0)</f>
        <v>#N/A</v>
      </c>
      <c r="J92" s="124" t="str">
        <f>VLOOKUP($A92,WEEKLY_TEAMS!$B$3:$CME189,97,0)</f>
        <v>#N/A</v>
      </c>
    </row>
    <row r="93" ht="15.75" customHeight="1">
      <c r="A93" s="124" t="str">
        <f>WEEKLY_TEAMS!B93</f>
        <v/>
      </c>
      <c r="B93" s="125" t="s">
        <v>255</v>
      </c>
      <c r="C93" s="124" t="str">
        <f>VLOOKUP($A93,WEEKLY_TEAMS!$B$3:$CME190,13,0)</f>
        <v>#N/A</v>
      </c>
      <c r="D93" s="124" t="str">
        <f>VLOOKUP($A93,WEEKLY_TEAMS!$B$3:$CME190,25,0)</f>
        <v>#N/A</v>
      </c>
      <c r="E93" s="124" t="str">
        <f>VLOOKUP($A93,WEEKLY_TEAMS!$B$3:$CME190,37,0)</f>
        <v>#N/A</v>
      </c>
      <c r="F93" s="124" t="str">
        <f>VLOOKUP($A93,WEEKLY_TEAMS!$B$3:$CME190,49,0)</f>
        <v>#N/A</v>
      </c>
      <c r="G93" s="124" t="str">
        <f>VLOOKUP($A93,WEEKLY_TEAMS!$B$3:$CME190,61,0)</f>
        <v>#N/A</v>
      </c>
      <c r="H93" s="124" t="str">
        <f>VLOOKUP($A93,WEEKLY_TEAMS!$B$3:$CME190,73,0)</f>
        <v>#N/A</v>
      </c>
      <c r="I93" s="124" t="str">
        <f>VLOOKUP($A93,WEEKLY_TEAMS!$B$3:$CME190,85,0)</f>
        <v>#N/A</v>
      </c>
      <c r="J93" s="124" t="str">
        <f>VLOOKUP($A93,WEEKLY_TEAMS!$B$3:$CME190,97,0)</f>
        <v>#N/A</v>
      </c>
    </row>
    <row r="94" ht="15.75" customHeight="1">
      <c r="A94" s="124" t="str">
        <f>WEEKLY_TEAMS!B94</f>
        <v/>
      </c>
      <c r="B94" s="125" t="s">
        <v>255</v>
      </c>
      <c r="C94" s="124" t="str">
        <f>VLOOKUP($A94,WEEKLY_TEAMS!$B$3:$CME191,13,0)</f>
        <v>#N/A</v>
      </c>
      <c r="D94" s="124" t="str">
        <f>VLOOKUP($A94,WEEKLY_TEAMS!$B$3:$CME191,25,0)</f>
        <v>#N/A</v>
      </c>
      <c r="E94" s="124" t="str">
        <f>VLOOKUP($A94,WEEKLY_TEAMS!$B$3:$CME191,37,0)</f>
        <v>#N/A</v>
      </c>
      <c r="F94" s="124" t="str">
        <f>VLOOKUP($A94,WEEKLY_TEAMS!$B$3:$CME191,49,0)</f>
        <v>#N/A</v>
      </c>
      <c r="G94" s="124" t="str">
        <f>VLOOKUP($A94,WEEKLY_TEAMS!$B$3:$CME191,61,0)</f>
        <v>#N/A</v>
      </c>
      <c r="H94" s="124" t="str">
        <f>VLOOKUP($A94,WEEKLY_TEAMS!$B$3:$CME191,73,0)</f>
        <v>#N/A</v>
      </c>
      <c r="I94" s="124" t="str">
        <f>VLOOKUP($A94,WEEKLY_TEAMS!$B$3:$CME191,85,0)</f>
        <v>#N/A</v>
      </c>
      <c r="J94" s="124" t="str">
        <f>VLOOKUP($A94,WEEKLY_TEAMS!$B$3:$CME191,97,0)</f>
        <v>#N/A</v>
      </c>
    </row>
    <row r="95" ht="15.75" customHeight="1">
      <c r="A95" s="124" t="str">
        <f>WEEKLY_TEAMS!B95</f>
        <v/>
      </c>
      <c r="B95" s="125" t="s">
        <v>255</v>
      </c>
      <c r="C95" s="124" t="str">
        <f>VLOOKUP($A95,WEEKLY_TEAMS!$B$3:$CME192,13,0)</f>
        <v>#N/A</v>
      </c>
      <c r="D95" s="124" t="str">
        <f>VLOOKUP($A95,WEEKLY_TEAMS!$B$3:$CME192,25,0)</f>
        <v>#N/A</v>
      </c>
      <c r="E95" s="124" t="str">
        <f>VLOOKUP($A95,WEEKLY_TEAMS!$B$3:$CME192,37,0)</f>
        <v>#N/A</v>
      </c>
      <c r="F95" s="124" t="str">
        <f>VLOOKUP($A95,WEEKLY_TEAMS!$B$3:$CME192,49,0)</f>
        <v>#N/A</v>
      </c>
      <c r="G95" s="124" t="str">
        <f>VLOOKUP($A95,WEEKLY_TEAMS!$B$3:$CME192,61,0)</f>
        <v>#N/A</v>
      </c>
      <c r="H95" s="124" t="str">
        <f>VLOOKUP($A95,WEEKLY_TEAMS!$B$3:$CME192,73,0)</f>
        <v>#N/A</v>
      </c>
      <c r="I95" s="124" t="str">
        <f>VLOOKUP($A95,WEEKLY_TEAMS!$B$3:$CME192,85,0)</f>
        <v>#N/A</v>
      </c>
      <c r="J95" s="124" t="str">
        <f>VLOOKUP($A95,WEEKLY_TEAMS!$B$3:$CME192,97,0)</f>
        <v>#N/A</v>
      </c>
    </row>
    <row r="96" ht="15.75" customHeight="1">
      <c r="A96" s="124" t="str">
        <f>WEEKLY_TEAMS!B96</f>
        <v/>
      </c>
      <c r="B96" s="125" t="s">
        <v>255</v>
      </c>
      <c r="C96" s="124" t="str">
        <f>VLOOKUP($A96,WEEKLY_TEAMS!$B$3:$CME193,13,0)</f>
        <v>#N/A</v>
      </c>
      <c r="D96" s="124" t="str">
        <f>VLOOKUP($A96,WEEKLY_TEAMS!$B$3:$CME193,25,0)</f>
        <v>#N/A</v>
      </c>
      <c r="E96" s="124" t="str">
        <f>VLOOKUP($A96,WEEKLY_TEAMS!$B$3:$CME193,37,0)</f>
        <v>#N/A</v>
      </c>
      <c r="F96" s="124" t="str">
        <f>VLOOKUP($A96,WEEKLY_TEAMS!$B$3:$CME193,49,0)</f>
        <v>#N/A</v>
      </c>
      <c r="G96" s="124" t="str">
        <f>VLOOKUP($A96,WEEKLY_TEAMS!$B$3:$CME193,61,0)</f>
        <v>#N/A</v>
      </c>
      <c r="H96" s="124" t="str">
        <f>VLOOKUP($A96,WEEKLY_TEAMS!$B$3:$CME193,73,0)</f>
        <v>#N/A</v>
      </c>
      <c r="I96" s="124" t="str">
        <f>VLOOKUP($A96,WEEKLY_TEAMS!$B$3:$CME193,85,0)</f>
        <v>#N/A</v>
      </c>
      <c r="J96" s="124" t="str">
        <f>VLOOKUP($A96,WEEKLY_TEAMS!$B$3:$CME193,97,0)</f>
        <v>#N/A</v>
      </c>
    </row>
    <row r="97" ht="15.75" customHeight="1">
      <c r="A97" s="124" t="str">
        <f>WEEKLY_TEAMS!B97</f>
        <v/>
      </c>
      <c r="B97" s="125" t="s">
        <v>255</v>
      </c>
      <c r="C97" s="124" t="str">
        <f>VLOOKUP($A97,WEEKLY_TEAMS!$B$3:$CME194,13,0)</f>
        <v>#N/A</v>
      </c>
      <c r="D97" s="124" t="str">
        <f>VLOOKUP($A97,WEEKLY_TEAMS!$B$3:$CME194,25,0)</f>
        <v>#N/A</v>
      </c>
      <c r="E97" s="124" t="str">
        <f>VLOOKUP($A97,WEEKLY_TEAMS!$B$3:$CME194,37,0)</f>
        <v>#N/A</v>
      </c>
      <c r="F97" s="124" t="str">
        <f>VLOOKUP($A97,WEEKLY_TEAMS!$B$3:$CME194,49,0)</f>
        <v>#N/A</v>
      </c>
      <c r="G97" s="124" t="str">
        <f>VLOOKUP($A97,WEEKLY_TEAMS!$B$3:$CME194,61,0)</f>
        <v>#N/A</v>
      </c>
      <c r="H97" s="124" t="str">
        <f>VLOOKUP($A97,WEEKLY_TEAMS!$B$3:$CME194,73,0)</f>
        <v>#N/A</v>
      </c>
      <c r="I97" s="124" t="str">
        <f>VLOOKUP($A97,WEEKLY_TEAMS!$B$3:$CME194,85,0)</f>
        <v>#N/A</v>
      </c>
      <c r="J97" s="124" t="str">
        <f>VLOOKUP($A97,WEEKLY_TEAMS!$B$3:$CME194,97,0)</f>
        <v>#N/A</v>
      </c>
    </row>
    <row r="98" ht="15.75" customHeight="1">
      <c r="A98" s="124" t="str">
        <f>WEEKLY_TEAMS!B98</f>
        <v/>
      </c>
      <c r="B98" s="125" t="s">
        <v>255</v>
      </c>
      <c r="C98" s="124" t="str">
        <f>VLOOKUP($A98,WEEKLY_TEAMS!$B$3:$CME195,13,0)</f>
        <v>#N/A</v>
      </c>
      <c r="D98" s="124" t="str">
        <f>VLOOKUP($A98,WEEKLY_TEAMS!$B$3:$CME195,25,0)</f>
        <v>#N/A</v>
      </c>
      <c r="E98" s="124" t="str">
        <f>VLOOKUP($A98,WEEKLY_TEAMS!$B$3:$CME195,37,0)</f>
        <v>#N/A</v>
      </c>
      <c r="F98" s="124" t="str">
        <f>VLOOKUP($A98,WEEKLY_TEAMS!$B$3:$CME195,49,0)</f>
        <v>#N/A</v>
      </c>
      <c r="G98" s="124" t="str">
        <f>VLOOKUP($A98,WEEKLY_TEAMS!$B$3:$CME195,61,0)</f>
        <v>#N/A</v>
      </c>
      <c r="H98" s="124" t="str">
        <f>VLOOKUP($A98,WEEKLY_TEAMS!$B$3:$CME195,73,0)</f>
        <v>#N/A</v>
      </c>
      <c r="I98" s="124" t="str">
        <f>VLOOKUP($A98,WEEKLY_TEAMS!$B$3:$CME195,85,0)</f>
        <v>#N/A</v>
      </c>
      <c r="J98" s="124" t="str">
        <f>VLOOKUP($A98,WEEKLY_TEAMS!$B$3:$CME195,97,0)</f>
        <v>#N/A</v>
      </c>
    </row>
    <row r="99" ht="15.75" customHeight="1">
      <c r="A99" s="124" t="str">
        <f>WEEKLY_TEAMS!B99</f>
        <v/>
      </c>
      <c r="B99" s="125" t="s">
        <v>255</v>
      </c>
      <c r="C99" s="124" t="str">
        <f>VLOOKUP($A99,WEEKLY_TEAMS!$B$3:$CME196,13,0)</f>
        <v>#N/A</v>
      </c>
      <c r="D99" s="124" t="str">
        <f>VLOOKUP($A99,WEEKLY_TEAMS!$B$3:$CME196,25,0)</f>
        <v>#N/A</v>
      </c>
      <c r="E99" s="124" t="str">
        <f>VLOOKUP($A99,WEEKLY_TEAMS!$B$3:$CME196,37,0)</f>
        <v>#N/A</v>
      </c>
      <c r="F99" s="124" t="str">
        <f>VLOOKUP($A99,WEEKLY_TEAMS!$B$3:$CME196,49,0)</f>
        <v>#N/A</v>
      </c>
      <c r="G99" s="124" t="str">
        <f>VLOOKUP($A99,WEEKLY_TEAMS!$B$3:$CME196,61,0)</f>
        <v>#N/A</v>
      </c>
      <c r="H99" s="124" t="str">
        <f>VLOOKUP($A99,WEEKLY_TEAMS!$B$3:$CME196,73,0)</f>
        <v>#N/A</v>
      </c>
      <c r="I99" s="124" t="str">
        <f>VLOOKUP($A99,WEEKLY_TEAMS!$B$3:$CME196,85,0)</f>
        <v>#N/A</v>
      </c>
      <c r="J99" s="124" t="str">
        <f>VLOOKUP($A99,WEEKLY_TEAMS!$B$3:$CME196,97,0)</f>
        <v>#N/A</v>
      </c>
    </row>
    <row r="100" ht="15.75" customHeight="1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</row>
    <row r="101" ht="15.75" customHeight="1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</row>
    <row r="102" ht="15.75" customHeight="1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</row>
    <row r="103" ht="15.75" customHeight="1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</row>
    <row r="104" ht="15.75" customHeight="1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</row>
    <row r="105" ht="15.75" customHeight="1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</row>
    <row r="106" ht="15.75" customHeight="1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</row>
    <row r="107" ht="15.75" customHeight="1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</row>
    <row r="108" ht="15.75" customHeight="1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</row>
    <row r="109" ht="15.75" customHeight="1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</row>
    <row r="110" ht="15.75" customHeight="1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</row>
    <row r="111" ht="15.75" customHeight="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</row>
    <row r="112" ht="15.75" customHeight="1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</row>
    <row r="113" ht="15.75" customHeight="1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</row>
    <row r="114" ht="15.75" customHeight="1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</row>
    <row r="115" ht="15.75" customHeight="1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</row>
    <row r="116" ht="15.75" customHeight="1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</row>
    <row r="117" ht="15.75" customHeight="1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</row>
    <row r="118" ht="15.75" customHeight="1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</row>
    <row r="119" ht="15.75" customHeight="1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</row>
    <row r="120" ht="15.75" customHeight="1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</row>
    <row r="121" ht="15.75" customHeight="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</row>
    <row r="122" ht="15.75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</row>
    <row r="123" ht="15.75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</row>
    <row r="124" ht="15.75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</row>
    <row r="125" ht="15.75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</row>
    <row r="126" ht="15.75" customHeight="1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</row>
    <row r="127" ht="15.75" customHeight="1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</row>
    <row r="128" ht="15.75" customHeight="1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</row>
    <row r="129" ht="15.75" customHeight="1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</row>
    <row r="130" ht="15.75" customHeight="1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</row>
    <row r="131" ht="15.75" customHeight="1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</row>
    <row r="132" ht="15.75" customHeight="1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</row>
    <row r="133" ht="15.75" customHeight="1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</row>
    <row r="134" ht="15.75" customHeight="1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</row>
    <row r="135" ht="15.75" customHeight="1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</row>
    <row r="136" ht="15.75" customHeight="1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</row>
    <row r="137" ht="15.75" customHeight="1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</row>
    <row r="138" ht="15.75" customHeight="1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</row>
    <row r="139" ht="15.75" customHeight="1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</row>
    <row r="140" ht="15.75" customHeight="1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</row>
    <row r="141" ht="15.75" customHeight="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</row>
    <row r="142" ht="15.75" customHeight="1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</row>
    <row r="143" ht="15.75" customHeight="1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</row>
    <row r="144" ht="15.75" customHeight="1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</row>
    <row r="145" ht="15.75" customHeight="1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</row>
    <row r="146" ht="15.75" customHeight="1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</row>
    <row r="147" ht="15.75" customHeight="1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</row>
    <row r="148" ht="15.75" customHeight="1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</row>
    <row r="149" ht="15.75" customHeight="1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</row>
    <row r="150" ht="15.75" customHeight="1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</row>
    <row r="151" ht="15.75" customHeight="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</row>
    <row r="152" ht="15.75" customHeight="1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</row>
    <row r="153" ht="15.75" customHeight="1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</row>
    <row r="154" ht="15.75" customHeight="1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</row>
    <row r="155" ht="15.75" customHeight="1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</row>
    <row r="156" ht="15.75" customHeight="1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</row>
    <row r="157" ht="15.75" customHeight="1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</row>
    <row r="158" ht="15.75" customHeight="1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</row>
    <row r="159" ht="15.75" customHeight="1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</row>
    <row r="160" ht="15.75" customHeight="1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</row>
    <row r="161" ht="15.75" customHeight="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</row>
    <row r="162" ht="15.75" customHeight="1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</row>
    <row r="163" ht="15.75" customHeight="1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</row>
    <row r="164" ht="15.75" customHeight="1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</row>
    <row r="165" ht="15.75" customHeight="1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</row>
    <row r="166" ht="15.75" customHeight="1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</row>
    <row r="167" ht="15.75" customHeight="1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</row>
    <row r="168" ht="15.75" customHeight="1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</row>
    <row r="169" ht="15.75" customHeight="1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</row>
    <row r="170" ht="15.75" customHeight="1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</row>
    <row r="171" ht="15.75" customHeight="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</row>
    <row r="172" ht="15.75" customHeight="1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</row>
    <row r="173" ht="15.75" customHeight="1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</row>
    <row r="174" ht="15.75" customHeight="1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</row>
    <row r="175" ht="15.75" customHeight="1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</row>
    <row r="176" ht="15.75" customHeight="1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</row>
    <row r="177" ht="15.75" customHeight="1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</row>
    <row r="178" ht="15.75" customHeight="1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</row>
    <row r="179" ht="15.75" customHeight="1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</row>
    <row r="180" ht="15.75" customHeight="1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</row>
    <row r="181" ht="15.75" customHeight="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</row>
    <row r="182" ht="15.75" customHeight="1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</row>
    <row r="183" ht="15.75" customHeight="1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</row>
    <row r="184" ht="15.75" customHeight="1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</row>
    <row r="185" ht="15.75" customHeight="1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</row>
    <row r="186" ht="15.75" customHeight="1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</row>
    <row r="187" ht="15.75" customHeight="1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</row>
    <row r="188" ht="15.75" customHeight="1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</row>
    <row r="189" ht="15.75" customHeight="1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</row>
    <row r="190" ht="15.75" customHeight="1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</row>
    <row r="191" ht="15.75" customHeight="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</row>
    <row r="192" ht="15.75" customHeight="1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</row>
    <row r="193" ht="15.75" customHeight="1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</row>
    <row r="194" ht="15.75" customHeight="1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</row>
    <row r="195" ht="15.75" customHeight="1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</row>
    <row r="196" ht="15.75" customHeight="1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</row>
    <row r="197" ht="15.75" customHeight="1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</row>
    <row r="198" ht="15.75" customHeight="1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</row>
    <row r="199" ht="15.75" customHeight="1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</row>
    <row r="200" ht="15.75" customHeight="1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</row>
    <row r="201" ht="15.75" customHeight="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</row>
    <row r="202" ht="15.75" customHeight="1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</row>
    <row r="203" ht="15.75" customHeight="1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</row>
    <row r="204" ht="15.75" customHeight="1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</row>
    <row r="205" ht="15.75" customHeight="1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</row>
    <row r="206" ht="15.75" customHeight="1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</row>
    <row r="207" ht="15.75" customHeight="1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</row>
    <row r="208" ht="15.75" customHeight="1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</row>
    <row r="209" ht="15.75" customHeight="1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</row>
    <row r="210" ht="15.75" customHeight="1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</row>
    <row r="211" ht="15.75" customHeight="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</row>
    <row r="212" ht="15.75" customHeight="1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</row>
    <row r="213" ht="15.75" customHeight="1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</row>
    <row r="214" ht="15.75" customHeight="1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</row>
    <row r="215" ht="15.75" customHeight="1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</row>
    <row r="216" ht="15.75" customHeight="1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</row>
    <row r="217" ht="15.75" customHeight="1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</row>
    <row r="218" ht="15.75" customHeight="1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</row>
    <row r="219" ht="15.75" customHeight="1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</row>
    <row r="220" ht="15.75" customHeight="1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</row>
    <row r="221" ht="15.75" customHeight="1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</row>
    <row r="222" ht="15.75" customHeight="1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</row>
    <row r="223" ht="15.75" customHeight="1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</row>
    <row r="224" ht="15.75" customHeight="1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</row>
    <row r="225" ht="15.75" customHeight="1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</row>
    <row r="226" ht="15.75" customHeight="1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</row>
    <row r="227" ht="15.75" customHeight="1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</row>
    <row r="228" ht="15.75" customHeight="1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</row>
    <row r="229" ht="15.75" customHeight="1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</row>
    <row r="230" ht="15.75" customHeight="1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</row>
    <row r="231" ht="15.75" customHeight="1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</row>
    <row r="232" ht="15.75" customHeight="1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</row>
    <row r="233" ht="15.75" customHeight="1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</row>
    <row r="234" ht="15.75" customHeight="1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</row>
    <row r="235" ht="15.75" customHeight="1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</row>
    <row r="236" ht="15.75" customHeight="1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</row>
    <row r="237" ht="15.75" customHeight="1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</row>
    <row r="238" ht="15.75" customHeight="1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</row>
    <row r="239" ht="15.75" customHeight="1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</row>
    <row r="240" ht="15.75" customHeight="1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</row>
    <row r="241" ht="15.75" customHeight="1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</row>
    <row r="242" ht="15.75" customHeight="1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</row>
    <row r="243" ht="15.75" customHeight="1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</row>
    <row r="244" ht="15.75" customHeight="1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</row>
    <row r="245" ht="15.75" customHeight="1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</row>
    <row r="246" ht="15.75" customHeight="1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</row>
    <row r="247" ht="15.75" customHeight="1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</row>
    <row r="248" ht="15.75" customHeight="1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</row>
    <row r="249" ht="15.75" customHeight="1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</row>
    <row r="250" ht="15.75" customHeight="1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</row>
    <row r="251" ht="15.75" customHeight="1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</row>
    <row r="252" ht="15.75" customHeight="1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</row>
    <row r="253" ht="15.75" customHeight="1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</row>
    <row r="254" ht="15.75" customHeight="1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</row>
    <row r="255" ht="15.75" customHeight="1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</row>
    <row r="256" ht="15.75" customHeight="1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</row>
    <row r="257" ht="15.75" customHeight="1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</row>
    <row r="258" ht="15.75" customHeight="1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</row>
    <row r="259" ht="15.75" customHeight="1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</row>
    <row r="260" ht="15.75" customHeight="1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</row>
    <row r="261" ht="15.75" customHeight="1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</row>
    <row r="262" ht="15.75" customHeight="1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</row>
    <row r="263" ht="15.75" customHeight="1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</row>
    <row r="264" ht="15.75" customHeight="1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</row>
    <row r="265" ht="15.75" customHeight="1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</row>
    <row r="266" ht="15.75" customHeight="1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</row>
    <row r="267" ht="15.75" customHeight="1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</row>
    <row r="268" ht="15.75" customHeight="1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</row>
    <row r="269" ht="15.75" customHeight="1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</row>
    <row r="270" ht="15.75" customHeight="1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</row>
    <row r="271" ht="15.75" customHeight="1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</row>
    <row r="272" ht="15.75" customHeight="1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</row>
    <row r="273" ht="15.75" customHeight="1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</row>
    <row r="274" ht="15.75" customHeight="1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</row>
    <row r="275" ht="15.75" customHeight="1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</row>
    <row r="276" ht="15.75" customHeight="1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</row>
    <row r="277" ht="15.75" customHeight="1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</row>
    <row r="278" ht="15.75" customHeight="1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</row>
    <row r="279" ht="15.75" customHeight="1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</row>
    <row r="280" ht="15.75" customHeight="1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</row>
    <row r="281" ht="15.75" customHeight="1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</row>
    <row r="282" ht="15.75" customHeight="1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</row>
    <row r="283" ht="15.75" customHeight="1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</row>
    <row r="284" ht="15.75" customHeight="1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</row>
    <row r="285" ht="15.75" customHeight="1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</row>
    <row r="286" ht="15.75" customHeight="1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</row>
    <row r="287" ht="15.75" customHeight="1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</row>
    <row r="288" ht="15.75" customHeight="1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</row>
    <row r="289" ht="15.75" customHeight="1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</row>
    <row r="290" ht="15.75" customHeight="1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</row>
    <row r="291" ht="15.75" customHeight="1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</row>
    <row r="292" ht="15.75" customHeight="1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</row>
    <row r="293" ht="15.75" customHeight="1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</row>
    <row r="294" ht="15.75" customHeight="1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</row>
    <row r="295" ht="15.75" customHeight="1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</row>
    <row r="296" ht="15.75" customHeight="1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</row>
    <row r="297" ht="15.75" customHeight="1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</row>
    <row r="298" ht="15.75" customHeight="1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</row>
    <row r="299" ht="15.75" customHeight="1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78"/>
    <col customWidth="1" min="2" max="2" width="17.78"/>
    <col customWidth="1" min="3" max="3" width="33.44"/>
    <col customWidth="1" min="4" max="4" width="16.78"/>
    <col customWidth="1" min="5" max="5" width="33.44"/>
    <col customWidth="1" min="6" max="6" width="18.78"/>
    <col customWidth="1" min="7" max="13" width="16.78"/>
  </cols>
  <sheetData>
    <row r="1" ht="22.5" customHeight="1">
      <c r="A1" s="126" t="s">
        <v>256</v>
      </c>
      <c r="B1" s="127" t="s">
        <v>257</v>
      </c>
      <c r="C1" s="126" t="s">
        <v>258</v>
      </c>
      <c r="D1" s="126" t="s">
        <v>259</v>
      </c>
      <c r="E1" s="126" t="s">
        <v>260</v>
      </c>
      <c r="F1" s="126" t="s">
        <v>261</v>
      </c>
      <c r="G1" s="126" t="s">
        <v>262</v>
      </c>
    </row>
    <row r="2" ht="22.5" customHeight="1">
      <c r="A2" s="128">
        <v>45694.934309027776</v>
      </c>
      <c r="B2" s="129">
        <v>45694.0</v>
      </c>
      <c r="C2" s="130" t="str">
        <f>VLOOKUP(B2,'MATCH DATES'!A3:B10,2,0)</f>
        <v>MATCH DAY 5</v>
      </c>
      <c r="D2" s="131" t="s">
        <v>151</v>
      </c>
      <c r="F2" s="131" t="s">
        <v>263</v>
      </c>
    </row>
    <row r="3" ht="22.5" customHeight="1">
      <c r="A3" s="128">
        <v>45694.936097025464</v>
      </c>
      <c r="B3" s="129">
        <v>45694.0</v>
      </c>
      <c r="C3" s="130" t="str">
        <f>VLOOKUP(B3,'MATCH DATES'!A4:B11,2,0)</f>
        <v>MATCH DAY 5</v>
      </c>
      <c r="D3" s="131" t="s">
        <v>142</v>
      </c>
      <c r="F3" s="131" t="s">
        <v>263</v>
      </c>
    </row>
    <row r="4" ht="22.5" customHeight="1">
      <c r="A4" s="128">
        <v>45694.94045195602</v>
      </c>
      <c r="B4" s="129">
        <v>45694.0</v>
      </c>
      <c r="C4" s="130" t="str">
        <f>VLOOKUP(B4,'MATCH DATES'!A5:B12,2,0)</f>
        <v>MATCH DAY 5</v>
      </c>
      <c r="D4" s="131" t="s">
        <v>153</v>
      </c>
      <c r="E4" s="131">
        <v>1.0</v>
      </c>
    </row>
    <row r="5" ht="22.5" customHeight="1">
      <c r="A5" s="128">
        <v>45694.94269415509</v>
      </c>
      <c r="B5" s="129">
        <v>45694.0</v>
      </c>
      <c r="C5" s="130" t="str">
        <f>VLOOKUP(B5,'MATCH DATES'!A6:B13,2,0)</f>
        <v>MATCH DAY 5</v>
      </c>
      <c r="D5" s="131" t="s">
        <v>264</v>
      </c>
      <c r="E5" s="131">
        <v>1.0</v>
      </c>
    </row>
    <row r="6" ht="22.5" customHeight="1">
      <c r="A6" s="128">
        <v>45694.94318109954</v>
      </c>
      <c r="B6" s="129">
        <v>45694.0</v>
      </c>
      <c r="C6" s="130" t="str">
        <f>VLOOKUP(B6,'MATCH DATES'!A7:B14,2,0)</f>
        <v>#N/A</v>
      </c>
      <c r="D6" s="131" t="s">
        <v>265</v>
      </c>
      <c r="E6" s="131">
        <v>3.0</v>
      </c>
    </row>
    <row r="7" ht="22.5" customHeight="1">
      <c r="A7" s="128">
        <v>45694.94439121528</v>
      </c>
      <c r="B7" s="129">
        <v>45694.0</v>
      </c>
      <c r="C7" s="130" t="str">
        <f>VLOOKUP(B7,'MATCH DATES'!A8:B15,2,0)</f>
        <v>#N/A</v>
      </c>
      <c r="D7" s="131" t="s">
        <v>265</v>
      </c>
      <c r="E7" s="131">
        <v>3.0</v>
      </c>
    </row>
    <row r="8" ht="22.5" customHeight="1">
      <c r="A8" s="132"/>
      <c r="B8" s="133"/>
      <c r="C8" s="132" t="str">
        <f>VLOOKUP(B8,'MATCH DATES'!A4:B11,2,0)</f>
        <v>#N/A</v>
      </c>
      <c r="D8" s="132"/>
      <c r="E8" s="132"/>
      <c r="F8" s="132"/>
      <c r="G8" s="132"/>
    </row>
    <row r="9" ht="22.5" customHeight="1">
      <c r="A9" s="132"/>
      <c r="B9" s="133"/>
      <c r="C9" s="132" t="str">
        <f>VLOOKUP(B9,'MATCH DATES'!A5:B12,2,0)</f>
        <v>#N/A</v>
      </c>
      <c r="D9" s="132"/>
      <c r="E9" s="132"/>
      <c r="F9" s="132"/>
      <c r="G9" s="132"/>
    </row>
    <row r="10" ht="22.5" customHeight="1">
      <c r="A10" s="132"/>
      <c r="B10" s="133"/>
      <c r="C10" s="132" t="str">
        <f>VLOOKUP(B10,'MATCH DATES'!A6:B13,2,0)</f>
        <v>#N/A</v>
      </c>
      <c r="D10" s="132"/>
      <c r="E10" s="132"/>
      <c r="F10" s="132"/>
      <c r="G10" s="132"/>
    </row>
    <row r="11" ht="22.5" customHeight="1">
      <c r="A11" s="132"/>
      <c r="B11" s="133"/>
      <c r="C11" s="132" t="str">
        <f>VLOOKUP(B11,'MATCH DATES'!A7:B14,2,0)</f>
        <v>#N/A</v>
      </c>
      <c r="D11" s="132"/>
      <c r="E11" s="132"/>
      <c r="F11" s="132"/>
      <c r="G11" s="132"/>
    </row>
    <row r="12" ht="22.5" customHeight="1">
      <c r="A12" s="132"/>
      <c r="B12" s="133"/>
      <c r="C12" s="132" t="str">
        <f>VLOOKUP(B12,'MATCH DATES'!A8:B15,2,0)</f>
        <v>#N/A</v>
      </c>
      <c r="D12" s="132"/>
      <c r="E12" s="132"/>
      <c r="F12" s="132"/>
      <c r="G12" s="132"/>
    </row>
    <row r="13" ht="22.5" customHeight="1">
      <c r="A13" s="132"/>
      <c r="B13" s="133"/>
      <c r="C13" s="132" t="str">
        <f>VLOOKUP(B13,'MATCH DATES'!A9:B16,2,0)</f>
        <v>#N/A</v>
      </c>
      <c r="D13" s="132"/>
      <c r="E13" s="132"/>
      <c r="F13" s="132"/>
      <c r="G13" s="132"/>
    </row>
    <row r="14" ht="22.5" customHeight="1">
      <c r="A14" s="132"/>
      <c r="B14" s="133"/>
      <c r="C14" s="132" t="str">
        <f>VLOOKUP(B14,'MATCH DATES'!A10:B17,2,0)</f>
        <v>#N/A</v>
      </c>
      <c r="D14" s="132"/>
      <c r="E14" s="132"/>
      <c r="F14" s="132"/>
      <c r="G14" s="132"/>
    </row>
    <row r="15" ht="22.5" customHeight="1">
      <c r="A15" s="132"/>
      <c r="B15" s="133"/>
      <c r="C15" s="132" t="str">
        <f>VLOOKUP(B15,'MATCH DATES'!A11:B18,2,0)</f>
        <v>#N/A</v>
      </c>
      <c r="D15" s="132"/>
      <c r="E15" s="132"/>
      <c r="F15" s="132"/>
      <c r="G15" s="132"/>
    </row>
    <row r="16" ht="22.5" customHeight="1">
      <c r="A16" s="132"/>
      <c r="B16" s="133"/>
      <c r="C16" s="132" t="str">
        <f>VLOOKUP(B16,'MATCH DATES'!A12:B19,2,0)</f>
        <v>#N/A</v>
      </c>
      <c r="D16" s="132"/>
      <c r="E16" s="132"/>
      <c r="F16" s="132"/>
      <c r="G16" s="132"/>
    </row>
    <row r="17" ht="22.5" customHeight="1">
      <c r="A17" s="132"/>
      <c r="B17" s="133"/>
      <c r="C17" s="132" t="str">
        <f>VLOOKUP(B17,'MATCH DATES'!A13:B20,2,0)</f>
        <v>#N/A</v>
      </c>
      <c r="D17" s="132"/>
      <c r="E17" s="132"/>
      <c r="F17" s="132"/>
      <c r="G17" s="132"/>
    </row>
    <row r="18" ht="22.5" customHeight="1">
      <c r="A18" s="132"/>
      <c r="B18" s="133"/>
      <c r="C18" s="132" t="str">
        <f>VLOOKUP(B18,'MATCH DATES'!A14:B21,2,0)</f>
        <v>#N/A</v>
      </c>
      <c r="D18" s="132"/>
      <c r="E18" s="132"/>
      <c r="F18" s="132"/>
      <c r="G18" s="132"/>
    </row>
    <row r="19" ht="22.5" customHeight="1">
      <c r="A19" s="132"/>
      <c r="B19" s="133"/>
      <c r="C19" s="132" t="str">
        <f>VLOOKUP(B19,'MATCH DATES'!A15:B22,2,0)</f>
        <v>#N/A</v>
      </c>
      <c r="D19" s="132"/>
      <c r="E19" s="132"/>
      <c r="F19" s="132"/>
      <c r="G19" s="132"/>
    </row>
    <row r="20" ht="22.5" customHeight="1">
      <c r="A20" s="132"/>
      <c r="B20" s="133"/>
      <c r="C20" s="132" t="str">
        <f>VLOOKUP(B20,'MATCH DATES'!A16:B23,2,0)</f>
        <v>#N/A</v>
      </c>
      <c r="D20" s="132"/>
      <c r="E20" s="132"/>
      <c r="F20" s="132"/>
      <c r="G20" s="132"/>
    </row>
    <row r="21" ht="22.5" customHeight="1">
      <c r="A21" s="132"/>
      <c r="B21" s="133"/>
      <c r="C21" s="132" t="str">
        <f>VLOOKUP(B21,'MATCH DATES'!A17:B24,2,0)</f>
        <v>#N/A</v>
      </c>
      <c r="D21" s="132"/>
      <c r="E21" s="132"/>
      <c r="F21" s="132"/>
      <c r="G21" s="132"/>
    </row>
    <row r="22" ht="22.5" customHeight="1">
      <c r="A22" s="132"/>
      <c r="B22" s="133"/>
      <c r="C22" s="132" t="str">
        <f>VLOOKUP(B22,'MATCH DATES'!A18:B25,2,0)</f>
        <v>#N/A</v>
      </c>
      <c r="D22" s="132"/>
      <c r="E22" s="132"/>
      <c r="F22" s="132"/>
      <c r="G22" s="132"/>
    </row>
    <row r="23" ht="22.5" customHeight="1">
      <c r="A23" s="132"/>
      <c r="B23" s="133"/>
      <c r="C23" s="132" t="str">
        <f>VLOOKUP(B23,'MATCH DATES'!A19:B26,2,0)</f>
        <v>#N/A</v>
      </c>
      <c r="D23" s="132"/>
      <c r="E23" s="132"/>
      <c r="F23" s="132"/>
      <c r="G23" s="132"/>
    </row>
    <row r="24" ht="22.5" customHeight="1">
      <c r="A24" s="132"/>
      <c r="B24" s="133"/>
      <c r="C24" s="132" t="str">
        <f>VLOOKUP(B24,'MATCH DATES'!A20:B27,2,0)</f>
        <v>#N/A</v>
      </c>
      <c r="D24" s="132"/>
      <c r="E24" s="132"/>
      <c r="F24" s="132"/>
      <c r="G24" s="132"/>
    </row>
    <row r="25" ht="22.5" customHeight="1">
      <c r="A25" s="132"/>
      <c r="B25" s="133"/>
      <c r="C25" s="132" t="str">
        <f>VLOOKUP(B25,'MATCH DATES'!A21:B28,2,0)</f>
        <v>#N/A</v>
      </c>
      <c r="D25" s="132"/>
      <c r="E25" s="132"/>
      <c r="F25" s="132"/>
      <c r="G25" s="132"/>
    </row>
    <row r="26" ht="22.5" customHeight="1">
      <c r="A26" s="132"/>
      <c r="B26" s="133"/>
      <c r="C26" s="132" t="str">
        <f>VLOOKUP(B26,'MATCH DATES'!A22:B29,2,0)</f>
        <v>#N/A</v>
      </c>
      <c r="D26" s="132"/>
      <c r="E26" s="132"/>
      <c r="F26" s="132"/>
      <c r="G26" s="132"/>
    </row>
    <row r="27" ht="22.5" customHeight="1">
      <c r="A27" s="132"/>
      <c r="B27" s="133"/>
      <c r="C27" s="132" t="str">
        <f>VLOOKUP(B27,'MATCH DATES'!A23:B30,2,0)</f>
        <v>#N/A</v>
      </c>
      <c r="D27" s="132"/>
      <c r="E27" s="132"/>
      <c r="F27" s="132"/>
      <c r="G27" s="132"/>
    </row>
    <row r="28" ht="22.5" customHeight="1">
      <c r="A28" s="132"/>
      <c r="B28" s="133"/>
      <c r="C28" s="132" t="str">
        <f>VLOOKUP(B28,'MATCH DATES'!A24:B31,2,0)</f>
        <v>#N/A</v>
      </c>
      <c r="D28" s="132"/>
      <c r="E28" s="132"/>
      <c r="F28" s="132"/>
      <c r="G28" s="132"/>
    </row>
    <row r="29" ht="22.5" customHeight="1">
      <c r="A29" s="132"/>
      <c r="B29" s="133"/>
      <c r="C29" s="132" t="str">
        <f>VLOOKUP(B29,'MATCH DATES'!A25:B32,2,0)</f>
        <v>#N/A</v>
      </c>
      <c r="D29" s="132"/>
      <c r="E29" s="132"/>
      <c r="F29" s="132"/>
      <c r="G29" s="132"/>
    </row>
    <row r="30" ht="22.5" customHeight="1">
      <c r="A30" s="132"/>
      <c r="B30" s="133"/>
      <c r="C30" s="132" t="str">
        <f>VLOOKUP(B30,'MATCH DATES'!A26:B33,2,0)</f>
        <v>#N/A</v>
      </c>
      <c r="D30" s="132"/>
      <c r="E30" s="132"/>
      <c r="F30" s="132"/>
      <c r="G30" s="132"/>
    </row>
    <row r="31" ht="22.5" customHeight="1">
      <c r="A31" s="132"/>
      <c r="B31" s="133"/>
      <c r="C31" s="132" t="str">
        <f>VLOOKUP(B31,'MATCH DATES'!A27:B34,2,0)</f>
        <v>#N/A</v>
      </c>
      <c r="D31" s="132"/>
      <c r="E31" s="132"/>
      <c r="F31" s="132"/>
      <c r="G31" s="132"/>
    </row>
    <row r="32" ht="22.5" customHeight="1">
      <c r="A32" s="132"/>
      <c r="B32" s="133"/>
      <c r="C32" s="132" t="str">
        <f>VLOOKUP(B32,'MATCH DATES'!A28:B35,2,0)</f>
        <v>#N/A</v>
      </c>
      <c r="D32" s="132"/>
      <c r="E32" s="132"/>
      <c r="F32" s="132"/>
      <c r="G32" s="132"/>
    </row>
    <row r="33" ht="22.5" customHeight="1">
      <c r="A33" s="132"/>
      <c r="B33" s="133"/>
      <c r="C33" s="132" t="str">
        <f>VLOOKUP(B33,'MATCH DATES'!A29:B36,2,0)</f>
        <v>#N/A</v>
      </c>
      <c r="D33" s="132"/>
      <c r="E33" s="132"/>
      <c r="F33" s="132"/>
      <c r="G33" s="132"/>
    </row>
    <row r="34" ht="22.5" customHeight="1">
      <c r="A34" s="132"/>
      <c r="B34" s="133"/>
      <c r="C34" s="132" t="str">
        <f>VLOOKUP(B34,'MATCH DATES'!A30:B37,2,0)</f>
        <v>#N/A</v>
      </c>
      <c r="D34" s="132"/>
      <c r="E34" s="132"/>
      <c r="F34" s="132"/>
      <c r="G34" s="132"/>
    </row>
    <row r="35" ht="22.5" customHeight="1">
      <c r="A35" s="132"/>
      <c r="B35" s="133"/>
      <c r="C35" s="132" t="str">
        <f>VLOOKUP(B35,'MATCH DATES'!A31:B38,2,0)</f>
        <v>#N/A</v>
      </c>
      <c r="D35" s="132"/>
      <c r="E35" s="132"/>
      <c r="F35" s="132"/>
      <c r="G35" s="132"/>
    </row>
    <row r="36" ht="22.5" customHeight="1">
      <c r="A36" s="132"/>
      <c r="B36" s="133"/>
      <c r="C36" s="132" t="str">
        <f>VLOOKUP(B36,'MATCH DATES'!A32:B39,2,0)</f>
        <v>#N/A</v>
      </c>
      <c r="D36" s="132"/>
      <c r="E36" s="132"/>
      <c r="F36" s="132"/>
      <c r="G36" s="132"/>
    </row>
    <row r="37" ht="22.5" customHeight="1">
      <c r="A37" s="132"/>
      <c r="B37" s="133"/>
      <c r="C37" s="132" t="str">
        <f>VLOOKUP(B37,'MATCH DATES'!A33:B40,2,0)</f>
        <v>#N/A</v>
      </c>
      <c r="D37" s="132"/>
      <c r="E37" s="132"/>
      <c r="F37" s="132"/>
      <c r="G37" s="132"/>
    </row>
    <row r="38" ht="22.5" customHeight="1">
      <c r="A38" s="132"/>
      <c r="B38" s="133"/>
      <c r="C38" s="132" t="str">
        <f>VLOOKUP(B38,'MATCH DATES'!A34:B41,2,0)</f>
        <v>#N/A</v>
      </c>
      <c r="D38" s="132"/>
      <c r="E38" s="132"/>
      <c r="F38" s="132"/>
      <c r="G38" s="132"/>
    </row>
    <row r="39" ht="22.5" customHeight="1">
      <c r="A39" s="132"/>
      <c r="B39" s="133"/>
      <c r="C39" s="132" t="str">
        <f>VLOOKUP(B39,'MATCH DATES'!A35:B42,2,0)</f>
        <v>#N/A</v>
      </c>
      <c r="D39" s="132"/>
      <c r="E39" s="132"/>
      <c r="F39" s="132"/>
      <c r="G39" s="132"/>
    </row>
    <row r="40" ht="22.5" customHeight="1">
      <c r="A40" s="132"/>
      <c r="B40" s="133"/>
      <c r="C40" s="132" t="str">
        <f>VLOOKUP(B40,'MATCH DATES'!A36:B43,2,0)</f>
        <v>#N/A</v>
      </c>
      <c r="D40" s="132"/>
      <c r="E40" s="132"/>
      <c r="F40" s="132"/>
      <c r="G40" s="132"/>
    </row>
    <row r="41" ht="22.5" customHeight="1">
      <c r="A41" s="132"/>
      <c r="B41" s="133"/>
      <c r="C41" s="132" t="str">
        <f>VLOOKUP(B41,'MATCH DATES'!A37:B44,2,0)</f>
        <v>#N/A</v>
      </c>
      <c r="D41" s="132"/>
      <c r="E41" s="132"/>
      <c r="F41" s="132"/>
      <c r="G41" s="132"/>
    </row>
    <row r="42" ht="22.5" customHeight="1">
      <c r="A42" s="132"/>
      <c r="B42" s="133"/>
      <c r="C42" s="132" t="str">
        <f>VLOOKUP(B42,'MATCH DATES'!A38:B45,2,0)</f>
        <v>#N/A</v>
      </c>
      <c r="D42" s="132"/>
      <c r="E42" s="132"/>
      <c r="F42" s="132"/>
      <c r="G42" s="132"/>
    </row>
    <row r="43" ht="22.5" customHeight="1">
      <c r="A43" s="132"/>
      <c r="B43" s="133"/>
      <c r="C43" s="132" t="str">
        <f>VLOOKUP(B43,'MATCH DATES'!A39:B46,2,0)</f>
        <v>#N/A</v>
      </c>
      <c r="D43" s="132"/>
      <c r="E43" s="132"/>
      <c r="F43" s="132"/>
      <c r="G43" s="132"/>
    </row>
    <row r="44" ht="22.5" customHeight="1">
      <c r="A44" s="132"/>
      <c r="B44" s="133"/>
      <c r="C44" s="132" t="str">
        <f>VLOOKUP(B44,'MATCH DATES'!A40:B47,2,0)</f>
        <v>#N/A</v>
      </c>
      <c r="D44" s="132"/>
      <c r="E44" s="132"/>
      <c r="F44" s="132"/>
      <c r="G44" s="132"/>
    </row>
    <row r="45" ht="22.5" customHeight="1">
      <c r="A45" s="132"/>
      <c r="B45" s="133"/>
      <c r="C45" s="132" t="str">
        <f>VLOOKUP(B45,'MATCH DATES'!A41:B48,2,0)</f>
        <v>#N/A</v>
      </c>
      <c r="D45" s="132"/>
      <c r="E45" s="132"/>
      <c r="F45" s="132"/>
      <c r="G45" s="132"/>
    </row>
    <row r="46" ht="22.5" customHeight="1">
      <c r="A46" s="132"/>
      <c r="B46" s="133"/>
      <c r="C46" s="132" t="str">
        <f>VLOOKUP(B46,'MATCH DATES'!A42:B49,2,0)</f>
        <v>#N/A</v>
      </c>
      <c r="D46" s="132"/>
      <c r="E46" s="132"/>
      <c r="F46" s="132"/>
      <c r="G46" s="132"/>
    </row>
    <row r="47" ht="22.5" customHeight="1">
      <c r="A47" s="132"/>
      <c r="B47" s="133"/>
      <c r="C47" s="132" t="str">
        <f>VLOOKUP(B47,'MATCH DATES'!A43:B50,2,0)</f>
        <v>#N/A</v>
      </c>
      <c r="D47" s="132"/>
      <c r="E47" s="132"/>
      <c r="F47" s="132"/>
      <c r="G47" s="132"/>
    </row>
    <row r="48" ht="22.5" customHeight="1">
      <c r="A48" s="132"/>
      <c r="B48" s="133"/>
      <c r="C48" s="132" t="str">
        <f>VLOOKUP(B48,'MATCH DATES'!A44:B51,2,0)</f>
        <v>#N/A</v>
      </c>
      <c r="D48" s="132"/>
      <c r="E48" s="132"/>
      <c r="F48" s="132"/>
      <c r="G48" s="132"/>
    </row>
    <row r="49" ht="22.5" customHeight="1">
      <c r="A49" s="132"/>
      <c r="B49" s="133"/>
      <c r="C49" s="132" t="str">
        <f>VLOOKUP(B49,'MATCH DATES'!A45:B52,2,0)</f>
        <v>#N/A</v>
      </c>
      <c r="D49" s="132"/>
      <c r="E49" s="132"/>
      <c r="F49" s="132"/>
      <c r="G49" s="132"/>
    </row>
    <row r="50" ht="22.5" customHeight="1">
      <c r="A50" s="132"/>
      <c r="B50" s="133"/>
      <c r="C50" s="132" t="str">
        <f>VLOOKUP(B50,'MATCH DATES'!A46:B53,2,0)</f>
        <v>#N/A</v>
      </c>
      <c r="D50" s="132"/>
      <c r="E50" s="132"/>
      <c r="F50" s="132"/>
      <c r="G50" s="132"/>
    </row>
    <row r="51" ht="22.5" customHeight="1">
      <c r="A51" s="132"/>
      <c r="B51" s="133"/>
      <c r="C51" s="132" t="str">
        <f>VLOOKUP(B51,'MATCH DATES'!A47:B54,2,0)</f>
        <v>#N/A</v>
      </c>
      <c r="D51" s="132"/>
      <c r="E51" s="132"/>
      <c r="F51" s="132"/>
      <c r="G51" s="132"/>
    </row>
    <row r="52" ht="22.5" customHeight="1">
      <c r="A52" s="132"/>
      <c r="B52" s="133"/>
      <c r="C52" s="132" t="str">
        <f>VLOOKUP(B52,'MATCH DATES'!A48:B55,2,0)</f>
        <v>#N/A</v>
      </c>
      <c r="D52" s="132"/>
      <c r="E52" s="132"/>
      <c r="F52" s="132"/>
      <c r="G52" s="132"/>
    </row>
    <row r="53" ht="22.5" customHeight="1">
      <c r="A53" s="132"/>
      <c r="B53" s="133"/>
      <c r="C53" s="132" t="str">
        <f>VLOOKUP(B53,'MATCH DATES'!A49:B56,2,0)</f>
        <v>#N/A</v>
      </c>
      <c r="D53" s="132"/>
      <c r="E53" s="132"/>
      <c r="F53" s="132"/>
      <c r="G53" s="132"/>
    </row>
    <row r="54" ht="22.5" customHeight="1">
      <c r="A54" s="132"/>
      <c r="B54" s="133"/>
      <c r="C54" s="132" t="str">
        <f>VLOOKUP(B54,'MATCH DATES'!A50:B57,2,0)</f>
        <v>#N/A</v>
      </c>
      <c r="D54" s="132"/>
      <c r="E54" s="132"/>
      <c r="F54" s="132"/>
      <c r="G54" s="132"/>
    </row>
    <row r="55" ht="22.5" customHeight="1">
      <c r="A55" s="132"/>
      <c r="B55" s="133"/>
      <c r="C55" s="132" t="str">
        <f>VLOOKUP(B55,'MATCH DATES'!A51:B58,2,0)</f>
        <v>#N/A</v>
      </c>
      <c r="D55" s="132"/>
      <c r="E55" s="132"/>
      <c r="F55" s="132"/>
      <c r="G55" s="132"/>
    </row>
    <row r="56" ht="22.5" customHeight="1">
      <c r="A56" s="132"/>
      <c r="B56" s="133"/>
      <c r="C56" s="132" t="str">
        <f>VLOOKUP(B56,'MATCH DATES'!A52:B59,2,0)</f>
        <v>#N/A</v>
      </c>
      <c r="D56" s="132"/>
      <c r="E56" s="132"/>
      <c r="F56" s="132"/>
      <c r="G56" s="132"/>
    </row>
    <row r="57" ht="22.5" customHeight="1">
      <c r="A57" s="132"/>
      <c r="B57" s="133"/>
      <c r="C57" s="132" t="str">
        <f>VLOOKUP(B57,'MATCH DATES'!A53:B60,2,0)</f>
        <v>#N/A</v>
      </c>
      <c r="D57" s="132"/>
      <c r="E57" s="132"/>
      <c r="F57" s="132"/>
      <c r="G57" s="132"/>
    </row>
    <row r="58" ht="22.5" customHeight="1">
      <c r="A58" s="132"/>
      <c r="B58" s="133"/>
      <c r="C58" s="132" t="str">
        <f>VLOOKUP(B58,'MATCH DATES'!A54:B61,2,0)</f>
        <v>#N/A</v>
      </c>
      <c r="D58" s="132"/>
      <c r="E58" s="132"/>
      <c r="F58" s="132"/>
      <c r="G58" s="132"/>
    </row>
    <row r="59" ht="22.5" customHeight="1">
      <c r="A59" s="132"/>
      <c r="B59" s="133"/>
      <c r="C59" s="132" t="str">
        <f>VLOOKUP(B59,'MATCH DATES'!A55:B62,2,0)</f>
        <v>#N/A</v>
      </c>
      <c r="D59" s="132"/>
      <c r="E59" s="132"/>
      <c r="F59" s="132"/>
      <c r="G59" s="132"/>
    </row>
    <row r="60" ht="22.5" customHeight="1">
      <c r="A60" s="132"/>
      <c r="B60" s="133"/>
      <c r="C60" s="132" t="str">
        <f>VLOOKUP(B60,'MATCH DATES'!A56:B63,2,0)</f>
        <v>#N/A</v>
      </c>
      <c r="D60" s="132"/>
      <c r="E60" s="132"/>
      <c r="F60" s="132"/>
      <c r="G60" s="132"/>
    </row>
    <row r="61" ht="22.5" customHeight="1">
      <c r="A61" s="132"/>
      <c r="B61" s="133"/>
      <c r="C61" s="132" t="str">
        <f>VLOOKUP(B61,'MATCH DATES'!A57:B64,2,0)</f>
        <v>#N/A</v>
      </c>
      <c r="D61" s="132"/>
      <c r="E61" s="132"/>
      <c r="F61" s="132"/>
      <c r="G61" s="132"/>
    </row>
    <row r="62" ht="22.5" customHeight="1">
      <c r="A62" s="132"/>
      <c r="B62" s="133"/>
      <c r="C62" s="132" t="str">
        <f>VLOOKUP(B62,'MATCH DATES'!A58:B65,2,0)</f>
        <v>#N/A</v>
      </c>
      <c r="D62" s="132"/>
      <c r="E62" s="132"/>
      <c r="F62" s="132"/>
      <c r="G62" s="132"/>
    </row>
    <row r="63" ht="22.5" customHeight="1">
      <c r="A63" s="132"/>
      <c r="B63" s="133"/>
      <c r="C63" s="132" t="str">
        <f>VLOOKUP(B63,'MATCH DATES'!A59:B66,2,0)</f>
        <v>#N/A</v>
      </c>
      <c r="D63" s="132"/>
      <c r="E63" s="132"/>
      <c r="F63" s="132"/>
      <c r="G63" s="132"/>
    </row>
    <row r="64" ht="22.5" customHeight="1">
      <c r="A64" s="132"/>
      <c r="B64" s="133"/>
      <c r="C64" s="132" t="str">
        <f>VLOOKUP(B64,'MATCH DATES'!A60:B67,2,0)</f>
        <v>#N/A</v>
      </c>
      <c r="D64" s="132"/>
      <c r="E64" s="132"/>
      <c r="F64" s="132"/>
      <c r="G64" s="132"/>
    </row>
    <row r="65" ht="22.5" customHeight="1">
      <c r="A65" s="132"/>
      <c r="B65" s="133"/>
      <c r="C65" s="132" t="str">
        <f>VLOOKUP(B65,'MATCH DATES'!A61:B68,2,0)</f>
        <v>#N/A</v>
      </c>
      <c r="D65" s="132"/>
      <c r="E65" s="132"/>
      <c r="F65" s="132"/>
      <c r="G65" s="132"/>
    </row>
    <row r="66" ht="22.5" customHeight="1">
      <c r="A66" s="132"/>
      <c r="B66" s="133"/>
      <c r="C66" s="132" t="str">
        <f>VLOOKUP(B66,'MATCH DATES'!A62:B69,2,0)</f>
        <v>#N/A</v>
      </c>
      <c r="D66" s="132"/>
      <c r="E66" s="132"/>
      <c r="F66" s="132"/>
      <c r="G66" s="132"/>
    </row>
    <row r="67" ht="22.5" customHeight="1">
      <c r="A67" s="132"/>
      <c r="B67" s="133"/>
      <c r="C67" s="132" t="str">
        <f>VLOOKUP(B67,'MATCH DATES'!A63:B70,2,0)</f>
        <v>#N/A</v>
      </c>
      <c r="D67" s="132"/>
      <c r="E67" s="132"/>
      <c r="F67" s="132"/>
      <c r="G67" s="132"/>
    </row>
    <row r="68" ht="22.5" customHeight="1">
      <c r="A68" s="132"/>
      <c r="B68" s="133"/>
      <c r="C68" s="132" t="str">
        <f>VLOOKUP(B68,'MATCH DATES'!A64:B71,2,0)</f>
        <v>#N/A</v>
      </c>
      <c r="D68" s="132"/>
      <c r="E68" s="132"/>
      <c r="F68" s="132"/>
      <c r="G68" s="132"/>
    </row>
    <row r="69" ht="22.5" customHeight="1">
      <c r="A69" s="132"/>
      <c r="B69" s="133"/>
      <c r="C69" s="132" t="str">
        <f>VLOOKUP(B69,'MATCH DATES'!A65:B72,2,0)</f>
        <v>#N/A</v>
      </c>
      <c r="D69" s="132"/>
      <c r="E69" s="132"/>
      <c r="F69" s="132"/>
      <c r="G69" s="132"/>
    </row>
    <row r="70" ht="22.5" customHeight="1">
      <c r="A70" s="132"/>
      <c r="B70" s="133"/>
      <c r="C70" s="132" t="str">
        <f>VLOOKUP(B70,'MATCH DATES'!A66:B73,2,0)</f>
        <v>#N/A</v>
      </c>
      <c r="D70" s="132"/>
      <c r="E70" s="132"/>
      <c r="F70" s="132"/>
      <c r="G70" s="132"/>
    </row>
    <row r="71" ht="22.5" customHeight="1">
      <c r="A71" s="132"/>
      <c r="B71" s="133"/>
      <c r="C71" s="132" t="str">
        <f>VLOOKUP(B71,'MATCH DATES'!A67:B74,2,0)</f>
        <v>#N/A</v>
      </c>
      <c r="D71" s="132"/>
      <c r="E71" s="132"/>
      <c r="F71" s="132"/>
      <c r="G71" s="132"/>
    </row>
    <row r="72" ht="22.5" customHeight="1">
      <c r="A72" s="132"/>
      <c r="B72" s="133"/>
      <c r="C72" s="132" t="str">
        <f>VLOOKUP(B72,'MATCH DATES'!A68:B75,2,0)</f>
        <v>#N/A</v>
      </c>
      <c r="D72" s="132"/>
      <c r="E72" s="132"/>
      <c r="F72" s="132"/>
      <c r="G72" s="132"/>
    </row>
    <row r="73" ht="22.5" customHeight="1">
      <c r="A73" s="132"/>
      <c r="B73" s="133"/>
      <c r="C73" s="132" t="str">
        <f>VLOOKUP(B73,'MATCH DATES'!A69:B76,2,0)</f>
        <v>#N/A</v>
      </c>
      <c r="D73" s="132"/>
      <c r="E73" s="132"/>
      <c r="F73" s="132"/>
      <c r="G73" s="132"/>
    </row>
    <row r="74" ht="22.5" customHeight="1">
      <c r="A74" s="132"/>
      <c r="B74" s="133"/>
      <c r="C74" s="132" t="str">
        <f>VLOOKUP(B74,'MATCH DATES'!A70:B77,2,0)</f>
        <v>#N/A</v>
      </c>
      <c r="D74" s="132"/>
      <c r="E74" s="132"/>
      <c r="F74" s="132"/>
      <c r="G74" s="132"/>
    </row>
    <row r="75" ht="22.5" customHeight="1">
      <c r="A75" s="132"/>
      <c r="B75" s="133"/>
      <c r="C75" s="132" t="str">
        <f>VLOOKUP(B75,'MATCH DATES'!A71:B78,2,0)</f>
        <v>#N/A</v>
      </c>
      <c r="D75" s="132"/>
      <c r="E75" s="132"/>
      <c r="F75" s="132"/>
      <c r="G75" s="132"/>
    </row>
    <row r="76" ht="22.5" customHeight="1">
      <c r="A76" s="132"/>
      <c r="B76" s="133"/>
      <c r="C76" s="132" t="str">
        <f>VLOOKUP(B76,'MATCH DATES'!A72:B79,2,0)</f>
        <v>#N/A</v>
      </c>
      <c r="D76" s="132"/>
      <c r="E76" s="132"/>
      <c r="F76" s="132"/>
      <c r="G76" s="132"/>
    </row>
    <row r="77" ht="22.5" customHeight="1">
      <c r="A77" s="132"/>
      <c r="B77" s="133"/>
      <c r="C77" s="132" t="str">
        <f>VLOOKUP(B77,'MATCH DATES'!A73:B80,2,0)</f>
        <v>#N/A</v>
      </c>
      <c r="D77" s="132"/>
      <c r="E77" s="132"/>
      <c r="F77" s="132"/>
      <c r="G77" s="132"/>
    </row>
    <row r="78" ht="22.5" customHeight="1">
      <c r="A78" s="132"/>
      <c r="B78" s="133"/>
      <c r="C78" s="132" t="str">
        <f>VLOOKUP(B78,'MATCH DATES'!A74:B81,2,0)</f>
        <v>#N/A</v>
      </c>
      <c r="D78" s="132"/>
      <c r="E78" s="132"/>
      <c r="F78" s="132"/>
      <c r="G78" s="132"/>
    </row>
    <row r="79" ht="22.5" customHeight="1">
      <c r="A79" s="132"/>
      <c r="B79" s="133"/>
      <c r="C79" s="132" t="str">
        <f>VLOOKUP(B79,'MATCH DATES'!A75:B82,2,0)</f>
        <v>#N/A</v>
      </c>
      <c r="D79" s="132"/>
      <c r="E79" s="132"/>
      <c r="F79" s="132"/>
      <c r="G79" s="132"/>
    </row>
    <row r="80" ht="22.5" customHeight="1">
      <c r="A80" s="132"/>
      <c r="B80" s="133"/>
      <c r="C80" s="132" t="str">
        <f>VLOOKUP(B80,'MATCH DATES'!A76:B83,2,0)</f>
        <v>#N/A</v>
      </c>
      <c r="D80" s="132"/>
      <c r="E80" s="132"/>
      <c r="F80" s="132"/>
      <c r="G80" s="132"/>
    </row>
    <row r="81" ht="22.5" customHeight="1">
      <c r="A81" s="132"/>
      <c r="B81" s="133"/>
      <c r="C81" s="132" t="str">
        <f>VLOOKUP(B81,'MATCH DATES'!A77:B84,2,0)</f>
        <v>#N/A</v>
      </c>
      <c r="D81" s="132"/>
      <c r="E81" s="132"/>
      <c r="F81" s="132"/>
      <c r="G81" s="132"/>
    </row>
    <row r="82" ht="22.5" customHeight="1">
      <c r="A82" s="132"/>
      <c r="B82" s="133"/>
      <c r="C82" s="132" t="str">
        <f>VLOOKUP(B82,'MATCH DATES'!A78:B85,2,0)</f>
        <v>#N/A</v>
      </c>
      <c r="D82" s="132"/>
      <c r="E82" s="132"/>
      <c r="F82" s="132"/>
      <c r="G82" s="132"/>
    </row>
    <row r="83" ht="22.5" customHeight="1">
      <c r="A83" s="132"/>
      <c r="B83" s="133"/>
      <c r="C83" s="132" t="str">
        <f>VLOOKUP(B83,'MATCH DATES'!A79:B86,2,0)</f>
        <v>#N/A</v>
      </c>
      <c r="D83" s="132"/>
      <c r="E83" s="132"/>
      <c r="F83" s="132"/>
      <c r="G83" s="132"/>
    </row>
    <row r="84" ht="22.5" customHeight="1">
      <c r="A84" s="132"/>
      <c r="B84" s="133"/>
      <c r="C84" s="132" t="str">
        <f>VLOOKUP(B84,'MATCH DATES'!A80:B87,2,0)</f>
        <v>#N/A</v>
      </c>
      <c r="D84" s="132"/>
      <c r="E84" s="132"/>
      <c r="F84" s="132"/>
      <c r="G84" s="132"/>
    </row>
    <row r="85" ht="22.5" customHeight="1">
      <c r="A85" s="132"/>
      <c r="B85" s="133"/>
      <c r="C85" s="132" t="str">
        <f>VLOOKUP(B85,'MATCH DATES'!A81:B88,2,0)</f>
        <v>#N/A</v>
      </c>
      <c r="D85" s="132"/>
      <c r="E85" s="132"/>
      <c r="F85" s="132"/>
      <c r="G85" s="132"/>
    </row>
    <row r="86" ht="22.5" customHeight="1">
      <c r="A86" s="132"/>
      <c r="B86" s="133"/>
      <c r="C86" s="132" t="str">
        <f>VLOOKUP(B86,'MATCH DATES'!A82:B89,2,0)</f>
        <v>#N/A</v>
      </c>
      <c r="D86" s="132"/>
      <c r="E86" s="132"/>
      <c r="F86" s="132"/>
      <c r="G86" s="132"/>
    </row>
    <row r="87" ht="22.5" customHeight="1">
      <c r="A87" s="132"/>
      <c r="B87" s="133"/>
      <c r="C87" s="132" t="str">
        <f>VLOOKUP(B87,'MATCH DATES'!A83:B90,2,0)</f>
        <v>#N/A</v>
      </c>
      <c r="D87" s="132"/>
      <c r="E87" s="132"/>
      <c r="F87" s="132"/>
      <c r="G87" s="132"/>
    </row>
    <row r="88" ht="22.5" customHeight="1">
      <c r="A88" s="132"/>
      <c r="B88" s="133"/>
      <c r="C88" s="132" t="str">
        <f>VLOOKUP(B88,'MATCH DATES'!A84:B91,2,0)</f>
        <v>#N/A</v>
      </c>
      <c r="D88" s="132"/>
      <c r="E88" s="132"/>
      <c r="F88" s="132"/>
      <c r="G88" s="132"/>
    </row>
    <row r="89" ht="22.5" customHeight="1">
      <c r="A89" s="132"/>
      <c r="B89" s="133"/>
      <c r="C89" s="132" t="str">
        <f>VLOOKUP(B89,'MATCH DATES'!A85:B92,2,0)</f>
        <v>#N/A</v>
      </c>
      <c r="D89" s="132"/>
      <c r="E89" s="132"/>
      <c r="F89" s="132"/>
      <c r="G89" s="132"/>
    </row>
    <row r="90" ht="22.5" customHeight="1">
      <c r="A90" s="132"/>
      <c r="B90" s="133"/>
      <c r="C90" s="132" t="str">
        <f>VLOOKUP(B90,'MATCH DATES'!A86:B93,2,0)</f>
        <v>#N/A</v>
      </c>
      <c r="D90" s="132"/>
      <c r="E90" s="132"/>
      <c r="F90" s="132"/>
      <c r="G90" s="132"/>
    </row>
    <row r="91" ht="22.5" customHeight="1">
      <c r="A91" s="132"/>
      <c r="B91" s="133"/>
      <c r="C91" s="132" t="str">
        <f>VLOOKUP(B91,'MATCH DATES'!A87:B94,2,0)</f>
        <v>#N/A</v>
      </c>
      <c r="D91" s="132"/>
      <c r="E91" s="132"/>
      <c r="F91" s="132"/>
      <c r="G91" s="132"/>
    </row>
    <row r="92" ht="22.5" customHeight="1">
      <c r="A92" s="132"/>
      <c r="B92" s="133"/>
      <c r="C92" s="132" t="str">
        <f>VLOOKUP(B92,'MATCH DATES'!A88:B95,2,0)</f>
        <v>#N/A</v>
      </c>
      <c r="D92" s="132"/>
      <c r="E92" s="132"/>
      <c r="F92" s="132"/>
      <c r="G92" s="132"/>
    </row>
    <row r="93" ht="22.5" customHeight="1">
      <c r="A93" s="132"/>
      <c r="B93" s="133"/>
      <c r="C93" s="132" t="str">
        <f>VLOOKUP(B93,'MATCH DATES'!A89:B96,2,0)</f>
        <v>#N/A</v>
      </c>
      <c r="D93" s="132"/>
      <c r="E93" s="132"/>
      <c r="F93" s="132"/>
      <c r="G93" s="132"/>
    </row>
    <row r="94" ht="22.5" customHeight="1">
      <c r="A94" s="132"/>
      <c r="B94" s="133"/>
      <c r="C94" s="132" t="str">
        <f>VLOOKUP(B94,'MATCH DATES'!A90:B97,2,0)</f>
        <v>#N/A</v>
      </c>
      <c r="D94" s="132"/>
      <c r="E94" s="132"/>
      <c r="F94" s="132"/>
      <c r="G94" s="132"/>
    </row>
    <row r="95" ht="22.5" customHeight="1">
      <c r="A95" s="132"/>
      <c r="B95" s="133"/>
      <c r="C95" s="132" t="str">
        <f>VLOOKUP(B95,'MATCH DATES'!A91:B98,2,0)</f>
        <v>#N/A</v>
      </c>
      <c r="D95" s="132"/>
      <c r="E95" s="132"/>
      <c r="F95" s="132"/>
      <c r="G95" s="132"/>
    </row>
    <row r="96" ht="22.5" customHeight="1">
      <c r="A96" s="132"/>
      <c r="B96" s="133"/>
      <c r="C96" s="132" t="str">
        <f>VLOOKUP(B96,'MATCH DATES'!A92:B99,2,0)</f>
        <v>#N/A</v>
      </c>
      <c r="D96" s="132"/>
      <c r="E96" s="132"/>
      <c r="F96" s="132"/>
      <c r="G96" s="132"/>
    </row>
    <row r="97" ht="22.5" customHeight="1">
      <c r="A97" s="132"/>
      <c r="B97" s="133"/>
      <c r="C97" s="132" t="str">
        <f>VLOOKUP(B97,'MATCH DATES'!A93:B100,2,0)</f>
        <v>#N/A</v>
      </c>
      <c r="D97" s="132"/>
      <c r="E97" s="132"/>
      <c r="F97" s="132"/>
      <c r="G97" s="132"/>
    </row>
    <row r="98" ht="22.5" customHeight="1">
      <c r="A98" s="132"/>
      <c r="B98" s="133"/>
      <c r="C98" s="132" t="str">
        <f>VLOOKUP(B98,'MATCH DATES'!A94:B101,2,0)</f>
        <v>#N/A</v>
      </c>
      <c r="D98" s="132"/>
      <c r="E98" s="132"/>
      <c r="F98" s="132"/>
      <c r="G98" s="132"/>
    </row>
    <row r="99" ht="22.5" customHeight="1">
      <c r="A99" s="132"/>
      <c r="B99" s="133"/>
      <c r="C99" s="132" t="str">
        <f>VLOOKUP(B99,'MATCH DATES'!A95:B102,2,0)</f>
        <v>#N/A</v>
      </c>
      <c r="D99" s="132"/>
      <c r="E99" s="132"/>
      <c r="F99" s="132"/>
      <c r="G99" s="132"/>
    </row>
    <row r="100" ht="22.5" customHeight="1">
      <c r="A100" s="132"/>
      <c r="B100" s="133"/>
      <c r="C100" s="132" t="str">
        <f>VLOOKUP(B100,'MATCH DATES'!A96:B103,2,0)</f>
        <v>#N/A</v>
      </c>
      <c r="D100" s="132"/>
      <c r="E100" s="132"/>
      <c r="F100" s="132"/>
      <c r="G100" s="132"/>
    </row>
    <row r="101" ht="22.5" customHeight="1">
      <c r="A101" s="132"/>
      <c r="B101" s="133"/>
      <c r="C101" s="132" t="str">
        <f>VLOOKUP(B101,'MATCH DATES'!A97:B104,2,0)</f>
        <v>#N/A</v>
      </c>
      <c r="D101" s="132"/>
      <c r="E101" s="132"/>
      <c r="F101" s="132"/>
      <c r="G101" s="132"/>
    </row>
    <row r="102" ht="22.5" customHeight="1">
      <c r="A102" s="132"/>
      <c r="B102" s="133"/>
      <c r="C102" s="132" t="str">
        <f>VLOOKUP(B102,'MATCH DATES'!A98:B105,2,0)</f>
        <v>#N/A</v>
      </c>
      <c r="D102" s="132"/>
      <c r="E102" s="132"/>
      <c r="F102" s="132"/>
      <c r="G102" s="132"/>
    </row>
    <row r="103" ht="22.5" customHeight="1">
      <c r="A103" s="132"/>
      <c r="B103" s="133"/>
      <c r="C103" s="132" t="str">
        <f>VLOOKUP(B103,'MATCH DATES'!A99:B106,2,0)</f>
        <v>#N/A</v>
      </c>
      <c r="D103" s="132"/>
      <c r="E103" s="132"/>
      <c r="F103" s="132"/>
      <c r="G103" s="132"/>
    </row>
    <row r="104" ht="22.5" customHeight="1">
      <c r="A104" s="132"/>
      <c r="B104" s="133"/>
      <c r="C104" s="132" t="str">
        <f>VLOOKUP(B104,'MATCH DATES'!A100:B107,2,0)</f>
        <v>#N/A</v>
      </c>
      <c r="D104" s="132"/>
      <c r="E104" s="132"/>
      <c r="F104" s="132"/>
      <c r="G104" s="132"/>
    </row>
    <row r="105" ht="22.5" customHeight="1">
      <c r="A105" s="132"/>
      <c r="B105" s="133"/>
      <c r="C105" s="132" t="str">
        <f>VLOOKUP(B105,'MATCH DATES'!A101:B108,2,0)</f>
        <v>#N/A</v>
      </c>
      <c r="D105" s="132"/>
      <c r="E105" s="132"/>
      <c r="F105" s="132"/>
      <c r="G105" s="132"/>
    </row>
  </sheetData>
  <dataValidations>
    <dataValidation type="custom" allowBlank="1" showDropDown="1" sqref="B2:B105">
      <formula1>OR(NOT(ISERROR(DATEVALUE(B2))), AND(ISNUMBER(B2), LEFT(CELL("format", B2))="D"))</formula1>
    </dataValidation>
  </dataValidations>
  <drawing r:id="rId1"/>
  <tableParts count="1">
    <tablePart r:id="rId3"/>
  </tableParts>
</worksheet>
</file>