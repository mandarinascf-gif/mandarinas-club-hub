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 DATES" sheetId="1" r:id="rId5"/>
    <sheet state="visible" name="WEEKLY_TEAMS" sheetId="2" r:id="rId6"/>
    <sheet state="visible" name="MATCH_INPUT" sheetId="3" r:id="rId7"/>
    <sheet state="visible" name="LEAGUE_STANDINGS" sheetId="4" r:id="rId8"/>
    <sheet state="visible" name="FinalsSnakeDraft" sheetId="5" r:id="rId9"/>
    <sheet state="visible" name="draftFINALS_TEAM" sheetId="6" r:id="rId10"/>
    <sheet state="visible" name="WEEKLY_ROSTER" sheetId="7" r:id="rId11"/>
    <sheet state="hidden" name="FORM" sheetId="8" r:id="rId12"/>
    <sheet state="visible" name="Form_Response" sheetId="9" r:id="rId13"/>
  </sheets>
  <definedNames>
    <definedName name="MANDARINA_SEASON">WEEKLY_TEAMS!$A$1:$CY$53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<sst xmlns="http://schemas.openxmlformats.org/spreadsheetml/2006/main" count="916" uniqueCount="281">
  <si>
    <t>Season to start 3/6/25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</si>
  <si>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</si>
  <si>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</si>
  <si>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</si>
  <si>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</si>
  <si>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</si>
  <si>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</si>
  <si>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</si>
  <si>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</si>
  <si>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</si>
  <si>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</si>
  <si>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</si>
  <si>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</si>
  <si>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</si>
  <si>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</si>
  <si>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</si>
  <si>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</si>
  <si>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</si>
  <si>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</si>
  <si>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</si>
  <si>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</si>
  <si>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</si>
  <si>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</si>
  <si>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</si>
  <si>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</si>
  <si>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</si>
  <si>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</si>
  <si>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</si>
  <si>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</si>
  <si>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</si>
  <si>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</si>
  <si>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</si>
  <si>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</si>
  <si>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</si>
  <si>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</si>
  <si>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</si>
  <si>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</si>
  <si>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</si>
  <si>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</si>
  <si>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</si>
  <si>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</si>
  <si>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</si>
  <si>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</si>
  <si>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</si>
  <si>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</si>
  <si>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</si>
  <si>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</si>
  <si>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</si>
  <si>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</si>
  <si>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</si>
  <si>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</si>
  <si>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</si>
  <si>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</si>
  <si>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</si>
  <si>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</si>
  <si>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</si>
  <si>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</si>
  <si>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</si>
  <si>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</si>
  <si>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</si>
  <si>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</si>
  <si>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</si>
  <si>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</si>
  <si>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</si>
  <si>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</si>
  <si>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</si>
  <si>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</si>
  <si>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</si>
  <si>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</si>
  <si>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</si>
  <si>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</si>
  <si>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</si>
  <si>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</si>
  <si>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</si>
  <si>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</si>
  <si>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</si>
  <si>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</si>
  <si>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</si>
  <si>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</si>
  <si>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</si>
  <si>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</si>
  <si>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</si>
  <si>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</si>
  <si>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</si>
  <si>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</si>
  <si>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</si>
  <si>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</si>
  <si>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</si>
  <si>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</si>
  <si>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</si>
  <si>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</si>
  <si>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</si>
  <si>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</si>
  <si>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</si>
  <si>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</si>
  <si>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</si>
  <si>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</si>
  <si>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</si>
  <si>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</si>
  <si>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</si>
  <si>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</si>
  <si>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</si>
  <si>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</si>
  <si>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</si>
  <si>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</si>
  <si>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</si>
  <si>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</si>
  <si>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</si>
  <si>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</si>
  <si>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</si>
  <si>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</si>
  <si>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</si>
  <si>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</si>
  <si>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</si>
  <si>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</si>
  <si>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</si>
  <si>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</si>
  <si>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</si>
  <si>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</si>
  <si>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</si>
  <si>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</si>
  <si>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</si>
  <si>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</si>
  <si>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</si>
  <si>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</si>
  <si>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</si>
  <si>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</si>
  <si>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</si>
  <si>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</si>
  <si>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</si>
  <si>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</si>
  <si>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</si>
  <si>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</si>
  <si>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Column 110</t>
  </si>
  <si>
    <t>GOALIE POINT</t>
  </si>
  <si>
    <t>Column 109</t>
  </si>
  <si>
    <t>CLEAN SHEETS</t>
  </si>
  <si>
    <t xml:space="preserve">🍀 </t>
  </si>
  <si>
    <t>🏆 Asdruval</t>
  </si>
  <si>
    <t>BLUE</t>
  </si>
  <si>
    <t>MAGENTA</t>
  </si>
  <si>
    <t>ORANGE</t>
  </si>
  <si>
    <t>GREEN</t>
  </si>
  <si>
    <t>🥈 Carlos S.</t>
  </si>
  <si>
    <t>🥉 Andres</t>
  </si>
  <si>
    <t>Mikey</t>
  </si>
  <si>
    <t>Jose Blanco</t>
  </si>
  <si>
    <t>Rodrigo</t>
  </si>
  <si>
    <t>Javier</t>
  </si>
  <si>
    <t>Valencia</t>
  </si>
  <si>
    <t>Osmin</t>
  </si>
  <si>
    <t>Efra</t>
  </si>
  <si>
    <t>Ruben</t>
  </si>
  <si>
    <t>Fer</t>
  </si>
  <si>
    <t>Gerardo</t>
  </si>
  <si>
    <t>Valverde</t>
  </si>
  <si>
    <t>Chato</t>
  </si>
  <si>
    <t>Rodolfo</t>
  </si>
  <si>
    <t>Rob</t>
  </si>
  <si>
    <t>Christian</t>
  </si>
  <si>
    <t>Guille 👨🏻‍🤝‍👨🏾 Mike</t>
  </si>
  <si>
    <t>Nicky</t>
  </si>
  <si>
    <t>Jordan</t>
  </si>
  <si>
    <t>Jose Sarza</t>
  </si>
  <si>
    <t>Fabian</t>
  </si>
  <si>
    <t>Eder</t>
  </si>
  <si>
    <t>Cuñis 👨🏽‍🤝‍👨🏼 Karter</t>
  </si>
  <si>
    <t>Alexis 👨🏾‍🤝‍👨🏿 Lopez</t>
  </si>
  <si>
    <t>Alex</t>
  </si>
  <si>
    <t>Chilas 👨🏻‍🤝‍👨🏾 Netto</t>
  </si>
  <si>
    <t>Carlos Haro</t>
  </si>
  <si>
    <t>Chavito</t>
  </si>
  <si>
    <t>Gabriel</t>
  </si>
  <si>
    <t>Gus</t>
  </si>
  <si>
    <t>David</t>
  </si>
  <si>
    <t>Kevin</t>
  </si>
  <si>
    <t>Yan Carlos</t>
  </si>
  <si>
    <t>Pirlo</t>
  </si>
  <si>
    <t>🔁</t>
  </si>
  <si>
    <t>(Rudy)</t>
  </si>
  <si>
    <t>(Enerson)</t>
  </si>
  <si>
    <t>(Jeff)</t>
  </si>
  <si>
    <t>(Nicolas)</t>
  </si>
  <si>
    <t>(Jhony S)</t>
  </si>
  <si>
    <t>(Saul)</t>
  </si>
  <si>
    <t>(Cuñis)</t>
  </si>
  <si>
    <t>(Víctor N)</t>
  </si>
  <si>
    <t>(Víctor)</t>
  </si>
  <si>
    <t>(Jhonatan A)</t>
  </si>
  <si>
    <t>(Karter)</t>
  </si>
  <si>
    <t>(Juan Pablo)</t>
  </si>
  <si>
    <t>(Alexis)</t>
  </si>
  <si>
    <t>(Jayden)</t>
  </si>
  <si>
    <t>MATCH DAY</t>
  </si>
  <si>
    <t>MATCH</t>
  </si>
  <si>
    <t>Court</t>
  </si>
  <si>
    <t>TEAM</t>
  </si>
  <si>
    <t>SCORE</t>
  </si>
  <si>
    <t>WINNER</t>
  </si>
  <si>
    <t>Points</t>
  </si>
  <si>
    <t>1a</t>
  </si>
  <si>
    <t>VS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</si>
  <si>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</si>
  <si>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</si>
  <si>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</si>
  <si>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</si>
  <si>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</si>
  <si>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</si>
  <si>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</si>
  <si>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</si>
  <si>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</si>
  <si>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</si>
  <si>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</si>
  <si>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</si>
  <si>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</si>
  <si>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</si>
  <si>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</si>
  <si>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</si>
  <si>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</si>
  <si>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</si>
  <si>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</si>
  <si>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</si>
  <si>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</si>
  <si>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</si>
  <si>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</si>
  <si>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</si>
  <si>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</si>
  <si>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</si>
  <si>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</si>
  <si>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</si>
  <si>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</si>
  <si>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</si>
  <si>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</si>
  <si>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</si>
  <si>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</si>
  <si>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</si>
  <si>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</si>
  <si>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</si>
  <si>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</si>
  <si>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</si>
  <si>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</si>
  <si>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RANK</t>
  </si>
  <si>
    <t xml:space="preserve">⚽️ </t>
  </si>
  <si>
    <t>🧤</t>
  </si>
  <si>
    <t>🚫🥅</t>
  </si>
  <si>
    <t>RANKING</t>
  </si>
  <si>
    <t>TEAM A</t>
  </si>
  <si>
    <t>TEAM B</t>
  </si>
  <si>
    <t>TEAM C</t>
  </si>
  <si>
    <t xml:space="preserve"> TEAM D</t>
  </si>
  <si>
    <t>ROUND ROBIN</t>
  </si>
  <si>
    <t>SANKE DRAFT METHOD</t>
  </si>
  <si>
    <t>Andres</t>
  </si>
  <si>
    <t>Asdruval</t>
  </si>
  <si>
    <t>🥈 Rodrigo</t>
  </si>
  <si>
    <t>🏆 Jordan</t>
  </si>
  <si>
    <t>🥉 Fer</t>
  </si>
  <si>
    <t>Carlos S.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</si>
  <si>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</si>
  <si>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</si>
  <si>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</si>
  <si>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</si>
  <si>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</si>
  <si>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</si>
  <si>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</si>
  <si>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</si>
  <si>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</si>
  <si>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</si>
  <si>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</si>
  <si>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Season to start 1/9/25</t>
  </si>
  <si>
    <t>=</t>
  </si>
  <si>
    <t>Timestamp</t>
  </si>
  <si>
    <t>Match Date?</t>
  </si>
  <si>
    <t>Match Day?</t>
  </si>
  <si>
    <t>Player Name?</t>
  </si>
  <si>
    <t>How many goals scored? (Leave blank if none)</t>
  </si>
  <si>
    <t>Where you goalie?</t>
  </si>
  <si>
    <t>Clean Sheet?</t>
  </si>
  <si>
    <t>Yes</t>
  </si>
  <si>
    <t>👥 Alexis / Lopez</t>
  </si>
  <si>
    <t>👥 Cuñis / Karter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</si>
</sst>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36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color theme="1"/>
      <name val="Aptos Narrow"/>
      <scheme val="minor"/>
    </font>
    <font>
      <sz val="10.0"/>
      <color rgb="FFFFFFFF"/>
      <name val="Arial"/>
    </font>
    <font>
      <sz val="10.0"/>
      <color rgb="FF000000"/>
      <name val="Arial"/>
    </font>
    <font>
      <sz val="10.0"/>
      <color theme="0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theme="0"/>
      <name val="Aptos Narrow"/>
    </font>
    <font>
      <i/>
      <sz val="9.0"/>
      <color theme="0"/>
      <name val="Aptos Narrow"/>
    </font>
    <font>
      <sz val="9.0"/>
      <color theme="1"/>
      <name val="Arial"/>
    </font>
    <font>
      <i/>
      <sz val="9.0"/>
      <color rgb="FFFFFFFF"/>
      <name val="Aptos Narrow"/>
    </font>
    <font/>
    <font>
      <sz val="9.0"/>
      <color rgb="FFFFFFFF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color rgb="FF000000"/>
      <name val="Arial"/>
    </font>
    <font>
      <b/>
      <sz val="12.0"/>
      <color theme="1"/>
      <name val="Arial"/>
    </font>
    <font>
      <sz val="12.0"/>
      <color rgb="FF232B2B"/>
      <name val="Arial"/>
    </font>
    <font>
      <sz val="12.0"/>
      <color theme="1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  <fill>
      <patternFill patternType="solid">
        <fgColor theme="0"/>
        <bgColor theme="0"/>
      </patternFill>
    </fill>
    <fill>
      <patternFill patternType="solid">
        <fgColor rgb="FFADD8E6"/>
        <bgColor rgb="FFADD8E6"/>
      </patternFill>
    </fill>
    <fill>
      <patternFill patternType="solid">
        <fgColor rgb="FF32CD32"/>
        <bgColor rgb="FF32CD32"/>
      </patternFill>
    </fill>
    <fill>
      <patternFill patternType="solid">
        <fgColor rgb="FFFFA500"/>
        <bgColor rgb="FFFFA500"/>
      </patternFill>
    </fill>
    <fill>
      <patternFill patternType="solid">
        <fgColor rgb="FF76D6FF"/>
        <bgColor rgb="FF76D6FF"/>
      </patternFill>
    </fill>
    <fill>
      <patternFill patternType="solid">
        <fgColor rgb="FFFF40FF"/>
        <bgColor rgb="FFFF40FF"/>
      </patternFill>
    </fill>
    <fill>
      <patternFill patternType="solid">
        <fgColor rgb="FFFF9300"/>
        <bgColor rgb="FFFF9300"/>
      </patternFill>
    </fill>
    <fill>
      <patternFill patternType="solid">
        <fgColor rgb="FF8EFA00"/>
        <bgColor rgb="FF8EFA00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</fills>
  <borders count="14">
    <border/>
    <border>
      <left style="double">
        <color rgb="FFFF9900"/>
      </left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left style="dotted">
        <color rgb="FFFFFFFF"/>
      </left>
      <right style="dotted">
        <color rgb="FFFFFFFF"/>
      </right>
      <bottom style="thick">
        <color rgb="FFFFFFFF"/>
      </bottom>
    </border>
    <border>
      <bottom style="double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shrinkToFit="1" vertical="center" wrapText="0"/>
    </xf>
    <xf borderId="0" fillId="3" fontId="5" numFmtId="0" xfId="0" applyAlignment="1" applyFill="1" applyFont="1">
      <alignment horizontal="center" readingOrder="0" shrinkToFit="1" vertical="center" wrapText="0"/>
    </xf>
    <xf borderId="0" fillId="2" fontId="6" numFmtId="0" xfId="0" applyAlignment="1" applyFont="1">
      <alignment horizontal="center" readingOrder="0" shrinkToFit="1" vertical="center" wrapText="0"/>
    </xf>
    <xf borderId="0" fillId="4" fontId="5" numFmtId="0" xfId="0" applyAlignment="1" applyFill="1" applyFont="1">
      <alignment horizontal="center" shrinkToFit="1" vertical="center" wrapText="0"/>
    </xf>
    <xf borderId="0" fillId="4" fontId="7" numFmtId="0" xfId="0" applyAlignment="1" applyFont="1">
      <alignment horizontal="center" shrinkToFit="1" vertical="center" wrapText="0"/>
    </xf>
    <xf borderId="0" fillId="0" fontId="5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readingOrder="0" shrinkToFit="0" textRotation="0" vertical="center" wrapText="1"/>
    </xf>
    <xf borderId="1" fillId="0" fontId="5" numFmtId="0" xfId="0" applyAlignment="1" applyBorder="1" applyFont="1">
      <alignment horizontal="center" readingOrder="0" shrinkToFit="0" textRotation="0" vertical="center" wrapText="1"/>
    </xf>
    <xf borderId="1" fillId="4" fontId="5" numFmtId="0" xfId="0" applyAlignment="1" applyBorder="1" applyFont="1">
      <alignment horizontal="center" readingOrder="0" shrinkToFit="0" textRotation="0" vertical="center" wrapText="1"/>
    </xf>
    <xf borderId="1" fillId="4" fontId="7" numFmtId="0" xfId="0" applyAlignment="1" applyBorder="1" applyFont="1">
      <alignment horizontal="center" readingOrder="0" shrinkToFit="0" textRotation="0" vertical="center" wrapText="1"/>
    </xf>
    <xf borderId="0" fillId="4" fontId="5" numFmtId="0" xfId="0" applyAlignment="1" applyFont="1">
      <alignment horizontal="center" readingOrder="0" shrinkToFit="0" textRotation="0" vertical="center" wrapText="1"/>
    </xf>
    <xf borderId="0" fillId="4" fontId="5" numFmtId="49" xfId="0" applyAlignment="1" applyFont="1" applyNumberFormat="1">
      <alignment horizontal="center" readingOrder="0" shrinkToFit="0" textRotation="0" vertical="center" wrapText="1"/>
    </xf>
    <xf borderId="0" fillId="0" fontId="8" numFmtId="49" xfId="0" applyAlignment="1" applyFont="1" applyNumberFormat="1">
      <alignment horizontal="left" shrinkToFit="0" vertical="center" wrapText="0"/>
    </xf>
    <xf borderId="0" fillId="4" fontId="5" numFmtId="0" xfId="0" applyAlignment="1" applyFont="1">
      <alignment horizontal="center" readingOrder="0" shrinkToFit="0" textRotation="0" vertical="center" wrapText="1"/>
    </xf>
    <xf borderId="0" fillId="2" fontId="9" numFmtId="0" xfId="0" applyAlignment="1" applyFont="1">
      <alignment horizontal="center" readingOrder="0" shrinkToFit="1" vertical="center" wrapText="0"/>
    </xf>
    <xf borderId="2" fillId="2" fontId="9" numFmtId="0" xfId="0" applyAlignment="1" applyBorder="1" applyFont="1">
      <alignment horizontal="center" readingOrder="0" shrinkToFit="1" vertical="center" wrapText="0"/>
    </xf>
    <xf borderId="3" fillId="3" fontId="7" numFmtId="0" xfId="0" applyAlignment="1" applyBorder="1" applyFont="1">
      <alignment horizontal="center" readingOrder="0" shrinkToFit="1" vertical="center" wrapText="0"/>
    </xf>
    <xf borderId="4" fillId="3" fontId="7" numFmtId="0" xfId="0" applyAlignment="1" applyBorder="1" applyFont="1">
      <alignment horizontal="center" shrinkToFit="1" vertical="center" wrapText="0"/>
    </xf>
    <xf borderId="4" fillId="3" fontId="7" numFmtId="0" xfId="0" applyAlignment="1" applyBorder="1" applyFont="1">
      <alignment horizontal="center" readingOrder="0" shrinkToFit="1" vertical="center" wrapText="0"/>
    </xf>
    <xf borderId="2" fillId="3" fontId="10" numFmtId="0" xfId="0" applyAlignment="1" applyBorder="1" applyFont="1">
      <alignment horizontal="center" readingOrder="0" shrinkToFit="1" vertical="center" wrapText="0"/>
    </xf>
    <xf borderId="4" fillId="3" fontId="7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3" fillId="2" fontId="9" numFmtId="0" xfId="0" applyAlignment="1" applyBorder="1" applyFont="1">
      <alignment horizontal="center" readingOrder="0" shrinkToFit="1" vertical="center" wrapText="0"/>
    </xf>
    <xf borderId="4" fillId="2" fontId="11" numFmtId="0" xfId="0" applyAlignment="1" applyBorder="1" applyFont="1">
      <alignment horizontal="center" shrinkToFit="1" vertical="center" wrapText="0"/>
    </xf>
    <xf borderId="4" fillId="2" fontId="9" numFmtId="0" xfId="0" applyAlignment="1" applyBorder="1" applyFont="1">
      <alignment horizontal="center" readingOrder="0" shrinkToFit="1" vertical="center" wrapText="0"/>
    </xf>
    <xf borderId="4" fillId="2" fontId="9" numFmtId="0" xfId="0" applyAlignment="1" applyBorder="1" applyFont="1">
      <alignment horizontal="center" shrinkToFit="0" vertical="center" wrapText="0"/>
    </xf>
    <xf borderId="6" fillId="2" fontId="9" numFmtId="0" xfId="0" applyAlignment="1" applyBorder="1" applyFont="1">
      <alignment horizontal="center" shrinkToFit="0" vertical="center" wrapText="0"/>
    </xf>
    <xf borderId="4" fillId="3" fontId="10" numFmtId="0" xfId="0" applyAlignment="1" applyBorder="1" applyFont="1">
      <alignment horizontal="center" shrinkToFit="1" vertical="center" wrapText="0"/>
    </xf>
    <xf borderId="2" fillId="3" fontId="7" numFmtId="0" xfId="0" applyAlignment="1" applyBorder="1" applyFont="1">
      <alignment horizontal="center" readingOrder="0" shrinkToFit="1" vertical="center" wrapText="0"/>
    </xf>
    <xf borderId="7" fillId="2" fontId="9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1" vertical="center" wrapText="0"/>
    </xf>
    <xf borderId="0" fillId="4" fontId="7" numFmtId="0" xfId="0" applyAlignment="1" applyFont="1">
      <alignment horizontal="center" shrinkToFit="1" vertical="center" wrapText="0"/>
    </xf>
    <xf borderId="3" fillId="2" fontId="11" numFmtId="0" xfId="0" applyAlignment="1" applyBorder="1" applyFont="1">
      <alignment horizontal="center" shrinkToFit="1" vertical="center" wrapText="0"/>
    </xf>
    <xf borderId="3" fillId="3" fontId="7" numFmtId="0" xfId="0" applyAlignment="1" applyBorder="1" applyFont="1">
      <alignment horizontal="center" shrinkToFit="1" vertical="center" wrapText="0"/>
    </xf>
    <xf borderId="3" fillId="2" fontId="11" numFmtId="0" xfId="0" applyAlignment="1" applyBorder="1" applyFont="1">
      <alignment horizontal="center" readingOrder="0" shrinkToFit="1" vertical="center" wrapText="0"/>
    </xf>
    <xf borderId="3" fillId="3" fontId="7" numFmtId="0" xfId="0" applyAlignment="1" applyBorder="1" applyFont="1">
      <alignment horizontal="center" shrinkToFit="1" vertical="center" wrapText="0"/>
    </xf>
    <xf borderId="3" fillId="2" fontId="11" numFmtId="0" xfId="0" applyAlignment="1" applyBorder="1" applyFont="1">
      <alignment horizontal="center" shrinkToFit="1" vertical="center" wrapText="0"/>
    </xf>
    <xf borderId="0" fillId="2" fontId="12" numFmtId="0" xfId="0" applyAlignment="1" applyFont="1">
      <alignment horizontal="center" readingOrder="0" shrinkToFit="0" vertical="bottom" wrapText="1"/>
    </xf>
    <xf borderId="0" fillId="2" fontId="13" numFmtId="0" xfId="0" applyAlignment="1" applyFont="1">
      <alignment horizontal="center" shrinkToFit="0" vertical="bottom" wrapText="1"/>
    </xf>
    <xf borderId="0" fillId="2" fontId="14" numFmtId="0" xfId="0" applyAlignment="1" applyFont="1">
      <alignment horizontal="right" readingOrder="0" shrinkToFit="0" vertical="bottom" wrapText="1"/>
    </xf>
    <xf borderId="0" fillId="2" fontId="14" numFmtId="0" xfId="0" applyAlignment="1" applyFont="1">
      <alignment horizontal="left" readingOrder="0" shrinkToFit="0" vertical="bottom" wrapText="1"/>
    </xf>
    <xf borderId="0" fillId="2" fontId="15" numFmtId="0" xfId="0" applyFont="1"/>
    <xf borderId="0" fillId="2" fontId="16" numFmtId="0" xfId="0" applyAlignment="1" applyFont="1">
      <alignment horizontal="center" vertical="center"/>
    </xf>
    <xf borderId="0" fillId="2" fontId="17" numFmtId="0" xfId="0" applyAlignment="1" applyFont="1">
      <alignment horizontal="right" vertical="center"/>
    </xf>
    <xf borderId="0" fillId="5" fontId="17" numFmtId="0" xfId="0" applyAlignment="1" applyFill="1" applyFont="1">
      <alignment horizontal="center" vertical="center"/>
    </xf>
    <xf borderId="8" fillId="2" fontId="18" numFmtId="0" xfId="0" applyAlignment="1" applyBorder="1" applyFont="1">
      <alignment horizontal="right" vertical="center"/>
    </xf>
    <xf borderId="8" fillId="5" fontId="19" numFmtId="0" xfId="0" applyAlignment="1" applyBorder="1" applyFont="1">
      <alignment horizontal="center" readingOrder="0" shrinkToFit="1" vertical="center" wrapText="0"/>
    </xf>
    <xf borderId="8" fillId="5" fontId="12" numFmtId="0" xfId="0" applyAlignment="1" applyBorder="1" applyFont="1">
      <alignment horizontal="center" readingOrder="0" vertical="center"/>
    </xf>
    <xf borderId="9" fillId="5" fontId="12" numFmtId="0" xfId="0" applyAlignment="1" applyBorder="1" applyFont="1">
      <alignment horizontal="center" readingOrder="0" vertical="center"/>
    </xf>
    <xf borderId="8" fillId="5" fontId="17" numFmtId="0" xfId="0" applyAlignment="1" applyBorder="1" applyFont="1">
      <alignment horizontal="center" vertical="center"/>
    </xf>
    <xf borderId="8" fillId="5" fontId="13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left" vertical="center"/>
    </xf>
    <xf borderId="0" fillId="2" fontId="17" numFmtId="0" xfId="0" applyAlignment="1" applyFont="1">
      <alignment horizontal="left" vertical="center"/>
    </xf>
    <xf borderId="10" fillId="0" fontId="21" numFmtId="0" xfId="0" applyBorder="1" applyFont="1"/>
    <xf borderId="10" fillId="5" fontId="17" numFmtId="0" xfId="0" applyAlignment="1" applyBorder="1" applyFont="1">
      <alignment horizontal="center" vertical="center"/>
    </xf>
    <xf borderId="10" fillId="2" fontId="18" numFmtId="0" xfId="0" applyAlignment="1" applyBorder="1" applyFont="1">
      <alignment horizontal="right" vertical="center"/>
    </xf>
    <xf borderId="10" fillId="5" fontId="19" numFmtId="0" xfId="0" applyAlignment="1" applyBorder="1" applyFont="1">
      <alignment horizontal="center" readingOrder="0" shrinkToFit="1" vertical="center" wrapText="0"/>
    </xf>
    <xf borderId="10" fillId="5" fontId="12" numFmtId="0" xfId="0" applyAlignment="1" applyBorder="1" applyFont="1">
      <alignment horizontal="center" readingOrder="0" vertical="center"/>
    </xf>
    <xf borderId="11" fillId="5" fontId="12" numFmtId="0" xfId="0" applyAlignment="1" applyBorder="1" applyFont="1">
      <alignment horizontal="center" readingOrder="0" vertical="center"/>
    </xf>
    <xf borderId="10" fillId="5" fontId="13" numFmtId="0" xfId="0" applyAlignment="1" applyBorder="1" applyFont="1">
      <alignment horizontal="center" vertical="center"/>
    </xf>
    <xf borderId="10" fillId="2" fontId="20" numFmtId="0" xfId="0" applyAlignment="1" applyBorder="1" applyFont="1">
      <alignment horizontal="left" vertical="center"/>
    </xf>
    <xf borderId="10" fillId="2" fontId="16" numFmtId="0" xfId="0" applyAlignment="1" applyBorder="1" applyFont="1">
      <alignment horizontal="center" vertical="center"/>
    </xf>
    <xf borderId="0" fillId="6" fontId="17" numFmtId="0" xfId="0" applyAlignment="1" applyFill="1" applyFont="1">
      <alignment horizontal="center" vertical="center"/>
    </xf>
    <xf borderId="8" fillId="3" fontId="19" numFmtId="0" xfId="0" applyAlignment="1" applyBorder="1" applyFont="1">
      <alignment horizontal="center" readingOrder="0" shrinkToFit="1" vertical="center" wrapText="0"/>
    </xf>
    <xf borderId="8" fillId="3" fontId="12" numFmtId="0" xfId="0" applyAlignment="1" applyBorder="1" applyFont="1">
      <alignment horizontal="center" readingOrder="0" vertical="center"/>
    </xf>
    <xf borderId="8" fillId="6" fontId="17" numFmtId="0" xfId="0" applyAlignment="1" applyBorder="1" applyFont="1">
      <alignment horizontal="center" vertical="center"/>
    </xf>
    <xf borderId="10" fillId="6" fontId="17" numFmtId="0" xfId="0" applyAlignment="1" applyBorder="1" applyFont="1">
      <alignment horizontal="center" vertical="center"/>
    </xf>
    <xf borderId="10" fillId="3" fontId="19" numFmtId="0" xfId="0" applyAlignment="1" applyBorder="1" applyFont="1">
      <alignment horizontal="center" readingOrder="0" shrinkToFit="1" vertical="center" wrapText="0"/>
    </xf>
    <xf borderId="10" fillId="3" fontId="12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right" readingOrder="0" vertical="center"/>
    </xf>
    <xf borderId="0" fillId="2" fontId="22" numFmtId="0" xfId="0" applyAlignment="1" applyFont="1">
      <alignment horizontal="left" readingOrder="0" vertical="center"/>
    </xf>
    <xf borderId="8" fillId="5" fontId="13" numFmtId="0" xfId="0" applyAlignment="1" applyBorder="1" applyFont="1">
      <alignment horizontal="center" readingOrder="0" vertical="center"/>
    </xf>
    <xf borderId="10" fillId="5" fontId="13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right" vertical="center"/>
    </xf>
    <xf borderId="8" fillId="3" fontId="13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left" vertical="center"/>
    </xf>
    <xf borderId="10" fillId="3" fontId="13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right" readingOrder="0" vertical="center"/>
    </xf>
    <xf borderId="0" fillId="2" fontId="24" numFmtId="49" xfId="0" applyAlignment="1" applyFont="1" applyNumberFormat="1">
      <alignment horizontal="left" readingOrder="0" shrinkToFit="0" vertical="center" wrapText="1"/>
    </xf>
    <xf borderId="0" fillId="2" fontId="6" numFmtId="49" xfId="0" applyAlignment="1" applyFont="1" applyNumberFormat="1">
      <alignment horizontal="center" shrinkToFit="0" vertical="center" wrapText="0"/>
    </xf>
    <xf borderId="0" fillId="2" fontId="25" numFmtId="0" xfId="0" applyAlignment="1" applyFont="1">
      <alignment horizontal="right" readingOrder="0" vertical="center"/>
    </xf>
    <xf borderId="0" fillId="2" fontId="24" numFmtId="0" xfId="0" applyAlignment="1" applyFont="1">
      <alignment horizontal="left" readingOrder="0" shrinkToFit="0" vertical="center" wrapText="1"/>
    </xf>
    <xf borderId="0" fillId="2" fontId="23" numFmtId="49" xfId="0" applyAlignment="1" applyFont="1" applyNumberFormat="1">
      <alignment horizontal="left" readingOrder="0" shrinkToFit="0" vertical="center" wrapText="1"/>
    </xf>
    <xf borderId="0" fillId="2" fontId="26" numFmtId="0" xfId="0" applyAlignment="1" applyFont="1">
      <alignment horizontal="left" readingOrder="0" shrinkToFit="0" vertical="center" wrapText="1"/>
    </xf>
    <xf borderId="0" fillId="2" fontId="25" numFmtId="0" xfId="0" applyAlignment="1" applyFont="1">
      <alignment horizontal="right" shrinkToFit="1" vertical="center" wrapText="0"/>
    </xf>
    <xf borderId="0" fillId="2" fontId="27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vertical="center"/>
    </xf>
    <xf borderId="0" fillId="2" fontId="23" numFmtId="49" xfId="0" applyAlignment="1" applyFont="1" applyNumberFormat="1">
      <alignment horizontal="left" shrinkToFit="0" vertical="center" wrapText="1"/>
    </xf>
    <xf borderId="0" fillId="2" fontId="8" numFmtId="0" xfId="0" applyFont="1"/>
    <xf borderId="0" fillId="7" fontId="28" numFmtId="0" xfId="0" applyAlignment="1" applyFill="1" applyFont="1">
      <alignment horizontal="center" vertical="center"/>
    </xf>
    <xf borderId="0" fillId="8" fontId="28" numFmtId="0" xfId="0" applyAlignment="1" applyFill="1" applyFont="1">
      <alignment horizontal="center" vertical="center"/>
    </xf>
    <xf borderId="0" fillId="2" fontId="29" numFmtId="0" xfId="0" applyAlignment="1" applyFont="1">
      <alignment horizontal="center" readingOrder="0" shrinkToFit="0" vertical="center" wrapText="1"/>
    </xf>
    <xf borderId="0" fillId="2" fontId="23" numFmtId="49" xfId="0" applyAlignment="1" applyFont="1" applyNumberFormat="1">
      <alignment horizontal="center" readingOrder="0" shrinkToFit="0" vertical="center" wrapText="1"/>
    </xf>
    <xf borderId="0" fillId="2" fontId="23" numFmtId="0" xfId="0" applyAlignment="1" applyFont="1">
      <alignment horizontal="center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0" fillId="2" fontId="30" numFmtId="0" xfId="0" applyAlignment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0" fillId="2" fontId="28" numFmtId="0" xfId="0" applyAlignment="1" applyFont="1">
      <alignment horizontal="center" readingOrder="0" vertical="center"/>
    </xf>
    <xf borderId="12" fillId="2" fontId="28" numFmtId="0" xfId="0" applyAlignment="1" applyBorder="1" applyFont="1">
      <alignment horizontal="center" vertical="center"/>
    </xf>
    <xf borderId="0" fillId="8" fontId="31" numFmtId="0" xfId="0" applyAlignment="1" applyFont="1">
      <alignment horizontal="center" readingOrder="0" vertical="center"/>
    </xf>
    <xf borderId="0" fillId="9" fontId="32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10" fontId="8" numFmtId="0" xfId="0" applyAlignment="1" applyFill="1" applyFont="1">
      <alignment horizontal="center"/>
    </xf>
    <xf borderId="0" fillId="11" fontId="8" numFmtId="0" xfId="0" applyAlignment="1" applyFill="1" applyFont="1">
      <alignment horizontal="center"/>
    </xf>
    <xf borderId="0" fillId="12" fontId="8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13" fontId="8" numFmtId="0" xfId="0" applyAlignment="1" applyFill="1" applyFont="1">
      <alignment horizontal="center"/>
    </xf>
    <xf borderId="0" fillId="14" fontId="8" numFmtId="0" xfId="0" applyAlignment="1" applyFill="1" applyFont="1">
      <alignment horizontal="center"/>
    </xf>
    <xf borderId="0" fillId="15" fontId="8" numFmtId="0" xfId="0" applyAlignment="1" applyFill="1" applyFont="1">
      <alignment horizontal="center"/>
    </xf>
    <xf borderId="0" fillId="16" fontId="8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13" fontId="1" numFmtId="0" xfId="0" applyAlignment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15" fontId="1" numFmtId="0" xfId="0" applyAlignment="1" applyFont="1">
      <alignment horizontal="center" readingOrder="0"/>
    </xf>
    <xf borderId="0" fillId="14" fontId="1" numFmtId="0" xfId="0" applyAlignment="1" applyFont="1">
      <alignment horizontal="center" readingOrder="0"/>
    </xf>
    <xf borderId="0" fillId="17" fontId="33" numFmtId="0" xfId="0" applyAlignment="1" applyFill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17" fontId="33" numFmtId="0" xfId="0" applyAlignment="1" applyBorder="1" applyFont="1">
      <alignment horizontal="center" readingOrder="0"/>
    </xf>
    <xf borderId="0" fillId="17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8" fontId="34" numFmtId="0" xfId="0" applyAlignment="1" applyFill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5" numFmtId="0" xfId="0" applyAlignment="1" applyFont="1">
      <alignment horizontal="center"/>
    </xf>
    <xf quotePrefix="1"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4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color rgb="FF232B2B"/>
      </font>
      <fill>
        <patternFill patternType="solid">
          <fgColor rgb="FF8EFA00"/>
          <bgColor rgb="FF8EFA00"/>
        </patternFill>
      </fill>
      <border/>
    </dxf>
    <dxf>
      <font/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-style">
      <tableStyleElement dxfId="39" type="headerRow"/>
      <tableStyleElement dxfId="2" type="firstRowStripe"/>
      <tableStyleElement dxfId="40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F53" displayName="Table1" name="Table1" id="1">
  <tableColumns count="110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Column 110" id="107"/>
    <tableColumn name="GOALIE POINT" id="108"/>
    <tableColumn name="Column 109" id="109"/>
    <tableColumn name="CLEAN SHEETS" id="110"/>
  </tableColumns>
  <tableStyleInfo name="WEEKLY_TEAMS-style" showColumnStripes="0" showFirstColumn="1" showLastColumn="1" showRowStripes="1"/>
</table>
</file>

<file path=xl/tables/table2.xml><?xml version="1.0" encoding="utf-8"?>
<table xmlns="http://schemas.openxmlformats.org/spreadsheetml/2006/main" ref="A1:G105" displayName="Form_Responses1" name="Form_Responses1" id="2">
  <tableColumns count="7">
    <tableColumn name="Timestamp" id="1"/>
    <tableColumn name="Match Date?" id="2"/>
    <tableColumn name="Match Day?" id="3"/>
    <tableColumn name="Player Name?" id="4"/>
    <tableColumn name="How many goals scored? (Leave blank if none)" id="5"/>
    <tableColumn name="Where you goalie?" id="6"/>
    <tableColumn name="Clean Sheet?" id="7"/>
  </tableColumns>
  <tableStyleInfo name="Form_Respo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1">
        <v>45722.0</v>
      </c>
      <c r="B2" s="2" t="s">
        <v>1</v>
      </c>
    </row>
    <row r="3" ht="15.75" customHeight="1">
      <c r="A3" s="1">
        <v>45729.0</v>
      </c>
      <c r="B3" s="2" t="s">
        <v>2</v>
      </c>
    </row>
    <row r="4" ht="15.75" customHeight="1">
      <c r="A4" s="1">
        <v>45736.0</v>
      </c>
      <c r="B4" s="2" t="s">
        <v>3</v>
      </c>
    </row>
    <row r="5" ht="15.75" customHeight="1">
      <c r="A5" s="1">
        <v>45743.0</v>
      </c>
      <c r="B5" s="2" t="s">
        <v>4</v>
      </c>
    </row>
    <row r="6" ht="15.75" customHeight="1">
      <c r="A6" s="1">
        <v>45750.0</v>
      </c>
      <c r="B6" s="2" t="s">
        <v>5</v>
      </c>
    </row>
    <row r="7" ht="15.75" customHeight="1">
      <c r="A7" s="1">
        <v>45757.0</v>
      </c>
      <c r="B7" s="2" t="s">
        <v>6</v>
      </c>
    </row>
    <row r="8" ht="15.75" customHeight="1">
      <c r="A8" s="1">
        <v>45764.0</v>
      </c>
      <c r="B8" s="2" t="s">
        <v>7</v>
      </c>
    </row>
    <row r="9" ht="15.75" customHeight="1">
      <c r="A9" s="1">
        <v>45771.0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3" t="s">
        <v>9</v>
      </c>
    </row>
    <row r="16" ht="15.75" customHeight="1">
      <c r="A16" s="4"/>
    </row>
    <row r="17" ht="15.75" customHeight="1">
      <c r="A17" s="3" t="s">
        <v>10</v>
      </c>
    </row>
    <row r="18" ht="15.75" customHeight="1">
      <c r="A18" s="4"/>
    </row>
    <row r="19" ht="15.75" customHeight="1">
      <c r="A19" s="3" t="s">
        <v>11</v>
      </c>
    </row>
    <row r="20" ht="15.75" customHeight="1">
      <c r="A20" s="4"/>
    </row>
    <row r="21" ht="15.75" customHeight="1">
      <c r="A21" s="3" t="s">
        <v>12</v>
      </c>
    </row>
    <row r="22" ht="15.75" customHeight="1">
      <c r="A22" s="4"/>
    </row>
    <row r="23" ht="15.75" customHeight="1">
      <c r="A23" s="3" t="s">
        <v>13</v>
      </c>
    </row>
    <row r="24" ht="15.75" customHeight="1">
      <c r="A24" s="4"/>
    </row>
    <row r="25" ht="15.75" customHeight="1">
      <c r="A25" s="3" t="s">
        <v>14</v>
      </c>
    </row>
    <row r="26" ht="15.75" customHeight="1">
      <c r="A26" s="4"/>
    </row>
    <row r="27" ht="15.75" customHeight="1">
      <c r="A27" s="3" t="s">
        <v>15</v>
      </c>
    </row>
    <row r="28" ht="15.75" customHeight="1">
      <c r="A28" s="4"/>
    </row>
    <row r="29" ht="15.75" customHeight="1">
      <c r="A29" s="3" t="s">
        <v>16</v>
      </c>
    </row>
    <row r="30" ht="15.75" customHeight="1">
      <c r="A30" s="4"/>
    </row>
    <row r="31" ht="15.75" customHeight="1">
      <c r="A31" s="3" t="s">
        <v>17</v>
      </c>
    </row>
    <row r="32" ht="15.75" customHeight="1">
      <c r="A32" s="4"/>
    </row>
    <row r="33" ht="15.75" customHeight="1">
      <c r="A33" s="3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7.89"/>
    <col customWidth="1" min="2" max="2" width="12.67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hidden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hidden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hidden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hidden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hidden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hidden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hidden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hidden="1" min="97" max="98" width="10.67"/>
    <col customWidth="1" min="99" max="99" width="8.67"/>
    <col customWidth="1" min="100" max="100" width="11.22"/>
    <col customWidth="1" min="101" max="101" width="12.67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10" max="110" width="10.78"/>
  </cols>
  <sheetData>
    <row r="1" ht="24.75" customHeight="1">
      <c r="A1" s="5"/>
      <c r="B1" s="5"/>
      <c r="C1" s="6" t="s">
        <v>19</v>
      </c>
      <c r="O1" s="7" t="s">
        <v>20</v>
      </c>
      <c r="AA1" s="6" t="s">
        <v>21</v>
      </c>
      <c r="AM1" s="7" t="s">
        <v>22</v>
      </c>
      <c r="AY1" s="6" t="s">
        <v>23</v>
      </c>
      <c r="BK1" s="7" t="s">
        <v>24</v>
      </c>
      <c r="BW1" s="6" t="s">
        <v>25</v>
      </c>
      <c r="CI1" s="7" t="s">
        <v>26</v>
      </c>
      <c r="CU1" s="8"/>
      <c r="CV1" s="9"/>
      <c r="CW1" s="9"/>
      <c r="CX1" s="8"/>
      <c r="CY1" s="8"/>
      <c r="CZ1" s="9"/>
      <c r="DA1" s="9"/>
      <c r="DB1" s="9"/>
      <c r="DC1" s="9"/>
      <c r="DD1" s="9"/>
      <c r="DF1" s="9"/>
    </row>
    <row r="2" ht="22.5" customHeight="1">
      <c r="A2" s="10" t="s">
        <v>27</v>
      </c>
      <c r="B2" s="11" t="s">
        <v>28</v>
      </c>
      <c r="C2" s="12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2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2" t="s">
        <v>53</v>
      </c>
      <c r="AB2" s="10" t="s">
        <v>54</v>
      </c>
      <c r="AC2" s="10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10" t="s">
        <v>60</v>
      </c>
      <c r="AI2" s="10" t="s">
        <v>61</v>
      </c>
      <c r="AJ2" s="10" t="s">
        <v>62</v>
      </c>
      <c r="AK2" s="10" t="s">
        <v>63</v>
      </c>
      <c r="AL2" s="10" t="s">
        <v>64</v>
      </c>
      <c r="AM2" s="12" t="s">
        <v>65</v>
      </c>
      <c r="AN2" s="10" t="s">
        <v>66</v>
      </c>
      <c r="AO2" s="10" t="s">
        <v>67</v>
      </c>
      <c r="AP2" s="10" t="s">
        <v>68</v>
      </c>
      <c r="AQ2" s="10" t="s">
        <v>69</v>
      </c>
      <c r="AR2" s="10" t="s">
        <v>70</v>
      </c>
      <c r="AS2" s="10" t="s">
        <v>71</v>
      </c>
      <c r="AT2" s="10" t="s">
        <v>72</v>
      </c>
      <c r="AU2" s="10" t="s">
        <v>73</v>
      </c>
      <c r="AV2" s="10" t="s">
        <v>74</v>
      </c>
      <c r="AW2" s="10" t="s">
        <v>75</v>
      </c>
      <c r="AX2" s="10" t="s">
        <v>76</v>
      </c>
      <c r="AY2" s="12" t="s">
        <v>77</v>
      </c>
      <c r="AZ2" s="10" t="s">
        <v>78</v>
      </c>
      <c r="BA2" s="10" t="s">
        <v>79</v>
      </c>
      <c r="BB2" s="10" t="s">
        <v>80</v>
      </c>
      <c r="BC2" s="10" t="s">
        <v>81</v>
      </c>
      <c r="BD2" s="10" t="s">
        <v>82</v>
      </c>
      <c r="BE2" s="10" t="s">
        <v>83</v>
      </c>
      <c r="BF2" s="10" t="s">
        <v>84</v>
      </c>
      <c r="BG2" s="10" t="s">
        <v>85</v>
      </c>
      <c r="BH2" s="10" t="s">
        <v>86</v>
      </c>
      <c r="BI2" s="10" t="s">
        <v>87</v>
      </c>
      <c r="BJ2" s="10" t="s">
        <v>88</v>
      </c>
      <c r="BK2" s="12" t="s">
        <v>89</v>
      </c>
      <c r="BL2" s="10" t="s">
        <v>90</v>
      </c>
      <c r="BM2" s="10" t="s">
        <v>91</v>
      </c>
      <c r="BN2" s="10" t="s">
        <v>92</v>
      </c>
      <c r="BO2" s="10" t="s">
        <v>93</v>
      </c>
      <c r="BP2" s="10" t="s">
        <v>94</v>
      </c>
      <c r="BQ2" s="10" t="s">
        <v>95</v>
      </c>
      <c r="BR2" s="10" t="s">
        <v>96</v>
      </c>
      <c r="BS2" s="10" t="s">
        <v>97</v>
      </c>
      <c r="BT2" s="10" t="s">
        <v>98</v>
      </c>
      <c r="BU2" s="10" t="s">
        <v>99</v>
      </c>
      <c r="BV2" s="10" t="s">
        <v>100</v>
      </c>
      <c r="BW2" s="12" t="s">
        <v>101</v>
      </c>
      <c r="BX2" s="10" t="s">
        <v>102</v>
      </c>
      <c r="BY2" s="10" t="s">
        <v>103</v>
      </c>
      <c r="BZ2" s="10" t="s">
        <v>104</v>
      </c>
      <c r="CA2" s="10" t="s">
        <v>105</v>
      </c>
      <c r="CB2" s="10" t="s">
        <v>106</v>
      </c>
      <c r="CC2" s="10" t="s">
        <v>107</v>
      </c>
      <c r="CD2" s="10" t="s">
        <v>108</v>
      </c>
      <c r="CE2" s="10" t="s">
        <v>109</v>
      </c>
      <c r="CF2" s="10" t="s">
        <v>110</v>
      </c>
      <c r="CG2" s="10" t="s">
        <v>111</v>
      </c>
      <c r="CH2" s="10" t="s">
        <v>112</v>
      </c>
      <c r="CI2" s="12" t="s">
        <v>113</v>
      </c>
      <c r="CJ2" s="10" t="s">
        <v>114</v>
      </c>
      <c r="CK2" s="10" t="s">
        <v>115</v>
      </c>
      <c r="CL2" s="10" t="s">
        <v>116</v>
      </c>
      <c r="CM2" s="10" t="s">
        <v>117</v>
      </c>
      <c r="CN2" s="10" t="s">
        <v>118</v>
      </c>
      <c r="CO2" s="10" t="s">
        <v>119</v>
      </c>
      <c r="CP2" s="10" t="s">
        <v>120</v>
      </c>
      <c r="CQ2" s="10" t="s">
        <v>121</v>
      </c>
      <c r="CR2" s="10" t="s">
        <v>122</v>
      </c>
      <c r="CS2" s="10" t="s">
        <v>123</v>
      </c>
      <c r="CT2" s="10" t="s">
        <v>124</v>
      </c>
      <c r="CU2" s="13" t="s">
        <v>125</v>
      </c>
      <c r="CV2" s="14" t="s">
        <v>126</v>
      </c>
      <c r="CW2" s="15" t="s">
        <v>127</v>
      </c>
      <c r="CX2" s="15" t="s">
        <v>128</v>
      </c>
      <c r="CY2" s="13" t="s">
        <v>129</v>
      </c>
      <c r="CZ2" s="15" t="s">
        <v>130</v>
      </c>
      <c r="DA2" s="15" t="s">
        <v>131</v>
      </c>
      <c r="DB2" s="15" t="s">
        <v>132</v>
      </c>
      <c r="DC2" s="16" t="s">
        <v>133</v>
      </c>
      <c r="DD2" s="16" t="s">
        <v>134</v>
      </c>
      <c r="DE2" s="17" t="s">
        <v>135</v>
      </c>
      <c r="DF2" s="18" t="s">
        <v>136</v>
      </c>
    </row>
    <row r="3" ht="24.75" customHeight="1">
      <c r="A3" s="19" t="s">
        <v>137</v>
      </c>
      <c r="B3" s="20" t="s">
        <v>138</v>
      </c>
      <c r="C3" s="21" t="s">
        <v>139</v>
      </c>
      <c r="D3" s="22">
        <f t="shared" ref="D3:D53" si="3">SUM(E3:F3)+K3</f>
        <v>6</v>
      </c>
      <c r="E3" s="22">
        <f t="shared" ref="E3:E53" si="4">COUNTA(C3)*2</f>
        <v>2</v>
      </c>
      <c r="F3" s="22">
        <f t="shared" ref="F3:F53" si="5">(G3*2)+(H3*1)</f>
        <v>4</v>
      </c>
      <c r="G3" s="22">
        <f>IF(C3&lt;&gt;"",
    COUNTIFS(MATCH_INPUT!$K$2:$K$5,C3),
0)</f>
        <v>2</v>
      </c>
      <c r="H3" s="22">
        <f>IF(C3&lt;&gt;"",
    COUNTIFS(MATCH_INPUT!$F$2:$F$5, C3, MATCH_INPUT!$K$2:$K$5, "Draw") +
    COUNTIFS(MATCH_INPUT!$J$2:$J$5, C3, MATCH_INPUT!$K$2:$K$5, "Draw"),
0)</f>
        <v>0</v>
      </c>
      <c r="I3" s="22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0</v>
      </c>
      <c r="J3" s="23"/>
      <c r="K3" s="23"/>
      <c r="L3" s="24"/>
      <c r="M3" s="25">
        <f t="shared" ref="M3:M38" si="6">RANK(D3, D$3:D$38, 0)</f>
        <v>2</v>
      </c>
      <c r="N3" s="26" t="str">
        <f t="shared" ref="N3:N53" si="7">IF(M3&lt;1, "↑", IF(M3&gt;1, "↓", "="))</f>
        <v>↓</v>
      </c>
      <c r="O3" s="27" t="s">
        <v>140</v>
      </c>
      <c r="P3" s="28">
        <f t="shared" ref="P3:P53" si="8">SUM(Q3:R3)+D3+W3</f>
        <v>9</v>
      </c>
      <c r="Q3" s="28">
        <f t="shared" ref="Q3:Q53" si="9">COUNTA(O3)*2</f>
        <v>2</v>
      </c>
      <c r="R3" s="28">
        <f t="shared" ref="R3:R53" si="10">(S3*2)+(T3*1)</f>
        <v>1</v>
      </c>
      <c r="S3" s="28">
        <f>IF(O3&lt;&gt;"",
    COUNTIFS(MATCH_INPUT!$K$6:$K$9,O3),
0)</f>
        <v>0</v>
      </c>
      <c r="T3" s="28">
        <f>IF(O3&lt;&gt;"",
    COUNTIFS(MATCH_INPUT!$F$6:$F$9, O3, MATCH_INPUT!$K$6:$K$9, "Draw") +
    COUNTIFS(MATCH_INPUT!$J$6:$J$9, O3, MATCH_INPUT!$K$6:$K$9, "Draw"),
0)</f>
        <v>1</v>
      </c>
      <c r="U3" s="28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1</v>
      </c>
      <c r="V3" s="29"/>
      <c r="W3" s="29"/>
      <c r="X3" s="20"/>
      <c r="Y3" s="30">
        <f t="shared" ref="Y3:Y38" si="11">RANK(P3, P$3:P$38, 0)</f>
        <v>10</v>
      </c>
      <c r="Z3" s="31" t="str">
        <f t="shared" ref="Z3:Z53" si="12">IF(Y3&lt;M3, "↑", IF(Y3&gt;M3, "↓", "="))</f>
        <v>↓</v>
      </c>
      <c r="AA3" s="21" t="s">
        <v>139</v>
      </c>
      <c r="AB3" s="32">
        <f t="shared" ref="AB3:AB53" si="13">SUM(AC3:AD3)+P3+AI3</f>
        <v>13</v>
      </c>
      <c r="AC3" s="22">
        <f t="shared" ref="AC3:AC53" si="14">COUNTA(AA3)*2</f>
        <v>2</v>
      </c>
      <c r="AD3" s="22">
        <f t="shared" ref="AD3:AD53" si="15">SUM(AE3*2)+(AF3*1)</f>
        <v>2</v>
      </c>
      <c r="AE3" s="22">
        <f>IF(AA3&lt;&gt;"",
    COUNTIFS(MATCH_INPUT!$K$10:$K$13,AA3),
0)</f>
        <v>0</v>
      </c>
      <c r="AF3" s="22">
        <f>IF(AA3&lt;&gt;"",
    COUNTIFS(MATCH_INPUT!$F$10:$F$13, AA3, MATCH_INPUT!$K$10:$K$13, "Draw") +
    COUNTIFS(MATCH_INPUT!$J$10:$J$13, AA3, MATCH_INPUT!$K$10:$K$13, "Draw"),
0)</f>
        <v>2</v>
      </c>
      <c r="AG3" s="22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0</v>
      </c>
      <c r="AH3" s="23">
        <v>1.0</v>
      </c>
      <c r="AI3" s="23"/>
      <c r="AJ3" s="33"/>
      <c r="AK3" s="25">
        <f t="shared" ref="AK3:AK38" si="16">RANK(AB3, AB$3:AB$38, 0)</f>
        <v>9</v>
      </c>
      <c r="AL3" s="26" t="str">
        <f t="shared" ref="AL3:AL53" si="17">IF(AK3&lt;Y3, "↑", IF(AK3&gt;Y3, "↓", "="))</f>
        <v>↑</v>
      </c>
      <c r="AM3" s="27" t="s">
        <v>139</v>
      </c>
      <c r="AN3" s="28">
        <f t="shared" ref="AN3:AN53" si="18">SUM(AO3:AP3)+AB3+AU3</f>
        <v>17</v>
      </c>
      <c r="AO3" s="28">
        <f t="shared" ref="AO3:AO53" si="19">COUNTA(AM3)*2</f>
        <v>2</v>
      </c>
      <c r="AP3" s="28">
        <f t="shared" ref="AP3:AP53" si="20">SUM(AQ3*2)+(AR3*1)</f>
        <v>1</v>
      </c>
      <c r="AQ3" s="28">
        <f>IF(AM3&lt;&gt;"",
    COUNTIFS(MATCH_INPUT!$K$14:$K$17,AM3),
0)</f>
        <v>0</v>
      </c>
      <c r="AR3" s="28">
        <f>IF(AM3&lt;&gt;"",
    COUNTIFS(MATCH_INPUT!$F$14:$F$17, AM3, MATCH_INPUT!$K$14:$K$17, "Draw") +
    COUNTIFS(MATCH_INPUT!$J$14:$J$17, AM3, MATCH_INPUT!$K$14:$K$17, "Draw"),
0)</f>
        <v>1</v>
      </c>
      <c r="AS3" s="28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1</v>
      </c>
      <c r="AT3" s="29"/>
      <c r="AU3" s="29">
        <v>1.0</v>
      </c>
      <c r="AV3" s="20"/>
      <c r="AW3" s="30">
        <f t="shared" ref="AW3:AW38" si="21">RANK(AN3, AN$3:AN$38, 0)</f>
        <v>9</v>
      </c>
      <c r="AX3" s="31" t="str">
        <f t="shared" ref="AX3:AX53" si="22">IF(AW3&lt;AK3, "↑", IF(AW3&gt;AK3, "↓", "="))</f>
        <v>=</v>
      </c>
      <c r="AY3" s="21" t="s">
        <v>141</v>
      </c>
      <c r="AZ3" s="32">
        <f t="shared" ref="AZ3:AZ53" si="23">SUM(BA3:BB3)+BG3+AN3</f>
        <v>30</v>
      </c>
      <c r="BA3" s="22">
        <f t="shared" ref="BA3:BA53" si="24">COUNTA(AY3)*2</f>
        <v>2</v>
      </c>
      <c r="BB3" s="22">
        <f>SUM(BC3*2) + (BD3*1) + SUMIFS(MATCH_INPUT!$G$18:$G$21, MATCH_INPUT!$F$18:$F$21, AY3) + SUMIFS(MATCH_INPUT!$I$18:$I$21, MATCH_INPUT!$J$18:$J$21, AY3)
</f>
        <v>10</v>
      </c>
      <c r="BC3" s="22">
        <f>IF(AY3&lt;&gt;"",
    COUNTIFS(MATCH_INPUT!$K$18:$K$21,AY3),
0)</f>
        <v>2</v>
      </c>
      <c r="BD3" s="22">
        <f>IF(AY3&lt;&gt;"",
    COUNTIFS(MATCH_INPUT!$F$18:$F$21, AY3, MATCH_INPUT!$K$18:$K$21, "Draw") +
    COUNTIFS(MATCH_INPUT!$J$18:$J$21, AY3, MATCH_INPUT!$K$18:$K$21, "Draw"),
0)</f>
        <v>0</v>
      </c>
      <c r="BE3" s="22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0</v>
      </c>
      <c r="BF3" s="23"/>
      <c r="BG3" s="23">
        <v>1.0</v>
      </c>
      <c r="BH3" s="23"/>
      <c r="BI3" s="25">
        <f t="shared" ref="BI3:BI38" si="25">RANK(AZ3, AZ$3:AZ$38, 0)</f>
        <v>2</v>
      </c>
      <c r="BJ3" s="26" t="str">
        <f t="shared" ref="BJ3:BJ53" si="26">IF(BI3&lt;AW3, "↑", IF(BI3&gt;AW3, "↓", "="))</f>
        <v>↑</v>
      </c>
      <c r="BK3" s="27" t="s">
        <v>142</v>
      </c>
      <c r="BL3" s="28">
        <f t="shared" ref="BL3:BL53" si="27">SUM(BM3:BN3)+BS3+AZ3</f>
        <v>37</v>
      </c>
      <c r="BM3" s="28">
        <f t="shared" ref="BM3:BM53" si="28">COUNTA(BK3)*2</f>
        <v>2</v>
      </c>
      <c r="BN3" s="28">
        <f>SUM(BO3*2) + (BP3*1) + SUMIFS(MATCH_INPUT!$G$22:$G$25, MATCH_INPUT!$F$22:$F$25, BK3) + SUMIFS(MATCH_INPUT!$I$22:$I$25, MATCH_INPUT!$J$22:$J$25, BK3)
</f>
        <v>5</v>
      </c>
      <c r="BO3" s="28">
        <f>IF(BK3&lt;&gt;"",
    COUNTIFS(MATCH_INPUT!$K$22:$K$25,BK3),
0)</f>
        <v>1</v>
      </c>
      <c r="BP3" s="28">
        <f>IF(BK3&lt;&gt;"",
    COUNTIFS(MATCH_INPUT!$F$22:$F$25, BK3, MATCH_INPUT!$K$22:$K$25, "Draw") +
    COUNTIFS(MATCH_INPUT!$J$22:$J$25, BK3, MATCH_INPUT!$K$22:$K$25, "Draw"),
0)</f>
        <v>1</v>
      </c>
      <c r="BQ3" s="28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0</v>
      </c>
      <c r="BR3" s="29"/>
      <c r="BS3" s="29"/>
      <c r="BT3" s="20"/>
      <c r="BU3" s="30">
        <f t="shared" ref="BU3:BU38" si="29">RANK(BL3, BL$3:BL$38, 0)</f>
        <v>1</v>
      </c>
      <c r="BV3" s="31" t="str">
        <f t="shared" ref="BV3:BV53" si="30">IF(BU3&lt;BI3, "↑", IF(BU3&gt;BI3, "↓", "="))</f>
        <v>↑</v>
      </c>
      <c r="BW3" s="21" t="s">
        <v>142</v>
      </c>
      <c r="BX3" s="32">
        <f t="shared" ref="BX3:BX53" si="31">SUM(BY3:BZ3)+CE3+BL3</f>
        <v>42</v>
      </c>
      <c r="BY3" s="22">
        <f t="shared" ref="BY3:BY53" si="32">COUNTA(BW3)*2</f>
        <v>2</v>
      </c>
      <c r="BZ3" s="22">
        <f>SUM(CA3*2)+(CB3*1) + SUMIFS(MATCH_INPUT!$G$26:$G$29, MATCH_INPUT!$F$26:$F$29, BW3) + SUMIFS(MATCH_INPUT!$I$26:$I$29, MATCH_INPUT!$J$26:$J$29, BW3)
</f>
        <v>3</v>
      </c>
      <c r="CA3" s="22">
        <f>IF(BW3&lt;&gt;"",
    COUNTIFS(MATCH_INPUT!$K$26:$K$29,BW3),
0)</f>
        <v>0</v>
      </c>
      <c r="CB3" s="22">
        <f>IF(BW3&lt;&gt;"",
    COUNTIFS(MATCH_INPUT!$F$26:$F$29, BW3, MATCH_INPUT!$K$26:$K$29, "Draw") +
    COUNTIFS(MATCH_INPUT!$J$26:$J$29, BW3, MATCH_INPUT!$K$26:$K$29, "Draw"),
0)</f>
        <v>2</v>
      </c>
      <c r="CC3" s="22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0</v>
      </c>
      <c r="CD3" s="23"/>
      <c r="CE3" s="23"/>
      <c r="CF3" s="33"/>
      <c r="CG3" s="25">
        <f t="shared" ref="CG3:CG38" si="33">RANK(BX3, BX$3:BX$38, 0)</f>
        <v>2</v>
      </c>
      <c r="CH3" s="26" t="str">
        <f t="shared" ref="CH3:CH53" si="34">IF(CG3&lt;BU3, "↑", IF(CG3&gt;BU3, "↓", "="))</f>
        <v>↓</v>
      </c>
      <c r="CI3" s="27" t="s">
        <v>141</v>
      </c>
      <c r="CJ3" s="28">
        <f t="shared" ref="CJ3:CJ53" si="35">SUM(CK3:CL3)+CQ3+BX3</f>
        <v>51</v>
      </c>
      <c r="CK3" s="28">
        <f t="shared" ref="CK3:CK53" si="36">COUNTA(CI3)*2</f>
        <v>2</v>
      </c>
      <c r="CL3" s="28">
        <f>SUM(CM3*2)+(CN3*1) + SUMIFS(MATCH_INPUT!$G$30:$G$33, MATCH_INPUT!$F$30:$F$33, CI3) + SUMIFS(MATCH_INPUT!$I$30:$I$33, MATCH_INPUT!$J$30:$J$33, CI3)
</f>
        <v>7</v>
      </c>
      <c r="CM3" s="28">
        <f>IF(CI3&lt;&gt;"",
    COUNTIFS(MATCH_INPUT!$K$30:$K$33,CI3),
0)</f>
        <v>2</v>
      </c>
      <c r="CN3" s="28">
        <f>IF(CI3&lt;&gt;"",
    COUNTIFS(MATCH_INPUT!$F$30:$F$33, CI3, MATCH_INPUT!$K$30:$K$33, "Draw") +
    COUNTIFS(MATCH_INPUT!$J$30:$J$33, CI3, MATCH_INPUT!$K$30:$K$33, "Draw"),
0)</f>
        <v>0</v>
      </c>
      <c r="CO3" s="28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0</v>
      </c>
      <c r="CP3" s="29"/>
      <c r="CQ3" s="29"/>
      <c r="CR3" s="29"/>
      <c r="CS3" s="34">
        <f t="shared" ref="CS3:CS38" si="37">RANK(CJ3, CJ$3:CJ$38, 0)</f>
        <v>1</v>
      </c>
      <c r="CT3" s="34" t="str">
        <f t="shared" ref="CT3:CT53" si="38">IF(CS3&lt;CG3, "↑", IF(CS3&gt;CG3, "↓", "="))</f>
        <v>↑</v>
      </c>
      <c r="CU3" s="35">
        <f t="shared" ref="CU3:CU53" si="39">SUM(F3,R3,AD3,AP3,BB3,BN3,BZ3,CL3)</f>
        <v>33</v>
      </c>
      <c r="CV3" s="35" t="str">
        <f t="shared" ref="CV3:CW3" si="1">A3</f>
        <v>🍀 </v>
      </c>
      <c r="CW3" s="36" t="str">
        <f t="shared" si="1"/>
        <v>🏆 Asdruval</v>
      </c>
      <c r="CX3" s="36">
        <f t="shared" ref="CX3:CX53" si="41">SUM(CU3,CY3,DD3)</f>
        <v>51</v>
      </c>
      <c r="CY3" s="35">
        <f>SUM(
  IF(AND('MATCH DATES'!$A$2 &lt;= TODAY(), NOW() &gt;= 'MATCH DATES'!$A$2 + TIME(22, 0, 0)), E3, 0),
  IF(AND('MATCH DATES'!$A$3 &lt;= TODAY(), NOW() &gt;= 'MATCH DATES'!$A$3 + TIME(22, 0, 0)), Q3, 0),
  IF(AND('MATCH DATES'!$A$4 &lt;= TODAY(), NOW() &gt;= 'MATCH DATES'!$A$4 + TIME(22, 0, 0)), AC3, 0),
  IF(AND('MATCH DATES'!$A$5 &lt;= TODAY(), NOW() &gt;= 'MATCH DATES'!$A$5 + TIME(22, 0, 0)), AO3, 0),
  IF(AND('MATCH DATES'!$A$6 &lt;= TODAY(), NOW() &gt;= 'MATCH DATES'!$A$6 + TIME(22, 0, 0)), BA3, 0),
  IF(AND('MATCH DATES'!$A$7 &lt;= TODAY(), NOW() &gt;= 'MATCH DATES'!$A$7 + TIME(22, 0, 0)), BM3, 0),
  IF(AND('MATCH DATES'!$A$8 &lt;= TODAY(), NOW() &gt;= 'MATCH DATES'!$A$8 + TIME(22, 0, 0)), BY3, 0),
  IF(AND('MATCH DATES'!$A$9 &lt;= TODAY(), NOW() &gt;= 'MATCH DATES'!$A$9 + TIME(22, 0, 0)), CK3, 0)
)
</f>
        <v>16</v>
      </c>
      <c r="CZ3" s="36">
        <f t="shared" ref="CZ3:DA3" si="2">SUM(G3,S3,AE3,AQ3,BC3,BO3,CA3,CM3)</f>
        <v>7</v>
      </c>
      <c r="DA3" s="36">
        <f t="shared" si="2"/>
        <v>7</v>
      </c>
      <c r="DB3" s="36">
        <f>SUM(
  IF(AND('MATCH DATES'!$A$2 &lt;= TODAY(), NOW() &gt;= 'MATCH DATES'!$A$2 + TIME(22, 0, 0)), I3, 0),
  IF(AND('MATCH DATES'!$A$3 &lt;= TODAY(), NOW() &gt;= 'MATCH DATES'!$A$3 + TIME(22, 0, 0)), U3, 0),
  IF(AND('MATCH DATES'!$A$4 &lt;= TODAY(), NOW() &gt;= 'MATCH DATES'!$A$4 + TIME(22, 0, 0)), AG3, 0),
  IF(AND('MATCH DATES'!$A$5 &lt;= TODAY(), NOW() &gt;= 'MATCH DATES'!$A$5 + TIME(22, 0, 0)), AS3, 0),
  IF(AND('MATCH DATES'!$A$6 &lt;= TODAY(), NOW() &gt;= 'MATCH DATES'!$A$6 + TIME(22, 0, 0)), BE3, 0),
  IF(AND('MATCH DATES'!$A$7 &lt;= TODAY(), NOW() &gt;= 'MATCH DATES'!$A$7 + TIME(22, 0, 0)), BQ3, 0),
  IF(AND('MATCH DATES'!$A$8 &lt;= TODAY(), NOW() &gt;= 'MATCH DATES'!$A$8 + TIME(22, 0, 0)), CC3, 0),
  IF(AND('MATCH DATES'!$A$9 &lt;= TODAY(), NOW() &gt;= 'MATCH DATES'!$A$9 + TIME(22, 0, 0)), CO3, 0)
)</f>
        <v>2</v>
      </c>
      <c r="DD3" s="36">
        <f t="shared" ref="DD3:DD53" si="43">SUM(K3,W3,AI3,AU3,BG3,BS3,CE3,CQ3)</f>
        <v>2</v>
      </c>
      <c r="DF3" s="36">
        <f t="shared" ref="DF3:DF53" si="44">SUM(L3,X3,AJ3,AV3,BH3,BT3,CF3,CR3)</f>
        <v>0</v>
      </c>
    </row>
    <row r="4" ht="24.75" customHeight="1">
      <c r="A4" s="19" t="s">
        <v>137</v>
      </c>
      <c r="B4" s="20" t="s">
        <v>143</v>
      </c>
      <c r="C4" s="21" t="s">
        <v>142</v>
      </c>
      <c r="D4" s="22">
        <f t="shared" si="3"/>
        <v>2</v>
      </c>
      <c r="E4" s="22">
        <f t="shared" si="4"/>
        <v>2</v>
      </c>
      <c r="F4" s="22">
        <f t="shared" si="5"/>
        <v>0</v>
      </c>
      <c r="G4" s="22">
        <f>IF(C4&lt;&gt;"",
    COUNTIFS(MATCH_INPUT!$K$2:$K$5,C4),
0)</f>
        <v>0</v>
      </c>
      <c r="H4" s="22">
        <f>IF(C4&lt;&gt;"",
    COUNTIFS(MATCH_INPUT!$F$2:$F$5, C4, MATCH_INPUT!$K$2:$K$5, "Draw") +
    COUNTIFS(MATCH_INPUT!$J$2:$J$5, C4, MATCH_INPUT!$K$2:$K$5, "Draw"),
0)</f>
        <v>0</v>
      </c>
      <c r="I4" s="22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2</v>
      </c>
      <c r="J4" s="23">
        <v>1.0</v>
      </c>
      <c r="K4" s="23"/>
      <c r="L4" s="24"/>
      <c r="M4" s="25">
        <f t="shared" si="6"/>
        <v>26</v>
      </c>
      <c r="N4" s="26" t="str">
        <f t="shared" si="7"/>
        <v>↓</v>
      </c>
      <c r="O4" s="27" t="s">
        <v>141</v>
      </c>
      <c r="P4" s="28">
        <f t="shared" si="8"/>
        <v>4</v>
      </c>
      <c r="Q4" s="28">
        <f t="shared" si="9"/>
        <v>2</v>
      </c>
      <c r="R4" s="28">
        <f t="shared" si="10"/>
        <v>0</v>
      </c>
      <c r="S4" s="28">
        <f>IF(O4&lt;&gt;"",
    COUNTIFS(MATCH_INPUT!$K$6:$K$9,O4),
0)</f>
        <v>0</v>
      </c>
      <c r="T4" s="28">
        <f>IF(O4&lt;&gt;"",
    COUNTIFS(MATCH_INPUT!$F$6:$F$9, O4, MATCH_INPUT!$K$6:$K$9, "Draw") +
    COUNTIFS(MATCH_INPUT!$J$6:$J$9, O4, MATCH_INPUT!$K$6:$K$9, "Draw"),
0)</f>
        <v>0</v>
      </c>
      <c r="U4" s="28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2</v>
      </c>
      <c r="V4" s="29"/>
      <c r="W4" s="29"/>
      <c r="X4" s="20"/>
      <c r="Y4" s="30">
        <f t="shared" si="11"/>
        <v>31</v>
      </c>
      <c r="Z4" s="31" t="str">
        <f t="shared" si="12"/>
        <v>↓</v>
      </c>
      <c r="AA4" s="21" t="s">
        <v>141</v>
      </c>
      <c r="AB4" s="32">
        <f t="shared" si="13"/>
        <v>9</v>
      </c>
      <c r="AC4" s="22">
        <f t="shared" si="14"/>
        <v>2</v>
      </c>
      <c r="AD4" s="22">
        <f t="shared" si="15"/>
        <v>3</v>
      </c>
      <c r="AE4" s="22">
        <f>IF(AA4&lt;&gt;"",
    COUNTIFS(MATCH_INPUT!$K$10:$K$13,AA4),
0)</f>
        <v>1</v>
      </c>
      <c r="AF4" s="22">
        <f>IF(AA4&lt;&gt;"",
    COUNTIFS(MATCH_INPUT!$F$10:$F$13, AA4, MATCH_INPUT!$K$10:$K$13, "Draw") +
    COUNTIFS(MATCH_INPUT!$J$10:$J$13, AA4, MATCH_INPUT!$K$10:$K$13, "Draw"),
0)</f>
        <v>1</v>
      </c>
      <c r="AG4" s="22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0</v>
      </c>
      <c r="AH4" s="23">
        <v>1.0</v>
      </c>
      <c r="AI4" s="23"/>
      <c r="AJ4" s="33"/>
      <c r="AK4" s="25">
        <f t="shared" si="16"/>
        <v>28</v>
      </c>
      <c r="AL4" s="26" t="str">
        <f t="shared" si="17"/>
        <v>↑</v>
      </c>
      <c r="AM4" s="27" t="s">
        <v>141</v>
      </c>
      <c r="AN4" s="28">
        <f t="shared" si="18"/>
        <v>13</v>
      </c>
      <c r="AO4" s="28">
        <f t="shared" si="19"/>
        <v>2</v>
      </c>
      <c r="AP4" s="28">
        <f t="shared" si="20"/>
        <v>2</v>
      </c>
      <c r="AQ4" s="28">
        <f>IF(AM4&lt;&gt;"",
    COUNTIFS(MATCH_INPUT!$K$14:$K$17,AM4),
0)</f>
        <v>0</v>
      </c>
      <c r="AR4" s="28">
        <f>IF(AM4&lt;&gt;"",
    COUNTIFS(MATCH_INPUT!$F$14:$F$17, AM4, MATCH_INPUT!$K$14:$K$17, "Draw") +
    COUNTIFS(MATCH_INPUT!$J$14:$J$17, AM4, MATCH_INPUT!$K$14:$K$17, "Draw"),
0)</f>
        <v>2</v>
      </c>
      <c r="AS4" s="28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0</v>
      </c>
      <c r="AT4" s="29"/>
      <c r="AU4" s="29"/>
      <c r="AV4" s="20"/>
      <c r="AW4" s="30">
        <f t="shared" si="21"/>
        <v>26</v>
      </c>
      <c r="AX4" s="31" t="str">
        <f t="shared" si="22"/>
        <v>↑</v>
      </c>
      <c r="AY4" s="21" t="s">
        <v>141</v>
      </c>
      <c r="AZ4" s="32">
        <f t="shared" si="23"/>
        <v>25</v>
      </c>
      <c r="BA4" s="22">
        <f t="shared" si="24"/>
        <v>2</v>
      </c>
      <c r="BB4" s="22">
        <f>SUM(BC4*2) + (BD4*1) + SUMIFS(MATCH_INPUT!$G$18:$G$21, MATCH_INPUT!$F$18:$F$21, AY4) + SUMIFS(MATCH_INPUT!$I$18:$I$21, MATCH_INPUT!$J$18:$J$21, AY4)
</f>
        <v>10</v>
      </c>
      <c r="BC4" s="22">
        <f>IF(AY4&lt;&gt;"",
    COUNTIFS(MATCH_INPUT!$K$18:$K$21,AY4),
0)</f>
        <v>2</v>
      </c>
      <c r="BD4" s="22">
        <f>IF(AY4&lt;&gt;"",
    COUNTIFS(MATCH_INPUT!$F$18:$F$21, AY4, MATCH_INPUT!$K$18:$K$21, "Draw") +
    COUNTIFS(MATCH_INPUT!$J$18:$J$21, AY4, MATCH_INPUT!$K$18:$K$21, "Draw"),
0)</f>
        <v>0</v>
      </c>
      <c r="BE4" s="22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0</v>
      </c>
      <c r="BF4" s="23"/>
      <c r="BG4" s="23"/>
      <c r="BH4" s="33"/>
      <c r="BI4" s="25">
        <f t="shared" si="25"/>
        <v>8</v>
      </c>
      <c r="BJ4" s="26" t="str">
        <f t="shared" si="26"/>
        <v>↑</v>
      </c>
      <c r="BK4" s="27" t="s">
        <v>139</v>
      </c>
      <c r="BL4" s="28">
        <f t="shared" si="27"/>
        <v>33</v>
      </c>
      <c r="BM4" s="28">
        <f t="shared" si="28"/>
        <v>2</v>
      </c>
      <c r="BN4" s="28">
        <f>SUM(BO4*2) + (BP4*1) + SUMIFS(MATCH_INPUT!$G$22:$G$25, MATCH_INPUT!$F$22:$F$25, BK4) + SUMIFS(MATCH_INPUT!$I$22:$I$25, MATCH_INPUT!$J$22:$J$25, BK4)
</f>
        <v>6</v>
      </c>
      <c r="BO4" s="28">
        <f>IF(BK4&lt;&gt;"",
    COUNTIFS(MATCH_INPUT!$K$22:$K$25,BK4),
0)</f>
        <v>1</v>
      </c>
      <c r="BP4" s="28">
        <f>IF(BK4&lt;&gt;"",
    COUNTIFS(MATCH_INPUT!$F$22:$F$25, BK4, MATCH_INPUT!$K$22:$K$25, "Draw") +
    COUNTIFS(MATCH_INPUT!$J$22:$J$25, BK4, MATCH_INPUT!$K$22:$K$25, "Draw"),
0)</f>
        <v>1</v>
      </c>
      <c r="BQ4" s="28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0</v>
      </c>
      <c r="BR4" s="29"/>
      <c r="BS4" s="29"/>
      <c r="BT4" s="20"/>
      <c r="BU4" s="30">
        <f t="shared" si="29"/>
        <v>5</v>
      </c>
      <c r="BV4" s="31" t="str">
        <f t="shared" si="30"/>
        <v>↑</v>
      </c>
      <c r="BW4" s="21" t="s">
        <v>139</v>
      </c>
      <c r="BX4" s="32">
        <f t="shared" si="31"/>
        <v>40</v>
      </c>
      <c r="BY4" s="22">
        <f t="shared" si="32"/>
        <v>2</v>
      </c>
      <c r="BZ4" s="22">
        <f>SUM(CA4*2)+(CB4*1) + SUMIFS(MATCH_INPUT!$G$26:$G$29, MATCH_INPUT!$F$26:$F$29, BW4) + SUMIFS(MATCH_INPUT!$I$26:$I$29, MATCH_INPUT!$J$26:$J$29, BW4)
</f>
        <v>5</v>
      </c>
      <c r="CA4" s="22">
        <f>IF(BW4&lt;&gt;"",
    COUNTIFS(MATCH_INPUT!$K$26:$K$29,BW4),
0)</f>
        <v>1</v>
      </c>
      <c r="CB4" s="22">
        <f>IF(BW4&lt;&gt;"",
    COUNTIFS(MATCH_INPUT!$F$26:$F$29, BW4, MATCH_INPUT!$K$26:$K$29, "Draw") +
    COUNTIFS(MATCH_INPUT!$J$26:$J$29, BW4, MATCH_INPUT!$K$26:$K$29, "Draw"),
0)</f>
        <v>0</v>
      </c>
      <c r="CC4" s="22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1</v>
      </c>
      <c r="CD4" s="23">
        <v>1.0</v>
      </c>
      <c r="CE4" s="23"/>
      <c r="CF4" s="33"/>
      <c r="CG4" s="25">
        <f t="shared" si="33"/>
        <v>5</v>
      </c>
      <c r="CH4" s="26" t="str">
        <f t="shared" si="34"/>
        <v>=</v>
      </c>
      <c r="CI4" s="27" t="s">
        <v>141</v>
      </c>
      <c r="CJ4" s="28">
        <f t="shared" si="35"/>
        <v>49</v>
      </c>
      <c r="CK4" s="28">
        <f t="shared" si="36"/>
        <v>2</v>
      </c>
      <c r="CL4" s="28">
        <f>SUM(CM4*2)+(CN4*1) + SUMIFS(MATCH_INPUT!$G$30:$G$33, MATCH_INPUT!$F$30:$F$33, CI4) + SUMIFS(MATCH_INPUT!$I$30:$I$33, MATCH_INPUT!$J$30:$J$33, CI4)
</f>
        <v>7</v>
      </c>
      <c r="CM4" s="28">
        <f>IF(CI4&lt;&gt;"",
    COUNTIFS(MATCH_INPUT!$K$30:$K$33,CI4),
0)</f>
        <v>2</v>
      </c>
      <c r="CN4" s="28">
        <f>IF(CI4&lt;&gt;"",
    COUNTIFS(MATCH_INPUT!$F$30:$F$33, CI4, MATCH_INPUT!$K$30:$K$33, "Draw") +
    COUNTIFS(MATCH_INPUT!$J$30:$J$33, CI4, MATCH_INPUT!$K$30:$K$33, "Draw"),
0)</f>
        <v>0</v>
      </c>
      <c r="CO4" s="28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0</v>
      </c>
      <c r="CP4" s="29"/>
      <c r="CQ4" s="29"/>
      <c r="CR4" s="20"/>
      <c r="CS4" s="34">
        <f t="shared" si="37"/>
        <v>2</v>
      </c>
      <c r="CT4" s="34" t="str">
        <f t="shared" si="38"/>
        <v>↑</v>
      </c>
      <c r="CU4" s="35">
        <f t="shared" si="39"/>
        <v>33</v>
      </c>
      <c r="CV4" s="35" t="str">
        <f t="shared" ref="CV4:CW4" si="40">A4</f>
        <v>🍀 </v>
      </c>
      <c r="CW4" s="36" t="str">
        <f t="shared" si="40"/>
        <v>🥈 Carlos S.</v>
      </c>
      <c r="CX4" s="36">
        <f t="shared" si="41"/>
        <v>49</v>
      </c>
      <c r="CY4" s="35">
        <f>SUM(
  IF(AND('MATCH DATES'!$A$2 &lt;= TODAY(), NOW() &gt;= 'MATCH DATES'!$A$2 + TIME(22, 0, 0)), E4, 0),
  IF(AND('MATCH DATES'!$A$3 &lt;= TODAY(), NOW() &gt;= 'MATCH DATES'!$A$3 + TIME(22, 0, 0)), Q4, 0),
  IF(AND('MATCH DATES'!$A$4 &lt;= TODAY(), NOW() &gt;= 'MATCH DATES'!$A$4 + TIME(22, 0, 0)), AC4, 0),
  IF(AND('MATCH DATES'!$A$5 &lt;= TODAY(), NOW() &gt;= 'MATCH DATES'!$A$5 + TIME(22, 0, 0)), AO4, 0),
  IF(AND('MATCH DATES'!$A$6 &lt;= TODAY(), NOW() &gt;= 'MATCH DATES'!$A$6 + TIME(22, 0, 0)), BA4, 0),
  IF(AND('MATCH DATES'!$A$7 &lt;= TODAY(), NOW() &gt;= 'MATCH DATES'!$A$7 + TIME(22, 0, 0)), BM4, 0),
  IF(AND('MATCH DATES'!$A$8 &lt;= TODAY(), NOW() &gt;= 'MATCH DATES'!$A$8 + TIME(22, 0, 0)), BY4, 0),
  IF(AND('MATCH DATES'!$A$9 &lt;= TODAY(), NOW() &gt;= 'MATCH DATES'!$A$9 + TIME(22, 0, 0)), CK4, 0)
)
</f>
        <v>16</v>
      </c>
      <c r="CZ4" s="36">
        <f t="shared" ref="CZ4:DA4" si="42">SUM(G4,S4,AE4,AQ4,BC4,BO4,CA4,CM4)</f>
        <v>7</v>
      </c>
      <c r="DA4" s="36">
        <f t="shared" si="42"/>
        <v>4</v>
      </c>
      <c r="DB4" s="36">
        <f>SUM(
  IF(AND('MATCH DATES'!$A$2 &lt;= TODAY(), NOW() &gt;= 'MATCH DATES'!$A$2 + TIME(22, 0, 0)), I4, 0),
  IF(AND('MATCH DATES'!$A$3 &lt;= TODAY(), NOW() &gt;= 'MATCH DATES'!$A$3 + TIME(22, 0, 0)), U4, 0),
  IF(AND('MATCH DATES'!$A$4 &lt;= TODAY(), NOW() &gt;= 'MATCH DATES'!$A$4 + TIME(22, 0, 0)), AG4, 0),
  IF(AND('MATCH DATES'!$A$5 &lt;= TODAY(), NOW() &gt;= 'MATCH DATES'!$A$5 + TIME(22, 0, 0)), AS4, 0),
  IF(AND('MATCH DATES'!$A$6 &lt;= TODAY(), NOW() &gt;= 'MATCH DATES'!$A$6 + TIME(22, 0, 0)), BE4, 0),
  IF(AND('MATCH DATES'!$A$7 &lt;= TODAY(), NOW() &gt;= 'MATCH DATES'!$A$7 + TIME(22, 0, 0)), BQ4, 0),
  IF(AND('MATCH DATES'!$A$8 &lt;= TODAY(), NOW() &gt;= 'MATCH DATES'!$A$8 + TIME(22, 0, 0)), CC4, 0),
  IF(AND('MATCH DATES'!$A$9 &lt;= TODAY(), NOW() &gt;= 'MATCH DATES'!$A$9 + TIME(22, 0, 0)), CO4, 0)
)</f>
        <v>5</v>
      </c>
      <c r="DD4" s="36">
        <f t="shared" si="43"/>
        <v>0</v>
      </c>
      <c r="DF4" s="36">
        <f t="shared" si="44"/>
        <v>0</v>
      </c>
    </row>
    <row r="5" ht="24.75" customHeight="1">
      <c r="A5" s="19" t="s">
        <v>137</v>
      </c>
      <c r="B5" s="20" t="s">
        <v>144</v>
      </c>
      <c r="C5" s="21" t="s">
        <v>139</v>
      </c>
      <c r="D5" s="22">
        <f t="shared" si="3"/>
        <v>6</v>
      </c>
      <c r="E5" s="22">
        <f t="shared" si="4"/>
        <v>2</v>
      </c>
      <c r="F5" s="22">
        <f t="shared" si="5"/>
        <v>4</v>
      </c>
      <c r="G5" s="22">
        <f>IF(C5&lt;&gt;"",
    COUNTIFS(MATCH_INPUT!$K$2:$K$5,C5),
0)</f>
        <v>2</v>
      </c>
      <c r="H5" s="22">
        <f>IF(C5&lt;&gt;"",
    COUNTIFS(MATCH_INPUT!$F$2:$F$5, C5, MATCH_INPUT!$K$2:$K$5, "Draw") +
    COUNTIFS(MATCH_INPUT!$J$2:$J$5, C5, MATCH_INPUT!$K$2:$K$5, "Draw"),
0)</f>
        <v>0</v>
      </c>
      <c r="I5" s="22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0</v>
      </c>
      <c r="J5" s="23">
        <v>1.0</v>
      </c>
      <c r="K5" s="23"/>
      <c r="L5" s="24"/>
      <c r="M5" s="25">
        <f t="shared" si="6"/>
        <v>2</v>
      </c>
      <c r="N5" s="26" t="str">
        <f t="shared" si="7"/>
        <v>↓</v>
      </c>
      <c r="O5" s="27" t="s">
        <v>142</v>
      </c>
      <c r="P5" s="28">
        <f t="shared" si="8"/>
        <v>12</v>
      </c>
      <c r="Q5" s="28">
        <f t="shared" si="9"/>
        <v>2</v>
      </c>
      <c r="R5" s="28">
        <f t="shared" si="10"/>
        <v>4</v>
      </c>
      <c r="S5" s="28">
        <f>IF(O5&lt;&gt;"",
    COUNTIFS(MATCH_INPUT!$K$6:$K$9,O5),
0)</f>
        <v>2</v>
      </c>
      <c r="T5" s="28">
        <f>IF(O5&lt;&gt;"",
    COUNTIFS(MATCH_INPUT!$F$6:$F$9, O5, MATCH_INPUT!$K$6:$K$9, "Draw") +
    COUNTIFS(MATCH_INPUT!$J$6:$J$9, O5, MATCH_INPUT!$K$6:$K$9, "Draw"),
0)</f>
        <v>0</v>
      </c>
      <c r="U5" s="28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0</v>
      </c>
      <c r="V5" s="29"/>
      <c r="W5" s="29"/>
      <c r="X5" s="20"/>
      <c r="Y5" s="30">
        <f t="shared" si="11"/>
        <v>1</v>
      </c>
      <c r="Z5" s="31" t="str">
        <f t="shared" si="12"/>
        <v>↑</v>
      </c>
      <c r="AA5" s="21" t="s">
        <v>140</v>
      </c>
      <c r="AB5" s="32">
        <f t="shared" si="13"/>
        <v>15</v>
      </c>
      <c r="AC5" s="22">
        <f t="shared" si="14"/>
        <v>2</v>
      </c>
      <c r="AD5" s="22">
        <f t="shared" si="15"/>
        <v>1</v>
      </c>
      <c r="AE5" s="22">
        <f>IF(AA5&lt;&gt;"",
    COUNTIFS(MATCH_INPUT!$K$10:$K$13,AA5),
0)</f>
        <v>0</v>
      </c>
      <c r="AF5" s="22">
        <f>IF(AA5&lt;&gt;"",
    COUNTIFS(MATCH_INPUT!$F$10:$F$13, AA5, MATCH_INPUT!$K$10:$K$13, "Draw") +
    COUNTIFS(MATCH_INPUT!$J$10:$J$13, AA5, MATCH_INPUT!$K$10:$K$13, "Draw"),
0)</f>
        <v>1</v>
      </c>
      <c r="AG5" s="22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1</v>
      </c>
      <c r="AH5" s="23">
        <v>1.0</v>
      </c>
      <c r="AI5" s="23"/>
      <c r="AJ5" s="33"/>
      <c r="AK5" s="25">
        <f t="shared" si="16"/>
        <v>3</v>
      </c>
      <c r="AL5" s="26" t="str">
        <f t="shared" si="17"/>
        <v>↓</v>
      </c>
      <c r="AM5" s="27" t="s">
        <v>142</v>
      </c>
      <c r="AN5" s="28">
        <f t="shared" si="18"/>
        <v>18</v>
      </c>
      <c r="AO5" s="28">
        <f t="shared" si="19"/>
        <v>2</v>
      </c>
      <c r="AP5" s="28">
        <f t="shared" si="20"/>
        <v>1</v>
      </c>
      <c r="AQ5" s="28">
        <f>IF(AM5&lt;&gt;"",
    COUNTIFS(MATCH_INPUT!$K$14:$K$17,AM5),
0)</f>
        <v>0</v>
      </c>
      <c r="AR5" s="28">
        <f>IF(AM5&lt;&gt;"",
    COUNTIFS(MATCH_INPUT!$F$14:$F$17, AM5, MATCH_INPUT!$K$14:$K$17, "Draw") +
    COUNTIFS(MATCH_INPUT!$J$14:$J$17, AM5, MATCH_INPUT!$K$14:$K$17, "Draw"),
0)</f>
        <v>1</v>
      </c>
      <c r="AS5" s="28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1</v>
      </c>
      <c r="AT5" s="29"/>
      <c r="AU5" s="29"/>
      <c r="AV5" s="20"/>
      <c r="AW5" s="30">
        <f t="shared" si="21"/>
        <v>4</v>
      </c>
      <c r="AX5" s="31" t="str">
        <f t="shared" si="22"/>
        <v>↓</v>
      </c>
      <c r="AY5" s="21" t="s">
        <v>141</v>
      </c>
      <c r="AZ5" s="32">
        <f t="shared" si="23"/>
        <v>31</v>
      </c>
      <c r="BA5" s="22">
        <f t="shared" si="24"/>
        <v>2</v>
      </c>
      <c r="BB5" s="22">
        <f>SUM(BC5*2) + (BD5*1) + SUMIFS(MATCH_INPUT!$G$18:$G$21, MATCH_INPUT!$F$18:$F$21, AY5) + SUMIFS(MATCH_INPUT!$I$18:$I$21, MATCH_INPUT!$J$18:$J$21, AY5)
</f>
        <v>10</v>
      </c>
      <c r="BC5" s="22">
        <f>IF(AY5&lt;&gt;"",
    COUNTIFS(MATCH_INPUT!$K$18:$K$21,AY5),
0)</f>
        <v>2</v>
      </c>
      <c r="BD5" s="22">
        <f>IF(AY5&lt;&gt;"",
    COUNTIFS(MATCH_INPUT!$F$18:$F$21, AY5, MATCH_INPUT!$K$18:$K$21, "Draw") +
    COUNTIFS(MATCH_INPUT!$J$18:$J$21, AY5, MATCH_INPUT!$K$18:$K$21, "Draw"),
0)</f>
        <v>0</v>
      </c>
      <c r="BE5" s="22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0</v>
      </c>
      <c r="BF5" s="23"/>
      <c r="BG5" s="23">
        <v>1.0</v>
      </c>
      <c r="BH5" s="33">
        <v>1.0</v>
      </c>
      <c r="BI5" s="25">
        <f t="shared" si="25"/>
        <v>1</v>
      </c>
      <c r="BJ5" s="26" t="str">
        <f t="shared" si="26"/>
        <v>↑</v>
      </c>
      <c r="BK5" s="27" t="s">
        <v>140</v>
      </c>
      <c r="BL5" s="28">
        <f t="shared" si="27"/>
        <v>37</v>
      </c>
      <c r="BM5" s="28">
        <f t="shared" si="28"/>
        <v>2</v>
      </c>
      <c r="BN5" s="28">
        <f>SUM(BO5*2) + (BP5*1) + SUMIFS(MATCH_INPUT!$G$22:$G$25, MATCH_INPUT!$F$22:$F$25, BK5) + SUMIFS(MATCH_INPUT!$I$22:$I$25, MATCH_INPUT!$J$22:$J$25, BK5)
</f>
        <v>4</v>
      </c>
      <c r="BO5" s="28">
        <f>IF(BK5&lt;&gt;"",
    COUNTIFS(MATCH_INPUT!$K$22:$K$25,BK5),
0)</f>
        <v>0</v>
      </c>
      <c r="BP5" s="28">
        <f>IF(BK5&lt;&gt;"",
    COUNTIFS(MATCH_INPUT!$F$22:$F$25, BK5, MATCH_INPUT!$K$22:$K$25, "Draw") +
    COUNTIFS(MATCH_INPUT!$J$22:$J$25, BK5, MATCH_INPUT!$K$22:$K$25, "Draw"),
0)</f>
        <v>2</v>
      </c>
      <c r="BQ5" s="28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0</v>
      </c>
      <c r="BR5" s="29"/>
      <c r="BS5" s="29"/>
      <c r="BT5" s="20"/>
      <c r="BU5" s="30">
        <f t="shared" si="29"/>
        <v>1</v>
      </c>
      <c r="BV5" s="31" t="str">
        <f t="shared" si="30"/>
        <v>=</v>
      </c>
      <c r="BW5" s="21" t="s">
        <v>140</v>
      </c>
      <c r="BX5" s="32">
        <f t="shared" si="31"/>
        <v>42</v>
      </c>
      <c r="BY5" s="22">
        <f t="shared" si="32"/>
        <v>2</v>
      </c>
      <c r="BZ5" s="22">
        <f>SUM(CA5*2)+(CB5*1) + SUMIFS(MATCH_INPUT!$G$26:$G$29, MATCH_INPUT!$F$26:$F$29, BW5) + SUMIFS(MATCH_INPUT!$I$26:$I$29, MATCH_INPUT!$J$26:$J$29, BW5)
</f>
        <v>3</v>
      </c>
      <c r="CA5" s="22">
        <f>IF(BW5&lt;&gt;"",
    COUNTIFS(MATCH_INPUT!$K$26:$K$29,BW5),
0)</f>
        <v>0</v>
      </c>
      <c r="CB5" s="22">
        <f>IF(BW5&lt;&gt;"",
    COUNTIFS(MATCH_INPUT!$F$26:$F$29, BW5, MATCH_INPUT!$K$26:$K$29, "Draw") +
    COUNTIFS(MATCH_INPUT!$J$26:$J$29, BW5, MATCH_INPUT!$K$26:$K$29, "Draw"),
0)</f>
        <v>1</v>
      </c>
      <c r="CC5" s="22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1</v>
      </c>
      <c r="CD5" s="23"/>
      <c r="CE5" s="23"/>
      <c r="CF5" s="33"/>
      <c r="CG5" s="25">
        <f t="shared" si="33"/>
        <v>2</v>
      </c>
      <c r="CH5" s="26" t="str">
        <f t="shared" si="34"/>
        <v>↓</v>
      </c>
      <c r="CI5" s="27" t="s">
        <v>140</v>
      </c>
      <c r="CJ5" s="28">
        <f t="shared" si="35"/>
        <v>46</v>
      </c>
      <c r="CK5" s="28">
        <f t="shared" si="36"/>
        <v>2</v>
      </c>
      <c r="CL5" s="28">
        <f>SUM(CM5*2)+(CN5*1) + SUMIFS(MATCH_INPUT!$G$30:$G$33, MATCH_INPUT!$F$30:$F$33, CI5) + SUMIFS(MATCH_INPUT!$I$30:$I$33, MATCH_INPUT!$J$30:$J$33, CI5)
</f>
        <v>2</v>
      </c>
      <c r="CM5" s="28">
        <f>IF(CI5&lt;&gt;"",
    COUNTIFS(MATCH_INPUT!$K$30:$K$33,CI5),
0)</f>
        <v>0</v>
      </c>
      <c r="CN5" s="28">
        <f>IF(CI5&lt;&gt;"",
    COUNTIFS(MATCH_INPUT!$F$30:$F$33, CI5, MATCH_INPUT!$K$30:$K$33, "Draw") +
    COUNTIFS(MATCH_INPUT!$J$30:$J$33, CI5, MATCH_INPUT!$K$30:$K$33, "Draw"),
0)</f>
        <v>1</v>
      </c>
      <c r="CO5" s="28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1</v>
      </c>
      <c r="CP5" s="29"/>
      <c r="CQ5" s="29"/>
      <c r="CR5" s="20"/>
      <c r="CS5" s="34">
        <f t="shared" si="37"/>
        <v>3</v>
      </c>
      <c r="CT5" s="34" t="str">
        <f t="shared" si="38"/>
        <v>↓</v>
      </c>
      <c r="CU5" s="35">
        <f t="shared" si="39"/>
        <v>29</v>
      </c>
      <c r="CV5" s="35" t="str">
        <f t="shared" ref="CV5:CW5" si="45">A5</f>
        <v>🍀 </v>
      </c>
      <c r="CW5" s="36" t="str">
        <f t="shared" si="45"/>
        <v>🥉 Andres</v>
      </c>
      <c r="CX5" s="36">
        <f t="shared" si="41"/>
        <v>46</v>
      </c>
      <c r="CY5" s="35">
        <f>SUM(
  IF(AND('MATCH DATES'!$A$2 &lt;= TODAY(), NOW() &gt;= 'MATCH DATES'!$A$2 + TIME(22, 0, 0)), E5, 0),
  IF(AND('MATCH DATES'!$A$3 &lt;= TODAY(), NOW() &gt;= 'MATCH DATES'!$A$3 + TIME(22, 0, 0)), Q5, 0),
  IF(AND('MATCH DATES'!$A$4 &lt;= TODAY(), NOW() &gt;= 'MATCH DATES'!$A$4 + TIME(22, 0, 0)), AC5, 0),
  IF(AND('MATCH DATES'!$A$5 &lt;= TODAY(), NOW() &gt;= 'MATCH DATES'!$A$5 + TIME(22, 0, 0)), AO5, 0),
  IF(AND('MATCH DATES'!$A$6 &lt;= TODAY(), NOW() &gt;= 'MATCH DATES'!$A$6 + TIME(22, 0, 0)), BA5, 0),
  IF(AND('MATCH DATES'!$A$7 &lt;= TODAY(), NOW() &gt;= 'MATCH DATES'!$A$7 + TIME(22, 0, 0)), BM5, 0),
  IF(AND('MATCH DATES'!$A$8 &lt;= TODAY(), NOW() &gt;= 'MATCH DATES'!$A$8 + TIME(22, 0, 0)), BY5, 0),
  IF(AND('MATCH DATES'!$A$9 &lt;= TODAY(), NOW() &gt;= 'MATCH DATES'!$A$9 + TIME(22, 0, 0)), CK5, 0)
)
</f>
        <v>16</v>
      </c>
      <c r="CZ5" s="36">
        <f t="shared" ref="CZ5:DA5" si="46">SUM(G5,S5,AE5,AQ5,BC5,BO5,CA5,CM5)</f>
        <v>6</v>
      </c>
      <c r="DA5" s="36">
        <f t="shared" si="46"/>
        <v>6</v>
      </c>
      <c r="DB5" s="36">
        <f>SUM(
  IF(AND('MATCH DATES'!$A$2 &lt;= TODAY(), NOW() &gt;= 'MATCH DATES'!$A$2 + TIME(22, 0, 0)), I5, 0),
  IF(AND('MATCH DATES'!$A$3 &lt;= TODAY(), NOW() &gt;= 'MATCH DATES'!$A$3 + TIME(22, 0, 0)), U5, 0),
  IF(AND('MATCH DATES'!$A$4 &lt;= TODAY(), NOW() &gt;= 'MATCH DATES'!$A$4 + TIME(22, 0, 0)), AG5, 0),
  IF(AND('MATCH DATES'!$A$5 &lt;= TODAY(), NOW() &gt;= 'MATCH DATES'!$A$5 + TIME(22, 0, 0)), AS5, 0),
  IF(AND('MATCH DATES'!$A$6 &lt;= TODAY(), NOW() &gt;= 'MATCH DATES'!$A$6 + TIME(22, 0, 0)), BE5, 0),
  IF(AND('MATCH DATES'!$A$7 &lt;= TODAY(), NOW() &gt;= 'MATCH DATES'!$A$7 + TIME(22, 0, 0)), BQ5, 0),
  IF(AND('MATCH DATES'!$A$8 &lt;= TODAY(), NOW() &gt;= 'MATCH DATES'!$A$8 + TIME(22, 0, 0)), CC5, 0),
  IF(AND('MATCH DATES'!$A$9 &lt;= TODAY(), NOW() &gt;= 'MATCH DATES'!$A$9 + TIME(22, 0, 0)), CO5, 0)
)</f>
        <v>4</v>
      </c>
      <c r="DD5" s="36">
        <f t="shared" si="43"/>
        <v>1</v>
      </c>
      <c r="DF5" s="36">
        <f t="shared" si="44"/>
        <v>1</v>
      </c>
    </row>
    <row r="6" ht="24.75" customHeight="1">
      <c r="A6" s="19" t="s">
        <v>137</v>
      </c>
      <c r="B6" s="20" t="s">
        <v>145</v>
      </c>
      <c r="C6" s="21" t="s">
        <v>141</v>
      </c>
      <c r="D6" s="22">
        <f t="shared" si="3"/>
        <v>4</v>
      </c>
      <c r="E6" s="22">
        <f t="shared" si="4"/>
        <v>2</v>
      </c>
      <c r="F6" s="22">
        <f t="shared" si="5"/>
        <v>2</v>
      </c>
      <c r="G6" s="22">
        <f>IF(C6&lt;&gt;"",
    COUNTIFS(MATCH_INPUT!$K$2:$K$5,C6),
0)</f>
        <v>1</v>
      </c>
      <c r="H6" s="22">
        <f>IF(C6&lt;&gt;"",
    COUNTIFS(MATCH_INPUT!$F$2:$F$5, C6, MATCH_INPUT!$K$2:$K$5, "Draw") +
    COUNTIFS(MATCH_INPUT!$J$2:$J$5, C6, MATCH_INPUT!$K$2:$K$5, "Draw"),
0)</f>
        <v>0</v>
      </c>
      <c r="I6" s="22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1</v>
      </c>
      <c r="J6" s="23"/>
      <c r="K6" s="23"/>
      <c r="L6" s="24"/>
      <c r="M6" s="25">
        <f t="shared" si="6"/>
        <v>11</v>
      </c>
      <c r="N6" s="26" t="str">
        <f t="shared" si="7"/>
        <v>↓</v>
      </c>
      <c r="O6" s="27" t="s">
        <v>139</v>
      </c>
      <c r="P6" s="28">
        <f t="shared" si="8"/>
        <v>9</v>
      </c>
      <c r="Q6" s="28">
        <f t="shared" si="9"/>
        <v>2</v>
      </c>
      <c r="R6" s="28">
        <f t="shared" si="10"/>
        <v>3</v>
      </c>
      <c r="S6" s="28">
        <f>IF(O6&lt;&gt;"",
    COUNTIFS(MATCH_INPUT!$K$6:$K$9,O6),
0)</f>
        <v>1</v>
      </c>
      <c r="T6" s="28">
        <f>IF(O6&lt;&gt;"",
    COUNTIFS(MATCH_INPUT!$F$6:$F$9, O6, MATCH_INPUT!$K$6:$K$9, "Draw") +
    COUNTIFS(MATCH_INPUT!$J$6:$J$9, O6, MATCH_INPUT!$K$6:$K$9, "Draw"),
0)</f>
        <v>1</v>
      </c>
      <c r="U6" s="28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0</v>
      </c>
      <c r="V6" s="29"/>
      <c r="W6" s="29"/>
      <c r="X6" s="20"/>
      <c r="Y6" s="30">
        <f t="shared" si="11"/>
        <v>10</v>
      </c>
      <c r="Z6" s="31" t="str">
        <f t="shared" si="12"/>
        <v>↑</v>
      </c>
      <c r="AA6" s="21" t="s">
        <v>139</v>
      </c>
      <c r="AB6" s="32">
        <f t="shared" si="13"/>
        <v>13</v>
      </c>
      <c r="AC6" s="22">
        <f t="shared" si="14"/>
        <v>2</v>
      </c>
      <c r="AD6" s="22">
        <f t="shared" si="15"/>
        <v>2</v>
      </c>
      <c r="AE6" s="22">
        <f>IF(AA6&lt;&gt;"",
    COUNTIFS(MATCH_INPUT!$K$10:$K$13,AA6),
0)</f>
        <v>0</v>
      </c>
      <c r="AF6" s="22">
        <f>IF(AA6&lt;&gt;"",
    COUNTIFS(MATCH_INPUT!$F$10:$F$13, AA6, MATCH_INPUT!$K$10:$K$13, "Draw") +
    COUNTIFS(MATCH_INPUT!$J$10:$J$13, AA6, MATCH_INPUT!$K$10:$K$13, "Draw"),
0)</f>
        <v>2</v>
      </c>
      <c r="AG6" s="22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0</v>
      </c>
      <c r="AH6" s="23"/>
      <c r="AI6" s="23"/>
      <c r="AJ6" s="33"/>
      <c r="AK6" s="25">
        <f t="shared" si="16"/>
        <v>9</v>
      </c>
      <c r="AL6" s="26" t="str">
        <f t="shared" si="17"/>
        <v>↑</v>
      </c>
      <c r="AM6" s="27" t="s">
        <v>139</v>
      </c>
      <c r="AN6" s="28">
        <f t="shared" si="18"/>
        <v>16</v>
      </c>
      <c r="AO6" s="28">
        <f t="shared" si="19"/>
        <v>2</v>
      </c>
      <c r="AP6" s="28">
        <f t="shared" si="20"/>
        <v>1</v>
      </c>
      <c r="AQ6" s="28">
        <f>IF(AM6&lt;&gt;"",
    COUNTIFS(MATCH_INPUT!$K$14:$K$17,AM6),
0)</f>
        <v>0</v>
      </c>
      <c r="AR6" s="28">
        <f>IF(AM6&lt;&gt;"",
    COUNTIFS(MATCH_INPUT!$F$14:$F$17, AM6, MATCH_INPUT!$K$14:$K$17, "Draw") +
    COUNTIFS(MATCH_INPUT!$J$14:$J$17, AM6, MATCH_INPUT!$K$14:$K$17, "Draw"),
0)</f>
        <v>1</v>
      </c>
      <c r="AS6" s="28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1</v>
      </c>
      <c r="AT6" s="29"/>
      <c r="AU6" s="29"/>
      <c r="AV6" s="20"/>
      <c r="AW6" s="30">
        <f t="shared" si="21"/>
        <v>15</v>
      </c>
      <c r="AX6" s="31" t="str">
        <f t="shared" si="22"/>
        <v>↓</v>
      </c>
      <c r="AY6" s="21" t="s">
        <v>141</v>
      </c>
      <c r="AZ6" s="32">
        <f t="shared" si="23"/>
        <v>28</v>
      </c>
      <c r="BA6" s="22">
        <f t="shared" si="24"/>
        <v>2</v>
      </c>
      <c r="BB6" s="22">
        <f>SUM(BC6*2) + (BD6*1) + SUMIFS(MATCH_INPUT!$G$18:$G$21, MATCH_INPUT!$F$18:$F$21, AY6) + SUMIFS(MATCH_INPUT!$I$18:$I$21, MATCH_INPUT!$J$18:$J$21, AY6)
</f>
        <v>10</v>
      </c>
      <c r="BC6" s="22">
        <f>IF(AY6&lt;&gt;"",
    COUNTIFS(MATCH_INPUT!$K$18:$K$21,AY6),
0)</f>
        <v>2</v>
      </c>
      <c r="BD6" s="22">
        <f>IF(AY6&lt;&gt;"",
    COUNTIFS(MATCH_INPUT!$F$18:$F$21, AY6, MATCH_INPUT!$K$18:$K$21, "Draw") +
    COUNTIFS(MATCH_INPUT!$J$18:$J$21, AY6, MATCH_INPUT!$K$18:$K$21, "Draw"),
0)</f>
        <v>0</v>
      </c>
      <c r="BE6" s="22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0</v>
      </c>
      <c r="BF6" s="23"/>
      <c r="BG6" s="23"/>
      <c r="BH6" s="33"/>
      <c r="BI6" s="25">
        <f t="shared" si="25"/>
        <v>4</v>
      </c>
      <c r="BJ6" s="26" t="str">
        <f t="shared" si="26"/>
        <v>↑</v>
      </c>
      <c r="BK6" s="27" t="s">
        <v>139</v>
      </c>
      <c r="BL6" s="28">
        <f t="shared" si="27"/>
        <v>36</v>
      </c>
      <c r="BM6" s="28">
        <f t="shared" si="28"/>
        <v>2</v>
      </c>
      <c r="BN6" s="28">
        <f>SUM(BO6*2) + (BP6*1) + SUMIFS(MATCH_INPUT!$G$22:$G$25, MATCH_INPUT!$F$22:$F$25, BK6) + SUMIFS(MATCH_INPUT!$I$22:$I$25, MATCH_INPUT!$J$22:$J$25, BK6)
</f>
        <v>6</v>
      </c>
      <c r="BO6" s="28">
        <f>IF(BK6&lt;&gt;"",
    COUNTIFS(MATCH_INPUT!$K$22:$K$25,BK6),
0)</f>
        <v>1</v>
      </c>
      <c r="BP6" s="28">
        <f>IF(BK6&lt;&gt;"",
    COUNTIFS(MATCH_INPUT!$F$22:$F$25, BK6, MATCH_INPUT!$K$22:$K$25, "Draw") +
    COUNTIFS(MATCH_INPUT!$J$22:$J$25, BK6, MATCH_INPUT!$K$22:$K$25, "Draw"),
0)</f>
        <v>1</v>
      </c>
      <c r="BQ6" s="28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0</v>
      </c>
      <c r="BR6" s="29"/>
      <c r="BS6" s="29"/>
      <c r="BT6" s="20"/>
      <c r="BU6" s="30">
        <f t="shared" si="29"/>
        <v>3</v>
      </c>
      <c r="BV6" s="31" t="str">
        <f t="shared" si="30"/>
        <v>↑</v>
      </c>
      <c r="BW6" s="21" t="s">
        <v>141</v>
      </c>
      <c r="BX6" s="32">
        <f t="shared" si="31"/>
        <v>45</v>
      </c>
      <c r="BY6" s="22">
        <f t="shared" si="32"/>
        <v>2</v>
      </c>
      <c r="BZ6" s="22">
        <f>SUM(CA6*2)+(CB6*1) + SUMIFS(MATCH_INPUT!$G$26:$G$29, MATCH_INPUT!$F$26:$F$29, BW6) + SUMIFS(MATCH_INPUT!$I$26:$I$29, MATCH_INPUT!$J$26:$J$29, BW6)
</f>
        <v>7</v>
      </c>
      <c r="CA6" s="22">
        <f>IF(BW6&lt;&gt;"",
    COUNTIFS(MATCH_INPUT!$K$26:$K$29,BW6),
0)</f>
        <v>1</v>
      </c>
      <c r="CB6" s="22">
        <f>IF(BW6&lt;&gt;"",
    COUNTIFS(MATCH_INPUT!$F$26:$F$29, BW6, MATCH_INPUT!$K$26:$K$29, "Draw") +
    COUNTIFS(MATCH_INPUT!$J$26:$J$29, BW6, MATCH_INPUT!$K$26:$K$29, "Draw"),
0)</f>
        <v>1</v>
      </c>
      <c r="CC6" s="22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0</v>
      </c>
      <c r="CD6" s="23"/>
      <c r="CE6" s="23"/>
      <c r="CF6" s="33"/>
      <c r="CG6" s="25">
        <f t="shared" si="33"/>
        <v>1</v>
      </c>
      <c r="CH6" s="26" t="str">
        <f t="shared" si="34"/>
        <v>↑</v>
      </c>
      <c r="CI6" s="27"/>
      <c r="CJ6" s="28">
        <f t="shared" si="35"/>
        <v>45</v>
      </c>
      <c r="CK6" s="28">
        <f t="shared" si="36"/>
        <v>0</v>
      </c>
      <c r="CL6" s="28">
        <f>SUM(CM6*2)+(CN6*1) + SUMIFS(MATCH_INPUT!$G$30:$G$33, MATCH_INPUT!$F$30:$F$33, CI6) + SUMIFS(MATCH_INPUT!$I$30:$I$33, MATCH_INPUT!$J$30:$J$33, CI6)
</f>
        <v>0</v>
      </c>
      <c r="CM6" s="28">
        <f>IF(CI6&lt;&gt;"",
    COUNTIFS(MATCH_INPUT!$K$30:$K$33,CI6),
0)</f>
        <v>0</v>
      </c>
      <c r="CN6" s="28">
        <f>IF(CI6&lt;&gt;"",
    COUNTIFS(MATCH_INPUT!$F$30:$F$33, CI6, MATCH_INPUT!$K$30:$K$33, "Draw") +
    COUNTIFS(MATCH_INPUT!$J$30:$J$33, CI6, MATCH_INPUT!$K$30:$K$33, "Draw"),
0)</f>
        <v>0</v>
      </c>
      <c r="CO6" s="28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0</v>
      </c>
      <c r="CP6" s="29"/>
      <c r="CQ6" s="29"/>
      <c r="CR6" s="20"/>
      <c r="CS6" s="34">
        <f t="shared" si="37"/>
        <v>4</v>
      </c>
      <c r="CT6" s="34" t="str">
        <f t="shared" si="38"/>
        <v>↓</v>
      </c>
      <c r="CU6" s="35">
        <f t="shared" si="39"/>
        <v>31</v>
      </c>
      <c r="CV6" s="35" t="str">
        <f t="shared" ref="CV6:CW6" si="47">A6</f>
        <v>🍀 </v>
      </c>
      <c r="CW6" s="36" t="str">
        <f t="shared" si="47"/>
        <v>Mikey</v>
      </c>
      <c r="CX6" s="36">
        <f t="shared" si="41"/>
        <v>45</v>
      </c>
      <c r="CY6" s="35">
        <f>SUM(
  IF(AND('MATCH DATES'!$A$2 &lt;= TODAY(), NOW() &gt;= 'MATCH DATES'!$A$2 + TIME(22, 0, 0)), E6, 0),
  IF(AND('MATCH DATES'!$A$3 &lt;= TODAY(), NOW() &gt;= 'MATCH DATES'!$A$3 + TIME(22, 0, 0)), Q6, 0),
  IF(AND('MATCH DATES'!$A$4 &lt;= TODAY(), NOW() &gt;= 'MATCH DATES'!$A$4 + TIME(22, 0, 0)), AC6, 0),
  IF(AND('MATCH DATES'!$A$5 &lt;= TODAY(), NOW() &gt;= 'MATCH DATES'!$A$5 + TIME(22, 0, 0)), AO6, 0),
  IF(AND('MATCH DATES'!$A$6 &lt;= TODAY(), NOW() &gt;= 'MATCH DATES'!$A$6 + TIME(22, 0, 0)), BA6, 0),
  IF(AND('MATCH DATES'!$A$7 &lt;= TODAY(), NOW() &gt;= 'MATCH DATES'!$A$7 + TIME(22, 0, 0)), BM6, 0),
  IF(AND('MATCH DATES'!$A$8 &lt;= TODAY(), NOW() &gt;= 'MATCH DATES'!$A$8 + TIME(22, 0, 0)), BY6, 0),
  IF(AND('MATCH DATES'!$A$9 &lt;= TODAY(), NOW() &gt;= 'MATCH DATES'!$A$9 + TIME(22, 0, 0)), CK6, 0)
)
</f>
        <v>14</v>
      </c>
      <c r="CZ6" s="36">
        <f t="shared" ref="CZ6:DA6" si="48">SUM(G6,S6,AE6,AQ6,BC6,BO6,CA6,CM6)</f>
        <v>6</v>
      </c>
      <c r="DA6" s="36">
        <f t="shared" si="48"/>
        <v>6</v>
      </c>
      <c r="DB6" s="36">
        <f>SUM(
  IF(AND('MATCH DATES'!$A$2 &lt;= TODAY(), NOW() &gt;= 'MATCH DATES'!$A$2 + TIME(22, 0, 0)), I6, 0),
  IF(AND('MATCH DATES'!$A$3 &lt;= TODAY(), NOW() &gt;= 'MATCH DATES'!$A$3 + TIME(22, 0, 0)), U6, 0),
  IF(AND('MATCH DATES'!$A$4 &lt;= TODAY(), NOW() &gt;= 'MATCH DATES'!$A$4 + TIME(22, 0, 0)), AG6, 0),
  IF(AND('MATCH DATES'!$A$5 &lt;= TODAY(), NOW() &gt;= 'MATCH DATES'!$A$5 + TIME(22, 0, 0)), AS6, 0),
  IF(AND('MATCH DATES'!$A$6 &lt;= TODAY(), NOW() &gt;= 'MATCH DATES'!$A$6 + TIME(22, 0, 0)), BE6, 0),
  IF(AND('MATCH DATES'!$A$7 &lt;= TODAY(), NOW() &gt;= 'MATCH DATES'!$A$7 + TIME(22, 0, 0)), BQ6, 0),
  IF(AND('MATCH DATES'!$A$8 &lt;= TODAY(), NOW() &gt;= 'MATCH DATES'!$A$8 + TIME(22, 0, 0)), CC6, 0),
  IF(AND('MATCH DATES'!$A$9 &lt;= TODAY(), NOW() &gt;= 'MATCH DATES'!$A$9 + TIME(22, 0, 0)), CO6, 0)
)</f>
        <v>2</v>
      </c>
      <c r="DD6" s="36">
        <f t="shared" si="43"/>
        <v>0</v>
      </c>
      <c r="DF6" s="36">
        <f t="shared" si="44"/>
        <v>0</v>
      </c>
    </row>
    <row r="7" ht="24.75" customHeight="1">
      <c r="A7" s="19" t="s">
        <v>137</v>
      </c>
      <c r="B7" s="20" t="s">
        <v>146</v>
      </c>
      <c r="C7" s="21" t="s">
        <v>142</v>
      </c>
      <c r="D7" s="22">
        <f t="shared" si="3"/>
        <v>2</v>
      </c>
      <c r="E7" s="22">
        <f t="shared" si="4"/>
        <v>2</v>
      </c>
      <c r="F7" s="22">
        <f t="shared" si="5"/>
        <v>0</v>
      </c>
      <c r="G7" s="22">
        <f>IF(C7&lt;&gt;"",
    COUNTIFS(MATCH_INPUT!$K$2:$K$5,C7),
0)</f>
        <v>0</v>
      </c>
      <c r="H7" s="22">
        <f>IF(C7&lt;&gt;"",
    COUNTIFS(MATCH_INPUT!$F$2:$F$5, C7, MATCH_INPUT!$K$2:$K$5, "Draw") +
    COUNTIFS(MATCH_INPUT!$J$2:$J$5, C7, MATCH_INPUT!$K$2:$K$5, "Draw"),
0)</f>
        <v>0</v>
      </c>
      <c r="I7" s="22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2</v>
      </c>
      <c r="J7" s="23">
        <v>1.0</v>
      </c>
      <c r="K7" s="23"/>
      <c r="L7" s="24"/>
      <c r="M7" s="25">
        <f t="shared" si="6"/>
        <v>26</v>
      </c>
      <c r="N7" s="26" t="str">
        <f t="shared" si="7"/>
        <v>↓</v>
      </c>
      <c r="O7" s="27" t="s">
        <v>139</v>
      </c>
      <c r="P7" s="28">
        <f t="shared" si="8"/>
        <v>7</v>
      </c>
      <c r="Q7" s="28">
        <f t="shared" si="9"/>
        <v>2</v>
      </c>
      <c r="R7" s="28">
        <f t="shared" si="10"/>
        <v>3</v>
      </c>
      <c r="S7" s="28">
        <f>IF(O7&lt;&gt;"",
    COUNTIFS(MATCH_INPUT!$K$6:$K$9,O7),
0)</f>
        <v>1</v>
      </c>
      <c r="T7" s="28">
        <f>IF(O7&lt;&gt;"",
    COUNTIFS(MATCH_INPUT!$F$6:$F$9, O7, MATCH_INPUT!$K$6:$K$9, "Draw") +
    COUNTIFS(MATCH_INPUT!$J$6:$J$9, O7, MATCH_INPUT!$K$6:$K$9, "Draw"),
0)</f>
        <v>1</v>
      </c>
      <c r="U7" s="28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0</v>
      </c>
      <c r="V7" s="29">
        <v>1.0</v>
      </c>
      <c r="W7" s="29"/>
      <c r="X7" s="20"/>
      <c r="Y7" s="30">
        <f t="shared" si="11"/>
        <v>20</v>
      </c>
      <c r="Z7" s="31" t="str">
        <f t="shared" si="12"/>
        <v>↑</v>
      </c>
      <c r="AA7" s="21" t="s">
        <v>141</v>
      </c>
      <c r="AB7" s="32">
        <f t="shared" si="13"/>
        <v>12</v>
      </c>
      <c r="AC7" s="22">
        <f t="shared" si="14"/>
        <v>2</v>
      </c>
      <c r="AD7" s="22">
        <f t="shared" si="15"/>
        <v>3</v>
      </c>
      <c r="AE7" s="22">
        <f>IF(AA7&lt;&gt;"",
    COUNTIFS(MATCH_INPUT!$K$10:$K$13,AA7),
0)</f>
        <v>1</v>
      </c>
      <c r="AF7" s="22">
        <f>IF(AA7&lt;&gt;"",
    COUNTIFS(MATCH_INPUT!$F$10:$F$13, AA7, MATCH_INPUT!$K$10:$K$13, "Draw") +
    COUNTIFS(MATCH_INPUT!$J$10:$J$13, AA7, MATCH_INPUT!$K$10:$K$13, "Draw"),
0)</f>
        <v>1</v>
      </c>
      <c r="AG7" s="22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0</v>
      </c>
      <c r="AH7" s="23">
        <v>2.0</v>
      </c>
      <c r="AI7" s="23"/>
      <c r="AJ7" s="33"/>
      <c r="AK7" s="25">
        <f t="shared" si="16"/>
        <v>17</v>
      </c>
      <c r="AL7" s="26" t="str">
        <f t="shared" si="17"/>
        <v>↑</v>
      </c>
      <c r="AM7" s="27" t="s">
        <v>139</v>
      </c>
      <c r="AN7" s="28">
        <f t="shared" si="18"/>
        <v>15</v>
      </c>
      <c r="AO7" s="28">
        <f t="shared" si="19"/>
        <v>2</v>
      </c>
      <c r="AP7" s="28">
        <f t="shared" si="20"/>
        <v>1</v>
      </c>
      <c r="AQ7" s="28">
        <f>IF(AM7&lt;&gt;"",
    COUNTIFS(MATCH_INPUT!$K$14:$K$17,AM7),
0)</f>
        <v>0</v>
      </c>
      <c r="AR7" s="28">
        <f>IF(AM7&lt;&gt;"",
    COUNTIFS(MATCH_INPUT!$F$14:$F$17, AM7, MATCH_INPUT!$K$14:$K$17, "Draw") +
    COUNTIFS(MATCH_INPUT!$J$14:$J$17, AM7, MATCH_INPUT!$K$14:$K$17, "Draw"),
0)</f>
        <v>1</v>
      </c>
      <c r="AS7" s="28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1</v>
      </c>
      <c r="AT7" s="29"/>
      <c r="AU7" s="29"/>
      <c r="AV7" s="20"/>
      <c r="AW7" s="30">
        <f t="shared" si="21"/>
        <v>19</v>
      </c>
      <c r="AX7" s="31" t="str">
        <f t="shared" si="22"/>
        <v>↓</v>
      </c>
      <c r="AY7" s="21" t="s">
        <v>140</v>
      </c>
      <c r="AZ7" s="32">
        <f t="shared" si="23"/>
        <v>21</v>
      </c>
      <c r="BA7" s="22">
        <f t="shared" si="24"/>
        <v>2</v>
      </c>
      <c r="BB7" s="22">
        <f>SUM(BC7*2) + (BD7*1) + SUMIFS(MATCH_INPUT!$G$18:$G$21, MATCH_INPUT!$F$18:$F$21, AY7) + SUMIFS(MATCH_INPUT!$I$18:$I$21, MATCH_INPUT!$J$18:$J$21, AY7)
</f>
        <v>4</v>
      </c>
      <c r="BC7" s="22">
        <f>IF(AY7&lt;&gt;"",
    COUNTIFS(MATCH_INPUT!$K$18:$K$21,AY7),
0)</f>
        <v>0</v>
      </c>
      <c r="BD7" s="22">
        <f>IF(AY7&lt;&gt;"",
    COUNTIFS(MATCH_INPUT!$F$18:$F$21, AY7, MATCH_INPUT!$K$18:$K$21, "Draw") +
    COUNTIFS(MATCH_INPUT!$J$18:$J$21, AY7, MATCH_INPUT!$K$18:$K$21, "Draw"),
0)</f>
        <v>1</v>
      </c>
      <c r="BE7" s="22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1</v>
      </c>
      <c r="BF7" s="23">
        <v>1.0</v>
      </c>
      <c r="BG7" s="23"/>
      <c r="BH7" s="33"/>
      <c r="BI7" s="25">
        <f t="shared" si="25"/>
        <v>20</v>
      </c>
      <c r="BJ7" s="26" t="str">
        <f t="shared" si="26"/>
        <v>↓</v>
      </c>
      <c r="BK7" s="27" t="s">
        <v>139</v>
      </c>
      <c r="BL7" s="28">
        <f t="shared" si="27"/>
        <v>29</v>
      </c>
      <c r="BM7" s="28">
        <f t="shared" si="28"/>
        <v>2</v>
      </c>
      <c r="BN7" s="28">
        <f>SUM(BO7*2) + (BP7*1) + SUMIFS(MATCH_INPUT!$G$22:$G$25, MATCH_INPUT!$F$22:$F$25, BK7) + SUMIFS(MATCH_INPUT!$I$22:$I$25, MATCH_INPUT!$J$22:$J$25, BK7)
</f>
        <v>6</v>
      </c>
      <c r="BO7" s="28">
        <f>IF(BK7&lt;&gt;"",
    COUNTIFS(MATCH_INPUT!$K$22:$K$25,BK7),
0)</f>
        <v>1</v>
      </c>
      <c r="BP7" s="28">
        <f>IF(BK7&lt;&gt;"",
    COUNTIFS(MATCH_INPUT!$F$22:$F$25, BK7, MATCH_INPUT!$K$22:$K$25, "Draw") +
    COUNTIFS(MATCH_INPUT!$J$22:$J$25, BK7, MATCH_INPUT!$K$22:$K$25, "Draw"),
0)</f>
        <v>1</v>
      </c>
      <c r="BQ7" s="28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0</v>
      </c>
      <c r="BR7" s="29"/>
      <c r="BS7" s="29"/>
      <c r="BT7" s="20"/>
      <c r="BU7" s="30">
        <f t="shared" si="29"/>
        <v>11</v>
      </c>
      <c r="BV7" s="31" t="str">
        <f t="shared" si="30"/>
        <v>↑</v>
      </c>
      <c r="BW7" s="21" t="s">
        <v>141</v>
      </c>
      <c r="BX7" s="32">
        <f t="shared" si="31"/>
        <v>38</v>
      </c>
      <c r="BY7" s="22">
        <f t="shared" si="32"/>
        <v>2</v>
      </c>
      <c r="BZ7" s="22">
        <f>SUM(CA7*2)+(CB7*1) + SUMIFS(MATCH_INPUT!$G$26:$G$29, MATCH_INPUT!$F$26:$F$29, BW7) + SUMIFS(MATCH_INPUT!$I$26:$I$29, MATCH_INPUT!$J$26:$J$29, BW7)
</f>
        <v>7</v>
      </c>
      <c r="CA7" s="22">
        <f>IF(BW7&lt;&gt;"",
    COUNTIFS(MATCH_INPUT!$K$26:$K$29,BW7),
0)</f>
        <v>1</v>
      </c>
      <c r="CB7" s="22">
        <f>IF(BW7&lt;&gt;"",
    COUNTIFS(MATCH_INPUT!$F$26:$F$29, BW7, MATCH_INPUT!$K$26:$K$29, "Draw") +
    COUNTIFS(MATCH_INPUT!$J$26:$J$29, BW7, MATCH_INPUT!$K$26:$K$29, "Draw"),
0)</f>
        <v>1</v>
      </c>
      <c r="CC7" s="22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0</v>
      </c>
      <c r="CD7" s="23">
        <v>1.0</v>
      </c>
      <c r="CE7" s="23"/>
      <c r="CF7" s="33"/>
      <c r="CG7" s="25">
        <f t="shared" si="33"/>
        <v>6</v>
      </c>
      <c r="CH7" s="26" t="str">
        <f t="shared" si="34"/>
        <v>↑</v>
      </c>
      <c r="CI7" s="27" t="s">
        <v>142</v>
      </c>
      <c r="CJ7" s="28">
        <f t="shared" si="35"/>
        <v>44</v>
      </c>
      <c r="CK7" s="28">
        <f t="shared" si="36"/>
        <v>2</v>
      </c>
      <c r="CL7" s="28">
        <f>SUM(CM7*2)+(CN7*1) + SUMIFS(MATCH_INPUT!$G$30:$G$33, MATCH_INPUT!$F$30:$F$33, CI7) + SUMIFS(MATCH_INPUT!$I$30:$I$33, MATCH_INPUT!$J$30:$J$33, CI7)
</f>
        <v>4</v>
      </c>
      <c r="CM7" s="28">
        <f>IF(CI7&lt;&gt;"",
    COUNTIFS(MATCH_INPUT!$K$30:$K$33,CI7),
0)</f>
        <v>1</v>
      </c>
      <c r="CN7" s="28">
        <f>IF(CI7&lt;&gt;"",
    COUNTIFS(MATCH_INPUT!$F$30:$F$33, CI7, MATCH_INPUT!$K$30:$K$33, "Draw") +
    COUNTIFS(MATCH_INPUT!$J$30:$J$33, CI7, MATCH_INPUT!$K$30:$K$33, "Draw"),
0)</f>
        <v>0</v>
      </c>
      <c r="CO7" s="28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1</v>
      </c>
      <c r="CP7" s="29"/>
      <c r="CQ7" s="29"/>
      <c r="CR7" s="20"/>
      <c r="CS7" s="34">
        <f t="shared" si="37"/>
        <v>5</v>
      </c>
      <c r="CT7" s="34" t="str">
        <f t="shared" si="38"/>
        <v>↑</v>
      </c>
      <c r="CU7" s="35">
        <f t="shared" si="39"/>
        <v>28</v>
      </c>
      <c r="CV7" s="35" t="str">
        <f t="shared" ref="CV7:CW7" si="49">A7</f>
        <v>🍀 </v>
      </c>
      <c r="CW7" s="36" t="str">
        <f t="shared" si="49"/>
        <v>Jose Blanco</v>
      </c>
      <c r="CX7" s="36">
        <f t="shared" si="41"/>
        <v>44</v>
      </c>
      <c r="CY7" s="35">
        <f>SUM(
  IF(AND('MATCH DATES'!$A$2 &lt;= TODAY(), NOW() &gt;= 'MATCH DATES'!$A$2 + TIME(22, 0, 0)), E7, 0),
  IF(AND('MATCH DATES'!$A$3 &lt;= TODAY(), NOW() &gt;= 'MATCH DATES'!$A$3 + TIME(22, 0, 0)), Q7, 0),
  IF(AND('MATCH DATES'!$A$4 &lt;= TODAY(), NOW() &gt;= 'MATCH DATES'!$A$4 + TIME(22, 0, 0)), AC7, 0),
  IF(AND('MATCH DATES'!$A$5 &lt;= TODAY(), NOW() &gt;= 'MATCH DATES'!$A$5 + TIME(22, 0, 0)), AO7, 0),
  IF(AND('MATCH DATES'!$A$6 &lt;= TODAY(), NOW() &gt;= 'MATCH DATES'!$A$6 + TIME(22, 0, 0)), BA7, 0),
  IF(AND('MATCH DATES'!$A$7 &lt;= TODAY(), NOW() &gt;= 'MATCH DATES'!$A$7 + TIME(22, 0, 0)), BM7, 0),
  IF(AND('MATCH DATES'!$A$8 &lt;= TODAY(), NOW() &gt;= 'MATCH DATES'!$A$8 + TIME(22, 0, 0)), BY7, 0),
  IF(AND('MATCH DATES'!$A$9 &lt;= TODAY(), NOW() &gt;= 'MATCH DATES'!$A$9 + TIME(22, 0, 0)), CK7, 0)
)
</f>
        <v>16</v>
      </c>
      <c r="CZ7" s="36">
        <f t="shared" ref="CZ7:DA7" si="50">SUM(G7,S7,AE7,AQ7,BC7,BO7,CA7,CM7)</f>
        <v>5</v>
      </c>
      <c r="DA7" s="36">
        <f t="shared" si="50"/>
        <v>6</v>
      </c>
      <c r="DB7" s="36">
        <f>SUM(
  IF(AND('MATCH DATES'!$A$2 &lt;= TODAY(), NOW() &gt;= 'MATCH DATES'!$A$2 + TIME(22, 0, 0)), I7, 0),
  IF(AND('MATCH DATES'!$A$3 &lt;= TODAY(), NOW() &gt;= 'MATCH DATES'!$A$3 + TIME(22, 0, 0)), U7, 0),
  IF(AND('MATCH DATES'!$A$4 &lt;= TODAY(), NOW() &gt;= 'MATCH DATES'!$A$4 + TIME(22, 0, 0)), AG7, 0),
  IF(AND('MATCH DATES'!$A$5 &lt;= TODAY(), NOW() &gt;= 'MATCH DATES'!$A$5 + TIME(22, 0, 0)), AS7, 0),
  IF(AND('MATCH DATES'!$A$6 &lt;= TODAY(), NOW() &gt;= 'MATCH DATES'!$A$6 + TIME(22, 0, 0)), BE7, 0),
  IF(AND('MATCH DATES'!$A$7 &lt;= TODAY(), NOW() &gt;= 'MATCH DATES'!$A$7 + TIME(22, 0, 0)), BQ7, 0),
  IF(AND('MATCH DATES'!$A$8 &lt;= TODAY(), NOW() &gt;= 'MATCH DATES'!$A$8 + TIME(22, 0, 0)), CC7, 0),
  IF(AND('MATCH DATES'!$A$9 &lt;= TODAY(), NOW() &gt;= 'MATCH DATES'!$A$9 + TIME(22, 0, 0)), CO7, 0)
)</f>
        <v>5</v>
      </c>
      <c r="DD7" s="36">
        <f t="shared" si="43"/>
        <v>0</v>
      </c>
      <c r="DF7" s="36">
        <f t="shared" si="44"/>
        <v>0</v>
      </c>
    </row>
    <row r="8" ht="24.75" customHeight="1">
      <c r="A8" s="19" t="s">
        <v>137</v>
      </c>
      <c r="B8" s="20" t="s">
        <v>147</v>
      </c>
      <c r="C8" s="21" t="s">
        <v>140</v>
      </c>
      <c r="D8" s="22">
        <f t="shared" si="3"/>
        <v>4</v>
      </c>
      <c r="E8" s="22">
        <f t="shared" si="4"/>
        <v>2</v>
      </c>
      <c r="F8" s="22">
        <f t="shared" si="5"/>
        <v>2</v>
      </c>
      <c r="G8" s="22">
        <f>IF(C8&lt;&gt;"",
    COUNTIFS(MATCH_INPUT!$K$2:$K$5,C8),
0)</f>
        <v>1</v>
      </c>
      <c r="H8" s="22">
        <f>IF(C8&lt;&gt;"",
    COUNTIFS(MATCH_INPUT!$F$2:$F$5, C8, MATCH_INPUT!$K$2:$K$5, "Draw") +
    COUNTIFS(MATCH_INPUT!$J$2:$J$5, C8, MATCH_INPUT!$K$2:$K$5, "Draw"),
0)</f>
        <v>0</v>
      </c>
      <c r="I8" s="22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1</v>
      </c>
      <c r="J8" s="23"/>
      <c r="K8" s="23"/>
      <c r="L8" s="24"/>
      <c r="M8" s="25">
        <f t="shared" si="6"/>
        <v>11</v>
      </c>
      <c r="N8" s="26" t="str">
        <f t="shared" si="7"/>
        <v>↓</v>
      </c>
      <c r="O8" s="27" t="s">
        <v>140</v>
      </c>
      <c r="P8" s="28">
        <f t="shared" si="8"/>
        <v>7</v>
      </c>
      <c r="Q8" s="28">
        <f t="shared" si="9"/>
        <v>2</v>
      </c>
      <c r="R8" s="28">
        <f t="shared" si="10"/>
        <v>1</v>
      </c>
      <c r="S8" s="28">
        <f>IF(O8&lt;&gt;"",
    COUNTIFS(MATCH_INPUT!$K$6:$K$9,O8),
0)</f>
        <v>0</v>
      </c>
      <c r="T8" s="28">
        <f>IF(O8&lt;&gt;"",
    COUNTIFS(MATCH_INPUT!$F$6:$F$9, O8, MATCH_INPUT!$K$6:$K$9, "Draw") +
    COUNTIFS(MATCH_INPUT!$J$6:$J$9, O8, MATCH_INPUT!$K$6:$K$9, "Draw"),
0)</f>
        <v>1</v>
      </c>
      <c r="U8" s="28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1</v>
      </c>
      <c r="V8" s="29"/>
      <c r="W8" s="29"/>
      <c r="X8" s="20"/>
      <c r="Y8" s="30">
        <f t="shared" si="11"/>
        <v>20</v>
      </c>
      <c r="Z8" s="31" t="str">
        <f t="shared" si="12"/>
        <v>↓</v>
      </c>
      <c r="AA8" s="21" t="s">
        <v>141</v>
      </c>
      <c r="AB8" s="32">
        <f t="shared" si="13"/>
        <v>12</v>
      </c>
      <c r="AC8" s="22">
        <f t="shared" si="14"/>
        <v>2</v>
      </c>
      <c r="AD8" s="22">
        <f t="shared" si="15"/>
        <v>3</v>
      </c>
      <c r="AE8" s="22">
        <f>IF(AA8&lt;&gt;"",
    COUNTIFS(MATCH_INPUT!$K$10:$K$13,AA8),
0)</f>
        <v>1</v>
      </c>
      <c r="AF8" s="22">
        <f>IF(AA8&lt;&gt;"",
    COUNTIFS(MATCH_INPUT!$F$10:$F$13, AA8, MATCH_INPUT!$K$10:$K$13, "Draw") +
    COUNTIFS(MATCH_INPUT!$J$10:$J$13, AA8, MATCH_INPUT!$K$10:$K$13, "Draw"),
0)</f>
        <v>1</v>
      </c>
      <c r="AG8" s="22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0</v>
      </c>
      <c r="AH8" s="23"/>
      <c r="AI8" s="23"/>
      <c r="AJ8" s="33"/>
      <c r="AK8" s="25">
        <f t="shared" si="16"/>
        <v>17</v>
      </c>
      <c r="AL8" s="26" t="str">
        <f t="shared" si="17"/>
        <v>↑</v>
      </c>
      <c r="AM8" s="27" t="s">
        <v>139</v>
      </c>
      <c r="AN8" s="28">
        <f t="shared" si="18"/>
        <v>15</v>
      </c>
      <c r="AO8" s="28">
        <f t="shared" si="19"/>
        <v>2</v>
      </c>
      <c r="AP8" s="28">
        <f t="shared" si="20"/>
        <v>1</v>
      </c>
      <c r="AQ8" s="28">
        <f>IF(AM8&lt;&gt;"",
    COUNTIFS(MATCH_INPUT!$K$14:$K$17,AM8),
0)</f>
        <v>0</v>
      </c>
      <c r="AR8" s="28">
        <f>IF(AM8&lt;&gt;"",
    COUNTIFS(MATCH_INPUT!$F$14:$F$17, AM8, MATCH_INPUT!$K$14:$K$17, "Draw") +
    COUNTIFS(MATCH_INPUT!$J$14:$J$17, AM8, MATCH_INPUT!$K$14:$K$17, "Draw"),
0)</f>
        <v>1</v>
      </c>
      <c r="AS8" s="28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1</v>
      </c>
      <c r="AT8" s="29"/>
      <c r="AU8" s="29"/>
      <c r="AV8" s="20"/>
      <c r="AW8" s="30">
        <f t="shared" si="21"/>
        <v>19</v>
      </c>
      <c r="AX8" s="31" t="str">
        <f t="shared" si="22"/>
        <v>↓</v>
      </c>
      <c r="AY8" s="21" t="s">
        <v>142</v>
      </c>
      <c r="AZ8" s="32">
        <f t="shared" si="23"/>
        <v>22</v>
      </c>
      <c r="BA8" s="22">
        <f t="shared" si="24"/>
        <v>2</v>
      </c>
      <c r="BB8" s="22">
        <f>SUM(BC8*2) + (BD8*1) + SUMIFS(MATCH_INPUT!$G$18:$G$21, MATCH_INPUT!$F$18:$F$21, AY8) + SUMIFS(MATCH_INPUT!$I$18:$I$21, MATCH_INPUT!$J$18:$J$21, AY8)
</f>
        <v>5</v>
      </c>
      <c r="BC8" s="22">
        <f>IF(AY8&lt;&gt;"",
    COUNTIFS(MATCH_INPUT!$K$18:$K$21,AY8),
0)</f>
        <v>1</v>
      </c>
      <c r="BD8" s="22">
        <f>IF(AY8&lt;&gt;"",
    COUNTIFS(MATCH_INPUT!$F$18:$F$21, AY8, MATCH_INPUT!$K$18:$K$21, "Draw") +
    COUNTIFS(MATCH_INPUT!$J$18:$J$21, AY8, MATCH_INPUT!$K$18:$K$21, "Draw"),
0)</f>
        <v>0</v>
      </c>
      <c r="BE8" s="22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1</v>
      </c>
      <c r="BF8" s="23"/>
      <c r="BG8" s="23"/>
      <c r="BH8" s="33"/>
      <c r="BI8" s="25">
        <f t="shared" si="25"/>
        <v>17</v>
      </c>
      <c r="BJ8" s="26" t="str">
        <f t="shared" si="26"/>
        <v>↑</v>
      </c>
      <c r="BK8" s="27" t="s">
        <v>140</v>
      </c>
      <c r="BL8" s="28">
        <f t="shared" si="27"/>
        <v>28</v>
      </c>
      <c r="BM8" s="28">
        <f t="shared" si="28"/>
        <v>2</v>
      </c>
      <c r="BN8" s="28">
        <f>SUM(BO8*2) + (BP8*1) + SUMIFS(MATCH_INPUT!$G$22:$G$25, MATCH_INPUT!$F$22:$F$25, BK8) + SUMIFS(MATCH_INPUT!$I$22:$I$25, MATCH_INPUT!$J$22:$J$25, BK8)
</f>
        <v>4</v>
      </c>
      <c r="BO8" s="28">
        <f>IF(BK8&lt;&gt;"",
    COUNTIFS(MATCH_INPUT!$K$22:$K$25,BK8),
0)</f>
        <v>0</v>
      </c>
      <c r="BP8" s="28">
        <f>IF(BK8&lt;&gt;"",
    COUNTIFS(MATCH_INPUT!$F$22:$F$25, BK8, MATCH_INPUT!$K$22:$K$25, "Draw") +
    COUNTIFS(MATCH_INPUT!$J$22:$J$25, BK8, MATCH_INPUT!$K$22:$K$25, "Draw"),
0)</f>
        <v>2</v>
      </c>
      <c r="BQ8" s="28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0</v>
      </c>
      <c r="BR8" s="29"/>
      <c r="BS8" s="29"/>
      <c r="BT8" s="20"/>
      <c r="BU8" s="30">
        <f t="shared" si="29"/>
        <v>15</v>
      </c>
      <c r="BV8" s="31" t="str">
        <f t="shared" si="30"/>
        <v>↑</v>
      </c>
      <c r="BW8" s="21" t="s">
        <v>140</v>
      </c>
      <c r="BX8" s="32">
        <f t="shared" si="31"/>
        <v>33</v>
      </c>
      <c r="BY8" s="22">
        <f t="shared" si="32"/>
        <v>2</v>
      </c>
      <c r="BZ8" s="22">
        <f>SUM(CA8*2)+(CB8*1) + SUMIFS(MATCH_INPUT!$G$26:$G$29, MATCH_INPUT!$F$26:$F$29, BW8) + SUMIFS(MATCH_INPUT!$I$26:$I$29, MATCH_INPUT!$J$26:$J$29, BW8)
</f>
        <v>3</v>
      </c>
      <c r="CA8" s="22">
        <f>IF(BW8&lt;&gt;"",
    COUNTIFS(MATCH_INPUT!$K$26:$K$29,BW8),
0)</f>
        <v>0</v>
      </c>
      <c r="CB8" s="22">
        <f>IF(BW8&lt;&gt;"",
    COUNTIFS(MATCH_INPUT!$F$26:$F$29, BW8, MATCH_INPUT!$K$26:$K$29, "Draw") +
    COUNTIFS(MATCH_INPUT!$J$26:$J$29, BW8, MATCH_INPUT!$K$26:$K$29, "Draw"),
0)</f>
        <v>1</v>
      </c>
      <c r="CC8" s="22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1</v>
      </c>
      <c r="CD8" s="23"/>
      <c r="CE8" s="23"/>
      <c r="CF8" s="33"/>
      <c r="CG8" s="25">
        <f t="shared" si="33"/>
        <v>19</v>
      </c>
      <c r="CH8" s="26" t="str">
        <f t="shared" si="34"/>
        <v>↓</v>
      </c>
      <c r="CI8" s="27" t="s">
        <v>141</v>
      </c>
      <c r="CJ8" s="28">
        <f t="shared" si="35"/>
        <v>42</v>
      </c>
      <c r="CK8" s="28">
        <f t="shared" si="36"/>
        <v>2</v>
      </c>
      <c r="CL8" s="28">
        <f>SUM(CM8*2)+(CN8*1) + SUMIFS(MATCH_INPUT!$G$30:$G$33, MATCH_INPUT!$F$30:$F$33, CI8) + SUMIFS(MATCH_INPUT!$I$30:$I$33, MATCH_INPUT!$J$30:$J$33, CI8)
</f>
        <v>7</v>
      </c>
      <c r="CM8" s="28">
        <f>IF(CI8&lt;&gt;"",
    COUNTIFS(MATCH_INPUT!$K$30:$K$33,CI8),
0)</f>
        <v>2</v>
      </c>
      <c r="CN8" s="28">
        <f>IF(CI8&lt;&gt;"",
    COUNTIFS(MATCH_INPUT!$F$30:$F$33, CI8, MATCH_INPUT!$K$30:$K$33, "Draw") +
    COUNTIFS(MATCH_INPUT!$J$30:$J$33, CI8, MATCH_INPUT!$K$30:$K$33, "Draw"),
0)</f>
        <v>0</v>
      </c>
      <c r="CO8" s="28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0</v>
      </c>
      <c r="CP8" s="29"/>
      <c r="CQ8" s="29"/>
      <c r="CR8" s="20"/>
      <c r="CS8" s="34">
        <f t="shared" si="37"/>
        <v>6</v>
      </c>
      <c r="CT8" s="34" t="str">
        <f t="shared" si="38"/>
        <v>↑</v>
      </c>
      <c r="CU8" s="35">
        <f t="shared" si="39"/>
        <v>26</v>
      </c>
      <c r="CV8" s="35" t="str">
        <f t="shared" ref="CV8:CW8" si="51">A8</f>
        <v>🍀 </v>
      </c>
      <c r="CW8" s="36" t="str">
        <f t="shared" si="51"/>
        <v>Rodrigo</v>
      </c>
      <c r="CX8" s="36">
        <f t="shared" si="41"/>
        <v>42</v>
      </c>
      <c r="CY8" s="35">
        <f>SUM(
  IF(AND('MATCH DATES'!$A$2 &lt;= TODAY(), NOW() &gt;= 'MATCH DATES'!$A$2 + TIME(22, 0, 0)), E8, 0),
  IF(AND('MATCH DATES'!$A$3 &lt;= TODAY(), NOW() &gt;= 'MATCH DATES'!$A$3 + TIME(22, 0, 0)), Q8, 0),
  IF(AND('MATCH DATES'!$A$4 &lt;= TODAY(), NOW() &gt;= 'MATCH DATES'!$A$4 + TIME(22, 0, 0)), AC8, 0),
  IF(AND('MATCH DATES'!$A$5 &lt;= TODAY(), NOW() &gt;= 'MATCH DATES'!$A$5 + TIME(22, 0, 0)), AO8, 0),
  IF(AND('MATCH DATES'!$A$6 &lt;= TODAY(), NOW() &gt;= 'MATCH DATES'!$A$6 + TIME(22, 0, 0)), BA8, 0),
  IF(AND('MATCH DATES'!$A$7 &lt;= TODAY(), NOW() &gt;= 'MATCH DATES'!$A$7 + TIME(22, 0, 0)), BM8, 0),
  IF(AND('MATCH DATES'!$A$8 &lt;= TODAY(), NOW() &gt;= 'MATCH DATES'!$A$8 + TIME(22, 0, 0)), BY8, 0),
  IF(AND('MATCH DATES'!$A$9 &lt;= TODAY(), NOW() &gt;= 'MATCH DATES'!$A$9 + TIME(22, 0, 0)), CK8, 0)
)
</f>
        <v>16</v>
      </c>
      <c r="CZ8" s="36">
        <f t="shared" ref="CZ8:DA8" si="52">SUM(G8,S8,AE8,AQ8,BC8,BO8,CA8,CM8)</f>
        <v>5</v>
      </c>
      <c r="DA8" s="36">
        <f t="shared" si="52"/>
        <v>6</v>
      </c>
      <c r="DB8" s="36">
        <f>SUM(
  IF(AND('MATCH DATES'!$A$2 &lt;= TODAY(), NOW() &gt;= 'MATCH DATES'!$A$2 + TIME(22, 0, 0)), I8, 0),
  IF(AND('MATCH DATES'!$A$3 &lt;= TODAY(), NOW() &gt;= 'MATCH DATES'!$A$3 + TIME(22, 0, 0)), U8, 0),
  IF(AND('MATCH DATES'!$A$4 &lt;= TODAY(), NOW() &gt;= 'MATCH DATES'!$A$4 + TIME(22, 0, 0)), AG8, 0),
  IF(AND('MATCH DATES'!$A$5 &lt;= TODAY(), NOW() &gt;= 'MATCH DATES'!$A$5 + TIME(22, 0, 0)), AS8, 0),
  IF(AND('MATCH DATES'!$A$6 &lt;= TODAY(), NOW() &gt;= 'MATCH DATES'!$A$6 + TIME(22, 0, 0)), BE8, 0),
  IF(AND('MATCH DATES'!$A$7 &lt;= TODAY(), NOW() &gt;= 'MATCH DATES'!$A$7 + TIME(22, 0, 0)), BQ8, 0),
  IF(AND('MATCH DATES'!$A$8 &lt;= TODAY(), NOW() &gt;= 'MATCH DATES'!$A$8 + TIME(22, 0, 0)), CC8, 0),
  IF(AND('MATCH DATES'!$A$9 &lt;= TODAY(), NOW() &gt;= 'MATCH DATES'!$A$9 + TIME(22, 0, 0)), CO8, 0)
)</f>
        <v>5</v>
      </c>
      <c r="DD8" s="36">
        <f t="shared" si="43"/>
        <v>0</v>
      </c>
      <c r="DF8" s="36">
        <f t="shared" si="44"/>
        <v>0</v>
      </c>
    </row>
    <row r="9" ht="24.75" customHeight="1">
      <c r="A9" s="19" t="s">
        <v>137</v>
      </c>
      <c r="B9" s="20" t="s">
        <v>148</v>
      </c>
      <c r="C9" s="21" t="s">
        <v>139</v>
      </c>
      <c r="D9" s="22">
        <f t="shared" si="3"/>
        <v>6</v>
      </c>
      <c r="E9" s="22">
        <f t="shared" si="4"/>
        <v>2</v>
      </c>
      <c r="F9" s="22">
        <f t="shared" si="5"/>
        <v>4</v>
      </c>
      <c r="G9" s="22">
        <f>IF(C9&lt;&gt;"",
    COUNTIFS(MATCH_INPUT!$K$2:$K$5,C9),
0)</f>
        <v>2</v>
      </c>
      <c r="H9" s="22">
        <f>IF(C9&lt;&gt;"",
    COUNTIFS(MATCH_INPUT!$F$2:$F$5, C9, MATCH_INPUT!$K$2:$K$5, "Draw") +
    COUNTIFS(MATCH_INPUT!$J$2:$J$5, C9, MATCH_INPUT!$K$2:$K$5, "Draw"),
0)</f>
        <v>0</v>
      </c>
      <c r="I9" s="22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0</v>
      </c>
      <c r="J9" s="23"/>
      <c r="K9" s="23"/>
      <c r="L9" s="24"/>
      <c r="M9" s="25">
        <f t="shared" si="6"/>
        <v>2</v>
      </c>
      <c r="N9" s="26" t="str">
        <f t="shared" si="7"/>
        <v>↓</v>
      </c>
      <c r="O9" s="27" t="s">
        <v>140</v>
      </c>
      <c r="P9" s="28">
        <f t="shared" si="8"/>
        <v>9</v>
      </c>
      <c r="Q9" s="28">
        <f t="shared" si="9"/>
        <v>2</v>
      </c>
      <c r="R9" s="28">
        <f t="shared" si="10"/>
        <v>1</v>
      </c>
      <c r="S9" s="28">
        <f>IF(O9&lt;&gt;"",
    COUNTIFS(MATCH_INPUT!$K$6:$K$9,O9),
0)</f>
        <v>0</v>
      </c>
      <c r="T9" s="28">
        <f>IF(O9&lt;&gt;"",
    COUNTIFS(MATCH_INPUT!$F$6:$F$9, O9, MATCH_INPUT!$K$6:$K$9, "Draw") +
    COUNTIFS(MATCH_INPUT!$J$6:$J$9, O9, MATCH_INPUT!$K$6:$K$9, "Draw"),
0)</f>
        <v>1</v>
      </c>
      <c r="U9" s="28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1</v>
      </c>
      <c r="V9" s="29"/>
      <c r="W9" s="29"/>
      <c r="X9" s="20"/>
      <c r="Y9" s="30">
        <f t="shared" si="11"/>
        <v>10</v>
      </c>
      <c r="Z9" s="31" t="str">
        <f t="shared" si="12"/>
        <v>↓</v>
      </c>
      <c r="AA9" s="21" t="s">
        <v>139</v>
      </c>
      <c r="AB9" s="32">
        <f t="shared" si="13"/>
        <v>13</v>
      </c>
      <c r="AC9" s="22">
        <f t="shared" si="14"/>
        <v>2</v>
      </c>
      <c r="AD9" s="22">
        <f t="shared" si="15"/>
        <v>2</v>
      </c>
      <c r="AE9" s="22">
        <f>IF(AA9&lt;&gt;"",
    COUNTIFS(MATCH_INPUT!$K$10:$K$13,AA9),
0)</f>
        <v>0</v>
      </c>
      <c r="AF9" s="22">
        <f>IF(AA9&lt;&gt;"",
    COUNTIFS(MATCH_INPUT!$F$10:$F$13, AA9, MATCH_INPUT!$K$10:$K$13, "Draw") +
    COUNTIFS(MATCH_INPUT!$J$10:$J$13, AA9, MATCH_INPUT!$K$10:$K$13, "Draw"),
0)</f>
        <v>2</v>
      </c>
      <c r="AG9" s="22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0</v>
      </c>
      <c r="AH9" s="23">
        <v>2.0</v>
      </c>
      <c r="AI9" s="23"/>
      <c r="AJ9" s="33"/>
      <c r="AK9" s="25">
        <f t="shared" si="16"/>
        <v>9</v>
      </c>
      <c r="AL9" s="26" t="str">
        <f t="shared" si="17"/>
        <v>↑</v>
      </c>
      <c r="AM9" s="27" t="s">
        <v>141</v>
      </c>
      <c r="AN9" s="28">
        <f t="shared" si="18"/>
        <v>17</v>
      </c>
      <c r="AO9" s="28">
        <f t="shared" si="19"/>
        <v>2</v>
      </c>
      <c r="AP9" s="28">
        <f t="shared" si="20"/>
        <v>2</v>
      </c>
      <c r="AQ9" s="28">
        <f>IF(AM9&lt;&gt;"",
    COUNTIFS(MATCH_INPUT!$K$14:$K$17,AM9),
0)</f>
        <v>0</v>
      </c>
      <c r="AR9" s="28">
        <f>IF(AM9&lt;&gt;"",
    COUNTIFS(MATCH_INPUT!$F$14:$F$17, AM9, MATCH_INPUT!$K$14:$K$17, "Draw") +
    COUNTIFS(MATCH_INPUT!$J$14:$J$17, AM9, MATCH_INPUT!$K$14:$K$17, "Draw"),
0)</f>
        <v>2</v>
      </c>
      <c r="AS9" s="28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0</v>
      </c>
      <c r="AT9" s="29"/>
      <c r="AU9" s="29"/>
      <c r="AV9" s="20"/>
      <c r="AW9" s="30">
        <f t="shared" si="21"/>
        <v>9</v>
      </c>
      <c r="AX9" s="31" t="str">
        <f t="shared" si="22"/>
        <v>=</v>
      </c>
      <c r="AY9" s="21" t="s">
        <v>139</v>
      </c>
      <c r="AZ9" s="32">
        <f t="shared" si="23"/>
        <v>24</v>
      </c>
      <c r="BA9" s="22">
        <f t="shared" si="24"/>
        <v>2</v>
      </c>
      <c r="BB9" s="22">
        <f>SUM(BC9*2) + (BD9*1) + SUMIFS(MATCH_INPUT!$G$18:$G$21, MATCH_INPUT!$F$18:$F$21, AY9) + SUMIFS(MATCH_INPUT!$I$18:$I$21, MATCH_INPUT!$J$18:$J$21, AY9)
</f>
        <v>5</v>
      </c>
      <c r="BC9" s="22">
        <f>IF(AY9&lt;&gt;"",
    COUNTIFS(MATCH_INPUT!$K$18:$K$21,AY9),
0)</f>
        <v>0</v>
      </c>
      <c r="BD9" s="22">
        <f>IF(AY9&lt;&gt;"",
    COUNTIFS(MATCH_INPUT!$F$18:$F$21, AY9, MATCH_INPUT!$K$18:$K$21, "Draw") +
    COUNTIFS(MATCH_INPUT!$J$18:$J$21, AY9, MATCH_INPUT!$K$18:$K$21, "Draw"),
0)</f>
        <v>1</v>
      </c>
      <c r="BE9" s="22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1</v>
      </c>
      <c r="BF9" s="23">
        <v>1.0</v>
      </c>
      <c r="BG9" s="23"/>
      <c r="BH9" s="33"/>
      <c r="BI9" s="25">
        <f t="shared" si="25"/>
        <v>11</v>
      </c>
      <c r="BJ9" s="26" t="str">
        <f t="shared" si="26"/>
        <v>↓</v>
      </c>
      <c r="BK9" s="27" t="s">
        <v>142</v>
      </c>
      <c r="BL9" s="28">
        <f t="shared" si="27"/>
        <v>31</v>
      </c>
      <c r="BM9" s="28">
        <f t="shared" si="28"/>
        <v>2</v>
      </c>
      <c r="BN9" s="28">
        <f>SUM(BO9*2) + (BP9*1) + SUMIFS(MATCH_INPUT!$G$22:$G$25, MATCH_INPUT!$F$22:$F$25, BK9) + SUMIFS(MATCH_INPUT!$I$22:$I$25, MATCH_INPUT!$J$22:$J$25, BK9)
</f>
        <v>5</v>
      </c>
      <c r="BO9" s="28">
        <f>IF(BK9&lt;&gt;"",
    COUNTIFS(MATCH_INPUT!$K$22:$K$25,BK9),
0)</f>
        <v>1</v>
      </c>
      <c r="BP9" s="28">
        <f>IF(BK9&lt;&gt;"",
    COUNTIFS(MATCH_INPUT!$F$22:$F$25, BK9, MATCH_INPUT!$K$22:$K$25, "Draw") +
    COUNTIFS(MATCH_INPUT!$J$22:$J$25, BK9, MATCH_INPUT!$K$22:$K$25, "Draw"),
0)</f>
        <v>1</v>
      </c>
      <c r="BQ9" s="28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0</v>
      </c>
      <c r="BR9" s="29"/>
      <c r="BS9" s="29"/>
      <c r="BT9" s="20"/>
      <c r="BU9" s="30">
        <f t="shared" si="29"/>
        <v>8</v>
      </c>
      <c r="BV9" s="31" t="str">
        <f t="shared" si="30"/>
        <v>↑</v>
      </c>
      <c r="BW9" s="21" t="s">
        <v>140</v>
      </c>
      <c r="BX9" s="32">
        <f t="shared" si="31"/>
        <v>36</v>
      </c>
      <c r="BY9" s="22">
        <f t="shared" si="32"/>
        <v>2</v>
      </c>
      <c r="BZ9" s="22">
        <f>SUM(CA9*2)+(CB9*1) + SUMIFS(MATCH_INPUT!$G$26:$G$29, MATCH_INPUT!$F$26:$F$29, BW9) + SUMIFS(MATCH_INPUT!$I$26:$I$29, MATCH_INPUT!$J$26:$J$29, BW9)
</f>
        <v>3</v>
      </c>
      <c r="CA9" s="22">
        <f>IF(BW9&lt;&gt;"",
    COUNTIFS(MATCH_INPUT!$K$26:$K$29,BW9),
0)</f>
        <v>0</v>
      </c>
      <c r="CB9" s="22">
        <f>IF(BW9&lt;&gt;"",
    COUNTIFS(MATCH_INPUT!$F$26:$F$29, BW9, MATCH_INPUT!$K$26:$K$29, "Draw") +
    COUNTIFS(MATCH_INPUT!$J$26:$J$29, BW9, MATCH_INPUT!$K$26:$K$29, "Draw"),
0)</f>
        <v>1</v>
      </c>
      <c r="CC9" s="22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1</v>
      </c>
      <c r="CD9" s="23"/>
      <c r="CE9" s="23"/>
      <c r="CF9" s="33"/>
      <c r="CG9" s="25">
        <f t="shared" si="33"/>
        <v>10</v>
      </c>
      <c r="CH9" s="26" t="str">
        <f t="shared" si="34"/>
        <v>↓</v>
      </c>
      <c r="CI9" s="27" t="s">
        <v>142</v>
      </c>
      <c r="CJ9" s="28">
        <f t="shared" si="35"/>
        <v>42</v>
      </c>
      <c r="CK9" s="28">
        <f t="shared" si="36"/>
        <v>2</v>
      </c>
      <c r="CL9" s="28">
        <f>SUM(CM9*2)+(CN9*1) + SUMIFS(MATCH_INPUT!$G$30:$G$33, MATCH_INPUT!$F$30:$F$33, CI9) + SUMIFS(MATCH_INPUT!$I$30:$I$33, MATCH_INPUT!$J$30:$J$33, CI9)
</f>
        <v>4</v>
      </c>
      <c r="CM9" s="28">
        <f>IF(CI9&lt;&gt;"",
    COUNTIFS(MATCH_INPUT!$K$30:$K$33,CI9),
0)</f>
        <v>1</v>
      </c>
      <c r="CN9" s="28">
        <f>IF(CI9&lt;&gt;"",
    COUNTIFS(MATCH_INPUT!$F$30:$F$33, CI9, MATCH_INPUT!$K$30:$K$33, "Draw") +
    COUNTIFS(MATCH_INPUT!$J$30:$J$33, CI9, MATCH_INPUT!$K$30:$K$33, "Draw"),
0)</f>
        <v>0</v>
      </c>
      <c r="CO9" s="28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1</v>
      </c>
      <c r="CP9" s="29"/>
      <c r="CQ9" s="29"/>
      <c r="CR9" s="20"/>
      <c r="CS9" s="34">
        <f t="shared" si="37"/>
        <v>6</v>
      </c>
      <c r="CT9" s="34" t="str">
        <f t="shared" si="38"/>
        <v>↑</v>
      </c>
      <c r="CU9" s="35">
        <f t="shared" si="39"/>
        <v>26</v>
      </c>
      <c r="CV9" s="35" t="str">
        <f t="shared" ref="CV9:CW9" si="53">A9</f>
        <v>🍀 </v>
      </c>
      <c r="CW9" s="36" t="str">
        <f t="shared" si="53"/>
        <v>Javier</v>
      </c>
      <c r="CX9" s="36">
        <f t="shared" si="41"/>
        <v>42</v>
      </c>
      <c r="CY9" s="35">
        <f>SUM(
  IF(AND('MATCH DATES'!$A$2 &lt;= TODAY(), NOW() &gt;= 'MATCH DATES'!$A$2 + TIME(22, 0, 0)), E9, 0),
  IF(AND('MATCH DATES'!$A$3 &lt;= TODAY(), NOW() &gt;= 'MATCH DATES'!$A$3 + TIME(22, 0, 0)), Q9, 0),
  IF(AND('MATCH DATES'!$A$4 &lt;= TODAY(), NOW() &gt;= 'MATCH DATES'!$A$4 + TIME(22, 0, 0)), AC9, 0),
  IF(AND('MATCH DATES'!$A$5 &lt;= TODAY(), NOW() &gt;= 'MATCH DATES'!$A$5 + TIME(22, 0, 0)), AO9, 0),
  IF(AND('MATCH DATES'!$A$6 &lt;= TODAY(), NOW() &gt;= 'MATCH DATES'!$A$6 + TIME(22, 0, 0)), BA9, 0),
  IF(AND('MATCH DATES'!$A$7 &lt;= TODAY(), NOW() &gt;= 'MATCH DATES'!$A$7 + TIME(22, 0, 0)), BM9, 0),
  IF(AND('MATCH DATES'!$A$8 &lt;= TODAY(), NOW() &gt;= 'MATCH DATES'!$A$8 + TIME(22, 0, 0)), BY9, 0),
  IF(AND('MATCH DATES'!$A$9 &lt;= TODAY(), NOW() &gt;= 'MATCH DATES'!$A$9 + TIME(22, 0, 0)), CK9, 0)
)
</f>
        <v>16</v>
      </c>
      <c r="CZ9" s="36">
        <f t="shared" ref="CZ9:DA9" si="54">SUM(G9,S9,AE9,AQ9,BC9,BO9,CA9,CM9)</f>
        <v>4</v>
      </c>
      <c r="DA9" s="36">
        <f t="shared" si="54"/>
        <v>8</v>
      </c>
      <c r="DB9" s="36">
        <f>SUM(
  IF(AND('MATCH DATES'!$A$2 &lt;= TODAY(), NOW() &gt;= 'MATCH DATES'!$A$2 + TIME(22, 0, 0)), I9, 0),
  IF(AND('MATCH DATES'!$A$3 &lt;= TODAY(), NOW() &gt;= 'MATCH DATES'!$A$3 + TIME(22, 0, 0)), U9, 0),
  IF(AND('MATCH DATES'!$A$4 &lt;= TODAY(), NOW() &gt;= 'MATCH DATES'!$A$4 + TIME(22, 0, 0)), AG9, 0),
  IF(AND('MATCH DATES'!$A$5 &lt;= TODAY(), NOW() &gt;= 'MATCH DATES'!$A$5 + TIME(22, 0, 0)), AS9, 0),
  IF(AND('MATCH DATES'!$A$6 &lt;= TODAY(), NOW() &gt;= 'MATCH DATES'!$A$6 + TIME(22, 0, 0)), BE9, 0),
  IF(AND('MATCH DATES'!$A$7 &lt;= TODAY(), NOW() &gt;= 'MATCH DATES'!$A$7 + TIME(22, 0, 0)), BQ9, 0),
  IF(AND('MATCH DATES'!$A$8 &lt;= TODAY(), NOW() &gt;= 'MATCH DATES'!$A$8 + TIME(22, 0, 0)), CC9, 0),
  IF(AND('MATCH DATES'!$A$9 &lt;= TODAY(), NOW() &gt;= 'MATCH DATES'!$A$9 + TIME(22, 0, 0)), CO9, 0)
)</f>
        <v>4</v>
      </c>
      <c r="DD9" s="36">
        <f t="shared" si="43"/>
        <v>0</v>
      </c>
      <c r="DF9" s="36">
        <f t="shared" si="44"/>
        <v>0</v>
      </c>
    </row>
    <row r="10" ht="24.75" customHeight="1">
      <c r="A10" s="19" t="s">
        <v>137</v>
      </c>
      <c r="B10" s="20" t="s">
        <v>149</v>
      </c>
      <c r="C10" s="21" t="s">
        <v>141</v>
      </c>
      <c r="D10" s="22">
        <f t="shared" si="3"/>
        <v>4</v>
      </c>
      <c r="E10" s="22">
        <f t="shared" si="4"/>
        <v>2</v>
      </c>
      <c r="F10" s="22">
        <f t="shared" si="5"/>
        <v>2</v>
      </c>
      <c r="G10" s="22">
        <f>IF(C10&lt;&gt;"",
    COUNTIFS(MATCH_INPUT!$K$2:$K$5,C10),
0)</f>
        <v>1</v>
      </c>
      <c r="H10" s="22">
        <f>IF(C10&lt;&gt;"",
    COUNTIFS(MATCH_INPUT!$F$2:$F$5, C10, MATCH_INPUT!$K$2:$K$5, "Draw") +
    COUNTIFS(MATCH_INPUT!$J$2:$J$5, C10, MATCH_INPUT!$K$2:$K$5, "Draw"),
0)</f>
        <v>0</v>
      </c>
      <c r="I10" s="22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1</v>
      </c>
      <c r="J10" s="23">
        <v>1.0</v>
      </c>
      <c r="K10" s="23"/>
      <c r="L10" s="24"/>
      <c r="M10" s="25">
        <f t="shared" si="6"/>
        <v>11</v>
      </c>
      <c r="N10" s="26" t="str">
        <f t="shared" si="7"/>
        <v>↓</v>
      </c>
      <c r="O10" s="27" t="s">
        <v>139</v>
      </c>
      <c r="P10" s="28">
        <f t="shared" si="8"/>
        <v>9</v>
      </c>
      <c r="Q10" s="28">
        <f t="shared" si="9"/>
        <v>2</v>
      </c>
      <c r="R10" s="28">
        <f t="shared" si="10"/>
        <v>3</v>
      </c>
      <c r="S10" s="28">
        <f>IF(O10&lt;&gt;"",
    COUNTIFS(MATCH_INPUT!$K$6:$K$9,O10),
0)</f>
        <v>1</v>
      </c>
      <c r="T10" s="28">
        <f>IF(O10&lt;&gt;"",
    COUNTIFS(MATCH_INPUT!$F$6:$F$9, O10, MATCH_INPUT!$K$6:$K$9, "Draw") +
    COUNTIFS(MATCH_INPUT!$J$6:$J$9, O10, MATCH_INPUT!$K$6:$K$9, "Draw"),
0)</f>
        <v>1</v>
      </c>
      <c r="U10" s="28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0</v>
      </c>
      <c r="V10" s="29">
        <v>1.0</v>
      </c>
      <c r="W10" s="29"/>
      <c r="X10" s="20"/>
      <c r="Y10" s="30">
        <f t="shared" si="11"/>
        <v>10</v>
      </c>
      <c r="Z10" s="31" t="str">
        <f t="shared" si="12"/>
        <v>↑</v>
      </c>
      <c r="AA10" s="21" t="s">
        <v>142</v>
      </c>
      <c r="AB10" s="32">
        <f t="shared" si="13"/>
        <v>13</v>
      </c>
      <c r="AC10" s="22">
        <f t="shared" si="14"/>
        <v>2</v>
      </c>
      <c r="AD10" s="22">
        <f t="shared" si="15"/>
        <v>2</v>
      </c>
      <c r="AE10" s="22">
        <f>IF(AA10&lt;&gt;"",
    COUNTIFS(MATCH_INPUT!$K$10:$K$13,AA10),
0)</f>
        <v>0</v>
      </c>
      <c r="AF10" s="22">
        <f>IF(AA10&lt;&gt;"",
    COUNTIFS(MATCH_INPUT!$F$10:$F$13, AA10, MATCH_INPUT!$K$10:$K$13, "Draw") +
    COUNTIFS(MATCH_INPUT!$J$10:$J$13, AA10, MATCH_INPUT!$K$10:$K$13, "Draw"),
0)</f>
        <v>2</v>
      </c>
      <c r="AG10" s="22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0</v>
      </c>
      <c r="AH10" s="23">
        <v>2.0</v>
      </c>
      <c r="AI10" s="23"/>
      <c r="AJ10" s="33"/>
      <c r="AK10" s="25">
        <f t="shared" si="16"/>
        <v>9</v>
      </c>
      <c r="AL10" s="26" t="str">
        <f t="shared" si="17"/>
        <v>↑</v>
      </c>
      <c r="AM10" s="27" t="s">
        <v>139</v>
      </c>
      <c r="AN10" s="28">
        <f t="shared" si="18"/>
        <v>16</v>
      </c>
      <c r="AO10" s="28">
        <f t="shared" si="19"/>
        <v>2</v>
      </c>
      <c r="AP10" s="28">
        <f t="shared" si="20"/>
        <v>1</v>
      </c>
      <c r="AQ10" s="28">
        <f>IF(AM10&lt;&gt;"",
    COUNTIFS(MATCH_INPUT!$K$14:$K$17,AM10),
0)</f>
        <v>0</v>
      </c>
      <c r="AR10" s="28">
        <f>IF(AM10&lt;&gt;"",
    COUNTIFS(MATCH_INPUT!$F$14:$F$17, AM10, MATCH_INPUT!$K$14:$K$17, "Draw") +
    COUNTIFS(MATCH_INPUT!$J$14:$J$17, AM10, MATCH_INPUT!$K$14:$K$17, "Draw"),
0)</f>
        <v>1</v>
      </c>
      <c r="AS10" s="28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1</v>
      </c>
      <c r="AT10" s="29"/>
      <c r="AU10" s="29"/>
      <c r="AV10" s="20"/>
      <c r="AW10" s="30">
        <f t="shared" si="21"/>
        <v>15</v>
      </c>
      <c r="AX10" s="31" t="str">
        <f t="shared" si="22"/>
        <v>↓</v>
      </c>
      <c r="AY10" s="21" t="s">
        <v>141</v>
      </c>
      <c r="AZ10" s="32">
        <f t="shared" si="23"/>
        <v>28</v>
      </c>
      <c r="BA10" s="22">
        <f t="shared" si="24"/>
        <v>2</v>
      </c>
      <c r="BB10" s="22">
        <f>SUM(BC10*2) + (BD10*1) + SUMIFS(MATCH_INPUT!$G$18:$G$21, MATCH_INPUT!$F$18:$F$21, AY10) + SUMIFS(MATCH_INPUT!$I$18:$I$21, MATCH_INPUT!$J$18:$J$21, AY10)
</f>
        <v>10</v>
      </c>
      <c r="BC10" s="22">
        <f>IF(AY10&lt;&gt;"",
    COUNTIFS(MATCH_INPUT!$K$18:$K$21,AY10),
0)</f>
        <v>2</v>
      </c>
      <c r="BD10" s="22">
        <f>IF(AY10&lt;&gt;"",
    COUNTIFS(MATCH_INPUT!$F$18:$F$21, AY10, MATCH_INPUT!$K$18:$K$21, "Draw") +
    COUNTIFS(MATCH_INPUT!$J$18:$J$21, AY10, MATCH_INPUT!$K$18:$K$21, "Draw"),
0)</f>
        <v>0</v>
      </c>
      <c r="BE10" s="22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0</v>
      </c>
      <c r="BF10" s="23">
        <v>1.0</v>
      </c>
      <c r="BG10" s="23"/>
      <c r="BH10" s="33"/>
      <c r="BI10" s="25">
        <f t="shared" si="25"/>
        <v>4</v>
      </c>
      <c r="BJ10" s="26" t="str">
        <f t="shared" si="26"/>
        <v>↑</v>
      </c>
      <c r="BK10" s="27" t="s">
        <v>142</v>
      </c>
      <c r="BL10" s="28">
        <f t="shared" si="27"/>
        <v>35</v>
      </c>
      <c r="BM10" s="28">
        <f t="shared" si="28"/>
        <v>2</v>
      </c>
      <c r="BN10" s="28">
        <f>SUM(BO10*2) + (BP10*1) + SUMIFS(MATCH_INPUT!$G$22:$G$25, MATCH_INPUT!$F$22:$F$25, BK10) + SUMIFS(MATCH_INPUT!$I$22:$I$25, MATCH_INPUT!$J$22:$J$25, BK10)
</f>
        <v>5</v>
      </c>
      <c r="BO10" s="28">
        <f>IF(BK10&lt;&gt;"",
    COUNTIFS(MATCH_INPUT!$K$22:$K$25,BK10),
0)</f>
        <v>1</v>
      </c>
      <c r="BP10" s="28">
        <f>IF(BK10&lt;&gt;"",
    COUNTIFS(MATCH_INPUT!$F$22:$F$25, BK10, MATCH_INPUT!$K$22:$K$25, "Draw") +
    COUNTIFS(MATCH_INPUT!$J$22:$J$25, BK10, MATCH_INPUT!$K$22:$K$25, "Draw"),
0)</f>
        <v>1</v>
      </c>
      <c r="BQ10" s="28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0</v>
      </c>
      <c r="BR10" s="29"/>
      <c r="BS10" s="29"/>
      <c r="BT10" s="20"/>
      <c r="BU10" s="30">
        <f t="shared" si="29"/>
        <v>4</v>
      </c>
      <c r="BV10" s="31" t="str">
        <f t="shared" si="30"/>
        <v>=</v>
      </c>
      <c r="BW10" s="21" t="s">
        <v>139</v>
      </c>
      <c r="BX10" s="32">
        <f t="shared" si="31"/>
        <v>42</v>
      </c>
      <c r="BY10" s="22">
        <f t="shared" si="32"/>
        <v>2</v>
      </c>
      <c r="BZ10" s="22">
        <f>SUM(CA10*2)+(CB10*1) + SUMIFS(MATCH_INPUT!$G$26:$G$29, MATCH_INPUT!$F$26:$F$29, BW10) + SUMIFS(MATCH_INPUT!$I$26:$I$29, MATCH_INPUT!$J$26:$J$29, BW10)
</f>
        <v>5</v>
      </c>
      <c r="CA10" s="22">
        <f>IF(BW10&lt;&gt;"",
    COUNTIFS(MATCH_INPUT!$K$26:$K$29,BW10),
0)</f>
        <v>1</v>
      </c>
      <c r="CB10" s="22">
        <f>IF(BW10&lt;&gt;"",
    COUNTIFS(MATCH_INPUT!$F$26:$F$29, BW10, MATCH_INPUT!$K$26:$K$29, "Draw") +
    COUNTIFS(MATCH_INPUT!$J$26:$J$29, BW10, MATCH_INPUT!$K$26:$K$29, "Draw"),
0)</f>
        <v>0</v>
      </c>
      <c r="CC10" s="22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1</v>
      </c>
      <c r="CD10" s="23">
        <v>1.0</v>
      </c>
      <c r="CE10" s="23"/>
      <c r="CF10" s="33"/>
      <c r="CG10" s="25">
        <f t="shared" si="33"/>
        <v>2</v>
      </c>
      <c r="CH10" s="26" t="str">
        <f t="shared" si="34"/>
        <v>↑</v>
      </c>
      <c r="CI10" s="27"/>
      <c r="CJ10" s="28">
        <f t="shared" si="35"/>
        <v>42</v>
      </c>
      <c r="CK10" s="28">
        <f t="shared" si="36"/>
        <v>0</v>
      </c>
      <c r="CL10" s="28">
        <f>SUM(CM10*2)+(CN10*1) + SUMIFS(MATCH_INPUT!$G$30:$G$33, MATCH_INPUT!$F$30:$F$33, CI10) + SUMIFS(MATCH_INPUT!$I$30:$I$33, MATCH_INPUT!$J$30:$J$33, CI10)
</f>
        <v>0</v>
      </c>
      <c r="CM10" s="28">
        <f>IF(CI10&lt;&gt;"",
    COUNTIFS(MATCH_INPUT!$K$30:$K$33,CI10),
0)</f>
        <v>0</v>
      </c>
      <c r="CN10" s="28">
        <f>IF(CI10&lt;&gt;"",
    COUNTIFS(MATCH_INPUT!$F$30:$F$33, CI10, MATCH_INPUT!$K$30:$K$33, "Draw") +
    COUNTIFS(MATCH_INPUT!$J$30:$J$33, CI10, MATCH_INPUT!$K$30:$K$33, "Draw"),
0)</f>
        <v>0</v>
      </c>
      <c r="CO10" s="28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29"/>
      <c r="CQ10" s="29"/>
      <c r="CR10" s="20"/>
      <c r="CS10" s="34">
        <f t="shared" si="37"/>
        <v>6</v>
      </c>
      <c r="CT10" s="34" t="str">
        <f t="shared" si="38"/>
        <v>↓</v>
      </c>
      <c r="CU10" s="35">
        <f t="shared" si="39"/>
        <v>28</v>
      </c>
      <c r="CV10" s="35" t="str">
        <f t="shared" ref="CV10:CW10" si="55">A10</f>
        <v>🍀 </v>
      </c>
      <c r="CW10" s="36" t="str">
        <f t="shared" si="55"/>
        <v>Valencia</v>
      </c>
      <c r="CX10" s="36">
        <f t="shared" si="41"/>
        <v>42</v>
      </c>
      <c r="CY10" s="35">
        <f>SUM(
  IF(AND('MATCH DATES'!$A$2 &lt;= TODAY(), NOW() &gt;= 'MATCH DATES'!$A$2 + TIME(22, 0, 0)), E10, 0),
  IF(AND('MATCH DATES'!$A$3 &lt;= TODAY(), NOW() &gt;= 'MATCH DATES'!$A$3 + TIME(22, 0, 0)), Q10, 0),
  IF(AND('MATCH DATES'!$A$4 &lt;= TODAY(), NOW() &gt;= 'MATCH DATES'!$A$4 + TIME(22, 0, 0)), AC10, 0),
  IF(AND('MATCH DATES'!$A$5 &lt;= TODAY(), NOW() &gt;= 'MATCH DATES'!$A$5 + TIME(22, 0, 0)), AO10, 0),
  IF(AND('MATCH DATES'!$A$6 &lt;= TODAY(), NOW() &gt;= 'MATCH DATES'!$A$6 + TIME(22, 0, 0)), BA10, 0),
  IF(AND('MATCH DATES'!$A$7 &lt;= TODAY(), NOW() &gt;= 'MATCH DATES'!$A$7 + TIME(22, 0, 0)), BM10, 0),
  IF(AND('MATCH DATES'!$A$8 &lt;= TODAY(), NOW() &gt;= 'MATCH DATES'!$A$8 + TIME(22, 0, 0)), BY10, 0),
  IF(AND('MATCH DATES'!$A$9 &lt;= TODAY(), NOW() &gt;= 'MATCH DATES'!$A$9 + TIME(22, 0, 0)), CK10, 0)
)
</f>
        <v>14</v>
      </c>
      <c r="CZ10" s="36">
        <f t="shared" ref="CZ10:DA10" si="56">SUM(G10,S10,AE10,AQ10,BC10,BO10,CA10,CM10)</f>
        <v>6</v>
      </c>
      <c r="DA10" s="36">
        <f t="shared" si="56"/>
        <v>5</v>
      </c>
      <c r="DB10" s="36">
        <f>SUM(
  IF(AND('MATCH DATES'!$A$2 &lt;= TODAY(), NOW() &gt;= 'MATCH DATES'!$A$2 + TIME(22, 0, 0)), I10, 0),
  IF(AND('MATCH DATES'!$A$3 &lt;= TODAY(), NOW() &gt;= 'MATCH DATES'!$A$3 + TIME(22, 0, 0)), U10, 0),
  IF(AND('MATCH DATES'!$A$4 &lt;= TODAY(), NOW() &gt;= 'MATCH DATES'!$A$4 + TIME(22, 0, 0)), AG10, 0),
  IF(AND('MATCH DATES'!$A$5 &lt;= TODAY(), NOW() &gt;= 'MATCH DATES'!$A$5 + TIME(22, 0, 0)), AS10, 0),
  IF(AND('MATCH DATES'!$A$6 &lt;= TODAY(), NOW() &gt;= 'MATCH DATES'!$A$6 + TIME(22, 0, 0)), BE10, 0),
  IF(AND('MATCH DATES'!$A$7 &lt;= TODAY(), NOW() &gt;= 'MATCH DATES'!$A$7 + TIME(22, 0, 0)), BQ10, 0),
  IF(AND('MATCH DATES'!$A$8 &lt;= TODAY(), NOW() &gt;= 'MATCH DATES'!$A$8 + TIME(22, 0, 0)), CC10, 0),
  IF(AND('MATCH DATES'!$A$9 &lt;= TODAY(), NOW() &gt;= 'MATCH DATES'!$A$9 + TIME(22, 0, 0)), CO10, 0)
)</f>
        <v>3</v>
      </c>
      <c r="DD10" s="36">
        <f t="shared" si="43"/>
        <v>0</v>
      </c>
      <c r="DF10" s="36">
        <f t="shared" si="44"/>
        <v>0</v>
      </c>
    </row>
    <row r="11" ht="24.75" customHeight="1">
      <c r="A11" s="19" t="s">
        <v>137</v>
      </c>
      <c r="B11" s="20" t="s">
        <v>150</v>
      </c>
      <c r="C11" s="21"/>
      <c r="D11" s="22">
        <f t="shared" si="3"/>
        <v>0</v>
      </c>
      <c r="E11" s="22">
        <f t="shared" si="4"/>
        <v>0</v>
      </c>
      <c r="F11" s="22">
        <f t="shared" si="5"/>
        <v>0</v>
      </c>
      <c r="G11" s="22">
        <f>IF(C11&lt;&gt;"",
    COUNTIFS(MATCH_INPUT!$K$2:$K$5,C11),
0)</f>
        <v>0</v>
      </c>
      <c r="H11" s="22">
        <f>IF(C11&lt;&gt;"",
    COUNTIFS(MATCH_INPUT!$F$2:$F$5, C11, MATCH_INPUT!$K$2:$K$5, "Draw") +
    COUNTIFS(MATCH_INPUT!$J$2:$J$5, C11, MATCH_INPUT!$K$2:$K$5, "Draw"),
0)</f>
        <v>0</v>
      </c>
      <c r="I11" s="22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0</v>
      </c>
      <c r="J11" s="23"/>
      <c r="K11" s="23"/>
      <c r="L11" s="24"/>
      <c r="M11" s="25">
        <f t="shared" si="6"/>
        <v>35</v>
      </c>
      <c r="N11" s="26" t="str">
        <f t="shared" si="7"/>
        <v>↓</v>
      </c>
      <c r="O11" s="27"/>
      <c r="P11" s="28">
        <f t="shared" si="8"/>
        <v>0</v>
      </c>
      <c r="Q11" s="28">
        <f t="shared" si="9"/>
        <v>0</v>
      </c>
      <c r="R11" s="28">
        <f t="shared" si="10"/>
        <v>0</v>
      </c>
      <c r="S11" s="28">
        <f>IF(O11&lt;&gt;"",
    COUNTIFS(MATCH_INPUT!$K$6:$K$9,O11),
0)</f>
        <v>0</v>
      </c>
      <c r="T11" s="28">
        <f>IF(O11&lt;&gt;"",
    COUNTIFS(MATCH_INPUT!$F$6:$F$9, O11, MATCH_INPUT!$K$6:$K$9, "Draw") +
    COUNTIFS(MATCH_INPUT!$J$6:$J$9, O11, MATCH_INPUT!$K$6:$K$9, "Draw"),
0)</f>
        <v>0</v>
      </c>
      <c r="U11" s="28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0</v>
      </c>
      <c r="V11" s="29"/>
      <c r="W11" s="29"/>
      <c r="X11" s="20"/>
      <c r="Y11" s="30">
        <f t="shared" si="11"/>
        <v>36</v>
      </c>
      <c r="Z11" s="31" t="str">
        <f t="shared" si="12"/>
        <v>↓</v>
      </c>
      <c r="AA11" s="21" t="s">
        <v>140</v>
      </c>
      <c r="AB11" s="32">
        <f t="shared" si="13"/>
        <v>3</v>
      </c>
      <c r="AC11" s="22">
        <f t="shared" si="14"/>
        <v>2</v>
      </c>
      <c r="AD11" s="22">
        <f t="shared" si="15"/>
        <v>1</v>
      </c>
      <c r="AE11" s="22">
        <f>IF(AA11&lt;&gt;"",
    COUNTIFS(MATCH_INPUT!$K$10:$K$13,AA11),
0)</f>
        <v>0</v>
      </c>
      <c r="AF11" s="22">
        <f>IF(AA11&lt;&gt;"",
    COUNTIFS(MATCH_INPUT!$F$10:$F$13, AA11, MATCH_INPUT!$K$10:$K$13, "Draw") +
    COUNTIFS(MATCH_INPUT!$J$10:$J$13, AA11, MATCH_INPUT!$K$10:$K$13, "Draw"),
0)</f>
        <v>1</v>
      </c>
      <c r="AG11" s="22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1</v>
      </c>
      <c r="AH11" s="23"/>
      <c r="AI11" s="23"/>
      <c r="AJ11" s="33"/>
      <c r="AK11" s="25">
        <f t="shared" si="16"/>
        <v>36</v>
      </c>
      <c r="AL11" s="26" t="str">
        <f t="shared" si="17"/>
        <v>=</v>
      </c>
      <c r="AM11" s="27" t="s">
        <v>140</v>
      </c>
      <c r="AN11" s="28">
        <f t="shared" si="18"/>
        <v>9</v>
      </c>
      <c r="AO11" s="28">
        <f t="shared" si="19"/>
        <v>2</v>
      </c>
      <c r="AP11" s="28">
        <f t="shared" si="20"/>
        <v>4</v>
      </c>
      <c r="AQ11" s="28">
        <f>IF(AM11&lt;&gt;"",
    COUNTIFS(MATCH_INPUT!$K$14:$K$17,AM11),
0)</f>
        <v>2</v>
      </c>
      <c r="AR11" s="28">
        <f>IF(AM11&lt;&gt;"",
    COUNTIFS(MATCH_INPUT!$F$14:$F$17, AM11, MATCH_INPUT!$K$14:$K$17, "Draw") +
    COUNTIFS(MATCH_INPUT!$J$14:$J$17, AM11, MATCH_INPUT!$K$14:$K$17, "Draw"),
0)</f>
        <v>0</v>
      </c>
      <c r="AS11" s="28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0</v>
      </c>
      <c r="AT11" s="29"/>
      <c r="AU11" s="29"/>
      <c r="AV11" s="20"/>
      <c r="AW11" s="30">
        <f t="shared" si="21"/>
        <v>35</v>
      </c>
      <c r="AX11" s="31" t="str">
        <f t="shared" si="22"/>
        <v>↑</v>
      </c>
      <c r="AY11" s="21" t="s">
        <v>141</v>
      </c>
      <c r="AZ11" s="32">
        <f t="shared" si="23"/>
        <v>21</v>
      </c>
      <c r="BA11" s="22">
        <f t="shared" si="24"/>
        <v>2</v>
      </c>
      <c r="BB11" s="22">
        <f>SUM(BC11*2) + (BD11*1) + SUMIFS(MATCH_INPUT!$G$18:$G$21, MATCH_INPUT!$F$18:$F$21, AY11) + SUMIFS(MATCH_INPUT!$I$18:$I$21, MATCH_INPUT!$J$18:$J$21, AY11)
</f>
        <v>10</v>
      </c>
      <c r="BC11" s="22">
        <f>IF(AY11&lt;&gt;"",
    COUNTIFS(MATCH_INPUT!$K$18:$K$21,AY11),
0)</f>
        <v>2</v>
      </c>
      <c r="BD11" s="22">
        <f>IF(AY11&lt;&gt;"",
    COUNTIFS(MATCH_INPUT!$F$18:$F$21, AY11, MATCH_INPUT!$K$18:$K$21, "Draw") +
    COUNTIFS(MATCH_INPUT!$J$18:$J$21, AY11, MATCH_INPUT!$K$18:$K$21, "Draw"),
0)</f>
        <v>0</v>
      </c>
      <c r="BE11" s="22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0</v>
      </c>
      <c r="BF11" s="29"/>
      <c r="BG11" s="29"/>
      <c r="BH11" s="20"/>
      <c r="BI11" s="25">
        <f t="shared" si="25"/>
        <v>20</v>
      </c>
      <c r="BJ11" s="26" t="str">
        <f t="shared" si="26"/>
        <v>↑</v>
      </c>
      <c r="BK11" s="27" t="s">
        <v>139</v>
      </c>
      <c r="BL11" s="28">
        <f t="shared" si="27"/>
        <v>29</v>
      </c>
      <c r="BM11" s="28">
        <f t="shared" si="28"/>
        <v>2</v>
      </c>
      <c r="BN11" s="28">
        <f>SUM(BO11*2) + (BP11*1) + SUMIFS(MATCH_INPUT!$G$22:$G$25, MATCH_INPUT!$F$22:$F$25, BK11) + SUMIFS(MATCH_INPUT!$I$22:$I$25, MATCH_INPUT!$J$22:$J$25, BK11)
</f>
        <v>6</v>
      </c>
      <c r="BO11" s="28">
        <f>IF(BK11&lt;&gt;"",
    COUNTIFS(MATCH_INPUT!$K$22:$K$25,BK11),
0)</f>
        <v>1</v>
      </c>
      <c r="BP11" s="28">
        <f>IF(BK11&lt;&gt;"",
    COUNTIFS(MATCH_INPUT!$F$22:$F$25, BK11, MATCH_INPUT!$K$22:$K$25, "Draw") +
    COUNTIFS(MATCH_INPUT!$J$22:$J$25, BK11, MATCH_INPUT!$K$22:$K$25, "Draw"),
0)</f>
        <v>1</v>
      </c>
      <c r="BQ11" s="28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0</v>
      </c>
      <c r="BR11" s="29"/>
      <c r="BS11" s="29"/>
      <c r="BT11" s="20"/>
      <c r="BU11" s="30">
        <f t="shared" si="29"/>
        <v>11</v>
      </c>
      <c r="BV11" s="31" t="str">
        <f t="shared" si="30"/>
        <v>↑</v>
      </c>
      <c r="BW11" s="21" t="s">
        <v>141</v>
      </c>
      <c r="BX11" s="32">
        <f t="shared" si="31"/>
        <v>38</v>
      </c>
      <c r="BY11" s="22">
        <f t="shared" si="32"/>
        <v>2</v>
      </c>
      <c r="BZ11" s="22">
        <f>SUM(CA11*2)+(CB11*1) + SUMIFS(MATCH_INPUT!$G$26:$G$29, MATCH_INPUT!$F$26:$F$29, BW11) + SUMIFS(MATCH_INPUT!$I$26:$I$29, MATCH_INPUT!$J$26:$J$29, BW11)
</f>
        <v>7</v>
      </c>
      <c r="CA11" s="22">
        <f>IF(BW11&lt;&gt;"",
    COUNTIFS(MATCH_INPUT!$K$26:$K$29,BW11),
0)</f>
        <v>1</v>
      </c>
      <c r="CB11" s="22">
        <f>IF(BW11&lt;&gt;"",
    COUNTIFS(MATCH_INPUT!$F$26:$F$29, BW11, MATCH_INPUT!$K$26:$K$29, "Draw") +
    COUNTIFS(MATCH_INPUT!$J$26:$J$29, BW11, MATCH_INPUT!$K$26:$K$29, "Draw"),
0)</f>
        <v>1</v>
      </c>
      <c r="CC11" s="22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3"/>
      <c r="CE11" s="23"/>
      <c r="CF11" s="33"/>
      <c r="CG11" s="25">
        <f t="shared" si="33"/>
        <v>6</v>
      </c>
      <c r="CH11" s="26" t="str">
        <f t="shared" si="34"/>
        <v>↑</v>
      </c>
      <c r="CI11" s="27" t="s">
        <v>140</v>
      </c>
      <c r="CJ11" s="28">
        <f t="shared" si="35"/>
        <v>42</v>
      </c>
      <c r="CK11" s="28">
        <f t="shared" si="36"/>
        <v>2</v>
      </c>
      <c r="CL11" s="28">
        <f>SUM(CM11*2)+(CN11*1) + SUMIFS(MATCH_INPUT!$G$30:$G$33, MATCH_INPUT!$F$30:$F$33, CI11) + SUMIFS(MATCH_INPUT!$I$30:$I$33, MATCH_INPUT!$J$30:$J$33, CI11)
</f>
        <v>2</v>
      </c>
      <c r="CM11" s="28">
        <f>IF(CI11&lt;&gt;"",
    COUNTIFS(MATCH_INPUT!$K$30:$K$33,CI11),
0)</f>
        <v>0</v>
      </c>
      <c r="CN11" s="28">
        <f>IF(CI11&lt;&gt;"",
    COUNTIFS(MATCH_INPUT!$F$30:$F$33, CI11, MATCH_INPUT!$K$30:$K$33, "Draw") +
    COUNTIFS(MATCH_INPUT!$J$30:$J$33, CI11, MATCH_INPUT!$K$30:$K$33, "Draw"),
0)</f>
        <v>1</v>
      </c>
      <c r="CO11" s="28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1</v>
      </c>
      <c r="CP11" s="29"/>
      <c r="CQ11" s="29"/>
      <c r="CR11" s="20"/>
      <c r="CS11" s="34">
        <f t="shared" si="37"/>
        <v>6</v>
      </c>
      <c r="CT11" s="34" t="str">
        <f t="shared" si="38"/>
        <v>=</v>
      </c>
      <c r="CU11" s="35">
        <f t="shared" si="39"/>
        <v>30</v>
      </c>
      <c r="CV11" s="35" t="str">
        <f t="shared" ref="CV11:CW11" si="57">A11</f>
        <v>🍀 </v>
      </c>
      <c r="CW11" s="36" t="str">
        <f t="shared" si="57"/>
        <v>Osmin</v>
      </c>
      <c r="CX11" s="36">
        <f t="shared" si="41"/>
        <v>42</v>
      </c>
      <c r="CY11" s="35">
        <f>SUM(
  IF(AND('MATCH DATES'!$A$2 &lt;= TODAY(), NOW() &gt;= 'MATCH DATES'!$A$2 + TIME(22, 0, 0)), E11, 0),
  IF(AND('MATCH DATES'!$A$3 &lt;= TODAY(), NOW() &gt;= 'MATCH DATES'!$A$3 + TIME(22, 0, 0)), Q11, 0),
  IF(AND('MATCH DATES'!$A$4 &lt;= TODAY(), NOW() &gt;= 'MATCH DATES'!$A$4 + TIME(22, 0, 0)), AC11, 0),
  IF(AND('MATCH DATES'!$A$5 &lt;= TODAY(), NOW() &gt;= 'MATCH DATES'!$A$5 + TIME(22, 0, 0)), AO11, 0),
  IF(AND('MATCH DATES'!$A$6 &lt;= TODAY(), NOW() &gt;= 'MATCH DATES'!$A$6 + TIME(22, 0, 0)), BA11, 0),
  IF(AND('MATCH DATES'!$A$7 &lt;= TODAY(), NOW() &gt;= 'MATCH DATES'!$A$7 + TIME(22, 0, 0)), BM11, 0),
  IF(AND('MATCH DATES'!$A$8 &lt;= TODAY(), NOW() &gt;= 'MATCH DATES'!$A$8 + TIME(22, 0, 0)), BY11, 0),
  IF(AND('MATCH DATES'!$A$9 &lt;= TODAY(), NOW() &gt;= 'MATCH DATES'!$A$9 + TIME(22, 0, 0)), CK11, 0)
)
</f>
        <v>12</v>
      </c>
      <c r="CZ11" s="36">
        <f t="shared" ref="CZ11:DA11" si="58">SUM(G11,S11,AE11,AQ11,BC11,BO11,CA11,CM11)</f>
        <v>6</v>
      </c>
      <c r="DA11" s="36">
        <f t="shared" si="58"/>
        <v>4</v>
      </c>
      <c r="DB11" s="36">
        <f>SUM(
  IF(AND('MATCH DATES'!$A$2 &lt;= TODAY(), NOW() &gt;= 'MATCH DATES'!$A$2 + TIME(22, 0, 0)), I11, 0),
  IF(AND('MATCH DATES'!$A$3 &lt;= TODAY(), NOW() &gt;= 'MATCH DATES'!$A$3 + TIME(22, 0, 0)), U11, 0),
  IF(AND('MATCH DATES'!$A$4 &lt;= TODAY(), NOW() &gt;= 'MATCH DATES'!$A$4 + TIME(22, 0, 0)), AG11, 0),
  IF(AND('MATCH DATES'!$A$5 &lt;= TODAY(), NOW() &gt;= 'MATCH DATES'!$A$5 + TIME(22, 0, 0)), AS11, 0),
  IF(AND('MATCH DATES'!$A$6 &lt;= TODAY(), NOW() &gt;= 'MATCH DATES'!$A$6 + TIME(22, 0, 0)), BE11, 0),
  IF(AND('MATCH DATES'!$A$7 &lt;= TODAY(), NOW() &gt;= 'MATCH DATES'!$A$7 + TIME(22, 0, 0)), BQ11, 0),
  IF(AND('MATCH DATES'!$A$8 &lt;= TODAY(), NOW() &gt;= 'MATCH DATES'!$A$8 + TIME(22, 0, 0)), CC11, 0),
  IF(AND('MATCH DATES'!$A$9 &lt;= TODAY(), NOW() &gt;= 'MATCH DATES'!$A$9 + TIME(22, 0, 0)), CO11, 0)
)</f>
        <v>2</v>
      </c>
      <c r="DD11" s="36">
        <f t="shared" si="43"/>
        <v>0</v>
      </c>
      <c r="DF11" s="36">
        <f t="shared" si="44"/>
        <v>0</v>
      </c>
    </row>
    <row r="12" ht="24.75" customHeight="1">
      <c r="A12" s="19" t="s">
        <v>137</v>
      </c>
      <c r="B12" s="20" t="s">
        <v>151</v>
      </c>
      <c r="C12" s="21" t="s">
        <v>140</v>
      </c>
      <c r="D12" s="22">
        <f t="shared" si="3"/>
        <v>4</v>
      </c>
      <c r="E12" s="22">
        <f t="shared" si="4"/>
        <v>2</v>
      </c>
      <c r="F12" s="22">
        <f t="shared" si="5"/>
        <v>2</v>
      </c>
      <c r="G12" s="22">
        <f>IF(C12&lt;&gt;"",
    COUNTIFS(MATCH_INPUT!$K$2:$K$5,C12),
0)</f>
        <v>1</v>
      </c>
      <c r="H12" s="22">
        <f>IF(C12&lt;&gt;"",
    COUNTIFS(MATCH_INPUT!$F$2:$F$5, C12, MATCH_INPUT!$K$2:$K$5, "Draw") +
    COUNTIFS(MATCH_INPUT!$J$2:$J$5, C12, MATCH_INPUT!$K$2:$K$5, "Draw"),
0)</f>
        <v>0</v>
      </c>
      <c r="I12" s="22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1</v>
      </c>
      <c r="J12" s="23"/>
      <c r="K12" s="23"/>
      <c r="L12" s="24"/>
      <c r="M12" s="25">
        <f t="shared" si="6"/>
        <v>11</v>
      </c>
      <c r="N12" s="26" t="str">
        <f t="shared" si="7"/>
        <v>↓</v>
      </c>
      <c r="O12" s="27" t="s">
        <v>139</v>
      </c>
      <c r="P12" s="28">
        <f t="shared" si="8"/>
        <v>9</v>
      </c>
      <c r="Q12" s="28">
        <f t="shared" si="9"/>
        <v>2</v>
      </c>
      <c r="R12" s="28">
        <f t="shared" si="10"/>
        <v>3</v>
      </c>
      <c r="S12" s="28">
        <f>IF(O12&lt;&gt;"",
    COUNTIFS(MATCH_INPUT!$K$6:$K$9,O12),
0)</f>
        <v>1</v>
      </c>
      <c r="T12" s="28">
        <f>IF(O12&lt;&gt;"",
    COUNTIFS(MATCH_INPUT!$F$6:$F$9, O12, MATCH_INPUT!$K$6:$K$9, "Draw") +
    COUNTIFS(MATCH_INPUT!$J$6:$J$9, O12, MATCH_INPUT!$K$6:$K$9, "Draw"),
0)</f>
        <v>1</v>
      </c>
      <c r="U12" s="28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0</v>
      </c>
      <c r="V12" s="29">
        <v>1.0</v>
      </c>
      <c r="W12" s="29"/>
      <c r="X12" s="20"/>
      <c r="Y12" s="30">
        <f t="shared" si="11"/>
        <v>10</v>
      </c>
      <c r="Z12" s="31" t="str">
        <f t="shared" si="12"/>
        <v>↑</v>
      </c>
      <c r="AA12" s="21" t="s">
        <v>139</v>
      </c>
      <c r="AB12" s="32">
        <f t="shared" si="13"/>
        <v>13</v>
      </c>
      <c r="AC12" s="22">
        <f t="shared" si="14"/>
        <v>2</v>
      </c>
      <c r="AD12" s="22">
        <f t="shared" si="15"/>
        <v>2</v>
      </c>
      <c r="AE12" s="22">
        <f>IF(AA12&lt;&gt;"",
    COUNTIFS(MATCH_INPUT!$K$10:$K$13,AA12),
0)</f>
        <v>0</v>
      </c>
      <c r="AF12" s="22">
        <f>IF(AA12&lt;&gt;"",
    COUNTIFS(MATCH_INPUT!$F$10:$F$13, AA12, MATCH_INPUT!$K$10:$K$13, "Draw") +
    COUNTIFS(MATCH_INPUT!$J$10:$J$13, AA12, MATCH_INPUT!$K$10:$K$13, "Draw"),
0)</f>
        <v>2</v>
      </c>
      <c r="AG12" s="22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0</v>
      </c>
      <c r="AH12" s="23"/>
      <c r="AI12" s="23"/>
      <c r="AJ12" s="33"/>
      <c r="AK12" s="25">
        <f t="shared" si="16"/>
        <v>9</v>
      </c>
      <c r="AL12" s="26" t="str">
        <f t="shared" si="17"/>
        <v>↑</v>
      </c>
      <c r="AM12" s="27" t="s">
        <v>139</v>
      </c>
      <c r="AN12" s="28">
        <f t="shared" si="18"/>
        <v>17</v>
      </c>
      <c r="AO12" s="28">
        <f t="shared" si="19"/>
        <v>2</v>
      </c>
      <c r="AP12" s="28">
        <f t="shared" si="20"/>
        <v>1</v>
      </c>
      <c r="AQ12" s="28">
        <f>IF(AM12&lt;&gt;"",
    COUNTIFS(MATCH_INPUT!$K$14:$K$17,AM12),
0)</f>
        <v>0</v>
      </c>
      <c r="AR12" s="28">
        <f>IF(AM12&lt;&gt;"",
    COUNTIFS(MATCH_INPUT!$F$14:$F$17, AM12, MATCH_INPUT!$K$14:$K$17, "Draw") +
    COUNTIFS(MATCH_INPUT!$J$14:$J$17, AM12, MATCH_INPUT!$K$14:$K$17, "Draw"),
0)</f>
        <v>1</v>
      </c>
      <c r="AS12" s="28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1</v>
      </c>
      <c r="AT12" s="29"/>
      <c r="AU12" s="29">
        <v>1.0</v>
      </c>
      <c r="AV12" s="20"/>
      <c r="AW12" s="30">
        <f t="shared" si="21"/>
        <v>9</v>
      </c>
      <c r="AX12" s="31" t="str">
        <f t="shared" si="22"/>
        <v>=</v>
      </c>
      <c r="AY12" s="21" t="s">
        <v>140</v>
      </c>
      <c r="AZ12" s="32">
        <f t="shared" si="23"/>
        <v>23</v>
      </c>
      <c r="BA12" s="22">
        <f t="shared" si="24"/>
        <v>2</v>
      </c>
      <c r="BB12" s="22">
        <f>SUM(BC12*2) + (BD12*1) + SUMIFS(MATCH_INPUT!$G$18:$G$21, MATCH_INPUT!$F$18:$F$21, AY12) + SUMIFS(MATCH_INPUT!$I$18:$I$21, MATCH_INPUT!$J$18:$J$21, AY12)
</f>
        <v>4</v>
      </c>
      <c r="BC12" s="22">
        <f>IF(AY12&lt;&gt;"",
    COUNTIFS(MATCH_INPUT!$K$18:$K$21,AY12),
0)</f>
        <v>0</v>
      </c>
      <c r="BD12" s="22">
        <f>IF(AY12&lt;&gt;"",
    COUNTIFS(MATCH_INPUT!$F$18:$F$21, AY12, MATCH_INPUT!$K$18:$K$21, "Draw") +
    COUNTIFS(MATCH_INPUT!$J$18:$J$21, AY12, MATCH_INPUT!$K$18:$K$21, "Draw"),
0)</f>
        <v>1</v>
      </c>
      <c r="BE12" s="22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1</v>
      </c>
      <c r="BF12" s="23"/>
      <c r="BG12" s="23"/>
      <c r="BH12" s="33"/>
      <c r="BI12" s="25">
        <f t="shared" si="25"/>
        <v>14</v>
      </c>
      <c r="BJ12" s="26" t="str">
        <f t="shared" si="26"/>
        <v>↓</v>
      </c>
      <c r="BK12" s="27" t="s">
        <v>142</v>
      </c>
      <c r="BL12" s="28">
        <f t="shared" si="27"/>
        <v>30</v>
      </c>
      <c r="BM12" s="28">
        <f t="shared" si="28"/>
        <v>2</v>
      </c>
      <c r="BN12" s="28">
        <f>SUM(BO12*2) + (BP12*1) + SUMIFS(MATCH_INPUT!$G$22:$G$25, MATCH_INPUT!$F$22:$F$25, BK12) + SUMIFS(MATCH_INPUT!$I$22:$I$25, MATCH_INPUT!$J$22:$J$25, BK12)
</f>
        <v>5</v>
      </c>
      <c r="BO12" s="28">
        <f>IF(BK12&lt;&gt;"",
    COUNTIFS(MATCH_INPUT!$K$22:$K$25,BK12),
0)</f>
        <v>1</v>
      </c>
      <c r="BP12" s="28">
        <f>IF(BK12&lt;&gt;"",
    COUNTIFS(MATCH_INPUT!$F$22:$F$25, BK12, MATCH_INPUT!$K$22:$K$25, "Draw") +
    COUNTIFS(MATCH_INPUT!$J$22:$J$25, BK12, MATCH_INPUT!$K$22:$K$25, "Draw"),
0)</f>
        <v>1</v>
      </c>
      <c r="BQ12" s="28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0</v>
      </c>
      <c r="BR12" s="29"/>
      <c r="BS12" s="29"/>
      <c r="BT12" s="20"/>
      <c r="BU12" s="30">
        <f t="shared" si="29"/>
        <v>9</v>
      </c>
      <c r="BV12" s="31" t="str">
        <f t="shared" si="30"/>
        <v>↑</v>
      </c>
      <c r="BW12" s="21" t="s">
        <v>140</v>
      </c>
      <c r="BX12" s="32">
        <f t="shared" si="31"/>
        <v>35</v>
      </c>
      <c r="BY12" s="22">
        <f t="shared" si="32"/>
        <v>2</v>
      </c>
      <c r="BZ12" s="22">
        <f>SUM(CA12*2)+(CB12*1) + SUMIFS(MATCH_INPUT!$G$26:$G$29, MATCH_INPUT!$F$26:$F$29, BW12) + SUMIFS(MATCH_INPUT!$I$26:$I$29, MATCH_INPUT!$J$26:$J$29, BW12)
</f>
        <v>3</v>
      </c>
      <c r="CA12" s="22">
        <f>IF(BW12&lt;&gt;"",
    COUNTIFS(MATCH_INPUT!$K$26:$K$29,BW12),
0)</f>
        <v>0</v>
      </c>
      <c r="CB12" s="22">
        <f>IF(BW12&lt;&gt;"",
    COUNTIFS(MATCH_INPUT!$F$26:$F$29, BW12, MATCH_INPUT!$K$26:$K$29, "Draw") +
    COUNTIFS(MATCH_INPUT!$J$26:$J$29, BW12, MATCH_INPUT!$K$26:$K$29, "Draw"),
0)</f>
        <v>1</v>
      </c>
      <c r="CC12" s="22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1</v>
      </c>
      <c r="CD12" s="23"/>
      <c r="CE12" s="23"/>
      <c r="CF12" s="33"/>
      <c r="CG12" s="25">
        <f t="shared" si="33"/>
        <v>13</v>
      </c>
      <c r="CH12" s="26" t="str">
        <f t="shared" si="34"/>
        <v>↓</v>
      </c>
      <c r="CI12" s="27" t="s">
        <v>142</v>
      </c>
      <c r="CJ12" s="28">
        <f t="shared" si="35"/>
        <v>41</v>
      </c>
      <c r="CK12" s="28">
        <f t="shared" si="36"/>
        <v>2</v>
      </c>
      <c r="CL12" s="28">
        <f>SUM(CM12*2)+(CN12*1) + SUMIFS(MATCH_INPUT!$G$30:$G$33, MATCH_INPUT!$F$30:$F$33, CI12) + SUMIFS(MATCH_INPUT!$I$30:$I$33, MATCH_INPUT!$J$30:$J$33, CI12)
</f>
        <v>4</v>
      </c>
      <c r="CM12" s="28">
        <f>IF(CI12&lt;&gt;"",
    COUNTIFS(MATCH_INPUT!$K$30:$K$33,CI12),
0)</f>
        <v>1</v>
      </c>
      <c r="CN12" s="28">
        <f>IF(CI12&lt;&gt;"",
    COUNTIFS(MATCH_INPUT!$F$30:$F$33, CI12, MATCH_INPUT!$K$30:$K$33, "Draw") +
    COUNTIFS(MATCH_INPUT!$J$30:$J$33, CI12, MATCH_INPUT!$K$30:$K$33, "Draw"),
0)</f>
        <v>0</v>
      </c>
      <c r="CO12" s="28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1</v>
      </c>
      <c r="CP12" s="29"/>
      <c r="CQ12" s="29"/>
      <c r="CR12" s="20"/>
      <c r="CS12" s="34">
        <f t="shared" si="37"/>
        <v>10</v>
      </c>
      <c r="CT12" s="34" t="str">
        <f t="shared" si="38"/>
        <v>↑</v>
      </c>
      <c r="CU12" s="35">
        <f t="shared" si="39"/>
        <v>24</v>
      </c>
      <c r="CV12" s="35" t="str">
        <f t="shared" ref="CV12:CW12" si="59">A12</f>
        <v>🍀 </v>
      </c>
      <c r="CW12" s="36" t="str">
        <f t="shared" si="59"/>
        <v>Efra</v>
      </c>
      <c r="CX12" s="36">
        <f t="shared" si="41"/>
        <v>41</v>
      </c>
      <c r="CY12" s="35">
        <f>SUM(
  IF(AND('MATCH DATES'!$A$2 &lt;= TODAY(), NOW() &gt;= 'MATCH DATES'!$A$2 + TIME(22, 0, 0)), E12, 0),
  IF(AND('MATCH DATES'!$A$3 &lt;= TODAY(), NOW() &gt;= 'MATCH DATES'!$A$3 + TIME(22, 0, 0)), Q12, 0),
  IF(AND('MATCH DATES'!$A$4 &lt;= TODAY(), NOW() &gt;= 'MATCH DATES'!$A$4 + TIME(22, 0, 0)), AC12, 0),
  IF(AND('MATCH DATES'!$A$5 &lt;= TODAY(), NOW() &gt;= 'MATCH DATES'!$A$5 + TIME(22, 0, 0)), AO12, 0),
  IF(AND('MATCH DATES'!$A$6 &lt;= TODAY(), NOW() &gt;= 'MATCH DATES'!$A$6 + TIME(22, 0, 0)), BA12, 0),
  IF(AND('MATCH DATES'!$A$7 &lt;= TODAY(), NOW() &gt;= 'MATCH DATES'!$A$7 + TIME(22, 0, 0)), BM12, 0),
  IF(AND('MATCH DATES'!$A$8 &lt;= TODAY(), NOW() &gt;= 'MATCH DATES'!$A$8 + TIME(22, 0, 0)), BY12, 0),
  IF(AND('MATCH DATES'!$A$9 &lt;= TODAY(), NOW() &gt;= 'MATCH DATES'!$A$9 + TIME(22, 0, 0)), CK12, 0)
)
</f>
        <v>16</v>
      </c>
      <c r="CZ12" s="36">
        <f t="shared" ref="CZ12:DA12" si="60">SUM(G12,S12,AE12,AQ12,BC12,BO12,CA12,CM12)</f>
        <v>4</v>
      </c>
      <c r="DA12" s="36">
        <f t="shared" si="60"/>
        <v>7</v>
      </c>
      <c r="DB12" s="36">
        <f>SUM(
  IF(AND('MATCH DATES'!$A$2 &lt;= TODAY(), NOW() &gt;= 'MATCH DATES'!$A$2 + TIME(22, 0, 0)), I12, 0),
  IF(AND('MATCH DATES'!$A$3 &lt;= TODAY(), NOW() &gt;= 'MATCH DATES'!$A$3 + TIME(22, 0, 0)), U12, 0),
  IF(AND('MATCH DATES'!$A$4 &lt;= TODAY(), NOW() &gt;= 'MATCH DATES'!$A$4 + TIME(22, 0, 0)), AG12, 0),
  IF(AND('MATCH DATES'!$A$5 &lt;= TODAY(), NOW() &gt;= 'MATCH DATES'!$A$5 + TIME(22, 0, 0)), AS12, 0),
  IF(AND('MATCH DATES'!$A$6 &lt;= TODAY(), NOW() &gt;= 'MATCH DATES'!$A$6 + TIME(22, 0, 0)), BE12, 0),
  IF(AND('MATCH DATES'!$A$7 &lt;= TODAY(), NOW() &gt;= 'MATCH DATES'!$A$7 + TIME(22, 0, 0)), BQ12, 0),
  IF(AND('MATCH DATES'!$A$8 &lt;= TODAY(), NOW() &gt;= 'MATCH DATES'!$A$8 + TIME(22, 0, 0)), CC12, 0),
  IF(AND('MATCH DATES'!$A$9 &lt;= TODAY(), NOW() &gt;= 'MATCH DATES'!$A$9 + TIME(22, 0, 0)), CO12, 0)
)</f>
        <v>5</v>
      </c>
      <c r="DD12" s="36">
        <f t="shared" si="43"/>
        <v>1</v>
      </c>
      <c r="DF12" s="36">
        <f t="shared" si="44"/>
        <v>0</v>
      </c>
    </row>
    <row r="13" ht="24.75" customHeight="1">
      <c r="A13" s="19" t="s">
        <v>137</v>
      </c>
      <c r="B13" s="20" t="s">
        <v>152</v>
      </c>
      <c r="C13" s="21" t="s">
        <v>139</v>
      </c>
      <c r="D13" s="22">
        <f t="shared" si="3"/>
        <v>6</v>
      </c>
      <c r="E13" s="22">
        <f t="shared" si="4"/>
        <v>2</v>
      </c>
      <c r="F13" s="22">
        <f t="shared" si="5"/>
        <v>4</v>
      </c>
      <c r="G13" s="22">
        <f>IF(C13&lt;&gt;"",
    COUNTIFS(MATCH_INPUT!$K$2:$K$5,C13),
0)</f>
        <v>2</v>
      </c>
      <c r="H13" s="22">
        <f>IF(C13&lt;&gt;"",
    COUNTIFS(MATCH_INPUT!$F$2:$F$5, C13, MATCH_INPUT!$K$2:$K$5, "Draw") +
    COUNTIFS(MATCH_INPUT!$J$2:$J$5, C13, MATCH_INPUT!$K$2:$K$5, "Draw"),
0)</f>
        <v>0</v>
      </c>
      <c r="I13" s="22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0</v>
      </c>
      <c r="J13" s="23"/>
      <c r="K13" s="23"/>
      <c r="L13" s="24"/>
      <c r="M13" s="25">
        <f t="shared" si="6"/>
        <v>2</v>
      </c>
      <c r="N13" s="26" t="str">
        <f t="shared" si="7"/>
        <v>↓</v>
      </c>
      <c r="O13" s="27" t="s">
        <v>142</v>
      </c>
      <c r="P13" s="28">
        <f t="shared" si="8"/>
        <v>12</v>
      </c>
      <c r="Q13" s="28">
        <f t="shared" si="9"/>
        <v>2</v>
      </c>
      <c r="R13" s="28">
        <f t="shared" si="10"/>
        <v>4</v>
      </c>
      <c r="S13" s="28">
        <f>IF(O13&lt;&gt;"",
    COUNTIFS(MATCH_INPUT!$K$6:$K$9,O13),
0)</f>
        <v>2</v>
      </c>
      <c r="T13" s="28">
        <f>IF(O13&lt;&gt;"",
    COUNTIFS(MATCH_INPUT!$F$6:$F$9, O13, MATCH_INPUT!$K$6:$K$9, "Draw") +
    COUNTIFS(MATCH_INPUT!$J$6:$J$9, O13, MATCH_INPUT!$K$6:$K$9, "Draw"),
0)</f>
        <v>0</v>
      </c>
      <c r="U13" s="28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0</v>
      </c>
      <c r="V13" s="29">
        <v>2.0</v>
      </c>
      <c r="W13" s="29"/>
      <c r="X13" s="20"/>
      <c r="Y13" s="30">
        <f t="shared" si="11"/>
        <v>1</v>
      </c>
      <c r="Z13" s="31" t="str">
        <f t="shared" si="12"/>
        <v>↑</v>
      </c>
      <c r="AA13" s="21" t="s">
        <v>141</v>
      </c>
      <c r="AB13" s="32">
        <f t="shared" si="13"/>
        <v>17</v>
      </c>
      <c r="AC13" s="22">
        <f t="shared" si="14"/>
        <v>2</v>
      </c>
      <c r="AD13" s="22">
        <f t="shared" si="15"/>
        <v>3</v>
      </c>
      <c r="AE13" s="22">
        <f>IF(AA13&lt;&gt;"",
    COUNTIFS(MATCH_INPUT!$K$10:$K$13,AA13),
0)</f>
        <v>1</v>
      </c>
      <c r="AF13" s="22">
        <f>IF(AA13&lt;&gt;"",
    COUNTIFS(MATCH_INPUT!$F$10:$F$13, AA13, MATCH_INPUT!$K$10:$K$13, "Draw") +
    COUNTIFS(MATCH_INPUT!$J$10:$J$13, AA13, MATCH_INPUT!$K$10:$K$13, "Draw"),
0)</f>
        <v>1</v>
      </c>
      <c r="AG13" s="22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0</v>
      </c>
      <c r="AH13" s="23">
        <v>1.0</v>
      </c>
      <c r="AI13" s="23"/>
      <c r="AJ13" s="33"/>
      <c r="AK13" s="25">
        <f t="shared" si="16"/>
        <v>1</v>
      </c>
      <c r="AL13" s="26" t="str">
        <f t="shared" si="17"/>
        <v>=</v>
      </c>
      <c r="AM13" s="27" t="s">
        <v>140</v>
      </c>
      <c r="AN13" s="28">
        <f t="shared" si="18"/>
        <v>23</v>
      </c>
      <c r="AO13" s="28">
        <f t="shared" si="19"/>
        <v>2</v>
      </c>
      <c r="AP13" s="28">
        <f t="shared" si="20"/>
        <v>4</v>
      </c>
      <c r="AQ13" s="28">
        <f>IF(AM13&lt;&gt;"",
    COUNTIFS(MATCH_INPUT!$K$14:$K$17,AM13),
0)</f>
        <v>2</v>
      </c>
      <c r="AR13" s="28">
        <f>IF(AM13&lt;&gt;"",
    COUNTIFS(MATCH_INPUT!$F$14:$F$17, AM13, MATCH_INPUT!$K$14:$K$17, "Draw") +
    COUNTIFS(MATCH_INPUT!$J$14:$J$17, AM13, MATCH_INPUT!$K$14:$K$17, "Draw"),
0)</f>
        <v>0</v>
      </c>
      <c r="AS13" s="28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0</v>
      </c>
      <c r="AT13" s="29">
        <v>1.0</v>
      </c>
      <c r="AU13" s="29"/>
      <c r="AV13" s="20"/>
      <c r="AW13" s="30">
        <f t="shared" si="21"/>
        <v>1</v>
      </c>
      <c r="AX13" s="31" t="str">
        <f t="shared" si="22"/>
        <v>=</v>
      </c>
      <c r="AY13" s="21" t="s">
        <v>139</v>
      </c>
      <c r="AZ13" s="32">
        <f t="shared" si="23"/>
        <v>30</v>
      </c>
      <c r="BA13" s="22">
        <f t="shared" si="24"/>
        <v>2</v>
      </c>
      <c r="BB13" s="22">
        <f>SUM(BC13*2) + (BD13*1) + SUMIFS(MATCH_INPUT!$G$18:$G$21, MATCH_INPUT!$F$18:$F$21, AY13) + SUMIFS(MATCH_INPUT!$I$18:$I$21, MATCH_INPUT!$J$18:$J$21, AY13)
</f>
        <v>5</v>
      </c>
      <c r="BC13" s="22">
        <f>IF(AY13&lt;&gt;"",
    COUNTIFS(MATCH_INPUT!$K$18:$K$21,AY13),
0)</f>
        <v>0</v>
      </c>
      <c r="BD13" s="22">
        <f>IF(AY13&lt;&gt;"",
    COUNTIFS(MATCH_INPUT!$F$18:$F$21, AY13, MATCH_INPUT!$K$18:$K$21, "Draw") +
    COUNTIFS(MATCH_INPUT!$J$18:$J$21, AY13, MATCH_INPUT!$K$18:$K$21, "Draw"),
0)</f>
        <v>1</v>
      </c>
      <c r="BE13" s="22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1</v>
      </c>
      <c r="BF13" s="23">
        <v>1.0</v>
      </c>
      <c r="BG13" s="23"/>
      <c r="BH13" s="33"/>
      <c r="BI13" s="25">
        <f t="shared" si="25"/>
        <v>2</v>
      </c>
      <c r="BJ13" s="26" t="str">
        <f t="shared" si="26"/>
        <v>↓</v>
      </c>
      <c r="BK13" s="27" t="s">
        <v>141</v>
      </c>
      <c r="BL13" s="28">
        <f t="shared" si="27"/>
        <v>32</v>
      </c>
      <c r="BM13" s="28">
        <f t="shared" si="28"/>
        <v>2</v>
      </c>
      <c r="BN13" s="28">
        <f>SUM(BO13*2) + (BP13*1) + SUMIFS(MATCH_INPUT!$G$22:$G$25, MATCH_INPUT!$F$22:$F$25, BK13) + SUMIFS(MATCH_INPUT!$I$22:$I$25, MATCH_INPUT!$J$22:$J$25, BK13)
</f>
        <v>0</v>
      </c>
      <c r="BO13" s="28">
        <f>IF(BK13&lt;&gt;"",
    COUNTIFS(MATCH_INPUT!$K$22:$K$25,BK13),
0)</f>
        <v>0</v>
      </c>
      <c r="BP13" s="28">
        <f>IF(BK13&lt;&gt;"",
    COUNTIFS(MATCH_INPUT!$F$22:$F$25, BK13, MATCH_INPUT!$K$22:$K$25, "Draw") +
    COUNTIFS(MATCH_INPUT!$J$22:$J$25, BK13, MATCH_INPUT!$K$22:$K$25, "Draw"),
0)</f>
        <v>0</v>
      </c>
      <c r="BQ13" s="28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2</v>
      </c>
      <c r="BR13" s="29"/>
      <c r="BS13" s="29"/>
      <c r="BT13" s="20"/>
      <c r="BU13" s="30">
        <f t="shared" si="29"/>
        <v>6</v>
      </c>
      <c r="BV13" s="31" t="str">
        <f t="shared" si="30"/>
        <v>↓</v>
      </c>
      <c r="BW13" s="21"/>
      <c r="BX13" s="32">
        <f t="shared" si="31"/>
        <v>32</v>
      </c>
      <c r="BY13" s="22">
        <f t="shared" si="32"/>
        <v>0</v>
      </c>
      <c r="BZ13" s="22">
        <f>SUM(CA13*2)+(CB13*1) + SUMIFS(MATCH_INPUT!$G$26:$G$29, MATCH_INPUT!$F$26:$F$29, BW13) + SUMIFS(MATCH_INPUT!$I$26:$I$29, MATCH_INPUT!$J$26:$J$29, BW13)
</f>
        <v>0</v>
      </c>
      <c r="CA13" s="22">
        <f>IF(BW13&lt;&gt;"",
    COUNTIFS(MATCH_INPUT!$K$26:$K$29,BW13),
0)</f>
        <v>0</v>
      </c>
      <c r="CB13" s="22">
        <f>IF(BW13&lt;&gt;"",
    COUNTIFS(MATCH_INPUT!$F$26:$F$29, BW13, MATCH_INPUT!$K$26:$K$29, "Draw") +
    COUNTIFS(MATCH_INPUT!$J$26:$J$29, BW13, MATCH_INPUT!$K$26:$K$29, "Draw"),
0)</f>
        <v>0</v>
      </c>
      <c r="CC13" s="22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0</v>
      </c>
      <c r="CD13" s="23"/>
      <c r="CE13" s="23"/>
      <c r="CF13" s="33"/>
      <c r="CG13" s="25">
        <f t="shared" si="33"/>
        <v>22</v>
      </c>
      <c r="CH13" s="26" t="str">
        <f t="shared" si="34"/>
        <v>↓</v>
      </c>
      <c r="CI13" s="27" t="s">
        <v>141</v>
      </c>
      <c r="CJ13" s="28">
        <f t="shared" si="35"/>
        <v>41</v>
      </c>
      <c r="CK13" s="28">
        <f t="shared" si="36"/>
        <v>2</v>
      </c>
      <c r="CL13" s="28">
        <f>SUM(CM13*2)+(CN13*1) + SUMIFS(MATCH_INPUT!$G$30:$G$33, MATCH_INPUT!$F$30:$F$33, CI13) + SUMIFS(MATCH_INPUT!$I$30:$I$33, MATCH_INPUT!$J$30:$J$33, CI13)
</f>
        <v>7</v>
      </c>
      <c r="CM13" s="28">
        <f>IF(CI13&lt;&gt;"",
    COUNTIFS(MATCH_INPUT!$K$30:$K$33,CI13),
0)</f>
        <v>2</v>
      </c>
      <c r="CN13" s="28">
        <f>IF(CI13&lt;&gt;"",
    COUNTIFS(MATCH_INPUT!$F$30:$F$33, CI13, MATCH_INPUT!$K$30:$K$33, "Draw") +
    COUNTIFS(MATCH_INPUT!$J$30:$J$33, CI13, MATCH_INPUT!$K$30:$K$33, "Draw"),
0)</f>
        <v>0</v>
      </c>
      <c r="CO13" s="28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0</v>
      </c>
      <c r="CP13" s="29">
        <v>1.0</v>
      </c>
      <c r="CQ13" s="29"/>
      <c r="CR13" s="20"/>
      <c r="CS13" s="34">
        <f t="shared" si="37"/>
        <v>10</v>
      </c>
      <c r="CT13" s="34" t="str">
        <f t="shared" si="38"/>
        <v>↑</v>
      </c>
      <c r="CU13" s="35">
        <f t="shared" si="39"/>
        <v>27</v>
      </c>
      <c r="CV13" s="35" t="str">
        <f t="shared" ref="CV13:CW13" si="61">A13</f>
        <v>🍀 </v>
      </c>
      <c r="CW13" s="36" t="str">
        <f t="shared" si="61"/>
        <v>Ruben</v>
      </c>
      <c r="CX13" s="36">
        <f t="shared" si="41"/>
        <v>41</v>
      </c>
      <c r="CY13" s="35">
        <f>SUM(
  IF(AND('MATCH DATES'!$A$2 &lt;= TODAY(), NOW() &gt;= 'MATCH DATES'!$A$2 + TIME(22, 0, 0)), E13, 0),
  IF(AND('MATCH DATES'!$A$3 &lt;= TODAY(), NOW() &gt;= 'MATCH DATES'!$A$3 + TIME(22, 0, 0)), Q13, 0),
  IF(AND('MATCH DATES'!$A$4 &lt;= TODAY(), NOW() &gt;= 'MATCH DATES'!$A$4 + TIME(22, 0, 0)), AC13, 0),
  IF(AND('MATCH DATES'!$A$5 &lt;= TODAY(), NOW() &gt;= 'MATCH DATES'!$A$5 + TIME(22, 0, 0)), AO13, 0),
  IF(AND('MATCH DATES'!$A$6 &lt;= TODAY(), NOW() &gt;= 'MATCH DATES'!$A$6 + TIME(22, 0, 0)), BA13, 0),
  IF(AND('MATCH DATES'!$A$7 &lt;= TODAY(), NOW() &gt;= 'MATCH DATES'!$A$7 + TIME(22, 0, 0)), BM13, 0),
  IF(AND('MATCH DATES'!$A$8 &lt;= TODAY(), NOW() &gt;= 'MATCH DATES'!$A$8 + TIME(22, 0, 0)), BY13, 0),
  IF(AND('MATCH DATES'!$A$9 &lt;= TODAY(), NOW() &gt;= 'MATCH DATES'!$A$9 + TIME(22, 0, 0)), CK13, 0)
)
</f>
        <v>14</v>
      </c>
      <c r="CZ13" s="36">
        <f t="shared" ref="CZ13:DA13" si="62">SUM(G13,S13,AE13,AQ13,BC13,BO13,CA13,CM13)</f>
        <v>9</v>
      </c>
      <c r="DA13" s="36">
        <f t="shared" si="62"/>
        <v>2</v>
      </c>
      <c r="DB13" s="36">
        <f>SUM(
  IF(AND('MATCH DATES'!$A$2 &lt;= TODAY(), NOW() &gt;= 'MATCH DATES'!$A$2 + TIME(22, 0, 0)), I13, 0),
  IF(AND('MATCH DATES'!$A$3 &lt;= TODAY(), NOW() &gt;= 'MATCH DATES'!$A$3 + TIME(22, 0, 0)), U13, 0),
  IF(AND('MATCH DATES'!$A$4 &lt;= TODAY(), NOW() &gt;= 'MATCH DATES'!$A$4 + TIME(22, 0, 0)), AG13, 0),
  IF(AND('MATCH DATES'!$A$5 &lt;= TODAY(), NOW() &gt;= 'MATCH DATES'!$A$5 + TIME(22, 0, 0)), AS13, 0),
  IF(AND('MATCH DATES'!$A$6 &lt;= TODAY(), NOW() &gt;= 'MATCH DATES'!$A$6 + TIME(22, 0, 0)), BE13, 0),
  IF(AND('MATCH DATES'!$A$7 &lt;= TODAY(), NOW() &gt;= 'MATCH DATES'!$A$7 + TIME(22, 0, 0)), BQ13, 0),
  IF(AND('MATCH DATES'!$A$8 &lt;= TODAY(), NOW() &gt;= 'MATCH DATES'!$A$8 + TIME(22, 0, 0)), CC13, 0),
  IF(AND('MATCH DATES'!$A$9 &lt;= TODAY(), NOW() &gt;= 'MATCH DATES'!$A$9 + TIME(22, 0, 0)), CO13, 0)
)</f>
        <v>3</v>
      </c>
      <c r="DD13" s="36">
        <f t="shared" si="43"/>
        <v>0</v>
      </c>
      <c r="DF13" s="36">
        <f t="shared" si="44"/>
        <v>0</v>
      </c>
    </row>
    <row r="14" ht="24.75" customHeight="1">
      <c r="A14" s="19" t="s">
        <v>137</v>
      </c>
      <c r="B14" s="20" t="s">
        <v>153</v>
      </c>
      <c r="C14" s="21" t="s">
        <v>140</v>
      </c>
      <c r="D14" s="22">
        <f t="shared" si="3"/>
        <v>4</v>
      </c>
      <c r="E14" s="22">
        <f t="shared" si="4"/>
        <v>2</v>
      </c>
      <c r="F14" s="22">
        <f t="shared" si="5"/>
        <v>2</v>
      </c>
      <c r="G14" s="22">
        <f>IF(C14&lt;&gt;"",
    COUNTIFS(MATCH_INPUT!$K$2:$K$5,C14),
0)</f>
        <v>1</v>
      </c>
      <c r="H14" s="22">
        <f>IF(C14&lt;&gt;"",
    COUNTIFS(MATCH_INPUT!$F$2:$F$5, C14, MATCH_INPUT!$K$2:$K$5, "Draw") +
    COUNTIFS(MATCH_INPUT!$J$2:$J$5, C14, MATCH_INPUT!$K$2:$K$5, "Draw"),
0)</f>
        <v>0</v>
      </c>
      <c r="I14" s="22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1</v>
      </c>
      <c r="J14" s="23"/>
      <c r="K14" s="23"/>
      <c r="L14" s="24"/>
      <c r="M14" s="25">
        <f t="shared" si="6"/>
        <v>11</v>
      </c>
      <c r="N14" s="26" t="str">
        <f t="shared" si="7"/>
        <v>↓</v>
      </c>
      <c r="O14" s="27" t="s">
        <v>142</v>
      </c>
      <c r="P14" s="28">
        <f t="shared" si="8"/>
        <v>11</v>
      </c>
      <c r="Q14" s="28">
        <f t="shared" si="9"/>
        <v>2</v>
      </c>
      <c r="R14" s="28">
        <f t="shared" si="10"/>
        <v>4</v>
      </c>
      <c r="S14" s="28">
        <f>IF(O14&lt;&gt;"",
    COUNTIFS(MATCH_INPUT!$K$6:$K$9,O14),
0)</f>
        <v>2</v>
      </c>
      <c r="T14" s="28">
        <f>IF(O14&lt;&gt;"",
    COUNTIFS(MATCH_INPUT!$F$6:$F$9, O14, MATCH_INPUT!$K$6:$K$9, "Draw") +
    COUNTIFS(MATCH_INPUT!$J$6:$J$9, O14, MATCH_INPUT!$K$6:$K$9, "Draw"),
0)</f>
        <v>0</v>
      </c>
      <c r="U14" s="28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0</v>
      </c>
      <c r="V14" s="29"/>
      <c r="W14" s="29">
        <v>1.0</v>
      </c>
      <c r="X14" s="20">
        <v>1.0</v>
      </c>
      <c r="Y14" s="30">
        <f t="shared" si="11"/>
        <v>4</v>
      </c>
      <c r="Z14" s="31" t="str">
        <f t="shared" si="12"/>
        <v>↑</v>
      </c>
      <c r="AA14" s="21"/>
      <c r="AB14" s="32">
        <f t="shared" si="13"/>
        <v>11</v>
      </c>
      <c r="AC14" s="22">
        <f t="shared" si="14"/>
        <v>0</v>
      </c>
      <c r="AD14" s="22">
        <f t="shared" si="15"/>
        <v>0</v>
      </c>
      <c r="AE14" s="22">
        <f>IF(AA14&lt;&gt;"",
    COUNTIFS(MATCH_INPUT!$K$10:$K$13,AA14),
0)</f>
        <v>0</v>
      </c>
      <c r="AF14" s="22">
        <f>IF(AA14&lt;&gt;"",
    COUNTIFS(MATCH_INPUT!$F$10:$F$13, AA14, MATCH_INPUT!$K$10:$K$13, "Draw") +
    COUNTIFS(MATCH_INPUT!$J$10:$J$13, AA14, MATCH_INPUT!$K$10:$K$13, "Draw"),
0)</f>
        <v>0</v>
      </c>
      <c r="AG14" s="22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0</v>
      </c>
      <c r="AH14" s="23"/>
      <c r="AI14" s="23"/>
      <c r="AJ14" s="33"/>
      <c r="AK14" s="25">
        <f t="shared" si="16"/>
        <v>21</v>
      </c>
      <c r="AL14" s="26" t="str">
        <f t="shared" si="17"/>
        <v>↓</v>
      </c>
      <c r="AM14" s="27" t="s">
        <v>142</v>
      </c>
      <c r="AN14" s="28">
        <f t="shared" si="18"/>
        <v>14</v>
      </c>
      <c r="AO14" s="28">
        <f t="shared" si="19"/>
        <v>2</v>
      </c>
      <c r="AP14" s="28">
        <f t="shared" si="20"/>
        <v>1</v>
      </c>
      <c r="AQ14" s="28">
        <f>IF(AM14&lt;&gt;"",
    COUNTIFS(MATCH_INPUT!$K$14:$K$17,AM14),
0)</f>
        <v>0</v>
      </c>
      <c r="AR14" s="28">
        <f>IF(AM14&lt;&gt;"",
    COUNTIFS(MATCH_INPUT!$F$14:$F$17, AM14, MATCH_INPUT!$K$14:$K$17, "Draw") +
    COUNTIFS(MATCH_INPUT!$J$14:$J$17, AM14, MATCH_INPUT!$K$14:$K$17, "Draw"),
0)</f>
        <v>1</v>
      </c>
      <c r="AS14" s="28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1</v>
      </c>
      <c r="AT14" s="29"/>
      <c r="AU14" s="29"/>
      <c r="AV14" s="20"/>
      <c r="AW14" s="30">
        <f t="shared" si="21"/>
        <v>24</v>
      </c>
      <c r="AX14" s="31" t="str">
        <f t="shared" si="22"/>
        <v>↓</v>
      </c>
      <c r="AY14" s="21" t="s">
        <v>140</v>
      </c>
      <c r="AZ14" s="32">
        <f t="shared" si="23"/>
        <v>21</v>
      </c>
      <c r="BA14" s="22">
        <f t="shared" si="24"/>
        <v>2</v>
      </c>
      <c r="BB14" s="22">
        <f>SUM(BC14*2) + (BD14*1) + SUMIFS(MATCH_INPUT!$G$18:$G$21, MATCH_INPUT!$F$18:$F$21, AY14) + SUMIFS(MATCH_INPUT!$I$18:$I$21, MATCH_INPUT!$J$18:$J$21, AY14)
</f>
        <v>4</v>
      </c>
      <c r="BC14" s="22">
        <f>IF(AY14&lt;&gt;"",
    COUNTIFS(MATCH_INPUT!$K$18:$K$21,AY14),
0)</f>
        <v>0</v>
      </c>
      <c r="BD14" s="22">
        <f>IF(AY14&lt;&gt;"",
    COUNTIFS(MATCH_INPUT!$F$18:$F$21, AY14, MATCH_INPUT!$K$18:$K$21, "Draw") +
    COUNTIFS(MATCH_INPUT!$J$18:$J$21, AY14, MATCH_INPUT!$K$18:$K$21, "Draw"),
0)</f>
        <v>1</v>
      </c>
      <c r="BE14" s="22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1</v>
      </c>
      <c r="BF14" s="23"/>
      <c r="BG14" s="23">
        <v>1.0</v>
      </c>
      <c r="BH14" s="33"/>
      <c r="BI14" s="25">
        <f t="shared" si="25"/>
        <v>20</v>
      </c>
      <c r="BJ14" s="26" t="str">
        <f t="shared" si="26"/>
        <v>↑</v>
      </c>
      <c r="BK14" s="27" t="s">
        <v>142</v>
      </c>
      <c r="BL14" s="28">
        <f t="shared" si="27"/>
        <v>29</v>
      </c>
      <c r="BM14" s="28">
        <f t="shared" si="28"/>
        <v>2</v>
      </c>
      <c r="BN14" s="28">
        <f>SUM(BO14*2) + (BP14*1) + SUMIFS(MATCH_INPUT!$G$22:$G$25, MATCH_INPUT!$F$22:$F$25, BK14) + SUMIFS(MATCH_INPUT!$I$22:$I$25, MATCH_INPUT!$J$22:$J$25, BK14)
</f>
        <v>5</v>
      </c>
      <c r="BO14" s="28">
        <f>IF(BK14&lt;&gt;"",
    COUNTIFS(MATCH_INPUT!$K$22:$K$25,BK14),
0)</f>
        <v>1</v>
      </c>
      <c r="BP14" s="28">
        <f>IF(BK14&lt;&gt;"",
    COUNTIFS(MATCH_INPUT!$F$22:$F$25, BK14, MATCH_INPUT!$K$22:$K$25, "Draw") +
    COUNTIFS(MATCH_INPUT!$J$22:$J$25, BK14, MATCH_INPUT!$K$22:$K$25, "Draw"),
0)</f>
        <v>1</v>
      </c>
      <c r="BQ14" s="28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0</v>
      </c>
      <c r="BR14" s="29"/>
      <c r="BS14" s="29">
        <v>1.0</v>
      </c>
      <c r="BT14" s="20">
        <v>1.0</v>
      </c>
      <c r="BU14" s="30">
        <f t="shared" si="29"/>
        <v>11</v>
      </c>
      <c r="BV14" s="31" t="str">
        <f t="shared" si="30"/>
        <v>↑</v>
      </c>
      <c r="BW14" s="21" t="s">
        <v>139</v>
      </c>
      <c r="BX14" s="32">
        <f t="shared" si="31"/>
        <v>37</v>
      </c>
      <c r="BY14" s="22">
        <f t="shared" si="32"/>
        <v>2</v>
      </c>
      <c r="BZ14" s="22">
        <f>SUM(CA14*2)+(CB14*1) + SUMIFS(MATCH_INPUT!$G$26:$G$29, MATCH_INPUT!$F$26:$F$29, BW14) + SUMIFS(MATCH_INPUT!$I$26:$I$29, MATCH_INPUT!$J$26:$J$29, BW14)
</f>
        <v>5</v>
      </c>
      <c r="CA14" s="22">
        <f>IF(BW14&lt;&gt;"",
    COUNTIFS(MATCH_INPUT!$K$26:$K$29,BW14),
0)</f>
        <v>1</v>
      </c>
      <c r="CB14" s="22">
        <f>IF(BW14&lt;&gt;"",
    COUNTIFS(MATCH_INPUT!$F$26:$F$29, BW14, MATCH_INPUT!$K$26:$K$29, "Draw") +
    COUNTIFS(MATCH_INPUT!$J$26:$J$29, BW14, MATCH_INPUT!$K$26:$K$29, "Draw"),
0)</f>
        <v>0</v>
      </c>
      <c r="CC14" s="22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1</v>
      </c>
      <c r="CD14" s="23"/>
      <c r="CE14" s="23">
        <v>1.0</v>
      </c>
      <c r="CF14" s="33"/>
      <c r="CG14" s="25">
        <f t="shared" si="33"/>
        <v>8</v>
      </c>
      <c r="CH14" s="26" t="str">
        <f t="shared" si="34"/>
        <v>↑</v>
      </c>
      <c r="CI14" s="27" t="s">
        <v>139</v>
      </c>
      <c r="CJ14" s="28">
        <f t="shared" si="35"/>
        <v>41</v>
      </c>
      <c r="CK14" s="28">
        <f t="shared" si="36"/>
        <v>2</v>
      </c>
      <c r="CL14" s="28">
        <f>SUM(CM14*2)+(CN14*1) + SUMIFS(MATCH_INPUT!$G$30:$G$33, MATCH_INPUT!$F$30:$F$33, CI14) + SUMIFS(MATCH_INPUT!$I$30:$I$33, MATCH_INPUT!$J$30:$J$33, CI14)
</f>
        <v>2</v>
      </c>
      <c r="CM14" s="28">
        <f>IF(CI14&lt;&gt;"",
    COUNTIFS(MATCH_INPUT!$K$30:$K$33,CI14),
0)</f>
        <v>0</v>
      </c>
      <c r="CN14" s="28">
        <f>IF(CI14&lt;&gt;"",
    COUNTIFS(MATCH_INPUT!$F$30:$F$33, CI14, MATCH_INPUT!$K$30:$K$33, "Draw") +
    COUNTIFS(MATCH_INPUT!$J$30:$J$33, CI14, MATCH_INPUT!$K$30:$K$33, "Draw"),
0)</f>
        <v>1</v>
      </c>
      <c r="CO14" s="28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1</v>
      </c>
      <c r="CP14" s="29"/>
      <c r="CQ14" s="29"/>
      <c r="CR14" s="20"/>
      <c r="CS14" s="34">
        <f t="shared" si="37"/>
        <v>10</v>
      </c>
      <c r="CT14" s="34" t="str">
        <f t="shared" si="38"/>
        <v>↓</v>
      </c>
      <c r="CU14" s="35">
        <f t="shared" si="39"/>
        <v>23</v>
      </c>
      <c r="CV14" s="35" t="str">
        <f t="shared" ref="CV14:CW14" si="63">A14</f>
        <v>🍀 </v>
      </c>
      <c r="CW14" s="36" t="str">
        <f t="shared" si="63"/>
        <v>Fer</v>
      </c>
      <c r="CX14" s="36">
        <f t="shared" si="41"/>
        <v>41</v>
      </c>
      <c r="CY14" s="35">
        <f>SUM(
  IF(AND('MATCH DATES'!$A$2 &lt;= TODAY(), NOW() &gt;= 'MATCH DATES'!$A$2 + TIME(22, 0, 0)), E14, 0),
  IF(AND('MATCH DATES'!$A$3 &lt;= TODAY(), NOW() &gt;= 'MATCH DATES'!$A$3 + TIME(22, 0, 0)), Q14, 0),
  IF(AND('MATCH DATES'!$A$4 &lt;= TODAY(), NOW() &gt;= 'MATCH DATES'!$A$4 + TIME(22, 0, 0)), AC14, 0),
  IF(AND('MATCH DATES'!$A$5 &lt;= TODAY(), NOW() &gt;= 'MATCH DATES'!$A$5 + TIME(22, 0, 0)), AO14, 0),
  IF(AND('MATCH DATES'!$A$6 &lt;= TODAY(), NOW() &gt;= 'MATCH DATES'!$A$6 + TIME(22, 0, 0)), BA14, 0),
  IF(AND('MATCH DATES'!$A$7 &lt;= TODAY(), NOW() &gt;= 'MATCH DATES'!$A$7 + TIME(22, 0, 0)), BM14, 0),
  IF(AND('MATCH DATES'!$A$8 &lt;= TODAY(), NOW() &gt;= 'MATCH DATES'!$A$8 + TIME(22, 0, 0)), BY14, 0),
  IF(AND('MATCH DATES'!$A$9 &lt;= TODAY(), NOW() &gt;= 'MATCH DATES'!$A$9 + TIME(22, 0, 0)), CK14, 0)
)
</f>
        <v>14</v>
      </c>
      <c r="CZ14" s="36">
        <f t="shared" ref="CZ14:DA14" si="64">SUM(G14,S14,AE14,AQ14,BC14,BO14,CA14,CM14)</f>
        <v>5</v>
      </c>
      <c r="DA14" s="36">
        <f t="shared" si="64"/>
        <v>4</v>
      </c>
      <c r="DB14" s="36">
        <f>SUM(
  IF(AND('MATCH DATES'!$A$2 &lt;= TODAY(), NOW() &gt;= 'MATCH DATES'!$A$2 + TIME(22, 0, 0)), I14, 0),
  IF(AND('MATCH DATES'!$A$3 &lt;= TODAY(), NOW() &gt;= 'MATCH DATES'!$A$3 + TIME(22, 0, 0)), U14, 0),
  IF(AND('MATCH DATES'!$A$4 &lt;= TODAY(), NOW() &gt;= 'MATCH DATES'!$A$4 + TIME(22, 0, 0)), AG14, 0),
  IF(AND('MATCH DATES'!$A$5 &lt;= TODAY(), NOW() &gt;= 'MATCH DATES'!$A$5 + TIME(22, 0, 0)), AS14, 0),
  IF(AND('MATCH DATES'!$A$6 &lt;= TODAY(), NOW() &gt;= 'MATCH DATES'!$A$6 + TIME(22, 0, 0)), BE14, 0),
  IF(AND('MATCH DATES'!$A$7 &lt;= TODAY(), NOW() &gt;= 'MATCH DATES'!$A$7 + TIME(22, 0, 0)), BQ14, 0),
  IF(AND('MATCH DATES'!$A$8 &lt;= TODAY(), NOW() &gt;= 'MATCH DATES'!$A$8 + TIME(22, 0, 0)), CC14, 0),
  IF(AND('MATCH DATES'!$A$9 &lt;= TODAY(), NOW() &gt;= 'MATCH DATES'!$A$9 + TIME(22, 0, 0)), CO14, 0)
)</f>
        <v>5</v>
      </c>
      <c r="DD14" s="36">
        <f t="shared" si="43"/>
        <v>4</v>
      </c>
      <c r="DF14" s="36">
        <f t="shared" si="44"/>
        <v>2</v>
      </c>
    </row>
    <row r="15" ht="24.75" customHeight="1">
      <c r="A15" s="19" t="s">
        <v>137</v>
      </c>
      <c r="B15" s="20" t="s">
        <v>154</v>
      </c>
      <c r="C15" s="21" t="s">
        <v>139</v>
      </c>
      <c r="D15" s="22">
        <f t="shared" si="3"/>
        <v>6</v>
      </c>
      <c r="E15" s="22">
        <f t="shared" si="4"/>
        <v>2</v>
      </c>
      <c r="F15" s="22">
        <f t="shared" si="5"/>
        <v>4</v>
      </c>
      <c r="G15" s="22">
        <f>IF(C15&lt;&gt;"",
    COUNTIFS(MATCH_INPUT!$K$2:$K$5,C15),
0)</f>
        <v>2</v>
      </c>
      <c r="H15" s="22">
        <f>IF(C15&lt;&gt;"",
    COUNTIFS(MATCH_INPUT!$F$2:$F$5, C15, MATCH_INPUT!$K$2:$K$5, "Draw") +
    COUNTIFS(MATCH_INPUT!$J$2:$J$5, C15, MATCH_INPUT!$K$2:$K$5, "Draw"),
0)</f>
        <v>0</v>
      </c>
      <c r="I15" s="22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0</v>
      </c>
      <c r="J15" s="23">
        <v>1.0</v>
      </c>
      <c r="K15" s="23"/>
      <c r="L15" s="24"/>
      <c r="M15" s="25">
        <f t="shared" si="6"/>
        <v>2</v>
      </c>
      <c r="N15" s="26" t="str">
        <f t="shared" si="7"/>
        <v>↓</v>
      </c>
      <c r="O15" s="27" t="s">
        <v>141</v>
      </c>
      <c r="P15" s="28">
        <f t="shared" si="8"/>
        <v>8</v>
      </c>
      <c r="Q15" s="28">
        <f t="shared" si="9"/>
        <v>2</v>
      </c>
      <c r="R15" s="28">
        <f t="shared" si="10"/>
        <v>0</v>
      </c>
      <c r="S15" s="28">
        <f>IF(O15&lt;&gt;"",
    COUNTIFS(MATCH_INPUT!$K$6:$K$9,O15),
0)</f>
        <v>0</v>
      </c>
      <c r="T15" s="28">
        <f>IF(O15&lt;&gt;"",
    COUNTIFS(MATCH_INPUT!$F$6:$F$9, O15, MATCH_INPUT!$K$6:$K$9, "Draw") +
    COUNTIFS(MATCH_INPUT!$J$6:$J$9, O15, MATCH_INPUT!$K$6:$K$9, "Draw"),
0)</f>
        <v>0</v>
      </c>
      <c r="U15" s="28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2</v>
      </c>
      <c r="V15" s="29">
        <v>1.0</v>
      </c>
      <c r="W15" s="29"/>
      <c r="X15" s="20"/>
      <c r="Y15" s="30">
        <f t="shared" si="11"/>
        <v>17</v>
      </c>
      <c r="Z15" s="31" t="str">
        <f t="shared" si="12"/>
        <v>↓</v>
      </c>
      <c r="AA15" s="21" t="s">
        <v>139</v>
      </c>
      <c r="AB15" s="32">
        <f t="shared" si="13"/>
        <v>12</v>
      </c>
      <c r="AC15" s="22">
        <f t="shared" si="14"/>
        <v>2</v>
      </c>
      <c r="AD15" s="22">
        <f t="shared" si="15"/>
        <v>2</v>
      </c>
      <c r="AE15" s="22">
        <f>IF(AA15&lt;&gt;"",
    COUNTIFS(MATCH_INPUT!$K$10:$K$13,AA15),
0)</f>
        <v>0</v>
      </c>
      <c r="AF15" s="22">
        <f>IF(AA15&lt;&gt;"",
    COUNTIFS(MATCH_INPUT!$F$10:$F$13, AA15, MATCH_INPUT!$K$10:$K$13, "Draw") +
    COUNTIFS(MATCH_INPUT!$J$10:$J$13, AA15, MATCH_INPUT!$K$10:$K$13, "Draw"),
0)</f>
        <v>2</v>
      </c>
      <c r="AG15" s="22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0</v>
      </c>
      <c r="AH15" s="23"/>
      <c r="AI15" s="23"/>
      <c r="AJ15" s="33"/>
      <c r="AK15" s="25">
        <f t="shared" si="16"/>
        <v>17</v>
      </c>
      <c r="AL15" s="26" t="str">
        <f t="shared" si="17"/>
        <v>=</v>
      </c>
      <c r="AM15" s="27" t="s">
        <v>140</v>
      </c>
      <c r="AN15" s="28">
        <f t="shared" si="18"/>
        <v>18</v>
      </c>
      <c r="AO15" s="28">
        <f t="shared" si="19"/>
        <v>2</v>
      </c>
      <c r="AP15" s="28">
        <f t="shared" si="20"/>
        <v>4</v>
      </c>
      <c r="AQ15" s="28">
        <f>IF(AM15&lt;&gt;"",
    COUNTIFS(MATCH_INPUT!$K$14:$K$17,AM15),
0)</f>
        <v>2</v>
      </c>
      <c r="AR15" s="28">
        <f>IF(AM15&lt;&gt;"",
    COUNTIFS(MATCH_INPUT!$F$14:$F$17, AM15, MATCH_INPUT!$K$14:$K$17, "Draw") +
    COUNTIFS(MATCH_INPUT!$J$14:$J$17, AM15, MATCH_INPUT!$K$14:$K$17, "Draw"),
0)</f>
        <v>0</v>
      </c>
      <c r="AS15" s="28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0</v>
      </c>
      <c r="AT15" s="29">
        <v>1.0</v>
      </c>
      <c r="AU15" s="29"/>
      <c r="AV15" s="20"/>
      <c r="AW15" s="30">
        <f t="shared" si="21"/>
        <v>4</v>
      </c>
      <c r="AX15" s="31" t="str">
        <f t="shared" si="22"/>
        <v>↑</v>
      </c>
      <c r="AY15" s="21" t="s">
        <v>142</v>
      </c>
      <c r="AZ15" s="32">
        <f t="shared" si="23"/>
        <v>25</v>
      </c>
      <c r="BA15" s="22">
        <f t="shared" si="24"/>
        <v>2</v>
      </c>
      <c r="BB15" s="22">
        <f>SUM(BC15*2) + (BD15*1) + SUMIFS(MATCH_INPUT!$G$18:$G$21, MATCH_INPUT!$F$18:$F$21, AY15) + SUMIFS(MATCH_INPUT!$I$18:$I$21, MATCH_INPUT!$J$18:$J$21, AY15)
</f>
        <v>5</v>
      </c>
      <c r="BC15" s="22">
        <f>IF(AY15&lt;&gt;"",
    COUNTIFS(MATCH_INPUT!$K$18:$K$21,AY15),
0)</f>
        <v>1</v>
      </c>
      <c r="BD15" s="22">
        <f>IF(AY15&lt;&gt;"",
    COUNTIFS(MATCH_INPUT!$F$18:$F$21, AY15, MATCH_INPUT!$K$18:$K$21, "Draw") +
    COUNTIFS(MATCH_INPUT!$J$18:$J$21, AY15, MATCH_INPUT!$K$18:$K$21, "Draw"),
0)</f>
        <v>0</v>
      </c>
      <c r="BE15" s="22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1</v>
      </c>
      <c r="BF15" s="23">
        <v>1.0</v>
      </c>
      <c r="BG15" s="23"/>
      <c r="BH15" s="33"/>
      <c r="BI15" s="25">
        <f t="shared" si="25"/>
        <v>8</v>
      </c>
      <c r="BJ15" s="26" t="str">
        <f t="shared" si="26"/>
        <v>↓</v>
      </c>
      <c r="BK15" s="27" t="s">
        <v>141</v>
      </c>
      <c r="BL15" s="28">
        <f t="shared" si="27"/>
        <v>27</v>
      </c>
      <c r="BM15" s="28">
        <f t="shared" si="28"/>
        <v>2</v>
      </c>
      <c r="BN15" s="28">
        <f>SUM(BO15*2) + (BP15*1) + SUMIFS(MATCH_INPUT!$G$22:$G$25, MATCH_INPUT!$F$22:$F$25, BK15) + SUMIFS(MATCH_INPUT!$I$22:$I$25, MATCH_INPUT!$J$22:$J$25, BK15)
</f>
        <v>0</v>
      </c>
      <c r="BO15" s="28">
        <f>IF(BK15&lt;&gt;"",
    COUNTIFS(MATCH_INPUT!$K$22:$K$25,BK15),
0)</f>
        <v>0</v>
      </c>
      <c r="BP15" s="28">
        <f>IF(BK15&lt;&gt;"",
    COUNTIFS(MATCH_INPUT!$F$22:$F$25, BK15, MATCH_INPUT!$K$22:$K$25, "Draw") +
    COUNTIFS(MATCH_INPUT!$J$22:$J$25, BK15, MATCH_INPUT!$K$22:$K$25, "Draw"),
0)</f>
        <v>0</v>
      </c>
      <c r="BQ15" s="28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2</v>
      </c>
      <c r="BR15" s="29"/>
      <c r="BS15" s="29"/>
      <c r="BT15" s="20"/>
      <c r="BU15" s="30">
        <f t="shared" si="29"/>
        <v>19</v>
      </c>
      <c r="BV15" s="31" t="str">
        <f t="shared" si="30"/>
        <v>↓</v>
      </c>
      <c r="BW15" s="21" t="s">
        <v>141</v>
      </c>
      <c r="BX15" s="32">
        <f t="shared" si="31"/>
        <v>36</v>
      </c>
      <c r="BY15" s="22">
        <f t="shared" si="32"/>
        <v>2</v>
      </c>
      <c r="BZ15" s="22">
        <f>SUM(CA15*2)+(CB15*1) + SUMIFS(MATCH_INPUT!$G$26:$G$29, MATCH_INPUT!$F$26:$F$29, BW15) + SUMIFS(MATCH_INPUT!$I$26:$I$29, MATCH_INPUT!$J$26:$J$29, BW15)
</f>
        <v>7</v>
      </c>
      <c r="CA15" s="22">
        <f>IF(BW15&lt;&gt;"",
    COUNTIFS(MATCH_INPUT!$K$26:$K$29,BW15),
0)</f>
        <v>1</v>
      </c>
      <c r="CB15" s="22">
        <f>IF(BW15&lt;&gt;"",
    COUNTIFS(MATCH_INPUT!$F$26:$F$29, BW15, MATCH_INPUT!$K$26:$K$29, "Draw") +
    COUNTIFS(MATCH_INPUT!$J$26:$J$29, BW15, MATCH_INPUT!$K$26:$K$29, "Draw"),
0)</f>
        <v>1</v>
      </c>
      <c r="CC15" s="22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0</v>
      </c>
      <c r="CD15" s="23">
        <v>1.0</v>
      </c>
      <c r="CE15" s="23"/>
      <c r="CF15" s="33"/>
      <c r="CG15" s="25">
        <f t="shared" si="33"/>
        <v>10</v>
      </c>
      <c r="CH15" s="26" t="str">
        <f t="shared" si="34"/>
        <v>↑</v>
      </c>
      <c r="CI15" s="27" t="s">
        <v>140</v>
      </c>
      <c r="CJ15" s="28">
        <f t="shared" si="35"/>
        <v>40</v>
      </c>
      <c r="CK15" s="28">
        <f t="shared" si="36"/>
        <v>2</v>
      </c>
      <c r="CL15" s="28">
        <f>SUM(CM15*2)+(CN15*1) + SUMIFS(MATCH_INPUT!$G$30:$G$33, MATCH_INPUT!$F$30:$F$33, CI15) + SUMIFS(MATCH_INPUT!$I$30:$I$33, MATCH_INPUT!$J$30:$J$33, CI15)
</f>
        <v>2</v>
      </c>
      <c r="CM15" s="28">
        <f>IF(CI15&lt;&gt;"",
    COUNTIFS(MATCH_INPUT!$K$30:$K$33,CI15),
0)</f>
        <v>0</v>
      </c>
      <c r="CN15" s="28">
        <f>IF(CI15&lt;&gt;"",
    COUNTIFS(MATCH_INPUT!$F$30:$F$33, CI15, MATCH_INPUT!$K$30:$K$33, "Draw") +
    COUNTIFS(MATCH_INPUT!$J$30:$J$33, CI15, MATCH_INPUT!$K$30:$K$33, "Draw"),
0)</f>
        <v>1</v>
      </c>
      <c r="CO15" s="28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1</v>
      </c>
      <c r="CP15" s="29"/>
      <c r="CQ15" s="29"/>
      <c r="CR15" s="20"/>
      <c r="CS15" s="34">
        <f t="shared" si="37"/>
        <v>13</v>
      </c>
      <c r="CT15" s="34" t="str">
        <f t="shared" si="38"/>
        <v>↓</v>
      </c>
      <c r="CU15" s="35">
        <f t="shared" si="39"/>
        <v>24</v>
      </c>
      <c r="CV15" s="35" t="str">
        <f t="shared" ref="CV15:CW15" si="65">A15</f>
        <v>🍀 </v>
      </c>
      <c r="CW15" s="36" t="str">
        <f t="shared" si="65"/>
        <v>Gerardo</v>
      </c>
      <c r="CX15" s="36">
        <f t="shared" si="41"/>
        <v>40</v>
      </c>
      <c r="CY15" s="35">
        <f>SUM(
  IF(AND('MATCH DATES'!$A$2 &lt;= TODAY(), NOW() &gt;= 'MATCH DATES'!$A$2 + TIME(22, 0, 0)), E15, 0),
  IF(AND('MATCH DATES'!$A$3 &lt;= TODAY(), NOW() &gt;= 'MATCH DATES'!$A$3 + TIME(22, 0, 0)), Q15, 0),
  IF(AND('MATCH DATES'!$A$4 &lt;= TODAY(), NOW() &gt;= 'MATCH DATES'!$A$4 + TIME(22, 0, 0)), AC15, 0),
  IF(AND('MATCH DATES'!$A$5 &lt;= TODAY(), NOW() &gt;= 'MATCH DATES'!$A$5 + TIME(22, 0, 0)), AO15, 0),
  IF(AND('MATCH DATES'!$A$6 &lt;= TODAY(), NOW() &gt;= 'MATCH DATES'!$A$6 + TIME(22, 0, 0)), BA15, 0),
  IF(AND('MATCH DATES'!$A$7 &lt;= TODAY(), NOW() &gt;= 'MATCH DATES'!$A$7 + TIME(22, 0, 0)), BM15, 0),
  IF(AND('MATCH DATES'!$A$8 &lt;= TODAY(), NOW() &gt;= 'MATCH DATES'!$A$8 + TIME(22, 0, 0)), BY15, 0),
  IF(AND('MATCH DATES'!$A$9 &lt;= TODAY(), NOW() &gt;= 'MATCH DATES'!$A$9 + TIME(22, 0, 0)), CK15, 0)
)
</f>
        <v>16</v>
      </c>
      <c r="CZ15" s="36">
        <f t="shared" ref="CZ15:DA15" si="66">SUM(G15,S15,AE15,AQ15,BC15,BO15,CA15,CM15)</f>
        <v>6</v>
      </c>
      <c r="DA15" s="36">
        <f t="shared" si="66"/>
        <v>4</v>
      </c>
      <c r="DB15" s="36">
        <f>SUM(
  IF(AND('MATCH DATES'!$A$2 &lt;= TODAY(), NOW() &gt;= 'MATCH DATES'!$A$2 + TIME(22, 0, 0)), I15, 0),
  IF(AND('MATCH DATES'!$A$3 &lt;= TODAY(), NOW() &gt;= 'MATCH DATES'!$A$3 + TIME(22, 0, 0)), U15, 0),
  IF(AND('MATCH DATES'!$A$4 &lt;= TODAY(), NOW() &gt;= 'MATCH DATES'!$A$4 + TIME(22, 0, 0)), AG15, 0),
  IF(AND('MATCH DATES'!$A$5 &lt;= TODAY(), NOW() &gt;= 'MATCH DATES'!$A$5 + TIME(22, 0, 0)), AS15, 0),
  IF(AND('MATCH DATES'!$A$6 &lt;= TODAY(), NOW() &gt;= 'MATCH DATES'!$A$6 + TIME(22, 0, 0)), BE15, 0),
  IF(AND('MATCH DATES'!$A$7 &lt;= TODAY(), NOW() &gt;= 'MATCH DATES'!$A$7 + TIME(22, 0, 0)), BQ15, 0),
  IF(AND('MATCH DATES'!$A$8 &lt;= TODAY(), NOW() &gt;= 'MATCH DATES'!$A$8 + TIME(22, 0, 0)), CC15, 0),
  IF(AND('MATCH DATES'!$A$9 &lt;= TODAY(), NOW() &gt;= 'MATCH DATES'!$A$9 + TIME(22, 0, 0)), CO15, 0)
)</f>
        <v>6</v>
      </c>
      <c r="DD15" s="36">
        <f t="shared" si="43"/>
        <v>0</v>
      </c>
      <c r="DF15" s="36">
        <f t="shared" si="44"/>
        <v>0</v>
      </c>
    </row>
    <row r="16" ht="24.75" customHeight="1">
      <c r="A16" s="19" t="s">
        <v>137</v>
      </c>
      <c r="B16" s="20" t="s">
        <v>155</v>
      </c>
      <c r="C16" s="21" t="s">
        <v>139</v>
      </c>
      <c r="D16" s="22">
        <f t="shared" si="3"/>
        <v>6</v>
      </c>
      <c r="E16" s="22">
        <f t="shared" si="4"/>
        <v>2</v>
      </c>
      <c r="F16" s="22">
        <f t="shared" si="5"/>
        <v>4</v>
      </c>
      <c r="G16" s="22">
        <f>IF(C16&lt;&gt;"",
    COUNTIFS(MATCH_INPUT!$K$2:$K$5,C16),
0)</f>
        <v>2</v>
      </c>
      <c r="H16" s="22">
        <f>IF(C16&lt;&gt;"",
    COUNTIFS(MATCH_INPUT!$F$2:$F$5, C16, MATCH_INPUT!$K$2:$K$5, "Draw") +
    COUNTIFS(MATCH_INPUT!$J$2:$J$5, C16, MATCH_INPUT!$K$2:$K$5, "Draw"),
0)</f>
        <v>0</v>
      </c>
      <c r="I16" s="22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0</v>
      </c>
      <c r="J16" s="23">
        <v>1.0</v>
      </c>
      <c r="K16" s="23"/>
      <c r="L16" s="24"/>
      <c r="M16" s="25">
        <f t="shared" si="6"/>
        <v>2</v>
      </c>
      <c r="N16" s="26" t="str">
        <f t="shared" si="7"/>
        <v>↓</v>
      </c>
      <c r="O16" s="27" t="s">
        <v>141</v>
      </c>
      <c r="P16" s="28">
        <f t="shared" si="8"/>
        <v>8</v>
      </c>
      <c r="Q16" s="28">
        <f t="shared" si="9"/>
        <v>2</v>
      </c>
      <c r="R16" s="28">
        <f t="shared" si="10"/>
        <v>0</v>
      </c>
      <c r="S16" s="28">
        <f>IF(O16&lt;&gt;"",
    COUNTIFS(MATCH_INPUT!$K$6:$K$9,O16),
0)</f>
        <v>0</v>
      </c>
      <c r="T16" s="28">
        <f>IF(O16&lt;&gt;"",
    COUNTIFS(MATCH_INPUT!$F$6:$F$9, O16, MATCH_INPUT!$K$6:$K$9, "Draw") +
    COUNTIFS(MATCH_INPUT!$J$6:$J$9, O16, MATCH_INPUT!$K$6:$K$9, "Draw"),
0)</f>
        <v>0</v>
      </c>
      <c r="U16" s="28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2</v>
      </c>
      <c r="V16" s="29">
        <v>1.0</v>
      </c>
      <c r="W16" s="29"/>
      <c r="X16" s="20"/>
      <c r="Y16" s="30">
        <f t="shared" si="11"/>
        <v>17</v>
      </c>
      <c r="Z16" s="31" t="str">
        <f t="shared" si="12"/>
        <v>↓</v>
      </c>
      <c r="AA16" s="21" t="s">
        <v>142</v>
      </c>
      <c r="AB16" s="32">
        <f t="shared" si="13"/>
        <v>12</v>
      </c>
      <c r="AC16" s="22">
        <f t="shared" si="14"/>
        <v>2</v>
      </c>
      <c r="AD16" s="22">
        <f t="shared" si="15"/>
        <v>2</v>
      </c>
      <c r="AE16" s="22">
        <f>IF(AA16&lt;&gt;"",
    COUNTIFS(MATCH_INPUT!$K$10:$K$13,AA16),
0)</f>
        <v>0</v>
      </c>
      <c r="AF16" s="22">
        <f>IF(AA16&lt;&gt;"",
    COUNTIFS(MATCH_INPUT!$F$10:$F$13, AA16, MATCH_INPUT!$K$10:$K$13, "Draw") +
    COUNTIFS(MATCH_INPUT!$J$10:$J$13, AA16, MATCH_INPUT!$K$10:$K$13, "Draw"),
0)</f>
        <v>2</v>
      </c>
      <c r="AG16" s="22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0</v>
      </c>
      <c r="AH16" s="23"/>
      <c r="AI16" s="23"/>
      <c r="AJ16" s="33"/>
      <c r="AK16" s="25">
        <f t="shared" si="16"/>
        <v>17</v>
      </c>
      <c r="AL16" s="26" t="str">
        <f t="shared" si="17"/>
        <v>=</v>
      </c>
      <c r="AM16" s="27" t="s">
        <v>142</v>
      </c>
      <c r="AN16" s="28">
        <f t="shared" si="18"/>
        <v>15</v>
      </c>
      <c r="AO16" s="28">
        <f t="shared" si="19"/>
        <v>2</v>
      </c>
      <c r="AP16" s="28">
        <f t="shared" si="20"/>
        <v>1</v>
      </c>
      <c r="AQ16" s="28">
        <f>IF(AM16&lt;&gt;"",
    COUNTIFS(MATCH_INPUT!$K$14:$K$17,AM16),
0)</f>
        <v>0</v>
      </c>
      <c r="AR16" s="28">
        <f>IF(AM16&lt;&gt;"",
    COUNTIFS(MATCH_INPUT!$F$14:$F$17, AM16, MATCH_INPUT!$K$14:$K$17, "Draw") +
    COUNTIFS(MATCH_INPUT!$J$14:$J$17, AM16, MATCH_INPUT!$K$14:$K$17, "Draw"),
0)</f>
        <v>1</v>
      </c>
      <c r="AS16" s="28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1</v>
      </c>
      <c r="AT16" s="29">
        <v>2.0</v>
      </c>
      <c r="AU16" s="29"/>
      <c r="AV16" s="20"/>
      <c r="AW16" s="30">
        <f t="shared" si="21"/>
        <v>19</v>
      </c>
      <c r="AX16" s="31" t="str">
        <f t="shared" si="22"/>
        <v>↓</v>
      </c>
      <c r="AY16" s="21" t="s">
        <v>140</v>
      </c>
      <c r="AZ16" s="32">
        <f t="shared" si="23"/>
        <v>21</v>
      </c>
      <c r="BA16" s="22">
        <f t="shared" si="24"/>
        <v>2</v>
      </c>
      <c r="BB16" s="22">
        <f>SUM(BC16*2) + (BD16*1) + SUMIFS(MATCH_INPUT!$G$18:$G$21, MATCH_INPUT!$F$18:$F$21, AY16) + SUMIFS(MATCH_INPUT!$I$18:$I$21, MATCH_INPUT!$J$18:$J$21, AY16)
</f>
        <v>4</v>
      </c>
      <c r="BC16" s="22">
        <f>IF(AY16&lt;&gt;"",
    COUNTIFS(MATCH_INPUT!$K$18:$K$21,AY16),
0)</f>
        <v>0</v>
      </c>
      <c r="BD16" s="22">
        <f>IF(AY16&lt;&gt;"",
    COUNTIFS(MATCH_INPUT!$F$18:$F$21, AY16, MATCH_INPUT!$K$18:$K$21, "Draw") +
    COUNTIFS(MATCH_INPUT!$J$18:$J$21, AY16, MATCH_INPUT!$K$18:$K$21, "Draw"),
0)</f>
        <v>1</v>
      </c>
      <c r="BE16" s="22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1</v>
      </c>
      <c r="BF16" s="23">
        <v>1.0</v>
      </c>
      <c r="BG16" s="23"/>
      <c r="BH16" s="33"/>
      <c r="BI16" s="25">
        <f t="shared" si="25"/>
        <v>20</v>
      </c>
      <c r="BJ16" s="26" t="str">
        <f t="shared" si="26"/>
        <v>↓</v>
      </c>
      <c r="BK16" s="27" t="s">
        <v>142</v>
      </c>
      <c r="BL16" s="28">
        <f t="shared" si="27"/>
        <v>28</v>
      </c>
      <c r="BM16" s="28">
        <f t="shared" si="28"/>
        <v>2</v>
      </c>
      <c r="BN16" s="28">
        <f>SUM(BO16*2) + (BP16*1) + SUMIFS(MATCH_INPUT!$G$22:$G$25, MATCH_INPUT!$F$22:$F$25, BK16) + SUMIFS(MATCH_INPUT!$I$22:$I$25, MATCH_INPUT!$J$22:$J$25, BK16)
</f>
        <v>5</v>
      </c>
      <c r="BO16" s="28">
        <f>IF(BK16&lt;&gt;"",
    COUNTIFS(MATCH_INPUT!$K$22:$K$25,BK16),
0)</f>
        <v>1</v>
      </c>
      <c r="BP16" s="28">
        <f>IF(BK16&lt;&gt;"",
    COUNTIFS(MATCH_INPUT!$F$22:$F$25, BK16, MATCH_INPUT!$K$22:$K$25, "Draw") +
    COUNTIFS(MATCH_INPUT!$J$22:$J$25, BK16, MATCH_INPUT!$K$22:$K$25, "Draw"),
0)</f>
        <v>1</v>
      </c>
      <c r="BQ16" s="28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0</v>
      </c>
      <c r="BR16" s="29">
        <v>1.0</v>
      </c>
      <c r="BS16" s="29"/>
      <c r="BT16" s="20"/>
      <c r="BU16" s="30">
        <f t="shared" si="29"/>
        <v>15</v>
      </c>
      <c r="BV16" s="31" t="str">
        <f t="shared" si="30"/>
        <v>↑</v>
      </c>
      <c r="BW16" s="21" t="s">
        <v>142</v>
      </c>
      <c r="BX16" s="32">
        <f t="shared" si="31"/>
        <v>33</v>
      </c>
      <c r="BY16" s="22">
        <f t="shared" si="32"/>
        <v>2</v>
      </c>
      <c r="BZ16" s="22">
        <f>SUM(CA16*2)+(CB16*1) + SUMIFS(MATCH_INPUT!$G$26:$G$29, MATCH_INPUT!$F$26:$F$29, BW16) + SUMIFS(MATCH_INPUT!$I$26:$I$29, MATCH_INPUT!$J$26:$J$29, BW16)
</f>
        <v>3</v>
      </c>
      <c r="CA16" s="22">
        <f>IF(BW16&lt;&gt;"",
    COUNTIFS(MATCH_INPUT!$K$26:$K$29,BW16),
0)</f>
        <v>0</v>
      </c>
      <c r="CB16" s="22">
        <f>IF(BW16&lt;&gt;"",
    COUNTIFS(MATCH_INPUT!$F$26:$F$29, BW16, MATCH_INPUT!$K$26:$K$29, "Draw") +
    COUNTIFS(MATCH_INPUT!$J$26:$J$29, BW16, MATCH_INPUT!$K$26:$K$29, "Draw"),
0)</f>
        <v>2</v>
      </c>
      <c r="CC16" s="22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0</v>
      </c>
      <c r="CD16" s="23"/>
      <c r="CE16" s="23"/>
      <c r="CF16" s="33"/>
      <c r="CG16" s="25">
        <f t="shared" si="33"/>
        <v>19</v>
      </c>
      <c r="CH16" s="26" t="str">
        <f t="shared" si="34"/>
        <v>↓</v>
      </c>
      <c r="CI16" s="27" t="s">
        <v>142</v>
      </c>
      <c r="CJ16" s="28">
        <f t="shared" si="35"/>
        <v>39</v>
      </c>
      <c r="CK16" s="28">
        <f t="shared" si="36"/>
        <v>2</v>
      </c>
      <c r="CL16" s="28">
        <f>SUM(CM16*2)+(CN16*1) + SUMIFS(MATCH_INPUT!$G$30:$G$33, MATCH_INPUT!$F$30:$F$33, CI16) + SUMIFS(MATCH_INPUT!$I$30:$I$33, MATCH_INPUT!$J$30:$J$33, CI16)
</f>
        <v>4</v>
      </c>
      <c r="CM16" s="28">
        <f>IF(CI16&lt;&gt;"",
    COUNTIFS(MATCH_INPUT!$K$30:$K$33,CI16),
0)</f>
        <v>1</v>
      </c>
      <c r="CN16" s="28">
        <f>IF(CI16&lt;&gt;"",
    COUNTIFS(MATCH_INPUT!$F$30:$F$33, CI16, MATCH_INPUT!$K$30:$K$33, "Draw") +
    COUNTIFS(MATCH_INPUT!$J$30:$J$33, CI16, MATCH_INPUT!$K$30:$K$33, "Draw"),
0)</f>
        <v>0</v>
      </c>
      <c r="CO16" s="28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1</v>
      </c>
      <c r="CP16" s="29">
        <v>1.0</v>
      </c>
      <c r="CQ16" s="29"/>
      <c r="CR16" s="20"/>
      <c r="CS16" s="34">
        <f t="shared" si="37"/>
        <v>14</v>
      </c>
      <c r="CT16" s="34" t="str">
        <f t="shared" si="38"/>
        <v>↑</v>
      </c>
      <c r="CU16" s="35">
        <f t="shared" si="39"/>
        <v>23</v>
      </c>
      <c r="CV16" s="35" t="str">
        <f t="shared" ref="CV16:CW16" si="67">A16</f>
        <v>🍀 </v>
      </c>
      <c r="CW16" s="36" t="str">
        <f t="shared" si="67"/>
        <v>Valverde</v>
      </c>
      <c r="CX16" s="36">
        <f t="shared" si="41"/>
        <v>39</v>
      </c>
      <c r="CY16" s="35">
        <f>SUM(
  IF(AND('MATCH DATES'!$A$2 &lt;= TODAY(), NOW() &gt;= 'MATCH DATES'!$A$2 + TIME(22, 0, 0)), E16, 0),
  IF(AND('MATCH DATES'!$A$3 &lt;= TODAY(), NOW() &gt;= 'MATCH DATES'!$A$3 + TIME(22, 0, 0)), Q16, 0),
  IF(AND('MATCH DATES'!$A$4 &lt;= TODAY(), NOW() &gt;= 'MATCH DATES'!$A$4 + TIME(22, 0, 0)), AC16, 0),
  IF(AND('MATCH DATES'!$A$5 &lt;= TODAY(), NOW() &gt;= 'MATCH DATES'!$A$5 + TIME(22, 0, 0)), AO16, 0),
  IF(AND('MATCH DATES'!$A$6 &lt;= TODAY(), NOW() &gt;= 'MATCH DATES'!$A$6 + TIME(22, 0, 0)), BA16, 0),
  IF(AND('MATCH DATES'!$A$7 &lt;= TODAY(), NOW() &gt;= 'MATCH DATES'!$A$7 + TIME(22, 0, 0)), BM16, 0),
  IF(AND('MATCH DATES'!$A$8 &lt;= TODAY(), NOW() &gt;= 'MATCH DATES'!$A$8 + TIME(22, 0, 0)), BY16, 0),
  IF(AND('MATCH DATES'!$A$9 &lt;= TODAY(), NOW() &gt;= 'MATCH DATES'!$A$9 + TIME(22, 0, 0)), CK16, 0)
)
</f>
        <v>16</v>
      </c>
      <c r="CZ16" s="36">
        <f t="shared" ref="CZ16:DA16" si="68">SUM(G16,S16,AE16,AQ16,BC16,BO16,CA16,CM16)</f>
        <v>4</v>
      </c>
      <c r="DA16" s="36">
        <f t="shared" si="68"/>
        <v>7</v>
      </c>
      <c r="DB16" s="36">
        <f>SUM(
  IF(AND('MATCH DATES'!$A$2 &lt;= TODAY(), NOW() &gt;= 'MATCH DATES'!$A$2 + TIME(22, 0, 0)), I16, 0),
  IF(AND('MATCH DATES'!$A$3 &lt;= TODAY(), NOW() &gt;= 'MATCH DATES'!$A$3 + TIME(22, 0, 0)), U16, 0),
  IF(AND('MATCH DATES'!$A$4 &lt;= TODAY(), NOW() &gt;= 'MATCH DATES'!$A$4 + TIME(22, 0, 0)), AG16, 0),
  IF(AND('MATCH DATES'!$A$5 &lt;= TODAY(), NOW() &gt;= 'MATCH DATES'!$A$5 + TIME(22, 0, 0)), AS16, 0),
  IF(AND('MATCH DATES'!$A$6 &lt;= TODAY(), NOW() &gt;= 'MATCH DATES'!$A$6 + TIME(22, 0, 0)), BE16, 0),
  IF(AND('MATCH DATES'!$A$7 &lt;= TODAY(), NOW() &gt;= 'MATCH DATES'!$A$7 + TIME(22, 0, 0)), BQ16, 0),
  IF(AND('MATCH DATES'!$A$8 &lt;= TODAY(), NOW() &gt;= 'MATCH DATES'!$A$8 + TIME(22, 0, 0)), CC16, 0),
  IF(AND('MATCH DATES'!$A$9 &lt;= TODAY(), NOW() &gt;= 'MATCH DATES'!$A$9 + TIME(22, 0, 0)), CO16, 0)
)</f>
        <v>5</v>
      </c>
      <c r="DD16" s="36">
        <f t="shared" si="43"/>
        <v>0</v>
      </c>
      <c r="DF16" s="36">
        <f t="shared" si="44"/>
        <v>0</v>
      </c>
    </row>
    <row r="17" ht="24.75" customHeight="1">
      <c r="A17" s="19" t="s">
        <v>137</v>
      </c>
      <c r="B17" s="20" t="s">
        <v>156</v>
      </c>
      <c r="C17" s="21" t="s">
        <v>142</v>
      </c>
      <c r="D17" s="22">
        <f t="shared" si="3"/>
        <v>2</v>
      </c>
      <c r="E17" s="22">
        <f t="shared" si="4"/>
        <v>2</v>
      </c>
      <c r="F17" s="22">
        <f t="shared" si="5"/>
        <v>0</v>
      </c>
      <c r="G17" s="22">
        <f>IF(C17&lt;&gt;"",
    COUNTIFS(MATCH_INPUT!$K$2:$K$5,C17),
0)</f>
        <v>0</v>
      </c>
      <c r="H17" s="22">
        <f>IF(C17&lt;&gt;"",
    COUNTIFS(MATCH_INPUT!$F$2:$F$5, C17, MATCH_INPUT!$K$2:$K$5, "Draw") +
    COUNTIFS(MATCH_INPUT!$J$2:$J$5, C17, MATCH_INPUT!$K$2:$K$5, "Draw"),
0)</f>
        <v>0</v>
      </c>
      <c r="I17" s="22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2</v>
      </c>
      <c r="J17" s="23"/>
      <c r="K17" s="23"/>
      <c r="L17" s="24"/>
      <c r="M17" s="25">
        <f t="shared" si="6"/>
        <v>26</v>
      </c>
      <c r="N17" s="26" t="str">
        <f t="shared" si="7"/>
        <v>↓</v>
      </c>
      <c r="O17" s="27" t="s">
        <v>141</v>
      </c>
      <c r="P17" s="28">
        <f t="shared" si="8"/>
        <v>4</v>
      </c>
      <c r="Q17" s="28">
        <f t="shared" si="9"/>
        <v>2</v>
      </c>
      <c r="R17" s="28">
        <f t="shared" si="10"/>
        <v>0</v>
      </c>
      <c r="S17" s="28">
        <f>IF(O17&lt;&gt;"",
    COUNTIFS(MATCH_INPUT!$K$6:$K$9,O17),
0)</f>
        <v>0</v>
      </c>
      <c r="T17" s="28">
        <f>IF(O17&lt;&gt;"",
    COUNTIFS(MATCH_INPUT!$F$6:$F$9, O17, MATCH_INPUT!$K$6:$K$9, "Draw") +
    COUNTIFS(MATCH_INPUT!$J$6:$J$9, O17, MATCH_INPUT!$K$6:$K$9, "Draw"),
0)</f>
        <v>0</v>
      </c>
      <c r="U17" s="28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2</v>
      </c>
      <c r="V17" s="29"/>
      <c r="W17" s="29"/>
      <c r="X17" s="20"/>
      <c r="Y17" s="30">
        <f t="shared" si="11"/>
        <v>31</v>
      </c>
      <c r="Z17" s="31" t="str">
        <f t="shared" si="12"/>
        <v>↓</v>
      </c>
      <c r="AA17" s="21" t="s">
        <v>140</v>
      </c>
      <c r="AB17" s="32">
        <f t="shared" si="13"/>
        <v>7</v>
      </c>
      <c r="AC17" s="22">
        <f t="shared" si="14"/>
        <v>2</v>
      </c>
      <c r="AD17" s="22">
        <f t="shared" si="15"/>
        <v>1</v>
      </c>
      <c r="AE17" s="22">
        <f>IF(AA17&lt;&gt;"",
    COUNTIFS(MATCH_INPUT!$K$10:$K$13,AA17),
0)</f>
        <v>0</v>
      </c>
      <c r="AF17" s="22">
        <f>IF(AA17&lt;&gt;"",
    COUNTIFS(MATCH_INPUT!$F$10:$F$13, AA17, MATCH_INPUT!$K$10:$K$13, "Draw") +
    COUNTIFS(MATCH_INPUT!$J$10:$J$13, AA17, MATCH_INPUT!$K$10:$K$13, "Draw"),
0)</f>
        <v>1</v>
      </c>
      <c r="AG17" s="22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1</v>
      </c>
      <c r="AH17" s="23"/>
      <c r="AI17" s="23"/>
      <c r="AJ17" s="33"/>
      <c r="AK17" s="25">
        <f t="shared" si="16"/>
        <v>31</v>
      </c>
      <c r="AL17" s="26" t="str">
        <f t="shared" si="17"/>
        <v>=</v>
      </c>
      <c r="AM17" s="27" t="s">
        <v>141</v>
      </c>
      <c r="AN17" s="28">
        <f t="shared" si="18"/>
        <v>11</v>
      </c>
      <c r="AO17" s="28">
        <f t="shared" si="19"/>
        <v>2</v>
      </c>
      <c r="AP17" s="28">
        <f t="shared" si="20"/>
        <v>2</v>
      </c>
      <c r="AQ17" s="28">
        <f>IF(AM17&lt;&gt;"",
    COUNTIFS(MATCH_INPUT!$K$14:$K$17,AM17),
0)</f>
        <v>0</v>
      </c>
      <c r="AR17" s="28">
        <f>IF(AM17&lt;&gt;"",
    COUNTIFS(MATCH_INPUT!$F$14:$F$17, AM17, MATCH_INPUT!$K$14:$K$17, "Draw") +
    COUNTIFS(MATCH_INPUT!$J$14:$J$17, AM17, MATCH_INPUT!$K$14:$K$17, "Draw"),
0)</f>
        <v>2</v>
      </c>
      <c r="AS17" s="28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0</v>
      </c>
      <c r="AT17" s="29"/>
      <c r="AU17" s="29"/>
      <c r="AV17" s="20"/>
      <c r="AW17" s="30">
        <f t="shared" si="21"/>
        <v>31</v>
      </c>
      <c r="AX17" s="31" t="str">
        <f t="shared" si="22"/>
        <v>=</v>
      </c>
      <c r="AY17" s="21" t="s">
        <v>141</v>
      </c>
      <c r="AZ17" s="32">
        <f t="shared" si="23"/>
        <v>23</v>
      </c>
      <c r="BA17" s="22">
        <f t="shared" si="24"/>
        <v>2</v>
      </c>
      <c r="BB17" s="22">
        <f>SUM(BC17*2) + (BD17*1) + SUMIFS(MATCH_INPUT!$G$18:$G$21, MATCH_INPUT!$F$18:$F$21, AY17) + SUMIFS(MATCH_INPUT!$I$18:$I$21, MATCH_INPUT!$J$18:$J$21, AY17)
</f>
        <v>10</v>
      </c>
      <c r="BC17" s="22">
        <f>IF(AY17&lt;&gt;"",
    COUNTIFS(MATCH_INPUT!$K$18:$K$21,AY17),
0)</f>
        <v>2</v>
      </c>
      <c r="BD17" s="22">
        <f>IF(AY17&lt;&gt;"",
    COUNTIFS(MATCH_INPUT!$F$18:$F$21, AY17, MATCH_INPUT!$K$18:$K$21, "Draw") +
    COUNTIFS(MATCH_INPUT!$J$18:$J$21, AY17, MATCH_INPUT!$K$18:$K$21, "Draw"),
0)</f>
        <v>0</v>
      </c>
      <c r="BE17" s="22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0</v>
      </c>
      <c r="BF17" s="23">
        <v>2.0</v>
      </c>
      <c r="BG17" s="23"/>
      <c r="BH17" s="33"/>
      <c r="BI17" s="25">
        <f t="shared" si="25"/>
        <v>14</v>
      </c>
      <c r="BJ17" s="26" t="str">
        <f t="shared" si="26"/>
        <v>↑</v>
      </c>
      <c r="BK17" s="27" t="s">
        <v>142</v>
      </c>
      <c r="BL17" s="28">
        <f t="shared" si="27"/>
        <v>30</v>
      </c>
      <c r="BM17" s="28">
        <f t="shared" si="28"/>
        <v>2</v>
      </c>
      <c r="BN17" s="28">
        <f>SUM(BO17*2) + (BP17*1) + SUMIFS(MATCH_INPUT!$G$22:$G$25, MATCH_INPUT!$F$22:$F$25, BK17) + SUMIFS(MATCH_INPUT!$I$22:$I$25, MATCH_INPUT!$J$22:$J$25, BK17)
</f>
        <v>5</v>
      </c>
      <c r="BO17" s="28">
        <f>IF(BK17&lt;&gt;"",
    COUNTIFS(MATCH_INPUT!$K$22:$K$25,BK17),
0)</f>
        <v>1</v>
      </c>
      <c r="BP17" s="28">
        <f>IF(BK17&lt;&gt;"",
    COUNTIFS(MATCH_INPUT!$F$22:$F$25, BK17, MATCH_INPUT!$K$22:$K$25, "Draw") +
    COUNTIFS(MATCH_INPUT!$J$22:$J$25, BK17, MATCH_INPUT!$K$22:$K$25, "Draw"),
0)</f>
        <v>1</v>
      </c>
      <c r="BQ17" s="28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0</v>
      </c>
      <c r="BR17" s="29">
        <v>1.0</v>
      </c>
      <c r="BS17" s="29"/>
      <c r="BT17" s="20"/>
      <c r="BU17" s="30">
        <f t="shared" si="29"/>
        <v>9</v>
      </c>
      <c r="BV17" s="31" t="str">
        <f t="shared" si="30"/>
        <v>↑</v>
      </c>
      <c r="BW17" s="21" t="s">
        <v>142</v>
      </c>
      <c r="BX17" s="32">
        <f t="shared" si="31"/>
        <v>35</v>
      </c>
      <c r="BY17" s="22">
        <f t="shared" si="32"/>
        <v>2</v>
      </c>
      <c r="BZ17" s="22">
        <f>SUM(CA17*2)+(CB17*1) + SUMIFS(MATCH_INPUT!$G$26:$G$29, MATCH_INPUT!$F$26:$F$29, BW17) + SUMIFS(MATCH_INPUT!$I$26:$I$29, MATCH_INPUT!$J$26:$J$29, BW17)
</f>
        <v>3</v>
      </c>
      <c r="CA17" s="22">
        <f>IF(BW17&lt;&gt;"",
    COUNTIFS(MATCH_INPUT!$K$26:$K$29,BW17),
0)</f>
        <v>0</v>
      </c>
      <c r="CB17" s="22">
        <f>IF(BW17&lt;&gt;"",
    COUNTIFS(MATCH_INPUT!$F$26:$F$29, BW17, MATCH_INPUT!$K$26:$K$29, "Draw") +
    COUNTIFS(MATCH_INPUT!$J$26:$J$29, BW17, MATCH_INPUT!$K$26:$K$29, "Draw"),
0)</f>
        <v>2</v>
      </c>
      <c r="CC17" s="22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0</v>
      </c>
      <c r="CD17" s="23"/>
      <c r="CE17" s="23"/>
      <c r="CF17" s="33"/>
      <c r="CG17" s="25">
        <f t="shared" si="33"/>
        <v>13</v>
      </c>
      <c r="CH17" s="26" t="str">
        <f t="shared" si="34"/>
        <v>↓</v>
      </c>
      <c r="CI17" s="27" t="s">
        <v>140</v>
      </c>
      <c r="CJ17" s="28">
        <f t="shared" si="35"/>
        <v>39</v>
      </c>
      <c r="CK17" s="28">
        <f t="shared" si="36"/>
        <v>2</v>
      </c>
      <c r="CL17" s="28">
        <f>SUM(CM17*2)+(CN17*1) + SUMIFS(MATCH_INPUT!$G$30:$G$33, MATCH_INPUT!$F$30:$F$33, CI17) + SUMIFS(MATCH_INPUT!$I$30:$I$33, MATCH_INPUT!$J$30:$J$33, CI17)
</f>
        <v>2</v>
      </c>
      <c r="CM17" s="28">
        <f>IF(CI17&lt;&gt;"",
    COUNTIFS(MATCH_INPUT!$K$30:$K$33,CI17),
0)</f>
        <v>0</v>
      </c>
      <c r="CN17" s="28">
        <f>IF(CI17&lt;&gt;"",
    COUNTIFS(MATCH_INPUT!$F$30:$F$33, CI17, MATCH_INPUT!$K$30:$K$33, "Draw") +
    COUNTIFS(MATCH_INPUT!$J$30:$J$33, CI17, MATCH_INPUT!$K$30:$K$33, "Draw"),
0)</f>
        <v>1</v>
      </c>
      <c r="CO17" s="28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1</v>
      </c>
      <c r="CP17" s="29"/>
      <c r="CQ17" s="29"/>
      <c r="CR17" s="20"/>
      <c r="CS17" s="34">
        <f t="shared" si="37"/>
        <v>14</v>
      </c>
      <c r="CT17" s="34" t="str">
        <f t="shared" si="38"/>
        <v>↓</v>
      </c>
      <c r="CU17" s="35">
        <f t="shared" si="39"/>
        <v>23</v>
      </c>
      <c r="CV17" s="35" t="str">
        <f t="shared" ref="CV17:CW17" si="69">A17</f>
        <v>🍀 </v>
      </c>
      <c r="CW17" s="36" t="str">
        <f t="shared" si="69"/>
        <v>Chato</v>
      </c>
      <c r="CX17" s="36">
        <f t="shared" si="41"/>
        <v>39</v>
      </c>
      <c r="CY17" s="35">
        <f>SUM(
  IF(AND('MATCH DATES'!$A$2 &lt;= TODAY(), NOW() &gt;= 'MATCH DATES'!$A$2 + TIME(22, 0, 0)), E17, 0),
  IF(AND('MATCH DATES'!$A$3 &lt;= TODAY(), NOW() &gt;= 'MATCH DATES'!$A$3 + TIME(22, 0, 0)), Q17, 0),
  IF(AND('MATCH DATES'!$A$4 &lt;= TODAY(), NOW() &gt;= 'MATCH DATES'!$A$4 + TIME(22, 0, 0)), AC17, 0),
  IF(AND('MATCH DATES'!$A$5 &lt;= TODAY(), NOW() &gt;= 'MATCH DATES'!$A$5 + TIME(22, 0, 0)), AO17, 0),
  IF(AND('MATCH DATES'!$A$6 &lt;= TODAY(), NOW() &gt;= 'MATCH DATES'!$A$6 + TIME(22, 0, 0)), BA17, 0),
  IF(AND('MATCH DATES'!$A$7 &lt;= TODAY(), NOW() &gt;= 'MATCH DATES'!$A$7 + TIME(22, 0, 0)), BM17, 0),
  IF(AND('MATCH DATES'!$A$8 &lt;= TODAY(), NOW() &gt;= 'MATCH DATES'!$A$8 + TIME(22, 0, 0)), BY17, 0),
  IF(AND('MATCH DATES'!$A$9 &lt;= TODAY(), NOW() &gt;= 'MATCH DATES'!$A$9 + TIME(22, 0, 0)), CK17, 0)
)
</f>
        <v>16</v>
      </c>
      <c r="CZ17" s="36">
        <f t="shared" ref="CZ17:DA17" si="70">SUM(G17,S17,AE17,AQ17,BC17,BO17,CA17,CM17)</f>
        <v>3</v>
      </c>
      <c r="DA17" s="36">
        <f t="shared" si="70"/>
        <v>7</v>
      </c>
      <c r="DB17" s="36">
        <f>SUM(
  IF(AND('MATCH DATES'!$A$2 &lt;= TODAY(), NOW() &gt;= 'MATCH DATES'!$A$2 + TIME(22, 0, 0)), I17, 0),
  IF(AND('MATCH DATES'!$A$3 &lt;= TODAY(), NOW() &gt;= 'MATCH DATES'!$A$3 + TIME(22, 0, 0)), U17, 0),
  IF(AND('MATCH DATES'!$A$4 &lt;= TODAY(), NOW() &gt;= 'MATCH DATES'!$A$4 + TIME(22, 0, 0)), AG17, 0),
  IF(AND('MATCH DATES'!$A$5 &lt;= TODAY(), NOW() &gt;= 'MATCH DATES'!$A$5 + TIME(22, 0, 0)), AS17, 0),
  IF(AND('MATCH DATES'!$A$6 &lt;= TODAY(), NOW() &gt;= 'MATCH DATES'!$A$6 + TIME(22, 0, 0)), BE17, 0),
  IF(AND('MATCH DATES'!$A$7 &lt;= TODAY(), NOW() &gt;= 'MATCH DATES'!$A$7 + TIME(22, 0, 0)), BQ17, 0),
  IF(AND('MATCH DATES'!$A$8 &lt;= TODAY(), NOW() &gt;= 'MATCH DATES'!$A$8 + TIME(22, 0, 0)), CC17, 0),
  IF(AND('MATCH DATES'!$A$9 &lt;= TODAY(), NOW() &gt;= 'MATCH DATES'!$A$9 + TIME(22, 0, 0)), CO17, 0)
)</f>
        <v>6</v>
      </c>
      <c r="DD17" s="36">
        <f t="shared" si="43"/>
        <v>0</v>
      </c>
      <c r="DF17" s="36">
        <f t="shared" si="44"/>
        <v>0</v>
      </c>
    </row>
    <row r="18" ht="24.75" customHeight="1">
      <c r="A18" s="19" t="s">
        <v>137</v>
      </c>
      <c r="B18" s="20" t="s">
        <v>157</v>
      </c>
      <c r="C18" s="21" t="s">
        <v>141</v>
      </c>
      <c r="D18" s="22">
        <f t="shared" si="3"/>
        <v>5</v>
      </c>
      <c r="E18" s="22">
        <f t="shared" si="4"/>
        <v>2</v>
      </c>
      <c r="F18" s="22">
        <f t="shared" si="5"/>
        <v>2</v>
      </c>
      <c r="G18" s="22">
        <f>IF(C18&lt;&gt;"",
    COUNTIFS(MATCH_INPUT!$K$2:$K$5,C18),
0)</f>
        <v>1</v>
      </c>
      <c r="H18" s="22">
        <f>IF(C18&lt;&gt;"",
    COUNTIFS(MATCH_INPUT!$F$2:$F$5, C18, MATCH_INPUT!$K$2:$K$5, "Draw") +
    COUNTIFS(MATCH_INPUT!$J$2:$J$5, C18, MATCH_INPUT!$K$2:$K$5, "Draw"),
0)</f>
        <v>0</v>
      </c>
      <c r="I18" s="22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1</v>
      </c>
      <c r="J18" s="23"/>
      <c r="K18" s="23">
        <v>1.0</v>
      </c>
      <c r="L18" s="24"/>
      <c r="M18" s="25">
        <f t="shared" si="6"/>
        <v>10</v>
      </c>
      <c r="N18" s="26" t="str">
        <f t="shared" si="7"/>
        <v>↓</v>
      </c>
      <c r="O18" s="27" t="s">
        <v>140</v>
      </c>
      <c r="P18" s="28">
        <f t="shared" si="8"/>
        <v>9</v>
      </c>
      <c r="Q18" s="28">
        <f t="shared" si="9"/>
        <v>2</v>
      </c>
      <c r="R18" s="28">
        <f t="shared" si="10"/>
        <v>1</v>
      </c>
      <c r="S18" s="28">
        <f>IF(O18&lt;&gt;"",
    COUNTIFS(MATCH_INPUT!$K$6:$K$9,O18),
0)</f>
        <v>0</v>
      </c>
      <c r="T18" s="28">
        <f>IF(O18&lt;&gt;"",
    COUNTIFS(MATCH_INPUT!$F$6:$F$9, O18, MATCH_INPUT!$K$6:$K$9, "Draw") +
    COUNTIFS(MATCH_INPUT!$J$6:$J$9, O18, MATCH_INPUT!$K$6:$K$9, "Draw"),
0)</f>
        <v>1</v>
      </c>
      <c r="U18" s="28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1</v>
      </c>
      <c r="V18" s="29"/>
      <c r="W18" s="29">
        <v>1.0</v>
      </c>
      <c r="X18" s="20"/>
      <c r="Y18" s="30">
        <f t="shared" si="11"/>
        <v>10</v>
      </c>
      <c r="Z18" s="31" t="str">
        <f t="shared" si="12"/>
        <v>=</v>
      </c>
      <c r="AA18" s="21" t="s">
        <v>141</v>
      </c>
      <c r="AB18" s="32">
        <f t="shared" si="13"/>
        <v>14</v>
      </c>
      <c r="AC18" s="22">
        <f t="shared" si="14"/>
        <v>2</v>
      </c>
      <c r="AD18" s="22">
        <f t="shared" si="15"/>
        <v>3</v>
      </c>
      <c r="AE18" s="22">
        <f>IF(AA18&lt;&gt;"",
    COUNTIFS(MATCH_INPUT!$K$10:$K$13,AA18),
0)</f>
        <v>1</v>
      </c>
      <c r="AF18" s="22">
        <f>IF(AA18&lt;&gt;"",
    COUNTIFS(MATCH_INPUT!$F$10:$F$13, AA18, MATCH_INPUT!$K$10:$K$13, "Draw") +
    COUNTIFS(MATCH_INPUT!$J$10:$J$13, AA18, MATCH_INPUT!$K$10:$K$13, "Draw"),
0)</f>
        <v>1</v>
      </c>
      <c r="AG18" s="22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0</v>
      </c>
      <c r="AH18" s="23"/>
      <c r="AI18" s="23"/>
      <c r="AJ18" s="33"/>
      <c r="AK18" s="25">
        <f t="shared" si="16"/>
        <v>8</v>
      </c>
      <c r="AL18" s="26" t="str">
        <f t="shared" si="17"/>
        <v>↑</v>
      </c>
      <c r="AM18" s="27"/>
      <c r="AN18" s="28">
        <f t="shared" si="18"/>
        <v>14</v>
      </c>
      <c r="AO18" s="28">
        <f t="shared" si="19"/>
        <v>0</v>
      </c>
      <c r="AP18" s="28">
        <f t="shared" si="20"/>
        <v>0</v>
      </c>
      <c r="AQ18" s="28">
        <f>IF(AM18&lt;&gt;"",
    COUNTIFS(MATCH_INPUT!$K$14:$K$17,AM18),
0)</f>
        <v>0</v>
      </c>
      <c r="AR18" s="28">
        <f>IF(AM18&lt;&gt;"",
    COUNTIFS(MATCH_INPUT!$F$14:$F$17, AM18, MATCH_INPUT!$K$14:$K$17, "Draw") +
    COUNTIFS(MATCH_INPUT!$J$14:$J$17, AM18, MATCH_INPUT!$K$14:$K$17, "Draw"),
0)</f>
        <v>0</v>
      </c>
      <c r="AS18" s="28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0</v>
      </c>
      <c r="AT18" s="29"/>
      <c r="AU18" s="29"/>
      <c r="AV18" s="20"/>
      <c r="AW18" s="30">
        <f t="shared" si="21"/>
        <v>24</v>
      </c>
      <c r="AX18" s="31" t="str">
        <f t="shared" si="22"/>
        <v>↓</v>
      </c>
      <c r="AY18" s="21" t="s">
        <v>142</v>
      </c>
      <c r="AZ18" s="32">
        <f t="shared" si="23"/>
        <v>22</v>
      </c>
      <c r="BA18" s="22">
        <f t="shared" si="24"/>
        <v>2</v>
      </c>
      <c r="BB18" s="22">
        <f>SUM(BC18*2) + (BD18*1) + SUMIFS(MATCH_INPUT!$G$18:$G$21, MATCH_INPUT!$F$18:$F$21, AY18) + SUMIFS(MATCH_INPUT!$I$18:$I$21, MATCH_INPUT!$J$18:$J$21, AY18)
</f>
        <v>5</v>
      </c>
      <c r="BC18" s="22">
        <f>IF(AY18&lt;&gt;"",
    COUNTIFS(MATCH_INPUT!$K$18:$K$21,AY18),
0)</f>
        <v>1</v>
      </c>
      <c r="BD18" s="22">
        <f>IF(AY18&lt;&gt;"",
    COUNTIFS(MATCH_INPUT!$F$18:$F$21, AY18, MATCH_INPUT!$K$18:$K$21, "Draw") +
    COUNTIFS(MATCH_INPUT!$J$18:$J$21, AY18, MATCH_INPUT!$K$18:$K$21, "Draw"),
0)</f>
        <v>0</v>
      </c>
      <c r="BE18" s="22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1</v>
      </c>
      <c r="BF18" s="23"/>
      <c r="BG18" s="23">
        <v>1.0</v>
      </c>
      <c r="BH18" s="33"/>
      <c r="BI18" s="25">
        <f t="shared" si="25"/>
        <v>17</v>
      </c>
      <c r="BJ18" s="26" t="str">
        <f t="shared" si="26"/>
        <v>↑</v>
      </c>
      <c r="BK18" s="27" t="s">
        <v>140</v>
      </c>
      <c r="BL18" s="28">
        <f t="shared" si="27"/>
        <v>28</v>
      </c>
      <c r="BM18" s="28">
        <f t="shared" si="28"/>
        <v>2</v>
      </c>
      <c r="BN18" s="28">
        <f>SUM(BO18*2) + (BP18*1) + SUMIFS(MATCH_INPUT!$G$22:$G$25, MATCH_INPUT!$F$22:$F$25, BK18) + SUMIFS(MATCH_INPUT!$I$22:$I$25, MATCH_INPUT!$J$22:$J$25, BK18)
</f>
        <v>4</v>
      </c>
      <c r="BO18" s="28">
        <f>IF(BK18&lt;&gt;"",
    COUNTIFS(MATCH_INPUT!$K$22:$K$25,BK18),
0)</f>
        <v>0</v>
      </c>
      <c r="BP18" s="28">
        <f>IF(BK18&lt;&gt;"",
    COUNTIFS(MATCH_INPUT!$F$22:$F$25, BK18, MATCH_INPUT!$K$22:$K$25, "Draw") +
    COUNTIFS(MATCH_INPUT!$J$22:$J$25, BK18, MATCH_INPUT!$K$22:$K$25, "Draw"),
0)</f>
        <v>2</v>
      </c>
      <c r="BQ18" s="28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0</v>
      </c>
      <c r="BR18" s="29"/>
      <c r="BS18" s="29"/>
      <c r="BT18" s="20"/>
      <c r="BU18" s="30">
        <f t="shared" si="29"/>
        <v>15</v>
      </c>
      <c r="BV18" s="31" t="str">
        <f t="shared" si="30"/>
        <v>↑</v>
      </c>
      <c r="BW18" s="21" t="s">
        <v>142</v>
      </c>
      <c r="BX18" s="32">
        <f t="shared" si="31"/>
        <v>34</v>
      </c>
      <c r="BY18" s="22">
        <f t="shared" si="32"/>
        <v>2</v>
      </c>
      <c r="BZ18" s="22">
        <f>SUM(CA18*2)+(CB18*1) + SUMIFS(MATCH_INPUT!$G$26:$G$29, MATCH_INPUT!$F$26:$F$29, BW18) + SUMIFS(MATCH_INPUT!$I$26:$I$29, MATCH_INPUT!$J$26:$J$29, BW18)
</f>
        <v>3</v>
      </c>
      <c r="CA18" s="22">
        <f>IF(BW18&lt;&gt;"",
    COUNTIFS(MATCH_INPUT!$K$26:$K$29,BW18),
0)</f>
        <v>0</v>
      </c>
      <c r="CB18" s="22">
        <f>IF(BW18&lt;&gt;"",
    COUNTIFS(MATCH_INPUT!$F$26:$F$29, BW18, MATCH_INPUT!$K$26:$K$29, "Draw") +
    COUNTIFS(MATCH_INPUT!$J$26:$J$29, BW18, MATCH_INPUT!$K$26:$K$29, "Draw"),
0)</f>
        <v>2</v>
      </c>
      <c r="CC18" s="22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0</v>
      </c>
      <c r="CD18" s="23"/>
      <c r="CE18" s="23">
        <v>1.0</v>
      </c>
      <c r="CF18" s="33">
        <v>1.0</v>
      </c>
      <c r="CG18" s="25">
        <f t="shared" si="33"/>
        <v>16</v>
      </c>
      <c r="CH18" s="26" t="str">
        <f t="shared" si="34"/>
        <v>↓</v>
      </c>
      <c r="CI18" s="27" t="s">
        <v>139</v>
      </c>
      <c r="CJ18" s="28">
        <f t="shared" si="35"/>
        <v>38</v>
      </c>
      <c r="CK18" s="28">
        <f t="shared" si="36"/>
        <v>2</v>
      </c>
      <c r="CL18" s="28">
        <f>SUM(CM18*2)+(CN18*1) + SUMIFS(MATCH_INPUT!$G$30:$G$33, MATCH_INPUT!$F$30:$F$33, CI18) + SUMIFS(MATCH_INPUT!$I$30:$I$33, MATCH_INPUT!$J$30:$J$33, CI18)
</f>
        <v>2</v>
      </c>
      <c r="CM18" s="28">
        <f>IF(CI18&lt;&gt;"",
    COUNTIFS(MATCH_INPUT!$K$30:$K$33,CI18),
0)</f>
        <v>0</v>
      </c>
      <c r="CN18" s="28">
        <f>IF(CI18&lt;&gt;"",
    COUNTIFS(MATCH_INPUT!$F$30:$F$33, CI18, MATCH_INPUT!$K$30:$K$33, "Draw") +
    COUNTIFS(MATCH_INPUT!$J$30:$J$33, CI18, MATCH_INPUT!$K$30:$K$33, "Draw"),
0)</f>
        <v>1</v>
      </c>
      <c r="CO18" s="28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1</v>
      </c>
      <c r="CP18" s="29"/>
      <c r="CQ18" s="29"/>
      <c r="CR18" s="20"/>
      <c r="CS18" s="34">
        <f t="shared" si="37"/>
        <v>16</v>
      </c>
      <c r="CT18" s="34" t="str">
        <f t="shared" si="38"/>
        <v>=</v>
      </c>
      <c r="CU18" s="35">
        <f t="shared" si="39"/>
        <v>20</v>
      </c>
      <c r="CV18" s="35" t="str">
        <f t="shared" ref="CV18:CW18" si="71">A18</f>
        <v>🍀 </v>
      </c>
      <c r="CW18" s="36" t="str">
        <f t="shared" si="71"/>
        <v>Rodolfo</v>
      </c>
      <c r="CX18" s="36">
        <f t="shared" si="41"/>
        <v>38</v>
      </c>
      <c r="CY18" s="35">
        <f>SUM(
  IF(AND('MATCH DATES'!$A$2 &lt;= TODAY(), NOW() &gt;= 'MATCH DATES'!$A$2 + TIME(22, 0, 0)), E18, 0),
  IF(AND('MATCH DATES'!$A$3 &lt;= TODAY(), NOW() &gt;= 'MATCH DATES'!$A$3 + TIME(22, 0, 0)), Q18, 0),
  IF(AND('MATCH DATES'!$A$4 &lt;= TODAY(), NOW() &gt;= 'MATCH DATES'!$A$4 + TIME(22, 0, 0)), AC18, 0),
  IF(AND('MATCH DATES'!$A$5 &lt;= TODAY(), NOW() &gt;= 'MATCH DATES'!$A$5 + TIME(22, 0, 0)), AO18, 0),
  IF(AND('MATCH DATES'!$A$6 &lt;= TODAY(), NOW() &gt;= 'MATCH DATES'!$A$6 + TIME(22, 0, 0)), BA18, 0),
  IF(AND('MATCH DATES'!$A$7 &lt;= TODAY(), NOW() &gt;= 'MATCH DATES'!$A$7 + TIME(22, 0, 0)), BM18, 0),
  IF(AND('MATCH DATES'!$A$8 &lt;= TODAY(), NOW() &gt;= 'MATCH DATES'!$A$8 + TIME(22, 0, 0)), BY18, 0),
  IF(AND('MATCH DATES'!$A$9 &lt;= TODAY(), NOW() &gt;= 'MATCH DATES'!$A$9 + TIME(22, 0, 0)), CK18, 0)
)
</f>
        <v>14</v>
      </c>
      <c r="CZ18" s="36">
        <f t="shared" ref="CZ18:DA18" si="72">SUM(G18,S18,AE18,AQ18,BC18,BO18,CA18,CM18)</f>
        <v>3</v>
      </c>
      <c r="DA18" s="36">
        <f t="shared" si="72"/>
        <v>7</v>
      </c>
      <c r="DB18" s="36">
        <f>SUM(
  IF(AND('MATCH DATES'!$A$2 &lt;= TODAY(), NOW() &gt;= 'MATCH DATES'!$A$2 + TIME(22, 0, 0)), I18, 0),
  IF(AND('MATCH DATES'!$A$3 &lt;= TODAY(), NOW() &gt;= 'MATCH DATES'!$A$3 + TIME(22, 0, 0)), U18, 0),
  IF(AND('MATCH DATES'!$A$4 &lt;= TODAY(), NOW() &gt;= 'MATCH DATES'!$A$4 + TIME(22, 0, 0)), AG18, 0),
  IF(AND('MATCH DATES'!$A$5 &lt;= TODAY(), NOW() &gt;= 'MATCH DATES'!$A$5 + TIME(22, 0, 0)), AS18, 0),
  IF(AND('MATCH DATES'!$A$6 &lt;= TODAY(), NOW() &gt;= 'MATCH DATES'!$A$6 + TIME(22, 0, 0)), BE18, 0),
  IF(AND('MATCH DATES'!$A$7 &lt;= TODAY(), NOW() &gt;= 'MATCH DATES'!$A$7 + TIME(22, 0, 0)), BQ18, 0),
  IF(AND('MATCH DATES'!$A$8 &lt;= TODAY(), NOW() &gt;= 'MATCH DATES'!$A$8 + TIME(22, 0, 0)), CC18, 0),
  IF(AND('MATCH DATES'!$A$9 &lt;= TODAY(), NOW() &gt;= 'MATCH DATES'!$A$9 + TIME(22, 0, 0)), CO18, 0)
)</f>
        <v>4</v>
      </c>
      <c r="DD18" s="36">
        <f t="shared" si="43"/>
        <v>4</v>
      </c>
      <c r="DF18" s="36">
        <f t="shared" si="44"/>
        <v>1</v>
      </c>
    </row>
    <row r="19" ht="24.75" customHeight="1">
      <c r="A19" s="19" t="s">
        <v>137</v>
      </c>
      <c r="B19" s="20" t="s">
        <v>158</v>
      </c>
      <c r="C19" s="21" t="s">
        <v>142</v>
      </c>
      <c r="D19" s="22">
        <f t="shared" si="3"/>
        <v>2</v>
      </c>
      <c r="E19" s="22">
        <f t="shared" si="4"/>
        <v>2</v>
      </c>
      <c r="F19" s="22">
        <f t="shared" si="5"/>
        <v>0</v>
      </c>
      <c r="G19" s="22">
        <f>IF(C19&lt;&gt;"",
    COUNTIFS(MATCH_INPUT!$K$2:$K$5,C19),
0)</f>
        <v>0</v>
      </c>
      <c r="H19" s="22">
        <f>IF(C19&lt;&gt;"",
    COUNTIFS(MATCH_INPUT!$F$2:$F$5, C19, MATCH_INPUT!$K$2:$K$5, "Draw") +
    COUNTIFS(MATCH_INPUT!$J$2:$J$5, C19, MATCH_INPUT!$K$2:$K$5, "Draw"),
0)</f>
        <v>0</v>
      </c>
      <c r="I19" s="22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2</v>
      </c>
      <c r="J19" s="23"/>
      <c r="K19" s="23"/>
      <c r="L19" s="24"/>
      <c r="M19" s="25">
        <f t="shared" si="6"/>
        <v>26</v>
      </c>
      <c r="N19" s="26" t="str">
        <f t="shared" si="7"/>
        <v>↓</v>
      </c>
      <c r="O19" s="27" t="s">
        <v>139</v>
      </c>
      <c r="P19" s="28">
        <f t="shared" si="8"/>
        <v>8</v>
      </c>
      <c r="Q19" s="28">
        <f t="shared" si="9"/>
        <v>2</v>
      </c>
      <c r="R19" s="28">
        <f t="shared" si="10"/>
        <v>3</v>
      </c>
      <c r="S19" s="28">
        <f>IF(O19&lt;&gt;"",
    COUNTIFS(MATCH_INPUT!$K$6:$K$9,O19),
0)</f>
        <v>1</v>
      </c>
      <c r="T19" s="28">
        <f>IF(O19&lt;&gt;"",
    COUNTIFS(MATCH_INPUT!$F$6:$F$9, O19, MATCH_INPUT!$K$6:$K$9, "Draw") +
    COUNTIFS(MATCH_INPUT!$J$6:$J$9, O19, MATCH_INPUT!$K$6:$K$9, "Draw"),
0)</f>
        <v>1</v>
      </c>
      <c r="U19" s="28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0</v>
      </c>
      <c r="V19" s="29"/>
      <c r="W19" s="29">
        <v>1.0</v>
      </c>
      <c r="X19" s="20"/>
      <c r="Y19" s="30">
        <f t="shared" si="11"/>
        <v>17</v>
      </c>
      <c r="Z19" s="31" t="str">
        <f t="shared" si="12"/>
        <v>↑</v>
      </c>
      <c r="AA19" s="21" t="s">
        <v>139</v>
      </c>
      <c r="AB19" s="32">
        <f t="shared" si="13"/>
        <v>13</v>
      </c>
      <c r="AC19" s="22">
        <f t="shared" si="14"/>
        <v>2</v>
      </c>
      <c r="AD19" s="22">
        <f t="shared" si="15"/>
        <v>2</v>
      </c>
      <c r="AE19" s="22">
        <f>IF(AA19&lt;&gt;"",
    COUNTIFS(MATCH_INPUT!$K$10:$K$13,AA19),
0)</f>
        <v>0</v>
      </c>
      <c r="AF19" s="22">
        <f>IF(AA19&lt;&gt;"",
    COUNTIFS(MATCH_INPUT!$F$10:$F$13, AA19, MATCH_INPUT!$K$10:$K$13, "Draw") +
    COUNTIFS(MATCH_INPUT!$J$10:$J$13, AA19, MATCH_INPUT!$K$10:$K$13, "Draw"),
0)</f>
        <v>2</v>
      </c>
      <c r="AG19" s="22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0</v>
      </c>
      <c r="AH19" s="23"/>
      <c r="AI19" s="23">
        <v>1.0</v>
      </c>
      <c r="AJ19" s="33"/>
      <c r="AK19" s="25">
        <f t="shared" si="16"/>
        <v>9</v>
      </c>
      <c r="AL19" s="26" t="str">
        <f t="shared" si="17"/>
        <v>↑</v>
      </c>
      <c r="AM19" s="27" t="s">
        <v>141</v>
      </c>
      <c r="AN19" s="28">
        <f t="shared" si="18"/>
        <v>18</v>
      </c>
      <c r="AO19" s="28">
        <f t="shared" si="19"/>
        <v>2</v>
      </c>
      <c r="AP19" s="28">
        <f t="shared" si="20"/>
        <v>2</v>
      </c>
      <c r="AQ19" s="28">
        <f>IF(AM19&lt;&gt;"",
    COUNTIFS(MATCH_INPUT!$K$14:$K$17,AM19),
0)</f>
        <v>0</v>
      </c>
      <c r="AR19" s="28">
        <f>IF(AM19&lt;&gt;"",
    COUNTIFS(MATCH_INPUT!$F$14:$F$17, AM19, MATCH_INPUT!$K$14:$K$17, "Draw") +
    COUNTIFS(MATCH_INPUT!$J$14:$J$17, AM19, MATCH_INPUT!$K$14:$K$17, "Draw"),
0)</f>
        <v>2</v>
      </c>
      <c r="AS19" s="28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0</v>
      </c>
      <c r="AT19" s="29"/>
      <c r="AU19" s="29">
        <v>1.0</v>
      </c>
      <c r="AV19" s="20"/>
      <c r="AW19" s="30">
        <f t="shared" si="21"/>
        <v>4</v>
      </c>
      <c r="AX19" s="31" t="str">
        <f t="shared" si="22"/>
        <v>↑</v>
      </c>
      <c r="AY19" s="21"/>
      <c r="AZ19" s="32">
        <f t="shared" si="23"/>
        <v>18</v>
      </c>
      <c r="BA19" s="22">
        <f t="shared" si="24"/>
        <v>0</v>
      </c>
      <c r="BB19" s="22">
        <f>SUM(BC19*2) + (BD19*1) + SUMIFS(MATCH_INPUT!$G$18:$G$21, MATCH_INPUT!$F$18:$F$21, AY19) + SUMIFS(MATCH_INPUT!$I$18:$I$21, MATCH_INPUT!$J$18:$J$21, AY19)
</f>
        <v>0</v>
      </c>
      <c r="BC19" s="22">
        <f>IF(AY19&lt;&gt;"",
    COUNTIFS(MATCH_INPUT!$K$18:$K$21,AY19),
0)</f>
        <v>0</v>
      </c>
      <c r="BD19" s="22">
        <f>IF(AY19&lt;&gt;"",
    COUNTIFS(MATCH_INPUT!$F$18:$F$21, AY19, MATCH_INPUT!$K$18:$K$21, "Draw") +
    COUNTIFS(MATCH_INPUT!$J$18:$J$21, AY19, MATCH_INPUT!$K$18:$K$21, "Draw"),
0)</f>
        <v>0</v>
      </c>
      <c r="BE19" s="22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0</v>
      </c>
      <c r="BF19" s="23"/>
      <c r="BG19" s="23"/>
      <c r="BH19" s="33"/>
      <c r="BI19" s="25">
        <f t="shared" si="25"/>
        <v>28</v>
      </c>
      <c r="BJ19" s="26" t="str">
        <f t="shared" si="26"/>
        <v>↓</v>
      </c>
      <c r="BK19" s="27" t="s">
        <v>139</v>
      </c>
      <c r="BL19" s="28">
        <f t="shared" si="27"/>
        <v>27</v>
      </c>
      <c r="BM19" s="28">
        <f t="shared" si="28"/>
        <v>2</v>
      </c>
      <c r="BN19" s="28">
        <f>SUM(BO19*2) + (BP19*1) + SUMIFS(MATCH_INPUT!$G$22:$G$25, MATCH_INPUT!$F$22:$F$25, BK19) + SUMIFS(MATCH_INPUT!$I$22:$I$25, MATCH_INPUT!$J$22:$J$25, BK19)
</f>
        <v>6</v>
      </c>
      <c r="BO19" s="28">
        <f>IF(BK19&lt;&gt;"",
    COUNTIFS(MATCH_INPUT!$K$22:$K$25,BK19),
0)</f>
        <v>1</v>
      </c>
      <c r="BP19" s="28">
        <f>IF(BK19&lt;&gt;"",
    COUNTIFS(MATCH_INPUT!$F$22:$F$25, BK19, MATCH_INPUT!$K$22:$K$25, "Draw") +
    COUNTIFS(MATCH_INPUT!$J$22:$J$25, BK19, MATCH_INPUT!$K$22:$K$25, "Draw"),
0)</f>
        <v>1</v>
      </c>
      <c r="BQ19" s="28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0</v>
      </c>
      <c r="BR19" s="29"/>
      <c r="BS19" s="29">
        <v>1.0</v>
      </c>
      <c r="BT19" s="20"/>
      <c r="BU19" s="30">
        <f t="shared" si="29"/>
        <v>19</v>
      </c>
      <c r="BV19" s="31" t="str">
        <f t="shared" si="30"/>
        <v>↑</v>
      </c>
      <c r="BW19" s="21" t="s">
        <v>139</v>
      </c>
      <c r="BX19" s="32">
        <f t="shared" si="31"/>
        <v>34</v>
      </c>
      <c r="BY19" s="22">
        <f t="shared" si="32"/>
        <v>2</v>
      </c>
      <c r="BZ19" s="22">
        <f>SUM(CA19*2)+(CB19*1) + SUMIFS(MATCH_INPUT!$G$26:$G$29, MATCH_INPUT!$F$26:$F$29, BW19) + SUMIFS(MATCH_INPUT!$I$26:$I$29, MATCH_INPUT!$J$26:$J$29, BW19)
</f>
        <v>5</v>
      </c>
      <c r="CA19" s="22">
        <f>IF(BW19&lt;&gt;"",
    COUNTIFS(MATCH_INPUT!$K$26:$K$29,BW19),
0)</f>
        <v>1</v>
      </c>
      <c r="CB19" s="22">
        <f>IF(BW19&lt;&gt;"",
    COUNTIFS(MATCH_INPUT!$F$26:$F$29, BW19, MATCH_INPUT!$K$26:$K$29, "Draw") +
    COUNTIFS(MATCH_INPUT!$J$26:$J$29, BW19, MATCH_INPUT!$K$26:$K$29, "Draw"),
0)</f>
        <v>0</v>
      </c>
      <c r="CC19" s="22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1</v>
      </c>
      <c r="CD19" s="23"/>
      <c r="CE19" s="23"/>
      <c r="CF19" s="33"/>
      <c r="CG19" s="25">
        <f t="shared" si="33"/>
        <v>16</v>
      </c>
      <c r="CH19" s="26" t="str">
        <f t="shared" si="34"/>
        <v>↑</v>
      </c>
      <c r="CI19" s="27" t="s">
        <v>139</v>
      </c>
      <c r="CJ19" s="28">
        <f t="shared" si="35"/>
        <v>38</v>
      </c>
      <c r="CK19" s="28">
        <f t="shared" si="36"/>
        <v>2</v>
      </c>
      <c r="CL19" s="28">
        <f>SUM(CM19*2)+(CN19*1) + SUMIFS(MATCH_INPUT!$G$30:$G$33, MATCH_INPUT!$F$30:$F$33, CI19) + SUMIFS(MATCH_INPUT!$I$30:$I$33, MATCH_INPUT!$J$30:$J$33, CI19)
</f>
        <v>2</v>
      </c>
      <c r="CM19" s="28">
        <f>IF(CI19&lt;&gt;"",
    COUNTIFS(MATCH_INPUT!$K$30:$K$33,CI19),
0)</f>
        <v>0</v>
      </c>
      <c r="CN19" s="28">
        <f>IF(CI19&lt;&gt;"",
    COUNTIFS(MATCH_INPUT!$F$30:$F$33, CI19, MATCH_INPUT!$K$30:$K$33, "Draw") +
    COUNTIFS(MATCH_INPUT!$J$30:$J$33, CI19, MATCH_INPUT!$K$30:$K$33, "Draw"),
0)</f>
        <v>1</v>
      </c>
      <c r="CO19" s="28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1</v>
      </c>
      <c r="CP19" s="29"/>
      <c r="CQ19" s="29"/>
      <c r="CR19" s="20"/>
      <c r="CS19" s="34">
        <f t="shared" si="37"/>
        <v>16</v>
      </c>
      <c r="CT19" s="34" t="str">
        <f t="shared" si="38"/>
        <v>=</v>
      </c>
      <c r="CU19" s="35">
        <f t="shared" si="39"/>
        <v>20</v>
      </c>
      <c r="CV19" s="35" t="str">
        <f t="shared" ref="CV19:CW19" si="73">A19</f>
        <v>🍀 </v>
      </c>
      <c r="CW19" s="36" t="str">
        <f t="shared" si="73"/>
        <v>Rob</v>
      </c>
      <c r="CX19" s="36">
        <f t="shared" si="41"/>
        <v>38</v>
      </c>
      <c r="CY19" s="35">
        <f>SUM(
  IF(AND('MATCH DATES'!$A$2 &lt;= TODAY(), NOW() &gt;= 'MATCH DATES'!$A$2 + TIME(22, 0, 0)), E19, 0),
  IF(AND('MATCH DATES'!$A$3 &lt;= TODAY(), NOW() &gt;= 'MATCH DATES'!$A$3 + TIME(22, 0, 0)), Q19, 0),
  IF(AND('MATCH DATES'!$A$4 &lt;= TODAY(), NOW() &gt;= 'MATCH DATES'!$A$4 + TIME(22, 0, 0)), AC19, 0),
  IF(AND('MATCH DATES'!$A$5 &lt;= TODAY(), NOW() &gt;= 'MATCH DATES'!$A$5 + TIME(22, 0, 0)), AO19, 0),
  IF(AND('MATCH DATES'!$A$6 &lt;= TODAY(), NOW() &gt;= 'MATCH DATES'!$A$6 + TIME(22, 0, 0)), BA19, 0),
  IF(AND('MATCH DATES'!$A$7 &lt;= TODAY(), NOW() &gt;= 'MATCH DATES'!$A$7 + TIME(22, 0, 0)), BM19, 0),
  IF(AND('MATCH DATES'!$A$8 &lt;= TODAY(), NOW() &gt;= 'MATCH DATES'!$A$8 + TIME(22, 0, 0)), BY19, 0),
  IF(AND('MATCH DATES'!$A$9 &lt;= TODAY(), NOW() &gt;= 'MATCH DATES'!$A$9 + TIME(22, 0, 0)), CK19, 0)
)
</f>
        <v>14</v>
      </c>
      <c r="CZ19" s="36">
        <f t="shared" ref="CZ19:DA19" si="74">SUM(G19,S19,AE19,AQ19,BC19,BO19,CA19,CM19)</f>
        <v>3</v>
      </c>
      <c r="DA19" s="36">
        <f t="shared" si="74"/>
        <v>7</v>
      </c>
      <c r="DB19" s="36">
        <f>SUM(
  IF(AND('MATCH DATES'!$A$2 &lt;= TODAY(), NOW() &gt;= 'MATCH DATES'!$A$2 + TIME(22, 0, 0)), I19, 0),
  IF(AND('MATCH DATES'!$A$3 &lt;= TODAY(), NOW() &gt;= 'MATCH DATES'!$A$3 + TIME(22, 0, 0)), U19, 0),
  IF(AND('MATCH DATES'!$A$4 &lt;= TODAY(), NOW() &gt;= 'MATCH DATES'!$A$4 + TIME(22, 0, 0)), AG19, 0),
  IF(AND('MATCH DATES'!$A$5 &lt;= TODAY(), NOW() &gt;= 'MATCH DATES'!$A$5 + TIME(22, 0, 0)), AS19, 0),
  IF(AND('MATCH DATES'!$A$6 &lt;= TODAY(), NOW() &gt;= 'MATCH DATES'!$A$6 + TIME(22, 0, 0)), BE19, 0),
  IF(AND('MATCH DATES'!$A$7 &lt;= TODAY(), NOW() &gt;= 'MATCH DATES'!$A$7 + TIME(22, 0, 0)), BQ19, 0),
  IF(AND('MATCH DATES'!$A$8 &lt;= TODAY(), NOW() &gt;= 'MATCH DATES'!$A$8 + TIME(22, 0, 0)), CC19, 0),
  IF(AND('MATCH DATES'!$A$9 &lt;= TODAY(), NOW() &gt;= 'MATCH DATES'!$A$9 + TIME(22, 0, 0)), CO19, 0)
)</f>
        <v>4</v>
      </c>
      <c r="DD19" s="36">
        <f t="shared" si="43"/>
        <v>4</v>
      </c>
      <c r="DF19" s="36">
        <f t="shared" si="44"/>
        <v>0</v>
      </c>
    </row>
    <row r="20" ht="24.75" customHeight="1">
      <c r="A20" s="19" t="s">
        <v>137</v>
      </c>
      <c r="B20" s="20" t="s">
        <v>159</v>
      </c>
      <c r="C20" s="21" t="s">
        <v>142</v>
      </c>
      <c r="D20" s="22">
        <f t="shared" si="3"/>
        <v>2</v>
      </c>
      <c r="E20" s="22">
        <f t="shared" si="4"/>
        <v>2</v>
      </c>
      <c r="F20" s="22">
        <f t="shared" si="5"/>
        <v>0</v>
      </c>
      <c r="G20" s="22">
        <f>IF(C20&lt;&gt;"",
    COUNTIFS(MATCH_INPUT!$K$2:$K$5,C20),
0)</f>
        <v>0</v>
      </c>
      <c r="H20" s="22">
        <f>IF(C20&lt;&gt;"",
    COUNTIFS(MATCH_INPUT!$F$2:$F$5, C20, MATCH_INPUT!$K$2:$K$5, "Draw") +
    COUNTIFS(MATCH_INPUT!$J$2:$J$5, C20, MATCH_INPUT!$K$2:$K$5, "Draw"),
0)</f>
        <v>0</v>
      </c>
      <c r="I20" s="22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2</v>
      </c>
      <c r="J20" s="23">
        <v>1.0</v>
      </c>
      <c r="K20" s="23"/>
      <c r="L20" s="24"/>
      <c r="M20" s="25">
        <f t="shared" si="6"/>
        <v>26</v>
      </c>
      <c r="N20" s="26" t="str">
        <f t="shared" si="7"/>
        <v>↓</v>
      </c>
      <c r="O20" s="27"/>
      <c r="P20" s="28">
        <f t="shared" si="8"/>
        <v>2</v>
      </c>
      <c r="Q20" s="28">
        <f t="shared" si="9"/>
        <v>0</v>
      </c>
      <c r="R20" s="28">
        <f t="shared" si="10"/>
        <v>0</v>
      </c>
      <c r="S20" s="28">
        <f>IF(O20&lt;&gt;"",
    COUNTIFS(MATCH_INPUT!$K$6:$K$9,O20),
0)</f>
        <v>0</v>
      </c>
      <c r="T20" s="28">
        <f>IF(O20&lt;&gt;"",
    COUNTIFS(MATCH_INPUT!$F$6:$F$9, O20, MATCH_INPUT!$K$6:$K$9, "Draw") +
    COUNTIFS(MATCH_INPUT!$J$6:$J$9, O20, MATCH_INPUT!$K$6:$K$9, "Draw"),
0)</f>
        <v>0</v>
      </c>
      <c r="U20" s="28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0</v>
      </c>
      <c r="V20" s="29"/>
      <c r="W20" s="29"/>
      <c r="X20" s="20"/>
      <c r="Y20" s="30">
        <f t="shared" si="11"/>
        <v>35</v>
      </c>
      <c r="Z20" s="31" t="str">
        <f t="shared" si="12"/>
        <v>↓</v>
      </c>
      <c r="AA20" s="21" t="s">
        <v>142</v>
      </c>
      <c r="AB20" s="32">
        <f t="shared" si="13"/>
        <v>6</v>
      </c>
      <c r="AC20" s="22">
        <f t="shared" si="14"/>
        <v>2</v>
      </c>
      <c r="AD20" s="22">
        <f t="shared" si="15"/>
        <v>2</v>
      </c>
      <c r="AE20" s="22">
        <f>IF(AA20&lt;&gt;"",
    COUNTIFS(MATCH_INPUT!$K$10:$K$13,AA20),
0)</f>
        <v>0</v>
      </c>
      <c r="AF20" s="22">
        <f>IF(AA20&lt;&gt;"",
    COUNTIFS(MATCH_INPUT!$F$10:$F$13, AA20, MATCH_INPUT!$K$10:$K$13, "Draw") +
    COUNTIFS(MATCH_INPUT!$J$10:$J$13, AA20, MATCH_INPUT!$K$10:$K$13, "Draw"),
0)</f>
        <v>2</v>
      </c>
      <c r="AG20" s="22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0</v>
      </c>
      <c r="AH20" s="23"/>
      <c r="AI20" s="23"/>
      <c r="AJ20" s="33"/>
      <c r="AK20" s="25">
        <f t="shared" si="16"/>
        <v>33</v>
      </c>
      <c r="AL20" s="26" t="str">
        <f t="shared" si="17"/>
        <v>↑</v>
      </c>
      <c r="AM20" s="27" t="s">
        <v>141</v>
      </c>
      <c r="AN20" s="28">
        <f t="shared" si="18"/>
        <v>10</v>
      </c>
      <c r="AO20" s="28">
        <f t="shared" si="19"/>
        <v>2</v>
      </c>
      <c r="AP20" s="28">
        <f t="shared" si="20"/>
        <v>2</v>
      </c>
      <c r="AQ20" s="28">
        <f>IF(AM20&lt;&gt;"",
    COUNTIFS(MATCH_INPUT!$K$14:$K$17,AM20),
0)</f>
        <v>0</v>
      </c>
      <c r="AR20" s="28">
        <f>IF(AM20&lt;&gt;"",
    COUNTIFS(MATCH_INPUT!$F$14:$F$17, AM20, MATCH_INPUT!$K$14:$K$17, "Draw") +
    COUNTIFS(MATCH_INPUT!$J$14:$J$17, AM20, MATCH_INPUT!$K$14:$K$17, "Draw"),
0)</f>
        <v>2</v>
      </c>
      <c r="AS20" s="28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0</v>
      </c>
      <c r="AT20" s="29"/>
      <c r="AU20" s="29"/>
      <c r="AV20" s="20"/>
      <c r="AW20" s="30">
        <f t="shared" si="21"/>
        <v>33</v>
      </c>
      <c r="AX20" s="31" t="str">
        <f t="shared" si="22"/>
        <v>=</v>
      </c>
      <c r="AY20" s="21" t="s">
        <v>139</v>
      </c>
      <c r="AZ20" s="32">
        <f t="shared" si="23"/>
        <v>17</v>
      </c>
      <c r="BA20" s="22">
        <f t="shared" si="24"/>
        <v>2</v>
      </c>
      <c r="BB20" s="22">
        <f>SUM(BC20*2) + (BD20*1) + SUMIFS(MATCH_INPUT!$G$18:$G$21, MATCH_INPUT!$F$18:$F$21, AY20) + SUMIFS(MATCH_INPUT!$I$18:$I$21, MATCH_INPUT!$J$18:$J$21, AY20)
</f>
        <v>5</v>
      </c>
      <c r="BC20" s="22">
        <f>IF(AY20&lt;&gt;"",
    COUNTIFS(MATCH_INPUT!$K$18:$K$21,AY20),
0)</f>
        <v>0</v>
      </c>
      <c r="BD20" s="22">
        <f>IF(AY20&lt;&gt;"",
    COUNTIFS(MATCH_INPUT!$F$18:$F$21, AY20, MATCH_INPUT!$K$18:$K$21, "Draw") +
    COUNTIFS(MATCH_INPUT!$J$18:$J$21, AY20, MATCH_INPUT!$K$18:$K$21, "Draw"),
0)</f>
        <v>1</v>
      </c>
      <c r="BE20" s="22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1</v>
      </c>
      <c r="BF20" s="23"/>
      <c r="BG20" s="23"/>
      <c r="BH20" s="33"/>
      <c r="BI20" s="25">
        <f t="shared" si="25"/>
        <v>30</v>
      </c>
      <c r="BJ20" s="26" t="str">
        <f t="shared" si="26"/>
        <v>↑</v>
      </c>
      <c r="BK20" s="27" t="s">
        <v>139</v>
      </c>
      <c r="BL20" s="28">
        <f t="shared" si="27"/>
        <v>25</v>
      </c>
      <c r="BM20" s="28">
        <f t="shared" si="28"/>
        <v>2</v>
      </c>
      <c r="BN20" s="28">
        <f>SUM(BO20*2) + (BP20*1) + SUMIFS(MATCH_INPUT!$G$22:$G$25, MATCH_INPUT!$F$22:$F$25, BK20) + SUMIFS(MATCH_INPUT!$I$22:$I$25, MATCH_INPUT!$J$22:$J$25, BK20)
</f>
        <v>6</v>
      </c>
      <c r="BO20" s="28">
        <f>IF(BK20&lt;&gt;"",
    COUNTIFS(MATCH_INPUT!$K$22:$K$25,BK20),
0)</f>
        <v>1</v>
      </c>
      <c r="BP20" s="28">
        <f>IF(BK20&lt;&gt;"",
    COUNTIFS(MATCH_INPUT!$F$22:$F$25, BK20, MATCH_INPUT!$K$22:$K$25, "Draw") +
    COUNTIFS(MATCH_INPUT!$J$22:$J$25, BK20, MATCH_INPUT!$K$22:$K$25, "Draw"),
0)</f>
        <v>1</v>
      </c>
      <c r="BQ20" s="28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0</v>
      </c>
      <c r="BR20" s="29"/>
      <c r="BS20" s="29"/>
      <c r="BT20" s="20"/>
      <c r="BU20" s="30">
        <f t="shared" si="29"/>
        <v>26</v>
      </c>
      <c r="BV20" s="31" t="str">
        <f t="shared" si="30"/>
        <v>↑</v>
      </c>
      <c r="BW20" s="21" t="s">
        <v>141</v>
      </c>
      <c r="BX20" s="32">
        <f t="shared" si="31"/>
        <v>34</v>
      </c>
      <c r="BY20" s="22">
        <f t="shared" si="32"/>
        <v>2</v>
      </c>
      <c r="BZ20" s="22">
        <f>SUM(CA20*2)+(CB20*1) + SUMIFS(MATCH_INPUT!$G$26:$G$29, MATCH_INPUT!$F$26:$F$29, BW20) + SUMIFS(MATCH_INPUT!$I$26:$I$29, MATCH_INPUT!$J$26:$J$29, BW20)
</f>
        <v>7</v>
      </c>
      <c r="CA20" s="22">
        <f>IF(BW20&lt;&gt;"",
    COUNTIFS(MATCH_INPUT!$K$26:$K$29,BW20),
0)</f>
        <v>1</v>
      </c>
      <c r="CB20" s="22">
        <f>IF(BW20&lt;&gt;"",
    COUNTIFS(MATCH_INPUT!$F$26:$F$29, BW20, MATCH_INPUT!$K$26:$K$29, "Draw") +
    COUNTIFS(MATCH_INPUT!$J$26:$J$29, BW20, MATCH_INPUT!$K$26:$K$29, "Draw"),
0)</f>
        <v>1</v>
      </c>
      <c r="CC20" s="22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0</v>
      </c>
      <c r="CD20" s="23"/>
      <c r="CE20" s="23"/>
      <c r="CF20" s="33"/>
      <c r="CG20" s="25">
        <f t="shared" si="33"/>
        <v>16</v>
      </c>
      <c r="CH20" s="26" t="str">
        <f t="shared" si="34"/>
        <v>↑</v>
      </c>
      <c r="CI20" s="27" t="s">
        <v>140</v>
      </c>
      <c r="CJ20" s="28">
        <f t="shared" si="35"/>
        <v>38</v>
      </c>
      <c r="CK20" s="28">
        <f t="shared" si="36"/>
        <v>2</v>
      </c>
      <c r="CL20" s="28">
        <f>SUM(CM20*2)+(CN20*1) + SUMIFS(MATCH_INPUT!$G$30:$G$33, MATCH_INPUT!$F$30:$F$33, CI20) + SUMIFS(MATCH_INPUT!$I$30:$I$33, MATCH_INPUT!$J$30:$J$33, CI20)
</f>
        <v>2</v>
      </c>
      <c r="CM20" s="28">
        <f>IF(CI20&lt;&gt;"",
    COUNTIFS(MATCH_INPUT!$K$30:$K$33,CI20),
0)</f>
        <v>0</v>
      </c>
      <c r="CN20" s="28">
        <f>IF(CI20&lt;&gt;"",
    COUNTIFS(MATCH_INPUT!$F$30:$F$33, CI20, MATCH_INPUT!$K$30:$K$33, "Draw") +
    COUNTIFS(MATCH_INPUT!$J$30:$J$33, CI20, MATCH_INPUT!$K$30:$K$33, "Draw"),
0)</f>
        <v>1</v>
      </c>
      <c r="CO20" s="28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1</v>
      </c>
      <c r="CP20" s="29">
        <v>1.0</v>
      </c>
      <c r="CQ20" s="29"/>
      <c r="CR20" s="20"/>
      <c r="CS20" s="34">
        <f t="shared" si="37"/>
        <v>16</v>
      </c>
      <c r="CT20" s="34" t="str">
        <f t="shared" si="38"/>
        <v>=</v>
      </c>
      <c r="CU20" s="35">
        <f t="shared" si="39"/>
        <v>24</v>
      </c>
      <c r="CV20" s="35" t="str">
        <f t="shared" ref="CV20:CW20" si="75">A20</f>
        <v>🍀 </v>
      </c>
      <c r="CW20" s="36" t="str">
        <f t="shared" si="75"/>
        <v>Christian</v>
      </c>
      <c r="CX20" s="36">
        <f t="shared" si="41"/>
        <v>38</v>
      </c>
      <c r="CY20" s="35">
        <f>SUM(
  IF(AND('MATCH DATES'!$A$2 &lt;= TODAY(), NOW() &gt;= 'MATCH DATES'!$A$2 + TIME(22, 0, 0)), E20, 0),
  IF(AND('MATCH DATES'!$A$3 &lt;= TODAY(), NOW() &gt;= 'MATCH DATES'!$A$3 + TIME(22, 0, 0)), Q20, 0),
  IF(AND('MATCH DATES'!$A$4 &lt;= TODAY(), NOW() &gt;= 'MATCH DATES'!$A$4 + TIME(22, 0, 0)), AC20, 0),
  IF(AND('MATCH DATES'!$A$5 &lt;= TODAY(), NOW() &gt;= 'MATCH DATES'!$A$5 + TIME(22, 0, 0)), AO20, 0),
  IF(AND('MATCH DATES'!$A$6 &lt;= TODAY(), NOW() &gt;= 'MATCH DATES'!$A$6 + TIME(22, 0, 0)), BA20, 0),
  IF(AND('MATCH DATES'!$A$7 &lt;= TODAY(), NOW() &gt;= 'MATCH DATES'!$A$7 + TIME(22, 0, 0)), BM20, 0),
  IF(AND('MATCH DATES'!$A$8 &lt;= TODAY(), NOW() &gt;= 'MATCH DATES'!$A$8 + TIME(22, 0, 0)), BY20, 0),
  IF(AND('MATCH DATES'!$A$9 &lt;= TODAY(), NOW() &gt;= 'MATCH DATES'!$A$9 + TIME(22, 0, 0)), CK20, 0)
)
</f>
        <v>14</v>
      </c>
      <c r="CZ20" s="36">
        <f t="shared" ref="CZ20:DA20" si="76">SUM(G20,S20,AE20,AQ20,BC20,BO20,CA20,CM20)</f>
        <v>2</v>
      </c>
      <c r="DA20" s="36">
        <f t="shared" si="76"/>
        <v>8</v>
      </c>
      <c r="DB20" s="36">
        <f>SUM(
  IF(AND('MATCH DATES'!$A$2 &lt;= TODAY(), NOW() &gt;= 'MATCH DATES'!$A$2 + TIME(22, 0, 0)), I20, 0),
  IF(AND('MATCH DATES'!$A$3 &lt;= TODAY(), NOW() &gt;= 'MATCH DATES'!$A$3 + TIME(22, 0, 0)), U20, 0),
  IF(AND('MATCH DATES'!$A$4 &lt;= TODAY(), NOW() &gt;= 'MATCH DATES'!$A$4 + TIME(22, 0, 0)), AG20, 0),
  IF(AND('MATCH DATES'!$A$5 &lt;= TODAY(), NOW() &gt;= 'MATCH DATES'!$A$5 + TIME(22, 0, 0)), AS20, 0),
  IF(AND('MATCH DATES'!$A$6 &lt;= TODAY(), NOW() &gt;= 'MATCH DATES'!$A$6 + TIME(22, 0, 0)), BE20, 0),
  IF(AND('MATCH DATES'!$A$7 &lt;= TODAY(), NOW() &gt;= 'MATCH DATES'!$A$7 + TIME(22, 0, 0)), BQ20, 0),
  IF(AND('MATCH DATES'!$A$8 &lt;= TODAY(), NOW() &gt;= 'MATCH DATES'!$A$8 + TIME(22, 0, 0)), CC20, 0),
  IF(AND('MATCH DATES'!$A$9 &lt;= TODAY(), NOW() &gt;= 'MATCH DATES'!$A$9 + TIME(22, 0, 0)), CO20, 0)
)</f>
        <v>4</v>
      </c>
      <c r="DD20" s="36">
        <f t="shared" si="43"/>
        <v>0</v>
      </c>
      <c r="DF20" s="36">
        <f t="shared" si="44"/>
        <v>0</v>
      </c>
    </row>
    <row r="21" ht="24.75" customHeight="1">
      <c r="A21" s="19" t="s">
        <v>137</v>
      </c>
      <c r="B21" s="20" t="s">
        <v>160</v>
      </c>
      <c r="C21" s="21" t="s">
        <v>141</v>
      </c>
      <c r="D21" s="22">
        <f t="shared" si="3"/>
        <v>4</v>
      </c>
      <c r="E21" s="22">
        <f t="shared" si="4"/>
        <v>2</v>
      </c>
      <c r="F21" s="22">
        <f t="shared" si="5"/>
        <v>2</v>
      </c>
      <c r="G21" s="22">
        <f>IF(C21&lt;&gt;"",
    COUNTIFS(MATCH_INPUT!$K$2:$K$5,C21),
0)</f>
        <v>1</v>
      </c>
      <c r="H21" s="22">
        <f>IF(C21&lt;&gt;"",
    COUNTIFS(MATCH_INPUT!$F$2:$F$5, C21, MATCH_INPUT!$K$2:$K$5, "Draw") +
    COUNTIFS(MATCH_INPUT!$J$2:$J$5, C21, MATCH_INPUT!$K$2:$K$5, "Draw"),
0)</f>
        <v>0</v>
      </c>
      <c r="I21" s="22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1</v>
      </c>
      <c r="J21" s="23">
        <v>1.0</v>
      </c>
      <c r="K21" s="23"/>
      <c r="L21" s="24"/>
      <c r="M21" s="25">
        <f t="shared" si="6"/>
        <v>11</v>
      </c>
      <c r="N21" s="26" t="str">
        <f t="shared" si="7"/>
        <v>↓</v>
      </c>
      <c r="O21" s="27" t="s">
        <v>142</v>
      </c>
      <c r="P21" s="28">
        <f t="shared" si="8"/>
        <v>10</v>
      </c>
      <c r="Q21" s="28">
        <f t="shared" si="9"/>
        <v>2</v>
      </c>
      <c r="R21" s="28">
        <f t="shared" si="10"/>
        <v>4</v>
      </c>
      <c r="S21" s="28">
        <f>IF(O21&lt;&gt;"",
    COUNTIFS(MATCH_INPUT!$K$6:$K$9,O21),
0)</f>
        <v>2</v>
      </c>
      <c r="T21" s="28">
        <f>IF(O21&lt;&gt;"",
    COUNTIFS(MATCH_INPUT!$F$6:$F$9, O21, MATCH_INPUT!$K$6:$K$9, "Draw") +
    COUNTIFS(MATCH_INPUT!$J$6:$J$9, O21, MATCH_INPUT!$K$6:$K$9, "Draw"),
0)</f>
        <v>0</v>
      </c>
      <c r="U21" s="28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0</v>
      </c>
      <c r="V21" s="29"/>
      <c r="W21" s="29"/>
      <c r="X21" s="20"/>
      <c r="Y21" s="30">
        <f t="shared" si="11"/>
        <v>7</v>
      </c>
      <c r="Z21" s="31" t="str">
        <f t="shared" si="12"/>
        <v>↑</v>
      </c>
      <c r="AA21" s="21" t="s">
        <v>141</v>
      </c>
      <c r="AB21" s="32">
        <f t="shared" si="13"/>
        <v>15</v>
      </c>
      <c r="AC21" s="22">
        <f t="shared" si="14"/>
        <v>2</v>
      </c>
      <c r="AD21" s="22">
        <f t="shared" si="15"/>
        <v>3</v>
      </c>
      <c r="AE21" s="22">
        <f>IF(AA21&lt;&gt;"",
    COUNTIFS(MATCH_INPUT!$K$10:$K$13,AA21),
0)</f>
        <v>1</v>
      </c>
      <c r="AF21" s="22">
        <f>IF(AA21&lt;&gt;"",
    COUNTIFS(MATCH_INPUT!$F$10:$F$13, AA21, MATCH_INPUT!$K$10:$K$13, "Draw") +
    COUNTIFS(MATCH_INPUT!$J$10:$J$13, AA21, MATCH_INPUT!$K$10:$K$13, "Draw"),
0)</f>
        <v>1</v>
      </c>
      <c r="AG21" s="22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0</v>
      </c>
      <c r="AH21" s="23"/>
      <c r="AI21" s="23"/>
      <c r="AJ21" s="33"/>
      <c r="AK21" s="25">
        <f t="shared" si="16"/>
        <v>3</v>
      </c>
      <c r="AL21" s="26" t="str">
        <f t="shared" si="17"/>
        <v>↑</v>
      </c>
      <c r="AM21" s="27" t="s">
        <v>142</v>
      </c>
      <c r="AN21" s="28">
        <f t="shared" si="18"/>
        <v>18</v>
      </c>
      <c r="AO21" s="28">
        <f t="shared" si="19"/>
        <v>2</v>
      </c>
      <c r="AP21" s="28">
        <f t="shared" si="20"/>
        <v>1</v>
      </c>
      <c r="AQ21" s="28">
        <f>IF(AM21&lt;&gt;"",
    COUNTIFS(MATCH_INPUT!$K$14:$K$17,AM21),
0)</f>
        <v>0</v>
      </c>
      <c r="AR21" s="28">
        <f>IF(AM21&lt;&gt;"",
    COUNTIFS(MATCH_INPUT!$F$14:$F$17, AM21, MATCH_INPUT!$K$14:$K$17, "Draw") +
    COUNTIFS(MATCH_INPUT!$J$14:$J$17, AM21, MATCH_INPUT!$K$14:$K$17, "Draw"),
0)</f>
        <v>1</v>
      </c>
      <c r="AS21" s="28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1</v>
      </c>
      <c r="AT21" s="29">
        <v>1.0</v>
      </c>
      <c r="AU21" s="29"/>
      <c r="AV21" s="20"/>
      <c r="AW21" s="30">
        <f t="shared" si="21"/>
        <v>4</v>
      </c>
      <c r="AX21" s="31" t="str">
        <f t="shared" si="22"/>
        <v>↓</v>
      </c>
      <c r="AY21" s="21" t="s">
        <v>142</v>
      </c>
      <c r="AZ21" s="32">
        <f t="shared" si="23"/>
        <v>25</v>
      </c>
      <c r="BA21" s="22">
        <f t="shared" si="24"/>
        <v>2</v>
      </c>
      <c r="BB21" s="22">
        <f>SUM(BC21*2) + (BD21*1) + SUMIFS(MATCH_INPUT!$G$18:$G$21, MATCH_INPUT!$F$18:$F$21, AY21) + SUMIFS(MATCH_INPUT!$I$18:$I$21, MATCH_INPUT!$J$18:$J$21, AY21)
</f>
        <v>5</v>
      </c>
      <c r="BC21" s="22">
        <f>IF(AY21&lt;&gt;"",
    COUNTIFS(MATCH_INPUT!$K$18:$K$21,AY21),
0)</f>
        <v>1</v>
      </c>
      <c r="BD21" s="22">
        <f>IF(AY21&lt;&gt;"",
    COUNTIFS(MATCH_INPUT!$F$18:$F$21, AY21, MATCH_INPUT!$K$18:$K$21, "Draw") +
    COUNTIFS(MATCH_INPUT!$J$18:$J$21, AY21, MATCH_INPUT!$K$18:$K$21, "Draw"),
0)</f>
        <v>0</v>
      </c>
      <c r="BE21" s="22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1</v>
      </c>
      <c r="BF21" s="23"/>
      <c r="BG21" s="23"/>
      <c r="BH21" s="33"/>
      <c r="BI21" s="25">
        <f t="shared" si="25"/>
        <v>8</v>
      </c>
      <c r="BJ21" s="26" t="str">
        <f t="shared" si="26"/>
        <v>↓</v>
      </c>
      <c r="BK21" s="27" t="s">
        <v>141</v>
      </c>
      <c r="BL21" s="28">
        <f t="shared" si="27"/>
        <v>27</v>
      </c>
      <c r="BM21" s="28">
        <f t="shared" si="28"/>
        <v>2</v>
      </c>
      <c r="BN21" s="28">
        <f>SUM(BO21*2) + (BP21*1) + SUMIFS(MATCH_INPUT!$G$22:$G$25, MATCH_INPUT!$F$22:$F$25, BK21) + SUMIFS(MATCH_INPUT!$I$22:$I$25, MATCH_INPUT!$J$22:$J$25, BK21)
</f>
        <v>0</v>
      </c>
      <c r="BO21" s="28">
        <f>IF(BK21&lt;&gt;"",
    COUNTIFS(MATCH_INPUT!$K$22:$K$25,BK21),
0)</f>
        <v>0</v>
      </c>
      <c r="BP21" s="28">
        <f>IF(BK21&lt;&gt;"",
    COUNTIFS(MATCH_INPUT!$F$22:$F$25, BK21, MATCH_INPUT!$K$22:$K$25, "Draw") +
    COUNTIFS(MATCH_INPUT!$J$22:$J$25, BK21, MATCH_INPUT!$K$22:$K$25, "Draw"),
0)</f>
        <v>0</v>
      </c>
      <c r="BQ21" s="28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2</v>
      </c>
      <c r="BR21" s="29"/>
      <c r="BS21" s="29"/>
      <c r="BT21" s="20"/>
      <c r="BU21" s="30">
        <f t="shared" si="29"/>
        <v>19</v>
      </c>
      <c r="BV21" s="31" t="str">
        <f t="shared" si="30"/>
        <v>↓</v>
      </c>
      <c r="BW21" s="21"/>
      <c r="BX21" s="32">
        <f t="shared" si="31"/>
        <v>27</v>
      </c>
      <c r="BY21" s="22">
        <f t="shared" si="32"/>
        <v>0</v>
      </c>
      <c r="BZ21" s="22">
        <f>SUM(CA21*2)+(CB21*1) + SUMIFS(MATCH_INPUT!$G$26:$G$29, MATCH_INPUT!$F$26:$F$29, BW21) + SUMIFS(MATCH_INPUT!$I$26:$I$29, MATCH_INPUT!$J$26:$J$29, BW21)
</f>
        <v>0</v>
      </c>
      <c r="CA21" s="22">
        <f>IF(BW21&lt;&gt;"",
    COUNTIFS(MATCH_INPUT!$K$26:$K$29,BW21),
0)</f>
        <v>0</v>
      </c>
      <c r="CB21" s="22">
        <f>IF(BW21&lt;&gt;"",
    COUNTIFS(MATCH_INPUT!$F$26:$F$29, BW21, MATCH_INPUT!$K$26:$K$29, "Draw") +
    COUNTIFS(MATCH_INPUT!$J$26:$J$29, BW21, MATCH_INPUT!$K$26:$K$29, "Draw"),
0)</f>
        <v>0</v>
      </c>
      <c r="CC21" s="22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0</v>
      </c>
      <c r="CD21" s="23"/>
      <c r="CE21" s="23"/>
      <c r="CF21" s="33"/>
      <c r="CG21" s="25">
        <f t="shared" si="33"/>
        <v>28</v>
      </c>
      <c r="CH21" s="26" t="str">
        <f t="shared" si="34"/>
        <v>↓</v>
      </c>
      <c r="CI21" s="27" t="s">
        <v>141</v>
      </c>
      <c r="CJ21" s="28">
        <f t="shared" si="35"/>
        <v>37</v>
      </c>
      <c r="CK21" s="28">
        <f t="shared" si="36"/>
        <v>2</v>
      </c>
      <c r="CL21" s="28">
        <f>SUM(CM21*2)+(CN21*1) + SUMIFS(MATCH_INPUT!$G$30:$G$33, MATCH_INPUT!$F$30:$F$33, CI21) + SUMIFS(MATCH_INPUT!$I$30:$I$33, MATCH_INPUT!$J$30:$J$33, CI21)
</f>
        <v>7</v>
      </c>
      <c r="CM21" s="28">
        <f>IF(CI21&lt;&gt;"",
    COUNTIFS(MATCH_INPUT!$K$30:$K$33,CI21),
0)</f>
        <v>2</v>
      </c>
      <c r="CN21" s="28">
        <f>IF(CI21&lt;&gt;"",
    COUNTIFS(MATCH_INPUT!$F$30:$F$33, CI21, MATCH_INPUT!$K$30:$K$33, "Draw") +
    COUNTIFS(MATCH_INPUT!$J$30:$J$33, CI21, MATCH_INPUT!$K$30:$K$33, "Draw"),
0)</f>
        <v>0</v>
      </c>
      <c r="CO21" s="28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29"/>
      <c r="CQ21" s="29">
        <v>1.0</v>
      </c>
      <c r="CR21" s="20">
        <v>2.0</v>
      </c>
      <c r="CS21" s="34">
        <f t="shared" si="37"/>
        <v>19</v>
      </c>
      <c r="CT21" s="34" t="str">
        <f t="shared" si="38"/>
        <v>↑</v>
      </c>
      <c r="CU21" s="35">
        <f t="shared" si="39"/>
        <v>22</v>
      </c>
      <c r="CV21" s="35" t="str">
        <f t="shared" ref="CV21:CW21" si="77">A21</f>
        <v>🍀 </v>
      </c>
      <c r="CW21" s="36" t="str">
        <f t="shared" si="77"/>
        <v>Guille 👨🏻‍🤝‍👨🏾 Mike</v>
      </c>
      <c r="CX21" s="36">
        <f t="shared" si="41"/>
        <v>37</v>
      </c>
      <c r="CY21" s="35">
        <f>SUM(
  IF(AND('MATCH DATES'!$A$2 &lt;= TODAY(), NOW() &gt;= 'MATCH DATES'!$A$2 + TIME(22, 0, 0)), E21, 0),
  IF(AND('MATCH DATES'!$A$3 &lt;= TODAY(), NOW() &gt;= 'MATCH DATES'!$A$3 + TIME(22, 0, 0)), Q21, 0),
  IF(AND('MATCH DATES'!$A$4 &lt;= TODAY(), NOW() &gt;= 'MATCH DATES'!$A$4 + TIME(22, 0, 0)), AC21, 0),
  IF(AND('MATCH DATES'!$A$5 &lt;= TODAY(), NOW() &gt;= 'MATCH DATES'!$A$5 + TIME(22, 0, 0)), AO21, 0),
  IF(AND('MATCH DATES'!$A$6 &lt;= TODAY(), NOW() &gt;= 'MATCH DATES'!$A$6 + TIME(22, 0, 0)), BA21, 0),
  IF(AND('MATCH DATES'!$A$7 &lt;= TODAY(), NOW() &gt;= 'MATCH DATES'!$A$7 + TIME(22, 0, 0)), BM21, 0),
  IF(AND('MATCH DATES'!$A$8 &lt;= TODAY(), NOW() &gt;= 'MATCH DATES'!$A$8 + TIME(22, 0, 0)), BY21, 0),
  IF(AND('MATCH DATES'!$A$9 &lt;= TODAY(), NOW() &gt;= 'MATCH DATES'!$A$9 + TIME(22, 0, 0)), CK21, 0)
)
</f>
        <v>14</v>
      </c>
      <c r="CZ21" s="36">
        <f t="shared" ref="CZ21:DA21" si="78">SUM(G21,S21,AE21,AQ21,BC21,BO21,CA21,CM21)</f>
        <v>7</v>
      </c>
      <c r="DA21" s="36">
        <f t="shared" si="78"/>
        <v>2</v>
      </c>
      <c r="DB21" s="36">
        <f>SUM(
  IF(AND('MATCH DATES'!$A$2 &lt;= TODAY(), NOW() &gt;= 'MATCH DATES'!$A$2 + TIME(22, 0, 0)), I21, 0),
  IF(AND('MATCH DATES'!$A$3 &lt;= TODAY(), NOW() &gt;= 'MATCH DATES'!$A$3 + TIME(22, 0, 0)), U21, 0),
  IF(AND('MATCH DATES'!$A$4 &lt;= TODAY(), NOW() &gt;= 'MATCH DATES'!$A$4 + TIME(22, 0, 0)), AG21, 0),
  IF(AND('MATCH DATES'!$A$5 &lt;= TODAY(), NOW() &gt;= 'MATCH DATES'!$A$5 + TIME(22, 0, 0)), AS21, 0),
  IF(AND('MATCH DATES'!$A$6 &lt;= TODAY(), NOW() &gt;= 'MATCH DATES'!$A$6 + TIME(22, 0, 0)), BE21, 0),
  IF(AND('MATCH DATES'!$A$7 &lt;= TODAY(), NOW() &gt;= 'MATCH DATES'!$A$7 + TIME(22, 0, 0)), BQ21, 0),
  IF(AND('MATCH DATES'!$A$8 &lt;= TODAY(), NOW() &gt;= 'MATCH DATES'!$A$8 + TIME(22, 0, 0)), CC21, 0),
  IF(AND('MATCH DATES'!$A$9 &lt;= TODAY(), NOW() &gt;= 'MATCH DATES'!$A$9 + TIME(22, 0, 0)), CO21, 0)
)</f>
        <v>5</v>
      </c>
      <c r="DD21" s="36">
        <f t="shared" si="43"/>
        <v>1</v>
      </c>
      <c r="DF21" s="36">
        <f t="shared" si="44"/>
        <v>2</v>
      </c>
    </row>
    <row r="22" ht="24.75" customHeight="1">
      <c r="A22" s="19" t="s">
        <v>137</v>
      </c>
      <c r="B22" s="20" t="s">
        <v>161</v>
      </c>
      <c r="C22" s="21" t="s">
        <v>141</v>
      </c>
      <c r="D22" s="22">
        <f t="shared" si="3"/>
        <v>4</v>
      </c>
      <c r="E22" s="22">
        <f t="shared" si="4"/>
        <v>2</v>
      </c>
      <c r="F22" s="22">
        <f t="shared" si="5"/>
        <v>2</v>
      </c>
      <c r="G22" s="22">
        <f>IF(C22&lt;&gt;"",
    COUNTIFS(MATCH_INPUT!$K$2:$K$5,C22),
0)</f>
        <v>1</v>
      </c>
      <c r="H22" s="22">
        <f>IF(C22&lt;&gt;"",
    COUNTIFS(MATCH_INPUT!$F$2:$F$5, C22, MATCH_INPUT!$K$2:$K$5, "Draw") +
    COUNTIFS(MATCH_INPUT!$J$2:$J$5, C22, MATCH_INPUT!$K$2:$K$5, "Draw"),
0)</f>
        <v>0</v>
      </c>
      <c r="I22" s="22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1</v>
      </c>
      <c r="J22" s="23"/>
      <c r="K22" s="23"/>
      <c r="L22" s="24"/>
      <c r="M22" s="25">
        <f t="shared" si="6"/>
        <v>11</v>
      </c>
      <c r="N22" s="26" t="str">
        <f t="shared" si="7"/>
        <v>↓</v>
      </c>
      <c r="O22" s="27" t="s">
        <v>139</v>
      </c>
      <c r="P22" s="28">
        <f t="shared" si="8"/>
        <v>9</v>
      </c>
      <c r="Q22" s="28">
        <f t="shared" si="9"/>
        <v>2</v>
      </c>
      <c r="R22" s="28">
        <f t="shared" si="10"/>
        <v>3</v>
      </c>
      <c r="S22" s="28">
        <f>IF(O22&lt;&gt;"",
    COUNTIFS(MATCH_INPUT!$K$6:$K$9,O22),
0)</f>
        <v>1</v>
      </c>
      <c r="T22" s="28">
        <f>IF(O22&lt;&gt;"",
    COUNTIFS(MATCH_INPUT!$F$6:$F$9, O22, MATCH_INPUT!$K$6:$K$9, "Draw") +
    COUNTIFS(MATCH_INPUT!$J$6:$J$9, O22, MATCH_INPUT!$K$6:$K$9, "Draw"),
0)</f>
        <v>1</v>
      </c>
      <c r="U22" s="28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0</v>
      </c>
      <c r="V22" s="29">
        <v>1.0</v>
      </c>
      <c r="W22" s="29"/>
      <c r="X22" s="20"/>
      <c r="Y22" s="30">
        <f t="shared" si="11"/>
        <v>10</v>
      </c>
      <c r="Z22" s="31" t="str">
        <f t="shared" si="12"/>
        <v>↑</v>
      </c>
      <c r="AA22" s="21" t="s">
        <v>142</v>
      </c>
      <c r="AB22" s="32">
        <f t="shared" si="13"/>
        <v>13</v>
      </c>
      <c r="AC22" s="22">
        <f t="shared" si="14"/>
        <v>2</v>
      </c>
      <c r="AD22" s="22">
        <f t="shared" si="15"/>
        <v>2</v>
      </c>
      <c r="AE22" s="22">
        <f>IF(AA22&lt;&gt;"",
    COUNTIFS(MATCH_INPUT!$K$10:$K$13,AA22),
0)</f>
        <v>0</v>
      </c>
      <c r="AF22" s="22">
        <f>IF(AA22&lt;&gt;"",
    COUNTIFS(MATCH_INPUT!$F$10:$F$13, AA22, MATCH_INPUT!$K$10:$K$13, "Draw") +
    COUNTIFS(MATCH_INPUT!$J$10:$J$13, AA22, MATCH_INPUT!$K$10:$K$13, "Draw"),
0)</f>
        <v>2</v>
      </c>
      <c r="AG22" s="22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0</v>
      </c>
      <c r="AH22" s="23"/>
      <c r="AI22" s="23"/>
      <c r="AJ22" s="33"/>
      <c r="AK22" s="25">
        <f t="shared" si="16"/>
        <v>9</v>
      </c>
      <c r="AL22" s="26" t="str">
        <f t="shared" si="17"/>
        <v>↑</v>
      </c>
      <c r="AM22" s="27" t="s">
        <v>141</v>
      </c>
      <c r="AN22" s="28">
        <f t="shared" si="18"/>
        <v>17</v>
      </c>
      <c r="AO22" s="28">
        <f t="shared" si="19"/>
        <v>2</v>
      </c>
      <c r="AP22" s="28">
        <f t="shared" si="20"/>
        <v>2</v>
      </c>
      <c r="AQ22" s="28">
        <f>IF(AM22&lt;&gt;"",
    COUNTIFS(MATCH_INPUT!$K$14:$K$17,AM22),
0)</f>
        <v>0</v>
      </c>
      <c r="AR22" s="28">
        <f>IF(AM22&lt;&gt;"",
    COUNTIFS(MATCH_INPUT!$F$14:$F$17, AM22, MATCH_INPUT!$K$14:$K$17, "Draw") +
    COUNTIFS(MATCH_INPUT!$J$14:$J$17, AM22, MATCH_INPUT!$K$14:$K$17, "Draw"),
0)</f>
        <v>2</v>
      </c>
      <c r="AS22" s="28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0</v>
      </c>
      <c r="AT22" s="29"/>
      <c r="AU22" s="29"/>
      <c r="AV22" s="20"/>
      <c r="AW22" s="30">
        <f t="shared" si="21"/>
        <v>9</v>
      </c>
      <c r="AX22" s="31" t="str">
        <f t="shared" si="22"/>
        <v>=</v>
      </c>
      <c r="AY22" s="21" t="s">
        <v>142</v>
      </c>
      <c r="AZ22" s="32">
        <f t="shared" si="23"/>
        <v>24</v>
      </c>
      <c r="BA22" s="22">
        <f t="shared" si="24"/>
        <v>2</v>
      </c>
      <c r="BB22" s="22">
        <f>SUM(BC22*2) + (BD22*1) + SUMIFS(MATCH_INPUT!$G$18:$G$21, MATCH_INPUT!$F$18:$F$21, AY22) + SUMIFS(MATCH_INPUT!$I$18:$I$21, MATCH_INPUT!$J$18:$J$21, AY22)
</f>
        <v>5</v>
      </c>
      <c r="BC22" s="22">
        <f>IF(AY22&lt;&gt;"",
    COUNTIFS(MATCH_INPUT!$K$18:$K$21,AY22),
0)</f>
        <v>1</v>
      </c>
      <c r="BD22" s="22">
        <f>IF(AY22&lt;&gt;"",
    COUNTIFS(MATCH_INPUT!$F$18:$F$21, AY22, MATCH_INPUT!$K$18:$K$21, "Draw") +
    COUNTIFS(MATCH_INPUT!$J$18:$J$21, AY22, MATCH_INPUT!$K$18:$K$21, "Draw"),
0)</f>
        <v>0</v>
      </c>
      <c r="BE22" s="22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1</v>
      </c>
      <c r="BF22" s="23">
        <v>1.0</v>
      </c>
      <c r="BG22" s="23"/>
      <c r="BH22" s="33"/>
      <c r="BI22" s="25">
        <f t="shared" si="25"/>
        <v>11</v>
      </c>
      <c r="BJ22" s="26" t="str">
        <f t="shared" si="26"/>
        <v>↓</v>
      </c>
      <c r="BK22" s="27" t="s">
        <v>139</v>
      </c>
      <c r="BL22" s="28">
        <f t="shared" si="27"/>
        <v>32</v>
      </c>
      <c r="BM22" s="28">
        <f t="shared" si="28"/>
        <v>2</v>
      </c>
      <c r="BN22" s="28">
        <f>SUM(BO22*2) + (BP22*1) + SUMIFS(MATCH_INPUT!$G$22:$G$25, MATCH_INPUT!$F$22:$F$25, BK22) + SUMIFS(MATCH_INPUT!$I$22:$I$25, MATCH_INPUT!$J$22:$J$25, BK22)
</f>
        <v>6</v>
      </c>
      <c r="BO22" s="28">
        <f>IF(BK22&lt;&gt;"",
    COUNTIFS(MATCH_INPUT!$K$22:$K$25,BK22),
0)</f>
        <v>1</v>
      </c>
      <c r="BP22" s="28">
        <f>IF(BK22&lt;&gt;"",
    COUNTIFS(MATCH_INPUT!$F$22:$F$25, BK22, MATCH_INPUT!$K$22:$K$25, "Draw") +
    COUNTIFS(MATCH_INPUT!$J$22:$J$25, BK22, MATCH_INPUT!$K$22:$K$25, "Draw"),
0)</f>
        <v>1</v>
      </c>
      <c r="BQ22" s="28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0</v>
      </c>
      <c r="BR22" s="29">
        <v>2.0</v>
      </c>
      <c r="BS22" s="29"/>
      <c r="BT22" s="20"/>
      <c r="BU22" s="30">
        <f t="shared" si="29"/>
        <v>6</v>
      </c>
      <c r="BV22" s="31" t="str">
        <f t="shared" si="30"/>
        <v>↑</v>
      </c>
      <c r="BW22" s="21" t="s">
        <v>142</v>
      </c>
      <c r="BX22" s="32">
        <f t="shared" si="31"/>
        <v>37</v>
      </c>
      <c r="BY22" s="22">
        <f t="shared" si="32"/>
        <v>2</v>
      </c>
      <c r="BZ22" s="22">
        <f>SUM(CA22*2)+(CB22*1) + SUMIFS(MATCH_INPUT!$G$26:$G$29, MATCH_INPUT!$F$26:$F$29, BW22) + SUMIFS(MATCH_INPUT!$I$26:$I$29, MATCH_INPUT!$J$26:$J$29, BW22)
</f>
        <v>3</v>
      </c>
      <c r="CA22" s="22">
        <f>IF(BW22&lt;&gt;"",
    COUNTIFS(MATCH_INPUT!$K$26:$K$29,BW22),
0)</f>
        <v>0</v>
      </c>
      <c r="CB22" s="22">
        <f>IF(BW22&lt;&gt;"",
    COUNTIFS(MATCH_INPUT!$F$26:$F$29, BW22, MATCH_INPUT!$K$26:$K$29, "Draw") +
    COUNTIFS(MATCH_INPUT!$J$26:$J$29, BW22, MATCH_INPUT!$K$26:$K$29, "Draw"),
0)</f>
        <v>2</v>
      </c>
      <c r="CC22" s="22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0</v>
      </c>
      <c r="CD22" s="23"/>
      <c r="CE22" s="23"/>
      <c r="CF22" s="33"/>
      <c r="CG22" s="25">
        <f t="shared" si="33"/>
        <v>8</v>
      </c>
      <c r="CH22" s="26" t="str">
        <f t="shared" si="34"/>
        <v>↓</v>
      </c>
      <c r="CI22" s="27"/>
      <c r="CJ22" s="28">
        <f t="shared" si="35"/>
        <v>37</v>
      </c>
      <c r="CK22" s="28">
        <f t="shared" si="36"/>
        <v>0</v>
      </c>
      <c r="CL22" s="28">
        <f>SUM(CM22*2)+(CN22*1) + SUMIFS(MATCH_INPUT!$G$30:$G$33, MATCH_INPUT!$F$30:$F$33, CI22) + SUMIFS(MATCH_INPUT!$I$30:$I$33, MATCH_INPUT!$J$30:$J$33, CI22)
</f>
        <v>0</v>
      </c>
      <c r="CM22" s="28">
        <f>IF(CI22&lt;&gt;"",
    COUNTIFS(MATCH_INPUT!$K$30:$K$33,CI22),
0)</f>
        <v>0</v>
      </c>
      <c r="CN22" s="28">
        <f>IF(CI22&lt;&gt;"",
    COUNTIFS(MATCH_INPUT!$F$30:$F$33, CI22, MATCH_INPUT!$K$30:$K$33, "Draw") +
    COUNTIFS(MATCH_INPUT!$J$30:$J$33, CI22, MATCH_INPUT!$K$30:$K$33, "Draw"),
0)</f>
        <v>0</v>
      </c>
      <c r="CO22" s="28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0</v>
      </c>
      <c r="CP22" s="29"/>
      <c r="CQ22" s="29"/>
      <c r="CR22" s="20"/>
      <c r="CS22" s="34">
        <f t="shared" si="37"/>
        <v>19</v>
      </c>
      <c r="CT22" s="34" t="str">
        <f t="shared" si="38"/>
        <v>↓</v>
      </c>
      <c r="CU22" s="35">
        <f t="shared" si="39"/>
        <v>23</v>
      </c>
      <c r="CV22" s="35" t="str">
        <f t="shared" ref="CV22:CW22" si="79">A22</f>
        <v>🍀 </v>
      </c>
      <c r="CW22" s="36" t="str">
        <f t="shared" si="79"/>
        <v>Nicky</v>
      </c>
      <c r="CX22" s="36">
        <f t="shared" si="41"/>
        <v>37</v>
      </c>
      <c r="CY22" s="35">
        <f>SUM(
  IF(AND('MATCH DATES'!$A$2 &lt;= TODAY(), NOW() &gt;= 'MATCH DATES'!$A$2 + TIME(22, 0, 0)), E22, 0),
  IF(AND('MATCH DATES'!$A$3 &lt;= TODAY(), NOW() &gt;= 'MATCH DATES'!$A$3 + TIME(22, 0, 0)), Q22, 0),
  IF(AND('MATCH DATES'!$A$4 &lt;= TODAY(), NOW() &gt;= 'MATCH DATES'!$A$4 + TIME(22, 0, 0)), AC22, 0),
  IF(AND('MATCH DATES'!$A$5 &lt;= TODAY(), NOW() &gt;= 'MATCH DATES'!$A$5 + TIME(22, 0, 0)), AO22, 0),
  IF(AND('MATCH DATES'!$A$6 &lt;= TODAY(), NOW() &gt;= 'MATCH DATES'!$A$6 + TIME(22, 0, 0)), BA22, 0),
  IF(AND('MATCH DATES'!$A$7 &lt;= TODAY(), NOW() &gt;= 'MATCH DATES'!$A$7 + TIME(22, 0, 0)), BM22, 0),
  IF(AND('MATCH DATES'!$A$8 &lt;= TODAY(), NOW() &gt;= 'MATCH DATES'!$A$8 + TIME(22, 0, 0)), BY22, 0),
  IF(AND('MATCH DATES'!$A$9 &lt;= TODAY(), NOW() &gt;= 'MATCH DATES'!$A$9 + TIME(22, 0, 0)), CK22, 0)
)
</f>
        <v>14</v>
      </c>
      <c r="CZ22" s="36">
        <f t="shared" ref="CZ22:DA22" si="80">SUM(G22,S22,AE22,AQ22,BC22,BO22,CA22,CM22)</f>
        <v>4</v>
      </c>
      <c r="DA22" s="36">
        <f t="shared" si="80"/>
        <v>8</v>
      </c>
      <c r="DB22" s="36">
        <f>SUM(
  IF(AND('MATCH DATES'!$A$2 &lt;= TODAY(), NOW() &gt;= 'MATCH DATES'!$A$2 + TIME(22, 0, 0)), I22, 0),
  IF(AND('MATCH DATES'!$A$3 &lt;= TODAY(), NOW() &gt;= 'MATCH DATES'!$A$3 + TIME(22, 0, 0)), U22, 0),
  IF(AND('MATCH DATES'!$A$4 &lt;= TODAY(), NOW() &gt;= 'MATCH DATES'!$A$4 + TIME(22, 0, 0)), AG22, 0),
  IF(AND('MATCH DATES'!$A$5 &lt;= TODAY(), NOW() &gt;= 'MATCH DATES'!$A$5 + TIME(22, 0, 0)), AS22, 0),
  IF(AND('MATCH DATES'!$A$6 &lt;= TODAY(), NOW() &gt;= 'MATCH DATES'!$A$6 + TIME(22, 0, 0)), BE22, 0),
  IF(AND('MATCH DATES'!$A$7 &lt;= TODAY(), NOW() &gt;= 'MATCH DATES'!$A$7 + TIME(22, 0, 0)), BQ22, 0),
  IF(AND('MATCH DATES'!$A$8 &lt;= TODAY(), NOW() &gt;= 'MATCH DATES'!$A$8 + TIME(22, 0, 0)), CC22, 0),
  IF(AND('MATCH DATES'!$A$9 &lt;= TODAY(), NOW() &gt;= 'MATCH DATES'!$A$9 + TIME(22, 0, 0)), CO22, 0)
)</f>
        <v>2</v>
      </c>
      <c r="DD22" s="36">
        <f t="shared" si="43"/>
        <v>0</v>
      </c>
      <c r="DF22" s="36">
        <f t="shared" si="44"/>
        <v>0</v>
      </c>
    </row>
    <row r="23" ht="24.75" customHeight="1">
      <c r="A23" s="19" t="s">
        <v>137</v>
      </c>
      <c r="B23" s="20" t="s">
        <v>162</v>
      </c>
      <c r="C23" s="21" t="s">
        <v>140</v>
      </c>
      <c r="D23" s="22">
        <f t="shared" si="3"/>
        <v>4</v>
      </c>
      <c r="E23" s="22">
        <f t="shared" si="4"/>
        <v>2</v>
      </c>
      <c r="F23" s="22">
        <f t="shared" si="5"/>
        <v>2</v>
      </c>
      <c r="G23" s="22">
        <f>IF(C23&lt;&gt;"",
    COUNTIFS(MATCH_INPUT!$K$2:$K$5,C23),
0)</f>
        <v>1</v>
      </c>
      <c r="H23" s="22">
        <f>IF(C23&lt;&gt;"",
    COUNTIFS(MATCH_INPUT!$F$2:$F$5, C23, MATCH_INPUT!$K$2:$K$5, "Draw") +
    COUNTIFS(MATCH_INPUT!$J$2:$J$5, C23, MATCH_INPUT!$K$2:$K$5, "Draw"),
0)</f>
        <v>0</v>
      </c>
      <c r="I23" s="22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1</v>
      </c>
      <c r="J23" s="23"/>
      <c r="K23" s="23"/>
      <c r="L23" s="24"/>
      <c r="M23" s="25">
        <f t="shared" si="6"/>
        <v>11</v>
      </c>
      <c r="N23" s="26" t="str">
        <f t="shared" si="7"/>
        <v>↓</v>
      </c>
      <c r="O23" s="27" t="s">
        <v>141</v>
      </c>
      <c r="P23" s="28">
        <f t="shared" si="8"/>
        <v>6</v>
      </c>
      <c r="Q23" s="28">
        <f t="shared" si="9"/>
        <v>2</v>
      </c>
      <c r="R23" s="28">
        <f t="shared" si="10"/>
        <v>0</v>
      </c>
      <c r="S23" s="28">
        <f>IF(O23&lt;&gt;"",
    COUNTIFS(MATCH_INPUT!$K$6:$K$9,O23),
0)</f>
        <v>0</v>
      </c>
      <c r="T23" s="28">
        <f>IF(O23&lt;&gt;"",
    COUNTIFS(MATCH_INPUT!$F$6:$F$9, O23, MATCH_INPUT!$K$6:$K$9, "Draw") +
    COUNTIFS(MATCH_INPUT!$J$6:$J$9, O23, MATCH_INPUT!$K$6:$K$9, "Draw"),
0)</f>
        <v>0</v>
      </c>
      <c r="U23" s="28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2</v>
      </c>
      <c r="V23" s="29"/>
      <c r="W23" s="29"/>
      <c r="X23" s="20"/>
      <c r="Y23" s="30">
        <f t="shared" si="11"/>
        <v>25</v>
      </c>
      <c r="Z23" s="31" t="str">
        <f t="shared" si="12"/>
        <v>↓</v>
      </c>
      <c r="AA23" s="21" t="s">
        <v>142</v>
      </c>
      <c r="AB23" s="32">
        <f t="shared" si="13"/>
        <v>10</v>
      </c>
      <c r="AC23" s="22">
        <f t="shared" si="14"/>
        <v>2</v>
      </c>
      <c r="AD23" s="22">
        <f t="shared" si="15"/>
        <v>2</v>
      </c>
      <c r="AE23" s="22">
        <f>IF(AA23&lt;&gt;"",
    COUNTIFS(MATCH_INPUT!$K$10:$K$13,AA23),
0)</f>
        <v>0</v>
      </c>
      <c r="AF23" s="22">
        <f>IF(AA23&lt;&gt;"",
    COUNTIFS(MATCH_INPUT!$F$10:$F$13, AA23, MATCH_INPUT!$K$10:$K$13, "Draw") +
    COUNTIFS(MATCH_INPUT!$J$10:$J$13, AA23, MATCH_INPUT!$K$10:$K$13, "Draw"),
0)</f>
        <v>2</v>
      </c>
      <c r="AG23" s="22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0</v>
      </c>
      <c r="AH23" s="23"/>
      <c r="AI23" s="23"/>
      <c r="AJ23" s="33"/>
      <c r="AK23" s="25">
        <f t="shared" si="16"/>
        <v>24</v>
      </c>
      <c r="AL23" s="26" t="str">
        <f t="shared" si="17"/>
        <v>↑</v>
      </c>
      <c r="AM23" s="27" t="s">
        <v>140</v>
      </c>
      <c r="AN23" s="28">
        <f t="shared" si="18"/>
        <v>16</v>
      </c>
      <c r="AO23" s="28">
        <f t="shared" si="19"/>
        <v>2</v>
      </c>
      <c r="AP23" s="28">
        <f t="shared" si="20"/>
        <v>4</v>
      </c>
      <c r="AQ23" s="28">
        <f>IF(AM23&lt;&gt;"",
    COUNTIFS(MATCH_INPUT!$K$14:$K$17,AM23),
0)</f>
        <v>2</v>
      </c>
      <c r="AR23" s="28">
        <f>IF(AM23&lt;&gt;"",
    COUNTIFS(MATCH_INPUT!$F$14:$F$17, AM23, MATCH_INPUT!$K$14:$K$17, "Draw") +
    COUNTIFS(MATCH_INPUT!$J$14:$J$17, AM23, MATCH_INPUT!$K$14:$K$17, "Draw"),
0)</f>
        <v>0</v>
      </c>
      <c r="AS23" s="28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0</v>
      </c>
      <c r="AT23" s="29"/>
      <c r="AU23" s="29"/>
      <c r="AV23" s="20"/>
      <c r="AW23" s="30">
        <f t="shared" si="21"/>
        <v>15</v>
      </c>
      <c r="AX23" s="31" t="str">
        <f t="shared" si="22"/>
        <v>↑</v>
      </c>
      <c r="AY23" s="21" t="s">
        <v>142</v>
      </c>
      <c r="AZ23" s="32">
        <f t="shared" si="23"/>
        <v>23</v>
      </c>
      <c r="BA23" s="22">
        <f t="shared" si="24"/>
        <v>2</v>
      </c>
      <c r="BB23" s="22">
        <f>SUM(BC23*2) + (BD23*1) + SUMIFS(MATCH_INPUT!$G$18:$G$21, MATCH_INPUT!$F$18:$F$21, AY23) + SUMIFS(MATCH_INPUT!$I$18:$I$21, MATCH_INPUT!$J$18:$J$21, AY23)
</f>
        <v>5</v>
      </c>
      <c r="BC23" s="22">
        <f>IF(AY23&lt;&gt;"",
    COUNTIFS(MATCH_INPUT!$K$18:$K$21,AY23),
0)</f>
        <v>1</v>
      </c>
      <c r="BD23" s="22">
        <f>IF(AY23&lt;&gt;"",
    COUNTIFS(MATCH_INPUT!$F$18:$F$21, AY23, MATCH_INPUT!$K$18:$K$21, "Draw") +
    COUNTIFS(MATCH_INPUT!$J$18:$J$21, AY23, MATCH_INPUT!$K$18:$K$21, "Draw"),
0)</f>
        <v>0</v>
      </c>
      <c r="BE23" s="22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1</v>
      </c>
      <c r="BF23" s="23">
        <v>1.0</v>
      </c>
      <c r="BG23" s="23"/>
      <c r="BH23" s="33"/>
      <c r="BI23" s="25">
        <f t="shared" si="25"/>
        <v>14</v>
      </c>
      <c r="BJ23" s="26" t="str">
        <f t="shared" si="26"/>
        <v>↑</v>
      </c>
      <c r="BK23" s="27" t="s">
        <v>141</v>
      </c>
      <c r="BL23" s="28">
        <f t="shared" si="27"/>
        <v>25</v>
      </c>
      <c r="BM23" s="28">
        <f t="shared" si="28"/>
        <v>2</v>
      </c>
      <c r="BN23" s="28">
        <f>SUM(BO23*2) + (BP23*1) + SUMIFS(MATCH_INPUT!$G$22:$G$25, MATCH_INPUT!$F$22:$F$25, BK23) + SUMIFS(MATCH_INPUT!$I$22:$I$25, MATCH_INPUT!$J$22:$J$25, BK23)
</f>
        <v>0</v>
      </c>
      <c r="BO23" s="28">
        <f>IF(BK23&lt;&gt;"",
    COUNTIFS(MATCH_INPUT!$K$22:$K$25,BK23),
0)</f>
        <v>0</v>
      </c>
      <c r="BP23" s="28">
        <f>IF(BK23&lt;&gt;"",
    COUNTIFS(MATCH_INPUT!$F$22:$F$25, BK23, MATCH_INPUT!$K$22:$K$25, "Draw") +
    COUNTIFS(MATCH_INPUT!$J$22:$J$25, BK23, MATCH_INPUT!$K$22:$K$25, "Draw"),
0)</f>
        <v>0</v>
      </c>
      <c r="BQ23" s="28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2</v>
      </c>
      <c r="BR23" s="29"/>
      <c r="BS23" s="29"/>
      <c r="BT23" s="20"/>
      <c r="BU23" s="30">
        <f t="shared" si="29"/>
        <v>26</v>
      </c>
      <c r="BV23" s="31" t="str">
        <f t="shared" si="30"/>
        <v>↓</v>
      </c>
      <c r="BW23" s="21" t="s">
        <v>142</v>
      </c>
      <c r="BX23" s="32">
        <f t="shared" si="31"/>
        <v>30</v>
      </c>
      <c r="BY23" s="22">
        <f t="shared" si="32"/>
        <v>2</v>
      </c>
      <c r="BZ23" s="22">
        <f>SUM(CA23*2)+(CB23*1) + SUMIFS(MATCH_INPUT!$G$26:$G$29, MATCH_INPUT!$F$26:$F$29, BW23) + SUMIFS(MATCH_INPUT!$I$26:$I$29, MATCH_INPUT!$J$26:$J$29, BW23)
</f>
        <v>3</v>
      </c>
      <c r="CA23" s="22">
        <f>IF(BW23&lt;&gt;"",
    COUNTIFS(MATCH_INPUT!$K$26:$K$29,BW23),
0)</f>
        <v>0</v>
      </c>
      <c r="CB23" s="22">
        <f>IF(BW23&lt;&gt;"",
    COUNTIFS(MATCH_INPUT!$F$26:$F$29, BW23, MATCH_INPUT!$K$26:$K$29, "Draw") +
    COUNTIFS(MATCH_INPUT!$J$26:$J$29, BW23, MATCH_INPUT!$K$26:$K$29, "Draw"),
0)</f>
        <v>2</v>
      </c>
      <c r="CC23" s="22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0</v>
      </c>
      <c r="CD23" s="23"/>
      <c r="CE23" s="23"/>
      <c r="CF23" s="33"/>
      <c r="CG23" s="25">
        <f t="shared" si="33"/>
        <v>27</v>
      </c>
      <c r="CH23" s="26" t="str">
        <f t="shared" si="34"/>
        <v>↓</v>
      </c>
      <c r="CI23" s="27" t="s">
        <v>142</v>
      </c>
      <c r="CJ23" s="28">
        <f t="shared" si="35"/>
        <v>36</v>
      </c>
      <c r="CK23" s="28">
        <f t="shared" si="36"/>
        <v>2</v>
      </c>
      <c r="CL23" s="28">
        <f>SUM(CM23*2)+(CN23*1) + SUMIFS(MATCH_INPUT!$G$30:$G$33, MATCH_INPUT!$F$30:$F$33, CI23) + SUMIFS(MATCH_INPUT!$I$30:$I$33, MATCH_INPUT!$J$30:$J$33, CI23)
</f>
        <v>4</v>
      </c>
      <c r="CM23" s="28">
        <f>IF(CI23&lt;&gt;"",
    COUNTIFS(MATCH_INPUT!$K$30:$K$33,CI23),
0)</f>
        <v>1</v>
      </c>
      <c r="CN23" s="28">
        <f>IF(CI23&lt;&gt;"",
    COUNTIFS(MATCH_INPUT!$F$30:$F$33, CI23, MATCH_INPUT!$K$30:$K$33, "Draw") +
    COUNTIFS(MATCH_INPUT!$J$30:$J$33, CI23, MATCH_INPUT!$K$30:$K$33, "Draw"),
0)</f>
        <v>0</v>
      </c>
      <c r="CO23" s="28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1</v>
      </c>
      <c r="CP23" s="29"/>
      <c r="CQ23" s="29"/>
      <c r="CR23" s="20"/>
      <c r="CS23" s="34">
        <f t="shared" si="37"/>
        <v>21</v>
      </c>
      <c r="CT23" s="34" t="str">
        <f t="shared" si="38"/>
        <v>↑</v>
      </c>
      <c r="CU23" s="35">
        <f t="shared" si="39"/>
        <v>20</v>
      </c>
      <c r="CV23" s="35" t="str">
        <f t="shared" ref="CV23:CW23" si="81">A23</f>
        <v>🍀 </v>
      </c>
      <c r="CW23" s="36" t="str">
        <f t="shared" si="81"/>
        <v>Jordan</v>
      </c>
      <c r="CX23" s="36">
        <f t="shared" si="41"/>
        <v>36</v>
      </c>
      <c r="CY23" s="35">
        <f>SUM(
  IF(AND('MATCH DATES'!$A$2 &lt;= TODAY(), NOW() &gt;= 'MATCH DATES'!$A$2 + TIME(22, 0, 0)), E23, 0),
  IF(AND('MATCH DATES'!$A$3 &lt;= TODAY(), NOW() &gt;= 'MATCH DATES'!$A$3 + TIME(22, 0, 0)), Q23, 0),
  IF(AND('MATCH DATES'!$A$4 &lt;= TODAY(), NOW() &gt;= 'MATCH DATES'!$A$4 + TIME(22, 0, 0)), AC23, 0),
  IF(AND('MATCH DATES'!$A$5 &lt;= TODAY(), NOW() &gt;= 'MATCH DATES'!$A$5 + TIME(22, 0, 0)), AO23, 0),
  IF(AND('MATCH DATES'!$A$6 &lt;= TODAY(), NOW() &gt;= 'MATCH DATES'!$A$6 + TIME(22, 0, 0)), BA23, 0),
  IF(AND('MATCH DATES'!$A$7 &lt;= TODAY(), NOW() &gt;= 'MATCH DATES'!$A$7 + TIME(22, 0, 0)), BM23, 0),
  IF(AND('MATCH DATES'!$A$8 &lt;= TODAY(), NOW() &gt;= 'MATCH DATES'!$A$8 + TIME(22, 0, 0)), BY23, 0),
  IF(AND('MATCH DATES'!$A$9 &lt;= TODAY(), NOW() &gt;= 'MATCH DATES'!$A$9 + TIME(22, 0, 0)), CK23, 0)
)
</f>
        <v>16</v>
      </c>
      <c r="CZ23" s="36">
        <f t="shared" ref="CZ23:DA23" si="82">SUM(G23,S23,AE23,AQ23,BC23,BO23,CA23,CM23)</f>
        <v>5</v>
      </c>
      <c r="DA23" s="36">
        <f t="shared" si="82"/>
        <v>4</v>
      </c>
      <c r="DB23" s="36">
        <f>SUM(
  IF(AND('MATCH DATES'!$A$2 &lt;= TODAY(), NOW() &gt;= 'MATCH DATES'!$A$2 + TIME(22, 0, 0)), I23, 0),
  IF(AND('MATCH DATES'!$A$3 &lt;= TODAY(), NOW() &gt;= 'MATCH DATES'!$A$3 + TIME(22, 0, 0)), U23, 0),
  IF(AND('MATCH DATES'!$A$4 &lt;= TODAY(), NOW() &gt;= 'MATCH DATES'!$A$4 + TIME(22, 0, 0)), AG23, 0),
  IF(AND('MATCH DATES'!$A$5 &lt;= TODAY(), NOW() &gt;= 'MATCH DATES'!$A$5 + TIME(22, 0, 0)), AS23, 0),
  IF(AND('MATCH DATES'!$A$6 &lt;= TODAY(), NOW() &gt;= 'MATCH DATES'!$A$6 + TIME(22, 0, 0)), BE23, 0),
  IF(AND('MATCH DATES'!$A$7 &lt;= TODAY(), NOW() &gt;= 'MATCH DATES'!$A$7 + TIME(22, 0, 0)), BQ23, 0),
  IF(AND('MATCH DATES'!$A$8 &lt;= TODAY(), NOW() &gt;= 'MATCH DATES'!$A$8 + TIME(22, 0, 0)), CC23, 0),
  IF(AND('MATCH DATES'!$A$9 &lt;= TODAY(), NOW() &gt;= 'MATCH DATES'!$A$9 + TIME(22, 0, 0)), CO23, 0)
)</f>
        <v>7</v>
      </c>
      <c r="DD23" s="36">
        <f t="shared" si="43"/>
        <v>0</v>
      </c>
      <c r="DF23" s="36">
        <f t="shared" si="44"/>
        <v>0</v>
      </c>
    </row>
    <row r="24" ht="24.75" customHeight="1">
      <c r="A24" s="19" t="s">
        <v>137</v>
      </c>
      <c r="B24" s="20" t="s">
        <v>163</v>
      </c>
      <c r="C24" s="21" t="s">
        <v>140</v>
      </c>
      <c r="D24" s="22">
        <f t="shared" si="3"/>
        <v>4</v>
      </c>
      <c r="E24" s="22">
        <f t="shared" si="4"/>
        <v>2</v>
      </c>
      <c r="F24" s="22">
        <f t="shared" si="5"/>
        <v>2</v>
      </c>
      <c r="G24" s="22">
        <f>IF(C24&lt;&gt;"",
    COUNTIFS(MATCH_INPUT!$K$2:$K$5,C24),
0)</f>
        <v>1</v>
      </c>
      <c r="H24" s="22">
        <f>IF(C24&lt;&gt;"",
    COUNTIFS(MATCH_INPUT!$F$2:$F$5, C24, MATCH_INPUT!$K$2:$K$5, "Draw") +
    COUNTIFS(MATCH_INPUT!$J$2:$J$5, C24, MATCH_INPUT!$K$2:$K$5, "Draw"),
0)</f>
        <v>0</v>
      </c>
      <c r="I24" s="22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1</v>
      </c>
      <c r="J24" s="23"/>
      <c r="K24" s="23"/>
      <c r="L24" s="24"/>
      <c r="M24" s="25">
        <f t="shared" si="6"/>
        <v>11</v>
      </c>
      <c r="N24" s="26" t="str">
        <f t="shared" si="7"/>
        <v>↓</v>
      </c>
      <c r="O24" s="27" t="s">
        <v>141</v>
      </c>
      <c r="P24" s="28">
        <f t="shared" si="8"/>
        <v>6</v>
      </c>
      <c r="Q24" s="28">
        <f t="shared" si="9"/>
        <v>2</v>
      </c>
      <c r="R24" s="28">
        <f t="shared" si="10"/>
        <v>0</v>
      </c>
      <c r="S24" s="28">
        <f>IF(O24&lt;&gt;"",
    COUNTIFS(MATCH_INPUT!$K$6:$K$9,O24),
0)</f>
        <v>0</v>
      </c>
      <c r="T24" s="28">
        <f>IF(O24&lt;&gt;"",
    COUNTIFS(MATCH_INPUT!$F$6:$F$9, O24, MATCH_INPUT!$K$6:$K$9, "Draw") +
    COUNTIFS(MATCH_INPUT!$J$6:$J$9, O24, MATCH_INPUT!$K$6:$K$9, "Draw"),
0)</f>
        <v>0</v>
      </c>
      <c r="U24" s="28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2</v>
      </c>
      <c r="V24" s="29"/>
      <c r="W24" s="29"/>
      <c r="X24" s="20"/>
      <c r="Y24" s="30">
        <f t="shared" si="11"/>
        <v>25</v>
      </c>
      <c r="Z24" s="31" t="str">
        <f t="shared" si="12"/>
        <v>↓</v>
      </c>
      <c r="AA24" s="21" t="s">
        <v>139</v>
      </c>
      <c r="AB24" s="32">
        <f t="shared" si="13"/>
        <v>10</v>
      </c>
      <c r="AC24" s="22">
        <f t="shared" si="14"/>
        <v>2</v>
      </c>
      <c r="AD24" s="22">
        <f t="shared" si="15"/>
        <v>2</v>
      </c>
      <c r="AE24" s="22">
        <f>IF(AA24&lt;&gt;"",
    COUNTIFS(MATCH_INPUT!$K$10:$K$13,AA24),
0)</f>
        <v>0</v>
      </c>
      <c r="AF24" s="22">
        <f>IF(AA24&lt;&gt;"",
    COUNTIFS(MATCH_INPUT!$F$10:$F$13, AA24, MATCH_INPUT!$K$10:$K$13, "Draw") +
    COUNTIFS(MATCH_INPUT!$J$10:$J$13, AA24, MATCH_INPUT!$K$10:$K$13, "Draw"),
0)</f>
        <v>2</v>
      </c>
      <c r="AG24" s="22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0</v>
      </c>
      <c r="AH24" s="23"/>
      <c r="AI24" s="23"/>
      <c r="AJ24" s="33"/>
      <c r="AK24" s="25">
        <f t="shared" si="16"/>
        <v>24</v>
      </c>
      <c r="AL24" s="26" t="str">
        <f t="shared" si="17"/>
        <v>↑</v>
      </c>
      <c r="AM24" s="27"/>
      <c r="AN24" s="28">
        <f t="shared" si="18"/>
        <v>10</v>
      </c>
      <c r="AO24" s="28">
        <f t="shared" si="19"/>
        <v>0</v>
      </c>
      <c r="AP24" s="28">
        <f t="shared" si="20"/>
        <v>0</v>
      </c>
      <c r="AQ24" s="28">
        <f>IF(AM24&lt;&gt;"",
    COUNTIFS(MATCH_INPUT!$K$14:$K$17,AM24),
0)</f>
        <v>0</v>
      </c>
      <c r="AR24" s="28">
        <f>IF(AM24&lt;&gt;"",
    COUNTIFS(MATCH_INPUT!$F$14:$F$17, AM24, MATCH_INPUT!$K$14:$K$17, "Draw") +
    COUNTIFS(MATCH_INPUT!$J$14:$J$17, AM24, MATCH_INPUT!$K$14:$K$17, "Draw"),
0)</f>
        <v>0</v>
      </c>
      <c r="AS24" s="28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0</v>
      </c>
      <c r="AT24" s="29"/>
      <c r="AU24" s="29"/>
      <c r="AV24" s="20"/>
      <c r="AW24" s="30">
        <f t="shared" si="21"/>
        <v>33</v>
      </c>
      <c r="AX24" s="31" t="str">
        <f t="shared" si="22"/>
        <v>↓</v>
      </c>
      <c r="AY24" s="21" t="s">
        <v>140</v>
      </c>
      <c r="AZ24" s="32">
        <f t="shared" si="23"/>
        <v>16</v>
      </c>
      <c r="BA24" s="22">
        <f t="shared" si="24"/>
        <v>2</v>
      </c>
      <c r="BB24" s="22">
        <f>SUM(BC24*2) + (BD24*1) + SUMIFS(MATCH_INPUT!$G$18:$G$21, MATCH_INPUT!$F$18:$F$21, AY24) + SUMIFS(MATCH_INPUT!$I$18:$I$21, MATCH_INPUT!$J$18:$J$21, AY24)
</f>
        <v>4</v>
      </c>
      <c r="BC24" s="22">
        <f>IF(AY24&lt;&gt;"",
    COUNTIFS(MATCH_INPUT!$K$18:$K$21,AY24),
0)</f>
        <v>0</v>
      </c>
      <c r="BD24" s="22">
        <f>IF(AY24&lt;&gt;"",
    COUNTIFS(MATCH_INPUT!$F$18:$F$21, AY24, MATCH_INPUT!$K$18:$K$21, "Draw") +
    COUNTIFS(MATCH_INPUT!$J$18:$J$21, AY24, MATCH_INPUT!$K$18:$K$21, "Draw"),
0)</f>
        <v>1</v>
      </c>
      <c r="BE24" s="22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1</v>
      </c>
      <c r="BF24" s="23"/>
      <c r="BG24" s="23"/>
      <c r="BH24" s="33"/>
      <c r="BI24" s="25">
        <f t="shared" si="25"/>
        <v>32</v>
      </c>
      <c r="BJ24" s="26" t="str">
        <f t="shared" si="26"/>
        <v>↑</v>
      </c>
      <c r="BK24" s="27" t="s">
        <v>140</v>
      </c>
      <c r="BL24" s="28">
        <f t="shared" si="27"/>
        <v>22</v>
      </c>
      <c r="BM24" s="28">
        <f t="shared" si="28"/>
        <v>2</v>
      </c>
      <c r="BN24" s="28">
        <f>SUM(BO24*2) + (BP24*1) + SUMIFS(MATCH_INPUT!$G$22:$G$25, MATCH_INPUT!$F$22:$F$25, BK24) + SUMIFS(MATCH_INPUT!$I$22:$I$25, MATCH_INPUT!$J$22:$J$25, BK24)
</f>
        <v>4</v>
      </c>
      <c r="BO24" s="28">
        <f>IF(BK24&lt;&gt;"",
    COUNTIFS(MATCH_INPUT!$K$22:$K$25,BK24),
0)</f>
        <v>0</v>
      </c>
      <c r="BP24" s="28">
        <f>IF(BK24&lt;&gt;"",
    COUNTIFS(MATCH_INPUT!$F$22:$F$25, BK24, MATCH_INPUT!$K$22:$K$25, "Draw") +
    COUNTIFS(MATCH_INPUT!$J$22:$J$25, BK24, MATCH_INPUT!$K$22:$K$25, "Draw"),
0)</f>
        <v>2</v>
      </c>
      <c r="BQ24" s="28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0</v>
      </c>
      <c r="BR24" s="29"/>
      <c r="BS24" s="29"/>
      <c r="BT24" s="20"/>
      <c r="BU24" s="30">
        <f t="shared" si="29"/>
        <v>31</v>
      </c>
      <c r="BV24" s="31" t="str">
        <f t="shared" si="30"/>
        <v>↑</v>
      </c>
      <c r="BW24" s="21" t="s">
        <v>142</v>
      </c>
      <c r="BX24" s="32">
        <f t="shared" si="31"/>
        <v>27</v>
      </c>
      <c r="BY24" s="22">
        <f t="shared" si="32"/>
        <v>2</v>
      </c>
      <c r="BZ24" s="22">
        <f>SUM(CA24*2)+(CB24*1) + SUMIFS(MATCH_INPUT!$G$26:$G$29, MATCH_INPUT!$F$26:$F$29, BW24) + SUMIFS(MATCH_INPUT!$I$26:$I$29, MATCH_INPUT!$J$26:$J$29, BW24)
</f>
        <v>3</v>
      </c>
      <c r="CA24" s="22">
        <f>IF(BW24&lt;&gt;"",
    COUNTIFS(MATCH_INPUT!$K$26:$K$29,BW24),
0)</f>
        <v>0</v>
      </c>
      <c r="CB24" s="22">
        <f>IF(BW24&lt;&gt;"",
    COUNTIFS(MATCH_INPUT!$F$26:$F$29, BW24, MATCH_INPUT!$K$26:$K$29, "Draw") +
    COUNTIFS(MATCH_INPUT!$J$26:$J$29, BW24, MATCH_INPUT!$K$26:$K$29, "Draw"),
0)</f>
        <v>2</v>
      </c>
      <c r="CC24" s="22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0</v>
      </c>
      <c r="CD24" s="23"/>
      <c r="CE24" s="23"/>
      <c r="CF24" s="33"/>
      <c r="CG24" s="25">
        <f t="shared" si="33"/>
        <v>28</v>
      </c>
      <c r="CH24" s="26" t="str">
        <f t="shared" si="34"/>
        <v>↑</v>
      </c>
      <c r="CI24" s="27" t="s">
        <v>141</v>
      </c>
      <c r="CJ24" s="28">
        <f t="shared" si="35"/>
        <v>36</v>
      </c>
      <c r="CK24" s="28">
        <f t="shared" si="36"/>
        <v>2</v>
      </c>
      <c r="CL24" s="28">
        <f>SUM(CM24*2)+(CN24*1) + SUMIFS(MATCH_INPUT!$G$30:$G$33, MATCH_INPUT!$F$30:$F$33, CI24) + SUMIFS(MATCH_INPUT!$I$30:$I$33, MATCH_INPUT!$J$30:$J$33, CI24)
</f>
        <v>7</v>
      </c>
      <c r="CM24" s="28">
        <f>IF(CI24&lt;&gt;"",
    COUNTIFS(MATCH_INPUT!$K$30:$K$33,CI24),
0)</f>
        <v>2</v>
      </c>
      <c r="CN24" s="28">
        <f>IF(CI24&lt;&gt;"",
    COUNTIFS(MATCH_INPUT!$F$30:$F$33, CI24, MATCH_INPUT!$K$30:$K$33, "Draw") +
    COUNTIFS(MATCH_INPUT!$J$30:$J$33, CI24, MATCH_INPUT!$K$30:$K$33, "Draw"),
0)</f>
        <v>0</v>
      </c>
      <c r="CO24" s="28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0</v>
      </c>
      <c r="CP24" s="29"/>
      <c r="CQ24" s="29"/>
      <c r="CR24" s="20"/>
      <c r="CS24" s="34">
        <f t="shared" si="37"/>
        <v>21</v>
      </c>
      <c r="CT24" s="34" t="str">
        <f t="shared" si="38"/>
        <v>↑</v>
      </c>
      <c r="CU24" s="35">
        <f t="shared" si="39"/>
        <v>22</v>
      </c>
      <c r="CV24" s="35" t="str">
        <f t="shared" ref="CV24:CW24" si="83">A24</f>
        <v>🍀 </v>
      </c>
      <c r="CW24" s="36" t="str">
        <f t="shared" si="83"/>
        <v>Jose Sarza</v>
      </c>
      <c r="CX24" s="36">
        <f t="shared" si="41"/>
        <v>36</v>
      </c>
      <c r="CY24" s="35">
        <f>SUM(
  IF(AND('MATCH DATES'!$A$2 &lt;= TODAY(), NOW() &gt;= 'MATCH DATES'!$A$2 + TIME(22, 0, 0)), E24, 0),
  IF(AND('MATCH DATES'!$A$3 &lt;= TODAY(), NOW() &gt;= 'MATCH DATES'!$A$3 + TIME(22, 0, 0)), Q24, 0),
  IF(AND('MATCH DATES'!$A$4 &lt;= TODAY(), NOW() &gt;= 'MATCH DATES'!$A$4 + TIME(22, 0, 0)), AC24, 0),
  IF(AND('MATCH DATES'!$A$5 &lt;= TODAY(), NOW() &gt;= 'MATCH DATES'!$A$5 + TIME(22, 0, 0)), AO24, 0),
  IF(AND('MATCH DATES'!$A$6 &lt;= TODAY(), NOW() &gt;= 'MATCH DATES'!$A$6 + TIME(22, 0, 0)), BA24, 0),
  IF(AND('MATCH DATES'!$A$7 &lt;= TODAY(), NOW() &gt;= 'MATCH DATES'!$A$7 + TIME(22, 0, 0)), BM24, 0),
  IF(AND('MATCH DATES'!$A$8 &lt;= TODAY(), NOW() &gt;= 'MATCH DATES'!$A$8 + TIME(22, 0, 0)), BY24, 0),
  IF(AND('MATCH DATES'!$A$9 &lt;= TODAY(), NOW() &gt;= 'MATCH DATES'!$A$9 + TIME(22, 0, 0)), CK24, 0)
)
</f>
        <v>14</v>
      </c>
      <c r="CZ24" s="36">
        <f t="shared" ref="CZ24:DA24" si="84">SUM(G24,S24,AE24,AQ24,BC24,BO24,CA24,CM24)</f>
        <v>3</v>
      </c>
      <c r="DA24" s="36">
        <f t="shared" si="84"/>
        <v>7</v>
      </c>
      <c r="DB24" s="36">
        <f>SUM(
  IF(AND('MATCH DATES'!$A$2 &lt;= TODAY(), NOW() &gt;= 'MATCH DATES'!$A$2 + TIME(22, 0, 0)), I24, 0),
  IF(AND('MATCH DATES'!$A$3 &lt;= TODAY(), NOW() &gt;= 'MATCH DATES'!$A$3 + TIME(22, 0, 0)), U24, 0),
  IF(AND('MATCH DATES'!$A$4 &lt;= TODAY(), NOW() &gt;= 'MATCH DATES'!$A$4 + TIME(22, 0, 0)), AG24, 0),
  IF(AND('MATCH DATES'!$A$5 &lt;= TODAY(), NOW() &gt;= 'MATCH DATES'!$A$5 + TIME(22, 0, 0)), AS24, 0),
  IF(AND('MATCH DATES'!$A$6 &lt;= TODAY(), NOW() &gt;= 'MATCH DATES'!$A$6 + TIME(22, 0, 0)), BE24, 0),
  IF(AND('MATCH DATES'!$A$7 &lt;= TODAY(), NOW() &gt;= 'MATCH DATES'!$A$7 + TIME(22, 0, 0)), BQ24, 0),
  IF(AND('MATCH DATES'!$A$8 &lt;= TODAY(), NOW() &gt;= 'MATCH DATES'!$A$8 + TIME(22, 0, 0)), CC24, 0),
  IF(AND('MATCH DATES'!$A$9 &lt;= TODAY(), NOW() &gt;= 'MATCH DATES'!$A$9 + TIME(22, 0, 0)), CO24, 0)
)</f>
        <v>4</v>
      </c>
      <c r="DD24" s="36">
        <f t="shared" si="43"/>
        <v>0</v>
      </c>
      <c r="DF24" s="36">
        <f t="shared" si="44"/>
        <v>0</v>
      </c>
    </row>
    <row r="25" ht="24.75" customHeight="1">
      <c r="A25" s="19" t="s">
        <v>137</v>
      </c>
      <c r="B25" s="20" t="s">
        <v>164</v>
      </c>
      <c r="C25" s="21" t="s">
        <v>139</v>
      </c>
      <c r="D25" s="22">
        <f t="shared" si="3"/>
        <v>7</v>
      </c>
      <c r="E25" s="22">
        <f t="shared" si="4"/>
        <v>2</v>
      </c>
      <c r="F25" s="22">
        <f t="shared" si="5"/>
        <v>4</v>
      </c>
      <c r="G25" s="22">
        <f>IF(C25&lt;&gt;"",
    COUNTIFS(MATCH_INPUT!$K$2:$K$5,C25),
0)</f>
        <v>2</v>
      </c>
      <c r="H25" s="22">
        <f>IF(C25&lt;&gt;"",
    COUNTIFS(MATCH_INPUT!$F$2:$F$5, C25, MATCH_INPUT!$K$2:$K$5, "Draw") +
    COUNTIFS(MATCH_INPUT!$J$2:$J$5, C25, MATCH_INPUT!$K$2:$K$5, "Draw"),
0)</f>
        <v>0</v>
      </c>
      <c r="I25" s="22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0</v>
      </c>
      <c r="J25" s="23"/>
      <c r="K25" s="23">
        <v>1.0</v>
      </c>
      <c r="L25" s="24"/>
      <c r="M25" s="25">
        <f t="shared" si="6"/>
        <v>1</v>
      </c>
      <c r="N25" s="26" t="str">
        <f t="shared" si="7"/>
        <v>=</v>
      </c>
      <c r="O25" s="27" t="s">
        <v>140</v>
      </c>
      <c r="P25" s="28">
        <f t="shared" si="8"/>
        <v>11</v>
      </c>
      <c r="Q25" s="28">
        <f t="shared" si="9"/>
        <v>2</v>
      </c>
      <c r="R25" s="28">
        <f t="shared" si="10"/>
        <v>1</v>
      </c>
      <c r="S25" s="28">
        <f>IF(O25&lt;&gt;"",
    COUNTIFS(MATCH_INPUT!$K$6:$K$9,O25),
0)</f>
        <v>0</v>
      </c>
      <c r="T25" s="28">
        <f>IF(O25&lt;&gt;"",
    COUNTIFS(MATCH_INPUT!$F$6:$F$9, O25, MATCH_INPUT!$K$6:$K$9, "Draw") +
    COUNTIFS(MATCH_INPUT!$J$6:$J$9, O25, MATCH_INPUT!$K$6:$K$9, "Draw"),
0)</f>
        <v>1</v>
      </c>
      <c r="U25" s="28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1</v>
      </c>
      <c r="V25" s="29"/>
      <c r="W25" s="29">
        <v>1.0</v>
      </c>
      <c r="X25" s="20"/>
      <c r="Y25" s="30">
        <f t="shared" si="11"/>
        <v>4</v>
      </c>
      <c r="Z25" s="31" t="str">
        <f t="shared" si="12"/>
        <v>↓</v>
      </c>
      <c r="AA25" s="21" t="s">
        <v>140</v>
      </c>
      <c r="AB25" s="32">
        <f t="shared" si="13"/>
        <v>15</v>
      </c>
      <c r="AC25" s="22">
        <f t="shared" si="14"/>
        <v>2</v>
      </c>
      <c r="AD25" s="22">
        <f t="shared" si="15"/>
        <v>1</v>
      </c>
      <c r="AE25" s="22">
        <f>IF(AA25&lt;&gt;"",
    COUNTIFS(MATCH_INPUT!$K$10:$K$13,AA25),
0)</f>
        <v>0</v>
      </c>
      <c r="AF25" s="22">
        <f>IF(AA25&lt;&gt;"",
    COUNTIFS(MATCH_INPUT!$F$10:$F$13, AA25, MATCH_INPUT!$K$10:$K$13, "Draw") +
    COUNTIFS(MATCH_INPUT!$J$10:$J$13, AA25, MATCH_INPUT!$K$10:$K$13, "Draw"),
0)</f>
        <v>1</v>
      </c>
      <c r="AG25" s="22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1</v>
      </c>
      <c r="AH25" s="23"/>
      <c r="AI25" s="23">
        <v>1.0</v>
      </c>
      <c r="AJ25" s="33"/>
      <c r="AK25" s="25">
        <f t="shared" si="16"/>
        <v>3</v>
      </c>
      <c r="AL25" s="26" t="str">
        <f t="shared" si="17"/>
        <v>↑</v>
      </c>
      <c r="AM25" s="27" t="s">
        <v>142</v>
      </c>
      <c r="AN25" s="28">
        <f t="shared" si="18"/>
        <v>19</v>
      </c>
      <c r="AO25" s="28">
        <f t="shared" si="19"/>
        <v>2</v>
      </c>
      <c r="AP25" s="28">
        <f t="shared" si="20"/>
        <v>1</v>
      </c>
      <c r="AQ25" s="28">
        <f>IF(AM25&lt;&gt;"",
    COUNTIFS(MATCH_INPUT!$K$14:$K$17,AM25),
0)</f>
        <v>0</v>
      </c>
      <c r="AR25" s="28">
        <f>IF(AM25&lt;&gt;"",
    COUNTIFS(MATCH_INPUT!$F$14:$F$17, AM25, MATCH_INPUT!$K$14:$K$17, "Draw") +
    COUNTIFS(MATCH_INPUT!$J$14:$J$17, AM25, MATCH_INPUT!$K$14:$K$17, "Draw"),
0)</f>
        <v>1</v>
      </c>
      <c r="AS25" s="28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1</v>
      </c>
      <c r="AT25" s="29"/>
      <c r="AU25" s="29">
        <v>1.0</v>
      </c>
      <c r="AV25" s="20"/>
      <c r="AW25" s="30">
        <f t="shared" si="21"/>
        <v>2</v>
      </c>
      <c r="AX25" s="31" t="str">
        <f t="shared" si="22"/>
        <v>↑</v>
      </c>
      <c r="AY25" s="21" t="s">
        <v>139</v>
      </c>
      <c r="AZ25" s="32">
        <f t="shared" si="23"/>
        <v>27</v>
      </c>
      <c r="BA25" s="22">
        <f t="shared" si="24"/>
        <v>2</v>
      </c>
      <c r="BB25" s="22">
        <f>SUM(BC25*2) + (BD25*1) + SUMIFS(MATCH_INPUT!$G$18:$G$21, MATCH_INPUT!$F$18:$F$21, AY25) + SUMIFS(MATCH_INPUT!$I$18:$I$21, MATCH_INPUT!$J$18:$J$21, AY25)
</f>
        <v>5</v>
      </c>
      <c r="BC25" s="22">
        <f>IF(AY25&lt;&gt;"",
    COUNTIFS(MATCH_INPUT!$K$18:$K$21,AY25),
0)</f>
        <v>0</v>
      </c>
      <c r="BD25" s="22">
        <f>IF(AY25&lt;&gt;"",
    COUNTIFS(MATCH_INPUT!$F$18:$F$21, AY25, MATCH_INPUT!$K$18:$K$21, "Draw") +
    COUNTIFS(MATCH_INPUT!$J$18:$J$21, AY25, MATCH_INPUT!$K$18:$K$21, "Draw"),
0)</f>
        <v>1</v>
      </c>
      <c r="BE25" s="22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1</v>
      </c>
      <c r="BF25" s="23"/>
      <c r="BG25" s="23">
        <v>1.0</v>
      </c>
      <c r="BH25" s="33"/>
      <c r="BI25" s="25">
        <f t="shared" si="25"/>
        <v>6</v>
      </c>
      <c r="BJ25" s="26" t="str">
        <f t="shared" si="26"/>
        <v>↓</v>
      </c>
      <c r="BK25" s="27" t="s">
        <v>141</v>
      </c>
      <c r="BL25" s="28">
        <f t="shared" si="27"/>
        <v>29</v>
      </c>
      <c r="BM25" s="28">
        <f t="shared" si="28"/>
        <v>2</v>
      </c>
      <c r="BN25" s="28">
        <f>SUM(BO25*2) + (BP25*1) + SUMIFS(MATCH_INPUT!$G$22:$G$25, MATCH_INPUT!$F$22:$F$25, BK25) + SUMIFS(MATCH_INPUT!$I$22:$I$25, MATCH_INPUT!$J$22:$J$25, BK25)
</f>
        <v>0</v>
      </c>
      <c r="BO25" s="28">
        <f>IF(BK25&lt;&gt;"",
    COUNTIFS(MATCH_INPUT!$K$22:$K$25,BK25),
0)</f>
        <v>0</v>
      </c>
      <c r="BP25" s="28">
        <f>IF(BK25&lt;&gt;"",
    COUNTIFS(MATCH_INPUT!$F$22:$F$25, BK25, MATCH_INPUT!$K$22:$K$25, "Draw") +
    COUNTIFS(MATCH_INPUT!$J$22:$J$25, BK25, MATCH_INPUT!$K$22:$K$25, "Draw"),
0)</f>
        <v>0</v>
      </c>
      <c r="BQ25" s="28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2</v>
      </c>
      <c r="BR25" s="29"/>
      <c r="BS25" s="29"/>
      <c r="BT25" s="20"/>
      <c r="BU25" s="30">
        <f t="shared" si="29"/>
        <v>11</v>
      </c>
      <c r="BV25" s="31" t="str">
        <f t="shared" si="30"/>
        <v>↓</v>
      </c>
      <c r="BW25" s="21" t="s">
        <v>139</v>
      </c>
      <c r="BX25" s="32">
        <f t="shared" si="31"/>
        <v>36</v>
      </c>
      <c r="BY25" s="22">
        <f t="shared" si="32"/>
        <v>2</v>
      </c>
      <c r="BZ25" s="22">
        <f>SUM(CA25*2)+(CB25*1) + SUMIFS(MATCH_INPUT!$G$26:$G$29, MATCH_INPUT!$F$26:$F$29, BW25) + SUMIFS(MATCH_INPUT!$I$26:$I$29, MATCH_INPUT!$J$26:$J$29, BW25)
</f>
        <v>5</v>
      </c>
      <c r="CA25" s="22">
        <f>IF(BW25&lt;&gt;"",
    COUNTIFS(MATCH_INPUT!$K$26:$K$29,BW25),
0)</f>
        <v>1</v>
      </c>
      <c r="CB25" s="22">
        <f>IF(BW25&lt;&gt;"",
    COUNTIFS(MATCH_INPUT!$F$26:$F$29, BW25, MATCH_INPUT!$K$26:$K$29, "Draw") +
    COUNTIFS(MATCH_INPUT!$J$26:$J$29, BW25, MATCH_INPUT!$K$26:$K$29, "Draw"),
0)</f>
        <v>0</v>
      </c>
      <c r="CC25" s="22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1</v>
      </c>
      <c r="CD25" s="23"/>
      <c r="CE25" s="23"/>
      <c r="CF25" s="33"/>
      <c r="CG25" s="25">
        <f t="shared" si="33"/>
        <v>10</v>
      </c>
      <c r="CH25" s="26" t="str">
        <f t="shared" si="34"/>
        <v>↑</v>
      </c>
      <c r="CI25" s="27"/>
      <c r="CJ25" s="28">
        <f t="shared" si="35"/>
        <v>36</v>
      </c>
      <c r="CK25" s="28">
        <f t="shared" si="36"/>
        <v>0</v>
      </c>
      <c r="CL25" s="28">
        <f>SUM(CM25*2)+(CN25*1) + SUMIFS(MATCH_INPUT!$G$30:$G$33, MATCH_INPUT!$F$30:$F$33, CI25) + SUMIFS(MATCH_INPUT!$I$30:$I$33, MATCH_INPUT!$J$30:$J$33, CI25)
</f>
        <v>0</v>
      </c>
      <c r="CM25" s="28">
        <f>IF(CI25&lt;&gt;"",
    COUNTIFS(MATCH_INPUT!$K$30:$K$33,CI25),
0)</f>
        <v>0</v>
      </c>
      <c r="CN25" s="28">
        <f>IF(CI25&lt;&gt;"",
    COUNTIFS(MATCH_INPUT!$F$30:$F$33, CI25, MATCH_INPUT!$K$30:$K$33, "Draw") +
    COUNTIFS(MATCH_INPUT!$J$30:$J$33, CI25, MATCH_INPUT!$K$30:$K$33, "Draw"),
0)</f>
        <v>0</v>
      </c>
      <c r="CO25" s="28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0</v>
      </c>
      <c r="CP25" s="29"/>
      <c r="CQ25" s="29"/>
      <c r="CR25" s="20"/>
      <c r="CS25" s="34">
        <f t="shared" si="37"/>
        <v>21</v>
      </c>
      <c r="CT25" s="34" t="str">
        <f t="shared" si="38"/>
        <v>↓</v>
      </c>
      <c r="CU25" s="35">
        <f t="shared" si="39"/>
        <v>17</v>
      </c>
      <c r="CV25" s="35" t="str">
        <f t="shared" ref="CV25:CW25" si="85">A25</f>
        <v>🍀 </v>
      </c>
      <c r="CW25" s="36" t="str">
        <f t="shared" si="85"/>
        <v>Fabian</v>
      </c>
      <c r="CX25" s="36">
        <f t="shared" si="41"/>
        <v>36</v>
      </c>
      <c r="CY25" s="35">
        <f>SUM(
  IF(AND('MATCH DATES'!$A$2 &lt;= TODAY(), NOW() &gt;= 'MATCH DATES'!$A$2 + TIME(22, 0, 0)), E25, 0),
  IF(AND('MATCH DATES'!$A$3 &lt;= TODAY(), NOW() &gt;= 'MATCH DATES'!$A$3 + TIME(22, 0, 0)), Q25, 0),
  IF(AND('MATCH DATES'!$A$4 &lt;= TODAY(), NOW() &gt;= 'MATCH DATES'!$A$4 + TIME(22, 0, 0)), AC25, 0),
  IF(AND('MATCH DATES'!$A$5 &lt;= TODAY(), NOW() &gt;= 'MATCH DATES'!$A$5 + TIME(22, 0, 0)), AO25, 0),
  IF(AND('MATCH DATES'!$A$6 &lt;= TODAY(), NOW() &gt;= 'MATCH DATES'!$A$6 + TIME(22, 0, 0)), BA25, 0),
  IF(AND('MATCH DATES'!$A$7 &lt;= TODAY(), NOW() &gt;= 'MATCH DATES'!$A$7 + TIME(22, 0, 0)), BM25, 0),
  IF(AND('MATCH DATES'!$A$8 &lt;= TODAY(), NOW() &gt;= 'MATCH DATES'!$A$8 + TIME(22, 0, 0)), BY25, 0),
  IF(AND('MATCH DATES'!$A$9 &lt;= TODAY(), NOW() &gt;= 'MATCH DATES'!$A$9 + TIME(22, 0, 0)), CK25, 0)
)
</f>
        <v>14</v>
      </c>
      <c r="CZ25" s="36">
        <f t="shared" ref="CZ25:DA25" si="86">SUM(G25,S25,AE25,AQ25,BC25,BO25,CA25,CM25)</f>
        <v>3</v>
      </c>
      <c r="DA25" s="36">
        <f t="shared" si="86"/>
        <v>4</v>
      </c>
      <c r="DB25" s="36">
        <f>SUM(
  IF(AND('MATCH DATES'!$A$2 &lt;= TODAY(), NOW() &gt;= 'MATCH DATES'!$A$2 + TIME(22, 0, 0)), I25, 0),
  IF(AND('MATCH DATES'!$A$3 &lt;= TODAY(), NOW() &gt;= 'MATCH DATES'!$A$3 + TIME(22, 0, 0)), U25, 0),
  IF(AND('MATCH DATES'!$A$4 &lt;= TODAY(), NOW() &gt;= 'MATCH DATES'!$A$4 + TIME(22, 0, 0)), AG25, 0),
  IF(AND('MATCH DATES'!$A$5 &lt;= TODAY(), NOW() &gt;= 'MATCH DATES'!$A$5 + TIME(22, 0, 0)), AS25, 0),
  IF(AND('MATCH DATES'!$A$6 &lt;= TODAY(), NOW() &gt;= 'MATCH DATES'!$A$6 + TIME(22, 0, 0)), BE25, 0),
  IF(AND('MATCH DATES'!$A$7 &lt;= TODAY(), NOW() &gt;= 'MATCH DATES'!$A$7 + TIME(22, 0, 0)), BQ25, 0),
  IF(AND('MATCH DATES'!$A$8 &lt;= TODAY(), NOW() &gt;= 'MATCH DATES'!$A$8 + TIME(22, 0, 0)), CC25, 0),
  IF(AND('MATCH DATES'!$A$9 &lt;= TODAY(), NOW() &gt;= 'MATCH DATES'!$A$9 + TIME(22, 0, 0)), CO25, 0)
)</f>
        <v>7</v>
      </c>
      <c r="DD25" s="36">
        <f t="shared" si="43"/>
        <v>5</v>
      </c>
      <c r="DF25" s="36">
        <f t="shared" si="44"/>
        <v>0</v>
      </c>
    </row>
    <row r="26" ht="24.75" customHeight="1">
      <c r="A26" s="19" t="s">
        <v>137</v>
      </c>
      <c r="B26" s="20" t="s">
        <v>165</v>
      </c>
      <c r="C26" s="21" t="s">
        <v>140</v>
      </c>
      <c r="D26" s="22">
        <f t="shared" si="3"/>
        <v>4</v>
      </c>
      <c r="E26" s="22">
        <f t="shared" si="4"/>
        <v>2</v>
      </c>
      <c r="F26" s="22">
        <f t="shared" si="5"/>
        <v>2</v>
      </c>
      <c r="G26" s="22">
        <f>IF(C26&lt;&gt;"",
    COUNTIFS(MATCH_INPUT!$K$2:$K$5,C26),
0)</f>
        <v>1</v>
      </c>
      <c r="H26" s="22">
        <f>IF(C26&lt;&gt;"",
    COUNTIFS(MATCH_INPUT!$F$2:$F$5, C26, MATCH_INPUT!$K$2:$K$5, "Draw") +
    COUNTIFS(MATCH_INPUT!$J$2:$J$5, C26, MATCH_INPUT!$K$2:$K$5, "Draw"),
0)</f>
        <v>0</v>
      </c>
      <c r="I26" s="22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1</v>
      </c>
      <c r="J26" s="23">
        <v>1.0</v>
      </c>
      <c r="K26" s="23"/>
      <c r="L26" s="24"/>
      <c r="M26" s="25">
        <f t="shared" si="6"/>
        <v>11</v>
      </c>
      <c r="N26" s="26" t="str">
        <f t="shared" si="7"/>
        <v>↓</v>
      </c>
      <c r="O26" s="27" t="s">
        <v>140</v>
      </c>
      <c r="P26" s="28">
        <f t="shared" si="8"/>
        <v>7</v>
      </c>
      <c r="Q26" s="28">
        <f t="shared" si="9"/>
        <v>2</v>
      </c>
      <c r="R26" s="28">
        <f t="shared" si="10"/>
        <v>1</v>
      </c>
      <c r="S26" s="28">
        <f>IF(O26&lt;&gt;"",
    COUNTIFS(MATCH_INPUT!$K$6:$K$9,O26),
0)</f>
        <v>0</v>
      </c>
      <c r="T26" s="28">
        <f>IF(O26&lt;&gt;"",
    COUNTIFS(MATCH_INPUT!$F$6:$F$9, O26, MATCH_INPUT!$K$6:$K$9, "Draw") +
    COUNTIFS(MATCH_INPUT!$J$6:$J$9, O26, MATCH_INPUT!$K$6:$K$9, "Draw"),
0)</f>
        <v>1</v>
      </c>
      <c r="U26" s="28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1</v>
      </c>
      <c r="V26" s="29">
        <v>1.0</v>
      </c>
      <c r="W26" s="29"/>
      <c r="X26" s="20"/>
      <c r="Y26" s="30">
        <f t="shared" si="11"/>
        <v>20</v>
      </c>
      <c r="Z26" s="31" t="str">
        <f t="shared" si="12"/>
        <v>↓</v>
      </c>
      <c r="AA26" s="21" t="s">
        <v>142</v>
      </c>
      <c r="AB26" s="32">
        <f t="shared" si="13"/>
        <v>11</v>
      </c>
      <c r="AC26" s="22">
        <f t="shared" si="14"/>
        <v>2</v>
      </c>
      <c r="AD26" s="22">
        <f t="shared" si="15"/>
        <v>2</v>
      </c>
      <c r="AE26" s="22">
        <f>IF(AA26&lt;&gt;"",
    COUNTIFS(MATCH_INPUT!$K$10:$K$13,AA26),
0)</f>
        <v>0</v>
      </c>
      <c r="AF26" s="22">
        <f>IF(AA26&lt;&gt;"",
    COUNTIFS(MATCH_INPUT!$F$10:$F$13, AA26, MATCH_INPUT!$K$10:$K$13, "Draw") +
    COUNTIFS(MATCH_INPUT!$J$10:$J$13, AA26, MATCH_INPUT!$K$10:$K$13, "Draw"),
0)</f>
        <v>2</v>
      </c>
      <c r="AG26" s="22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0</v>
      </c>
      <c r="AH26" s="23">
        <v>1.0</v>
      </c>
      <c r="AI26" s="23"/>
      <c r="AJ26" s="33"/>
      <c r="AK26" s="25">
        <f t="shared" si="16"/>
        <v>21</v>
      </c>
      <c r="AL26" s="26" t="str">
        <f t="shared" si="17"/>
        <v>↓</v>
      </c>
      <c r="AM26" s="27" t="s">
        <v>141</v>
      </c>
      <c r="AN26" s="28">
        <f t="shared" si="18"/>
        <v>15</v>
      </c>
      <c r="AO26" s="28">
        <f t="shared" si="19"/>
        <v>2</v>
      </c>
      <c r="AP26" s="28">
        <f t="shared" si="20"/>
        <v>2</v>
      </c>
      <c r="AQ26" s="28">
        <f>IF(AM26&lt;&gt;"",
    COUNTIFS(MATCH_INPUT!$K$14:$K$17,AM26),
0)</f>
        <v>0</v>
      </c>
      <c r="AR26" s="28">
        <f>IF(AM26&lt;&gt;"",
    COUNTIFS(MATCH_INPUT!$F$14:$F$17, AM26, MATCH_INPUT!$K$14:$K$17, "Draw") +
    COUNTIFS(MATCH_INPUT!$J$14:$J$17, AM26, MATCH_INPUT!$K$14:$K$17, "Draw"),
0)</f>
        <v>2</v>
      </c>
      <c r="AS26" s="28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0</v>
      </c>
      <c r="AT26" s="29"/>
      <c r="AU26" s="29"/>
      <c r="AV26" s="20"/>
      <c r="AW26" s="30">
        <f t="shared" si="21"/>
        <v>19</v>
      </c>
      <c r="AX26" s="31" t="str">
        <f t="shared" si="22"/>
        <v>↑</v>
      </c>
      <c r="AY26" s="21" t="s">
        <v>139</v>
      </c>
      <c r="AZ26" s="32">
        <f t="shared" si="23"/>
        <v>22</v>
      </c>
      <c r="BA26" s="22">
        <f t="shared" si="24"/>
        <v>2</v>
      </c>
      <c r="BB26" s="22">
        <f>SUM(BC26*2) + (BD26*1) + SUMIFS(MATCH_INPUT!$G$18:$G$21, MATCH_INPUT!$F$18:$F$21, AY26) + SUMIFS(MATCH_INPUT!$I$18:$I$21, MATCH_INPUT!$J$18:$J$21, AY26)
</f>
        <v>5</v>
      </c>
      <c r="BC26" s="22">
        <f>IF(AY26&lt;&gt;"",
    COUNTIFS(MATCH_INPUT!$K$18:$K$21,AY26),
0)</f>
        <v>0</v>
      </c>
      <c r="BD26" s="22">
        <f>IF(AY26&lt;&gt;"",
    COUNTIFS(MATCH_INPUT!$F$18:$F$21, AY26, MATCH_INPUT!$K$18:$K$21, "Draw") +
    COUNTIFS(MATCH_INPUT!$J$18:$J$21, AY26, MATCH_INPUT!$K$18:$K$21, "Draw"),
0)</f>
        <v>1</v>
      </c>
      <c r="BE26" s="22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1</v>
      </c>
      <c r="BF26" s="23">
        <v>1.0</v>
      </c>
      <c r="BG26" s="23"/>
      <c r="BH26" s="33"/>
      <c r="BI26" s="25">
        <f t="shared" si="25"/>
        <v>17</v>
      </c>
      <c r="BJ26" s="26" t="str">
        <f t="shared" si="26"/>
        <v>↑</v>
      </c>
      <c r="BK26" s="27" t="s">
        <v>141</v>
      </c>
      <c r="BL26" s="28">
        <f t="shared" si="27"/>
        <v>24</v>
      </c>
      <c r="BM26" s="28">
        <f t="shared" si="28"/>
        <v>2</v>
      </c>
      <c r="BN26" s="28">
        <f>SUM(BO26*2) + (BP26*1) + SUMIFS(MATCH_INPUT!$G$22:$G$25, MATCH_INPUT!$F$22:$F$25, BK26) + SUMIFS(MATCH_INPUT!$I$22:$I$25, MATCH_INPUT!$J$22:$J$25, BK26)
</f>
        <v>0</v>
      </c>
      <c r="BO26" s="28">
        <f>IF(BK26&lt;&gt;"",
    COUNTIFS(MATCH_INPUT!$K$22:$K$25,BK26),
0)</f>
        <v>0</v>
      </c>
      <c r="BP26" s="28">
        <f>IF(BK26&lt;&gt;"",
    COUNTIFS(MATCH_INPUT!$F$22:$F$25, BK26, MATCH_INPUT!$K$22:$K$25, "Draw") +
    COUNTIFS(MATCH_INPUT!$J$22:$J$25, BK26, MATCH_INPUT!$K$22:$K$25, "Draw"),
0)</f>
        <v>0</v>
      </c>
      <c r="BQ26" s="28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2</v>
      </c>
      <c r="BR26" s="29"/>
      <c r="BS26" s="29"/>
      <c r="BT26" s="20"/>
      <c r="BU26" s="30">
        <f t="shared" si="29"/>
        <v>28</v>
      </c>
      <c r="BV26" s="31" t="str">
        <f t="shared" si="30"/>
        <v>↓</v>
      </c>
      <c r="BW26" s="21" t="s">
        <v>139</v>
      </c>
      <c r="BX26" s="32">
        <f t="shared" si="31"/>
        <v>31</v>
      </c>
      <c r="BY26" s="22">
        <f t="shared" si="32"/>
        <v>2</v>
      </c>
      <c r="BZ26" s="22">
        <f>SUM(CA26*2)+(CB26*1) + SUMIFS(MATCH_INPUT!$G$26:$G$29, MATCH_INPUT!$F$26:$F$29, BW26) + SUMIFS(MATCH_INPUT!$I$26:$I$29, MATCH_INPUT!$J$26:$J$29, BW26)
</f>
        <v>5</v>
      </c>
      <c r="CA26" s="22">
        <f>IF(BW26&lt;&gt;"",
    COUNTIFS(MATCH_INPUT!$K$26:$K$29,BW26),
0)</f>
        <v>1</v>
      </c>
      <c r="CB26" s="22">
        <f>IF(BW26&lt;&gt;"",
    COUNTIFS(MATCH_INPUT!$F$26:$F$29, BW26, MATCH_INPUT!$K$26:$K$29, "Draw") +
    COUNTIFS(MATCH_INPUT!$J$26:$J$29, BW26, MATCH_INPUT!$K$26:$K$29, "Draw"),
0)</f>
        <v>0</v>
      </c>
      <c r="CC26" s="22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1</v>
      </c>
      <c r="CD26" s="23">
        <v>1.0</v>
      </c>
      <c r="CE26" s="23"/>
      <c r="CF26" s="33"/>
      <c r="CG26" s="25">
        <f t="shared" si="33"/>
        <v>23</v>
      </c>
      <c r="CH26" s="26" t="str">
        <f t="shared" si="34"/>
        <v>↑</v>
      </c>
      <c r="CI26" s="27" t="s">
        <v>140</v>
      </c>
      <c r="CJ26" s="28">
        <f t="shared" si="35"/>
        <v>35</v>
      </c>
      <c r="CK26" s="28">
        <f t="shared" si="36"/>
        <v>2</v>
      </c>
      <c r="CL26" s="28">
        <f>SUM(CM26*2)+(CN26*1) + SUMIFS(MATCH_INPUT!$G$30:$G$33, MATCH_INPUT!$F$30:$F$33, CI26) + SUMIFS(MATCH_INPUT!$I$30:$I$33, MATCH_INPUT!$J$30:$J$33, CI26)
</f>
        <v>2</v>
      </c>
      <c r="CM26" s="28">
        <f>IF(CI26&lt;&gt;"",
    COUNTIFS(MATCH_INPUT!$K$30:$K$33,CI26),
0)</f>
        <v>0</v>
      </c>
      <c r="CN26" s="28">
        <f>IF(CI26&lt;&gt;"",
    COUNTIFS(MATCH_INPUT!$F$30:$F$33, CI26, MATCH_INPUT!$K$30:$K$33, "Draw") +
    COUNTIFS(MATCH_INPUT!$J$30:$J$33, CI26, MATCH_INPUT!$K$30:$K$33, "Draw"),
0)</f>
        <v>1</v>
      </c>
      <c r="CO26" s="28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1</v>
      </c>
      <c r="CP26" s="29"/>
      <c r="CQ26" s="29"/>
      <c r="CR26" s="20"/>
      <c r="CS26" s="34">
        <f t="shared" si="37"/>
        <v>24</v>
      </c>
      <c r="CT26" s="34" t="str">
        <f t="shared" si="38"/>
        <v>↓</v>
      </c>
      <c r="CU26" s="35">
        <f t="shared" si="39"/>
        <v>19</v>
      </c>
      <c r="CV26" s="35" t="str">
        <f t="shared" ref="CV26:CW26" si="87">A26</f>
        <v>🍀 </v>
      </c>
      <c r="CW26" s="36" t="str">
        <f t="shared" si="87"/>
        <v>Eder</v>
      </c>
      <c r="CX26" s="36">
        <f t="shared" si="41"/>
        <v>35</v>
      </c>
      <c r="CY26" s="35">
        <f>SUM(
  IF(AND('MATCH DATES'!$A$2 &lt;= TODAY(), NOW() &gt;= 'MATCH DATES'!$A$2 + TIME(22, 0, 0)), E26, 0),
  IF(AND('MATCH DATES'!$A$3 &lt;= TODAY(), NOW() &gt;= 'MATCH DATES'!$A$3 + TIME(22, 0, 0)), Q26, 0),
  IF(AND('MATCH DATES'!$A$4 &lt;= TODAY(), NOW() &gt;= 'MATCH DATES'!$A$4 + TIME(22, 0, 0)), AC26, 0),
  IF(AND('MATCH DATES'!$A$5 &lt;= TODAY(), NOW() &gt;= 'MATCH DATES'!$A$5 + TIME(22, 0, 0)), AO26, 0),
  IF(AND('MATCH DATES'!$A$6 &lt;= TODAY(), NOW() &gt;= 'MATCH DATES'!$A$6 + TIME(22, 0, 0)), BA26, 0),
  IF(AND('MATCH DATES'!$A$7 &lt;= TODAY(), NOW() &gt;= 'MATCH DATES'!$A$7 + TIME(22, 0, 0)), BM26, 0),
  IF(AND('MATCH DATES'!$A$8 &lt;= TODAY(), NOW() &gt;= 'MATCH DATES'!$A$8 + TIME(22, 0, 0)), BY26, 0),
  IF(AND('MATCH DATES'!$A$9 &lt;= TODAY(), NOW() &gt;= 'MATCH DATES'!$A$9 + TIME(22, 0, 0)), CK26, 0)
)
</f>
        <v>16</v>
      </c>
      <c r="CZ26" s="36">
        <f t="shared" ref="CZ26:DA26" si="88">SUM(G26,S26,AE26,AQ26,BC26,BO26,CA26,CM26)</f>
        <v>2</v>
      </c>
      <c r="DA26" s="36">
        <f t="shared" si="88"/>
        <v>7</v>
      </c>
      <c r="DB26" s="36">
        <f>SUM(
  IF(AND('MATCH DATES'!$A$2 &lt;= TODAY(), NOW() &gt;= 'MATCH DATES'!$A$2 + TIME(22, 0, 0)), I26, 0),
  IF(AND('MATCH DATES'!$A$3 &lt;= TODAY(), NOW() &gt;= 'MATCH DATES'!$A$3 + TIME(22, 0, 0)), U26, 0),
  IF(AND('MATCH DATES'!$A$4 &lt;= TODAY(), NOW() &gt;= 'MATCH DATES'!$A$4 + TIME(22, 0, 0)), AG26, 0),
  IF(AND('MATCH DATES'!$A$5 &lt;= TODAY(), NOW() &gt;= 'MATCH DATES'!$A$5 + TIME(22, 0, 0)), AS26, 0),
  IF(AND('MATCH DATES'!$A$6 &lt;= TODAY(), NOW() &gt;= 'MATCH DATES'!$A$6 + TIME(22, 0, 0)), BE26, 0),
  IF(AND('MATCH DATES'!$A$7 &lt;= TODAY(), NOW() &gt;= 'MATCH DATES'!$A$7 + TIME(22, 0, 0)), BQ26, 0),
  IF(AND('MATCH DATES'!$A$8 &lt;= TODAY(), NOW() &gt;= 'MATCH DATES'!$A$8 + TIME(22, 0, 0)), CC26, 0),
  IF(AND('MATCH DATES'!$A$9 &lt;= TODAY(), NOW() &gt;= 'MATCH DATES'!$A$9 + TIME(22, 0, 0)), CO26, 0)
)</f>
        <v>7</v>
      </c>
      <c r="DD26" s="36">
        <f t="shared" si="43"/>
        <v>0</v>
      </c>
      <c r="DF26" s="36">
        <f t="shared" si="44"/>
        <v>0</v>
      </c>
    </row>
    <row r="27" ht="24.75" customHeight="1">
      <c r="A27" s="19" t="s">
        <v>137</v>
      </c>
      <c r="B27" s="20" t="s">
        <v>166</v>
      </c>
      <c r="C27" s="21" t="s">
        <v>140</v>
      </c>
      <c r="D27" s="22">
        <f t="shared" si="3"/>
        <v>4</v>
      </c>
      <c r="E27" s="22">
        <f t="shared" si="4"/>
        <v>2</v>
      </c>
      <c r="F27" s="22">
        <f t="shared" si="5"/>
        <v>2</v>
      </c>
      <c r="G27" s="22">
        <f>IF(C27&lt;&gt;"",
    COUNTIFS(MATCH_INPUT!$K$2:$K$5,C27),
0)</f>
        <v>1</v>
      </c>
      <c r="H27" s="22">
        <f>IF(C27&lt;&gt;"",
    COUNTIFS(MATCH_INPUT!$F$2:$F$5, C27, MATCH_INPUT!$K$2:$K$5, "Draw") +
    COUNTIFS(MATCH_INPUT!$J$2:$J$5, C27, MATCH_INPUT!$K$2:$K$5, "Draw"),
0)</f>
        <v>0</v>
      </c>
      <c r="I27" s="22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1</v>
      </c>
      <c r="J27" s="23"/>
      <c r="K27" s="23"/>
      <c r="L27" s="24"/>
      <c r="M27" s="25">
        <f t="shared" si="6"/>
        <v>11</v>
      </c>
      <c r="N27" s="26" t="str">
        <f t="shared" si="7"/>
        <v>↓</v>
      </c>
      <c r="O27" s="27" t="s">
        <v>140</v>
      </c>
      <c r="P27" s="28">
        <f t="shared" si="8"/>
        <v>7</v>
      </c>
      <c r="Q27" s="28">
        <f t="shared" si="9"/>
        <v>2</v>
      </c>
      <c r="R27" s="28">
        <f t="shared" si="10"/>
        <v>1</v>
      </c>
      <c r="S27" s="28">
        <f>IF(O27&lt;&gt;"",
    COUNTIFS(MATCH_INPUT!$K$6:$K$9,O27),
0)</f>
        <v>0</v>
      </c>
      <c r="T27" s="28">
        <f>IF(O27&lt;&gt;"",
    COUNTIFS(MATCH_INPUT!$F$6:$F$9, O27, MATCH_INPUT!$K$6:$K$9, "Draw") +
    COUNTIFS(MATCH_INPUT!$J$6:$J$9, O27, MATCH_INPUT!$K$6:$K$9, "Draw"),
0)</f>
        <v>1</v>
      </c>
      <c r="U27" s="28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1</v>
      </c>
      <c r="V27" s="29"/>
      <c r="W27" s="29"/>
      <c r="X27" s="20"/>
      <c r="Y27" s="30">
        <f t="shared" si="11"/>
        <v>20</v>
      </c>
      <c r="Z27" s="31" t="str">
        <f t="shared" si="12"/>
        <v>↓</v>
      </c>
      <c r="AA27" s="21" t="s">
        <v>140</v>
      </c>
      <c r="AB27" s="32">
        <f t="shared" si="13"/>
        <v>10</v>
      </c>
      <c r="AC27" s="22">
        <f t="shared" si="14"/>
        <v>2</v>
      </c>
      <c r="AD27" s="22">
        <f t="shared" si="15"/>
        <v>1</v>
      </c>
      <c r="AE27" s="22">
        <f>IF(AA27&lt;&gt;"",
    COUNTIFS(MATCH_INPUT!$K$10:$K$13,AA27),
0)</f>
        <v>0</v>
      </c>
      <c r="AF27" s="22">
        <f>IF(AA27&lt;&gt;"",
    COUNTIFS(MATCH_INPUT!$F$10:$F$13, AA27, MATCH_INPUT!$K$10:$K$13, "Draw") +
    COUNTIFS(MATCH_INPUT!$J$10:$J$13, AA27, MATCH_INPUT!$K$10:$K$13, "Draw"),
0)</f>
        <v>1</v>
      </c>
      <c r="AG27" s="22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1</v>
      </c>
      <c r="AH27" s="23"/>
      <c r="AI27" s="23"/>
      <c r="AJ27" s="33"/>
      <c r="AK27" s="25">
        <f t="shared" si="16"/>
        <v>24</v>
      </c>
      <c r="AL27" s="26" t="str">
        <f t="shared" si="17"/>
        <v>↓</v>
      </c>
      <c r="AM27" s="27" t="s">
        <v>142</v>
      </c>
      <c r="AN27" s="28">
        <f t="shared" si="18"/>
        <v>13</v>
      </c>
      <c r="AO27" s="28">
        <f t="shared" si="19"/>
        <v>2</v>
      </c>
      <c r="AP27" s="28">
        <f t="shared" si="20"/>
        <v>1</v>
      </c>
      <c r="AQ27" s="28">
        <f>IF(AM27&lt;&gt;"",
    COUNTIFS(MATCH_INPUT!$K$14:$K$17,AM27),
0)</f>
        <v>0</v>
      </c>
      <c r="AR27" s="28">
        <f>IF(AM27&lt;&gt;"",
    COUNTIFS(MATCH_INPUT!$F$14:$F$17, AM27, MATCH_INPUT!$K$14:$K$17, "Draw") +
    COUNTIFS(MATCH_INPUT!$J$14:$J$17, AM27, MATCH_INPUT!$K$14:$K$17, "Draw"),
0)</f>
        <v>1</v>
      </c>
      <c r="AS27" s="28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1</v>
      </c>
      <c r="AT27" s="29"/>
      <c r="AU27" s="29"/>
      <c r="AV27" s="20"/>
      <c r="AW27" s="30">
        <f t="shared" si="21"/>
        <v>26</v>
      </c>
      <c r="AX27" s="31" t="str">
        <f t="shared" si="22"/>
        <v>↓</v>
      </c>
      <c r="AY27" s="21" t="s">
        <v>139</v>
      </c>
      <c r="AZ27" s="32">
        <f t="shared" si="23"/>
        <v>20</v>
      </c>
      <c r="BA27" s="22">
        <f t="shared" si="24"/>
        <v>2</v>
      </c>
      <c r="BB27" s="22">
        <f>SUM(BC27*2) + (BD27*1) + SUMIFS(MATCH_INPUT!$G$18:$G$21, MATCH_INPUT!$F$18:$F$21, AY27) + SUMIFS(MATCH_INPUT!$I$18:$I$21, MATCH_INPUT!$J$18:$J$21, AY27)
</f>
        <v>5</v>
      </c>
      <c r="BC27" s="22">
        <f>IF(AY27&lt;&gt;"",
    COUNTIFS(MATCH_INPUT!$K$18:$K$21,AY27),
0)</f>
        <v>0</v>
      </c>
      <c r="BD27" s="22">
        <f>IF(AY27&lt;&gt;"",
    COUNTIFS(MATCH_INPUT!$F$18:$F$21, AY27, MATCH_INPUT!$K$18:$K$21, "Draw") +
    COUNTIFS(MATCH_INPUT!$J$18:$J$21, AY27, MATCH_INPUT!$K$18:$K$21, "Draw"),
0)</f>
        <v>1</v>
      </c>
      <c r="BE27" s="22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1</v>
      </c>
      <c r="BF27" s="23"/>
      <c r="BG27" s="23"/>
      <c r="BH27" s="33"/>
      <c r="BI27" s="25">
        <f t="shared" si="25"/>
        <v>24</v>
      </c>
      <c r="BJ27" s="26" t="str">
        <f t="shared" si="26"/>
        <v>↑</v>
      </c>
      <c r="BK27" s="27" t="s">
        <v>140</v>
      </c>
      <c r="BL27" s="28">
        <f t="shared" si="27"/>
        <v>26</v>
      </c>
      <c r="BM27" s="28">
        <f t="shared" si="28"/>
        <v>2</v>
      </c>
      <c r="BN27" s="28">
        <f>SUM(BO27*2) + (BP27*1) + SUMIFS(MATCH_INPUT!$G$22:$G$25, MATCH_INPUT!$F$22:$F$25, BK27) + SUMIFS(MATCH_INPUT!$I$22:$I$25, MATCH_INPUT!$J$22:$J$25, BK27)
</f>
        <v>4</v>
      </c>
      <c r="BO27" s="28">
        <f>IF(BK27&lt;&gt;"",
    COUNTIFS(MATCH_INPUT!$K$22:$K$25,BK27),
0)</f>
        <v>0</v>
      </c>
      <c r="BP27" s="28">
        <f>IF(BK27&lt;&gt;"",
    COUNTIFS(MATCH_INPUT!$F$22:$F$25, BK27, MATCH_INPUT!$K$22:$K$25, "Draw") +
    COUNTIFS(MATCH_INPUT!$J$22:$J$25, BK27, MATCH_INPUT!$K$22:$K$25, "Draw"),
0)</f>
        <v>2</v>
      </c>
      <c r="BQ27" s="28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0</v>
      </c>
      <c r="BR27" s="29">
        <v>1.0</v>
      </c>
      <c r="BS27" s="29"/>
      <c r="BT27" s="20"/>
      <c r="BU27" s="30">
        <f t="shared" si="29"/>
        <v>22</v>
      </c>
      <c r="BV27" s="31" t="str">
        <f t="shared" si="30"/>
        <v>↑</v>
      </c>
      <c r="BW27" s="21" t="s">
        <v>142</v>
      </c>
      <c r="BX27" s="32">
        <f t="shared" si="31"/>
        <v>31</v>
      </c>
      <c r="BY27" s="22">
        <f t="shared" si="32"/>
        <v>2</v>
      </c>
      <c r="BZ27" s="22">
        <f>SUM(CA27*2)+(CB27*1) + SUMIFS(MATCH_INPUT!$G$26:$G$29, MATCH_INPUT!$F$26:$F$29, BW27) + SUMIFS(MATCH_INPUT!$I$26:$I$29, MATCH_INPUT!$J$26:$J$29, BW27)
</f>
        <v>3</v>
      </c>
      <c r="CA27" s="22">
        <f>IF(BW27&lt;&gt;"",
    COUNTIFS(MATCH_INPUT!$K$26:$K$29,BW27),
0)</f>
        <v>0</v>
      </c>
      <c r="CB27" s="22">
        <f>IF(BW27&lt;&gt;"",
    COUNTIFS(MATCH_INPUT!$F$26:$F$29, BW27, MATCH_INPUT!$K$26:$K$29, "Draw") +
    COUNTIFS(MATCH_INPUT!$J$26:$J$29, BW27, MATCH_INPUT!$K$26:$K$29, "Draw"),
0)</f>
        <v>2</v>
      </c>
      <c r="CC27" s="22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0</v>
      </c>
      <c r="CD27" s="23"/>
      <c r="CE27" s="23"/>
      <c r="CF27" s="33"/>
      <c r="CG27" s="25">
        <f t="shared" si="33"/>
        <v>23</v>
      </c>
      <c r="CH27" s="26" t="str">
        <f t="shared" si="34"/>
        <v>↓</v>
      </c>
      <c r="CI27" s="27" t="s">
        <v>139</v>
      </c>
      <c r="CJ27" s="28">
        <f t="shared" si="35"/>
        <v>35</v>
      </c>
      <c r="CK27" s="28">
        <f t="shared" si="36"/>
        <v>2</v>
      </c>
      <c r="CL27" s="28">
        <f>SUM(CM27*2)+(CN27*1) + SUMIFS(MATCH_INPUT!$G$30:$G$33, MATCH_INPUT!$F$30:$F$33, CI27) + SUMIFS(MATCH_INPUT!$I$30:$I$33, MATCH_INPUT!$J$30:$J$33, CI27)
</f>
        <v>2</v>
      </c>
      <c r="CM27" s="28">
        <f>IF(CI27&lt;&gt;"",
    COUNTIFS(MATCH_INPUT!$K$30:$K$33,CI27),
0)</f>
        <v>0</v>
      </c>
      <c r="CN27" s="28">
        <f>IF(CI27&lt;&gt;"",
    COUNTIFS(MATCH_INPUT!$F$30:$F$33, CI27, MATCH_INPUT!$K$30:$K$33, "Draw") +
    COUNTIFS(MATCH_INPUT!$J$30:$J$33, CI27, MATCH_INPUT!$K$30:$K$33, "Draw"),
0)</f>
        <v>1</v>
      </c>
      <c r="CO27" s="28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1</v>
      </c>
      <c r="CP27" s="29"/>
      <c r="CQ27" s="29"/>
      <c r="CR27" s="20"/>
      <c r="CS27" s="34">
        <f t="shared" si="37"/>
        <v>24</v>
      </c>
      <c r="CT27" s="34" t="str">
        <f t="shared" si="38"/>
        <v>↓</v>
      </c>
      <c r="CU27" s="35">
        <f t="shared" si="39"/>
        <v>19</v>
      </c>
      <c r="CV27" s="35" t="str">
        <f t="shared" ref="CV27:CW27" si="89">A27</f>
        <v>🍀 </v>
      </c>
      <c r="CW27" s="36" t="str">
        <f t="shared" si="89"/>
        <v>Cuñis 👨🏽‍🤝‍👨🏼 Karter</v>
      </c>
      <c r="CX27" s="36">
        <f t="shared" si="41"/>
        <v>35</v>
      </c>
      <c r="CY27" s="35">
        <f>SUM(
  IF(AND('MATCH DATES'!$A$2 &lt;= TODAY(), NOW() &gt;= 'MATCH DATES'!$A$2 + TIME(22, 0, 0)), E27, 0),
  IF(AND('MATCH DATES'!$A$3 &lt;= TODAY(), NOW() &gt;= 'MATCH DATES'!$A$3 + TIME(22, 0, 0)), Q27, 0),
  IF(AND('MATCH DATES'!$A$4 &lt;= TODAY(), NOW() &gt;= 'MATCH DATES'!$A$4 + TIME(22, 0, 0)), AC27, 0),
  IF(AND('MATCH DATES'!$A$5 &lt;= TODAY(), NOW() &gt;= 'MATCH DATES'!$A$5 + TIME(22, 0, 0)), AO27, 0),
  IF(AND('MATCH DATES'!$A$6 &lt;= TODAY(), NOW() &gt;= 'MATCH DATES'!$A$6 + TIME(22, 0, 0)), BA27, 0),
  IF(AND('MATCH DATES'!$A$7 &lt;= TODAY(), NOW() &gt;= 'MATCH DATES'!$A$7 + TIME(22, 0, 0)), BM27, 0),
  IF(AND('MATCH DATES'!$A$8 &lt;= TODAY(), NOW() &gt;= 'MATCH DATES'!$A$8 + TIME(22, 0, 0)), BY27, 0),
  IF(AND('MATCH DATES'!$A$9 &lt;= TODAY(), NOW() &gt;= 'MATCH DATES'!$A$9 + TIME(22, 0, 0)), CK27, 0)
)
</f>
        <v>16</v>
      </c>
      <c r="CZ27" s="36">
        <f t="shared" ref="CZ27:DA27" si="90">SUM(G27,S27,AE27,AQ27,BC27,BO27,CA27,CM27)</f>
        <v>1</v>
      </c>
      <c r="DA27" s="36">
        <f t="shared" si="90"/>
        <v>9</v>
      </c>
      <c r="DB27" s="36">
        <f>SUM(
  IF(AND('MATCH DATES'!$A$2 &lt;= TODAY(), NOW() &gt;= 'MATCH DATES'!$A$2 + TIME(22, 0, 0)), I27, 0),
  IF(AND('MATCH DATES'!$A$3 &lt;= TODAY(), NOW() &gt;= 'MATCH DATES'!$A$3 + TIME(22, 0, 0)), U27, 0),
  IF(AND('MATCH DATES'!$A$4 &lt;= TODAY(), NOW() &gt;= 'MATCH DATES'!$A$4 + TIME(22, 0, 0)), AG27, 0),
  IF(AND('MATCH DATES'!$A$5 &lt;= TODAY(), NOW() &gt;= 'MATCH DATES'!$A$5 + TIME(22, 0, 0)), AS27, 0),
  IF(AND('MATCH DATES'!$A$6 &lt;= TODAY(), NOW() &gt;= 'MATCH DATES'!$A$6 + TIME(22, 0, 0)), BE27, 0),
  IF(AND('MATCH DATES'!$A$7 &lt;= TODAY(), NOW() &gt;= 'MATCH DATES'!$A$7 + TIME(22, 0, 0)), BQ27, 0),
  IF(AND('MATCH DATES'!$A$8 &lt;= TODAY(), NOW() &gt;= 'MATCH DATES'!$A$8 + TIME(22, 0, 0)), CC27, 0),
  IF(AND('MATCH DATES'!$A$9 &lt;= TODAY(), NOW() &gt;= 'MATCH DATES'!$A$9 + TIME(22, 0, 0)), CO27, 0)
)</f>
        <v>6</v>
      </c>
      <c r="DD27" s="36">
        <f t="shared" si="43"/>
        <v>0</v>
      </c>
      <c r="DF27" s="36">
        <f t="shared" si="44"/>
        <v>0</v>
      </c>
    </row>
    <row r="28" ht="24.75" customHeight="1">
      <c r="A28" s="19" t="s">
        <v>137</v>
      </c>
      <c r="B28" s="20" t="s">
        <v>167</v>
      </c>
      <c r="C28" s="21" t="s">
        <v>140</v>
      </c>
      <c r="D28" s="22">
        <f t="shared" si="3"/>
        <v>4</v>
      </c>
      <c r="E28" s="22">
        <f t="shared" si="4"/>
        <v>2</v>
      </c>
      <c r="F28" s="22">
        <f t="shared" si="5"/>
        <v>2</v>
      </c>
      <c r="G28" s="22">
        <f>IF(C28&lt;&gt;"",
    COUNTIFS(MATCH_INPUT!$K$2:$K$5,C28),
0)</f>
        <v>1</v>
      </c>
      <c r="H28" s="22">
        <f>IF(C28&lt;&gt;"",
    COUNTIFS(MATCH_INPUT!$F$2:$F$5, C28, MATCH_INPUT!$K$2:$K$5, "Draw") +
    COUNTIFS(MATCH_INPUT!$J$2:$J$5, C28, MATCH_INPUT!$K$2:$K$5, "Draw"),
0)</f>
        <v>0</v>
      </c>
      <c r="I28" s="22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1</v>
      </c>
      <c r="J28" s="23"/>
      <c r="K28" s="23"/>
      <c r="L28" s="24"/>
      <c r="M28" s="25">
        <f t="shared" si="6"/>
        <v>11</v>
      </c>
      <c r="N28" s="26" t="str">
        <f t="shared" si="7"/>
        <v>↓</v>
      </c>
      <c r="O28" s="27" t="s">
        <v>142</v>
      </c>
      <c r="P28" s="28">
        <f t="shared" si="8"/>
        <v>10</v>
      </c>
      <c r="Q28" s="28">
        <f t="shared" si="9"/>
        <v>2</v>
      </c>
      <c r="R28" s="28">
        <f t="shared" si="10"/>
        <v>4</v>
      </c>
      <c r="S28" s="28">
        <f>IF(O28&lt;&gt;"",
    COUNTIFS(MATCH_INPUT!$K$6:$K$9,O28),
0)</f>
        <v>2</v>
      </c>
      <c r="T28" s="28">
        <f>IF(O28&lt;&gt;"",
    COUNTIFS(MATCH_INPUT!$F$6:$F$9, O28, MATCH_INPUT!$K$6:$K$9, "Draw") +
    COUNTIFS(MATCH_INPUT!$J$6:$J$9, O28, MATCH_INPUT!$K$6:$K$9, "Draw"),
0)</f>
        <v>0</v>
      </c>
      <c r="U28" s="28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0</v>
      </c>
      <c r="V28" s="29"/>
      <c r="W28" s="29"/>
      <c r="X28" s="20"/>
      <c r="Y28" s="30">
        <f t="shared" si="11"/>
        <v>7</v>
      </c>
      <c r="Z28" s="31" t="str">
        <f t="shared" si="12"/>
        <v>↑</v>
      </c>
      <c r="AA28" s="21" t="s">
        <v>141</v>
      </c>
      <c r="AB28" s="32">
        <f t="shared" si="13"/>
        <v>15</v>
      </c>
      <c r="AC28" s="22">
        <f t="shared" si="14"/>
        <v>2</v>
      </c>
      <c r="AD28" s="22">
        <f t="shared" si="15"/>
        <v>3</v>
      </c>
      <c r="AE28" s="22">
        <f>IF(AA28&lt;&gt;"",
    COUNTIFS(MATCH_INPUT!$K$10:$K$13,AA28),
0)</f>
        <v>1</v>
      </c>
      <c r="AF28" s="22">
        <f>IF(AA28&lt;&gt;"",
    COUNTIFS(MATCH_INPUT!$F$10:$F$13, AA28, MATCH_INPUT!$K$10:$K$13, "Draw") +
    COUNTIFS(MATCH_INPUT!$J$10:$J$13, AA28, MATCH_INPUT!$K$10:$K$13, "Draw"),
0)</f>
        <v>1</v>
      </c>
      <c r="AG28" s="22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0</v>
      </c>
      <c r="AH28" s="23"/>
      <c r="AI28" s="23"/>
      <c r="AJ28" s="33"/>
      <c r="AK28" s="25">
        <f t="shared" si="16"/>
        <v>3</v>
      </c>
      <c r="AL28" s="26" t="str">
        <f t="shared" si="17"/>
        <v>↑</v>
      </c>
      <c r="AM28" s="27" t="s">
        <v>142</v>
      </c>
      <c r="AN28" s="28">
        <f t="shared" si="18"/>
        <v>18</v>
      </c>
      <c r="AO28" s="28">
        <f t="shared" si="19"/>
        <v>2</v>
      </c>
      <c r="AP28" s="28">
        <f t="shared" si="20"/>
        <v>1</v>
      </c>
      <c r="AQ28" s="28">
        <f>IF(AM28&lt;&gt;"",
    COUNTIFS(MATCH_INPUT!$K$14:$K$17,AM28),
0)</f>
        <v>0</v>
      </c>
      <c r="AR28" s="28">
        <f>IF(AM28&lt;&gt;"",
    COUNTIFS(MATCH_INPUT!$F$14:$F$17, AM28, MATCH_INPUT!$K$14:$K$17, "Draw") +
    COUNTIFS(MATCH_INPUT!$J$14:$J$17, AM28, MATCH_INPUT!$K$14:$K$17, "Draw"),
0)</f>
        <v>1</v>
      </c>
      <c r="AS28" s="28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1</v>
      </c>
      <c r="AT28" s="29"/>
      <c r="AU28" s="29"/>
      <c r="AV28" s="20"/>
      <c r="AW28" s="30">
        <f t="shared" si="21"/>
        <v>4</v>
      </c>
      <c r="AX28" s="31" t="str">
        <f t="shared" si="22"/>
        <v>↓</v>
      </c>
      <c r="AY28" s="21"/>
      <c r="AZ28" s="32">
        <f t="shared" si="23"/>
        <v>18</v>
      </c>
      <c r="BA28" s="22">
        <f t="shared" si="24"/>
        <v>0</v>
      </c>
      <c r="BB28" s="22">
        <f>SUM(BC28*2) + (BD28*1) + SUMIFS(MATCH_INPUT!$G$18:$G$21, MATCH_INPUT!$F$18:$F$21, AY28) + SUMIFS(MATCH_INPUT!$I$18:$I$21, MATCH_INPUT!$J$18:$J$21, AY28)
</f>
        <v>0</v>
      </c>
      <c r="BC28" s="22">
        <f>IF(AY28&lt;&gt;"",
    COUNTIFS(MATCH_INPUT!$K$18:$K$21,AY28),
0)</f>
        <v>0</v>
      </c>
      <c r="BD28" s="22">
        <f>IF(AY28&lt;&gt;"",
    COUNTIFS(MATCH_INPUT!$F$18:$F$21, AY28, MATCH_INPUT!$K$18:$K$21, "Draw") +
    COUNTIFS(MATCH_INPUT!$J$18:$J$21, AY28, MATCH_INPUT!$K$18:$K$21, "Draw"),
0)</f>
        <v>0</v>
      </c>
      <c r="BE28" s="22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0</v>
      </c>
      <c r="BF28" s="23"/>
      <c r="BG28" s="23"/>
      <c r="BH28" s="33"/>
      <c r="BI28" s="25">
        <f t="shared" si="25"/>
        <v>28</v>
      </c>
      <c r="BJ28" s="26" t="str">
        <f t="shared" si="26"/>
        <v>↓</v>
      </c>
      <c r="BK28" s="27" t="s">
        <v>140</v>
      </c>
      <c r="BL28" s="28">
        <f t="shared" si="27"/>
        <v>24</v>
      </c>
      <c r="BM28" s="28">
        <f t="shared" si="28"/>
        <v>2</v>
      </c>
      <c r="BN28" s="28">
        <f>SUM(BO28*2) + (BP28*1) + SUMIFS(MATCH_INPUT!$G$22:$G$25, MATCH_INPUT!$F$22:$F$25, BK28) + SUMIFS(MATCH_INPUT!$I$22:$I$25, MATCH_INPUT!$J$22:$J$25, BK28)
</f>
        <v>4</v>
      </c>
      <c r="BO28" s="28">
        <f>IF(BK28&lt;&gt;"",
    COUNTIFS(MATCH_INPUT!$K$22:$K$25,BK28),
0)</f>
        <v>0</v>
      </c>
      <c r="BP28" s="28">
        <f>IF(BK28&lt;&gt;"",
    COUNTIFS(MATCH_INPUT!$F$22:$F$25, BK28, MATCH_INPUT!$K$22:$K$25, "Draw") +
    COUNTIFS(MATCH_INPUT!$J$22:$J$25, BK28, MATCH_INPUT!$K$22:$K$25, "Draw"),
0)</f>
        <v>2</v>
      </c>
      <c r="BQ28" s="28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0</v>
      </c>
      <c r="BR28" s="29"/>
      <c r="BS28" s="29"/>
      <c r="BT28" s="20"/>
      <c r="BU28" s="30">
        <f t="shared" si="29"/>
        <v>28</v>
      </c>
      <c r="BV28" s="31" t="str">
        <f t="shared" si="30"/>
        <v>=</v>
      </c>
      <c r="BW28" s="21" t="s">
        <v>139</v>
      </c>
      <c r="BX28" s="32">
        <f t="shared" si="31"/>
        <v>31</v>
      </c>
      <c r="BY28" s="22">
        <f t="shared" si="32"/>
        <v>2</v>
      </c>
      <c r="BZ28" s="22">
        <f>SUM(CA28*2)+(CB28*1) + SUMIFS(MATCH_INPUT!$G$26:$G$29, MATCH_INPUT!$F$26:$F$29, BW28) + SUMIFS(MATCH_INPUT!$I$26:$I$29, MATCH_INPUT!$J$26:$J$29, BW28)
</f>
        <v>5</v>
      </c>
      <c r="CA28" s="22">
        <f>IF(BW28&lt;&gt;"",
    COUNTIFS(MATCH_INPUT!$K$26:$K$29,BW28),
0)</f>
        <v>1</v>
      </c>
      <c r="CB28" s="22">
        <f>IF(BW28&lt;&gt;"",
    COUNTIFS(MATCH_INPUT!$F$26:$F$29, BW28, MATCH_INPUT!$K$26:$K$29, "Draw") +
    COUNTIFS(MATCH_INPUT!$J$26:$J$29, BW28, MATCH_INPUT!$K$26:$K$29, "Draw"),
0)</f>
        <v>0</v>
      </c>
      <c r="CC28" s="22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1</v>
      </c>
      <c r="CD28" s="23"/>
      <c r="CE28" s="23"/>
      <c r="CF28" s="33"/>
      <c r="CG28" s="25">
        <f t="shared" si="33"/>
        <v>23</v>
      </c>
      <c r="CH28" s="26" t="str">
        <f t="shared" si="34"/>
        <v>↑</v>
      </c>
      <c r="CI28" s="27" t="s">
        <v>139</v>
      </c>
      <c r="CJ28" s="28">
        <f t="shared" si="35"/>
        <v>35</v>
      </c>
      <c r="CK28" s="28">
        <f t="shared" si="36"/>
        <v>2</v>
      </c>
      <c r="CL28" s="28">
        <f>SUM(CM28*2)+(CN28*1) + SUMIFS(MATCH_INPUT!$G$30:$G$33, MATCH_INPUT!$F$30:$F$33, CI28) + SUMIFS(MATCH_INPUT!$I$30:$I$33, MATCH_INPUT!$J$30:$J$33, CI28)
</f>
        <v>2</v>
      </c>
      <c r="CM28" s="28">
        <f>IF(CI28&lt;&gt;"",
    COUNTIFS(MATCH_INPUT!$K$30:$K$33,CI28),
0)</f>
        <v>0</v>
      </c>
      <c r="CN28" s="28">
        <f>IF(CI28&lt;&gt;"",
    COUNTIFS(MATCH_INPUT!$F$30:$F$33, CI28, MATCH_INPUT!$K$30:$K$33, "Draw") +
    COUNTIFS(MATCH_INPUT!$J$30:$J$33, CI28, MATCH_INPUT!$K$30:$K$33, "Draw"),
0)</f>
        <v>1</v>
      </c>
      <c r="CO28" s="28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1</v>
      </c>
      <c r="CP28" s="29"/>
      <c r="CQ28" s="29"/>
      <c r="CR28" s="20"/>
      <c r="CS28" s="34">
        <f t="shared" si="37"/>
        <v>24</v>
      </c>
      <c r="CT28" s="34" t="str">
        <f t="shared" si="38"/>
        <v>↓</v>
      </c>
      <c r="CU28" s="35">
        <f t="shared" si="39"/>
        <v>21</v>
      </c>
      <c r="CV28" s="35" t="str">
        <f t="shared" ref="CV28:CW28" si="91">A28</f>
        <v>🍀 </v>
      </c>
      <c r="CW28" s="36" t="str">
        <f t="shared" si="91"/>
        <v>Alexis 👨🏾‍🤝‍👨🏿 Lopez</v>
      </c>
      <c r="CX28" s="36">
        <f t="shared" si="41"/>
        <v>35</v>
      </c>
      <c r="CY28" s="35">
        <f>SUM(
  IF(AND('MATCH DATES'!$A$2 &lt;= TODAY(), NOW() &gt;= 'MATCH DATES'!$A$2 + TIME(22, 0, 0)), E28, 0),
  IF(AND('MATCH DATES'!$A$3 &lt;= TODAY(), NOW() &gt;= 'MATCH DATES'!$A$3 + TIME(22, 0, 0)), Q28, 0),
  IF(AND('MATCH DATES'!$A$4 &lt;= TODAY(), NOW() &gt;= 'MATCH DATES'!$A$4 + TIME(22, 0, 0)), AC28, 0),
  IF(AND('MATCH DATES'!$A$5 &lt;= TODAY(), NOW() &gt;= 'MATCH DATES'!$A$5 + TIME(22, 0, 0)), AO28, 0),
  IF(AND('MATCH DATES'!$A$6 &lt;= TODAY(), NOW() &gt;= 'MATCH DATES'!$A$6 + TIME(22, 0, 0)), BA28, 0),
  IF(AND('MATCH DATES'!$A$7 &lt;= TODAY(), NOW() &gt;= 'MATCH DATES'!$A$7 + TIME(22, 0, 0)), BM28, 0),
  IF(AND('MATCH DATES'!$A$8 &lt;= TODAY(), NOW() &gt;= 'MATCH DATES'!$A$8 + TIME(22, 0, 0)), BY28, 0),
  IF(AND('MATCH DATES'!$A$9 &lt;= TODAY(), NOW() &gt;= 'MATCH DATES'!$A$9 + TIME(22, 0, 0)), CK28, 0)
)
</f>
        <v>14</v>
      </c>
      <c r="CZ28" s="36">
        <f t="shared" ref="CZ28:DA28" si="92">SUM(G28,S28,AE28,AQ28,BC28,BO28,CA28,CM28)</f>
        <v>5</v>
      </c>
      <c r="DA28" s="36">
        <f t="shared" si="92"/>
        <v>5</v>
      </c>
      <c r="DB28" s="36">
        <f>SUM(
  IF(AND('MATCH DATES'!$A$2 &lt;= TODAY(), NOW() &gt;= 'MATCH DATES'!$A$2 + TIME(22, 0, 0)), I28, 0),
  IF(AND('MATCH DATES'!$A$3 &lt;= TODAY(), NOW() &gt;= 'MATCH DATES'!$A$3 + TIME(22, 0, 0)), U28, 0),
  IF(AND('MATCH DATES'!$A$4 &lt;= TODAY(), NOW() &gt;= 'MATCH DATES'!$A$4 + TIME(22, 0, 0)), AG28, 0),
  IF(AND('MATCH DATES'!$A$5 &lt;= TODAY(), NOW() &gt;= 'MATCH DATES'!$A$5 + TIME(22, 0, 0)), AS28, 0),
  IF(AND('MATCH DATES'!$A$6 &lt;= TODAY(), NOW() &gt;= 'MATCH DATES'!$A$6 + TIME(22, 0, 0)), BE28, 0),
  IF(AND('MATCH DATES'!$A$7 &lt;= TODAY(), NOW() &gt;= 'MATCH DATES'!$A$7 + TIME(22, 0, 0)), BQ28, 0),
  IF(AND('MATCH DATES'!$A$8 &lt;= TODAY(), NOW() &gt;= 'MATCH DATES'!$A$8 + TIME(22, 0, 0)), CC28, 0),
  IF(AND('MATCH DATES'!$A$9 &lt;= TODAY(), NOW() &gt;= 'MATCH DATES'!$A$9 + TIME(22, 0, 0)), CO28, 0)
)</f>
        <v>4</v>
      </c>
      <c r="DD28" s="36">
        <f t="shared" si="43"/>
        <v>0</v>
      </c>
      <c r="DF28" s="36">
        <f t="shared" si="44"/>
        <v>0</v>
      </c>
    </row>
    <row r="29" ht="24.75" customHeight="1">
      <c r="A29" s="19" t="s">
        <v>137</v>
      </c>
      <c r="B29" s="20" t="s">
        <v>168</v>
      </c>
      <c r="C29" s="21" t="s">
        <v>142</v>
      </c>
      <c r="D29" s="22">
        <f t="shared" si="3"/>
        <v>2</v>
      </c>
      <c r="E29" s="22">
        <f t="shared" si="4"/>
        <v>2</v>
      </c>
      <c r="F29" s="22">
        <f t="shared" si="5"/>
        <v>0</v>
      </c>
      <c r="G29" s="22">
        <f>IF(C29&lt;&gt;"",
    COUNTIFS(MATCH_INPUT!$K$2:$K$5,C29),
0)</f>
        <v>0</v>
      </c>
      <c r="H29" s="22">
        <f>IF(C29&lt;&gt;"",
    COUNTIFS(MATCH_INPUT!$F$2:$F$5, C29, MATCH_INPUT!$K$2:$K$5, "Draw") +
    COUNTIFS(MATCH_INPUT!$J$2:$J$5, C29, MATCH_INPUT!$K$2:$K$5, "Draw"),
0)</f>
        <v>0</v>
      </c>
      <c r="I29" s="22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2</v>
      </c>
      <c r="J29" s="23"/>
      <c r="K29" s="23"/>
      <c r="L29" s="24"/>
      <c r="M29" s="25">
        <f t="shared" si="6"/>
        <v>26</v>
      </c>
      <c r="N29" s="26" t="str">
        <f t="shared" si="7"/>
        <v>↓</v>
      </c>
      <c r="O29" s="27" t="s">
        <v>139</v>
      </c>
      <c r="P29" s="28">
        <f t="shared" si="8"/>
        <v>7</v>
      </c>
      <c r="Q29" s="28">
        <f t="shared" si="9"/>
        <v>2</v>
      </c>
      <c r="R29" s="28">
        <f t="shared" si="10"/>
        <v>3</v>
      </c>
      <c r="S29" s="28">
        <f>IF(O29&lt;&gt;"",
    COUNTIFS(MATCH_INPUT!$K$6:$K$9,O29),
0)</f>
        <v>1</v>
      </c>
      <c r="T29" s="28">
        <f>IF(O29&lt;&gt;"",
    COUNTIFS(MATCH_INPUT!$F$6:$F$9, O29, MATCH_INPUT!$K$6:$K$9, "Draw") +
    COUNTIFS(MATCH_INPUT!$J$6:$J$9, O29, MATCH_INPUT!$K$6:$K$9, "Draw"),
0)</f>
        <v>1</v>
      </c>
      <c r="U29" s="28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29"/>
      <c r="W29" s="29"/>
      <c r="X29" s="20"/>
      <c r="Y29" s="30">
        <f t="shared" si="11"/>
        <v>20</v>
      </c>
      <c r="Z29" s="31" t="str">
        <f t="shared" si="12"/>
        <v>↑</v>
      </c>
      <c r="AA29" s="21" t="s">
        <v>142</v>
      </c>
      <c r="AB29" s="32">
        <f t="shared" si="13"/>
        <v>11</v>
      </c>
      <c r="AC29" s="22">
        <f t="shared" si="14"/>
        <v>2</v>
      </c>
      <c r="AD29" s="22">
        <f t="shared" si="15"/>
        <v>2</v>
      </c>
      <c r="AE29" s="22">
        <f>IF(AA29&lt;&gt;"",
    COUNTIFS(MATCH_INPUT!$K$10:$K$13,AA29),
0)</f>
        <v>0</v>
      </c>
      <c r="AF29" s="22">
        <f>IF(AA29&lt;&gt;"",
    COUNTIFS(MATCH_INPUT!$F$10:$F$13, AA29, MATCH_INPUT!$K$10:$K$13, "Draw") +
    COUNTIFS(MATCH_INPUT!$J$10:$J$13, AA29, MATCH_INPUT!$K$10:$K$13, "Draw"),
0)</f>
        <v>2</v>
      </c>
      <c r="AG29" s="22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0</v>
      </c>
      <c r="AH29" s="23"/>
      <c r="AI29" s="23"/>
      <c r="AJ29" s="33"/>
      <c r="AK29" s="25">
        <f t="shared" si="16"/>
        <v>21</v>
      </c>
      <c r="AL29" s="26" t="str">
        <f t="shared" si="17"/>
        <v>↓</v>
      </c>
      <c r="AM29" s="27" t="s">
        <v>140</v>
      </c>
      <c r="AN29" s="28">
        <f t="shared" si="18"/>
        <v>17</v>
      </c>
      <c r="AO29" s="28">
        <f t="shared" si="19"/>
        <v>2</v>
      </c>
      <c r="AP29" s="28">
        <f t="shared" si="20"/>
        <v>4</v>
      </c>
      <c r="AQ29" s="28">
        <f>IF(AM29&lt;&gt;"",
    COUNTIFS(MATCH_INPUT!$K$14:$K$17,AM29),
0)</f>
        <v>2</v>
      </c>
      <c r="AR29" s="28">
        <f>IF(AM29&lt;&gt;"",
    COUNTIFS(MATCH_INPUT!$F$14:$F$17, AM29, MATCH_INPUT!$K$14:$K$17, "Draw") +
    COUNTIFS(MATCH_INPUT!$J$14:$J$17, AM29, MATCH_INPUT!$K$14:$K$17, "Draw"),
0)</f>
        <v>0</v>
      </c>
      <c r="AS29" s="28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0</v>
      </c>
      <c r="AT29" s="29">
        <v>1.0</v>
      </c>
      <c r="AU29" s="29"/>
      <c r="AV29" s="20"/>
      <c r="AW29" s="30">
        <f t="shared" si="21"/>
        <v>9</v>
      </c>
      <c r="AX29" s="31" t="str">
        <f t="shared" si="22"/>
        <v>↑</v>
      </c>
      <c r="AY29" s="21" t="s">
        <v>142</v>
      </c>
      <c r="AZ29" s="32">
        <f t="shared" si="23"/>
        <v>24</v>
      </c>
      <c r="BA29" s="22">
        <f t="shared" si="24"/>
        <v>2</v>
      </c>
      <c r="BB29" s="22">
        <f>SUM(BC29*2) + (BD29*1) + SUMIFS(MATCH_INPUT!$G$18:$G$21, MATCH_INPUT!$F$18:$F$21, AY29) + SUMIFS(MATCH_INPUT!$I$18:$I$21, MATCH_INPUT!$J$18:$J$21, AY29)
</f>
        <v>5</v>
      </c>
      <c r="BC29" s="22">
        <f>IF(AY29&lt;&gt;"",
    COUNTIFS(MATCH_INPUT!$K$18:$K$21,AY29),
0)</f>
        <v>1</v>
      </c>
      <c r="BD29" s="22">
        <f>IF(AY29&lt;&gt;"",
    COUNTIFS(MATCH_INPUT!$F$18:$F$21, AY29, MATCH_INPUT!$K$18:$K$21, "Draw") +
    COUNTIFS(MATCH_INPUT!$J$18:$J$21, AY29, MATCH_INPUT!$K$18:$K$21, "Draw"),
0)</f>
        <v>0</v>
      </c>
      <c r="BE29" s="22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1</v>
      </c>
      <c r="BF29" s="23"/>
      <c r="BG29" s="23"/>
      <c r="BH29" s="33"/>
      <c r="BI29" s="25">
        <f t="shared" si="25"/>
        <v>11</v>
      </c>
      <c r="BJ29" s="26" t="str">
        <f t="shared" si="26"/>
        <v>↓</v>
      </c>
      <c r="BK29" s="27" t="s">
        <v>141</v>
      </c>
      <c r="BL29" s="28">
        <f t="shared" si="27"/>
        <v>26</v>
      </c>
      <c r="BM29" s="28">
        <f t="shared" si="28"/>
        <v>2</v>
      </c>
      <c r="BN29" s="28">
        <f>SUM(BO29*2) + (BP29*1) + SUMIFS(MATCH_INPUT!$G$22:$G$25, MATCH_INPUT!$F$22:$F$25, BK29) + SUMIFS(MATCH_INPUT!$I$22:$I$25, MATCH_INPUT!$J$22:$J$25, BK29)
</f>
        <v>0</v>
      </c>
      <c r="BO29" s="28">
        <f>IF(BK29&lt;&gt;"",
    COUNTIFS(MATCH_INPUT!$K$22:$K$25,BK29),
0)</f>
        <v>0</v>
      </c>
      <c r="BP29" s="28">
        <f>IF(BK29&lt;&gt;"",
    COUNTIFS(MATCH_INPUT!$F$22:$F$25, BK29, MATCH_INPUT!$K$22:$K$25, "Draw") +
    COUNTIFS(MATCH_INPUT!$J$22:$J$25, BK29, MATCH_INPUT!$K$22:$K$25, "Draw"),
0)</f>
        <v>0</v>
      </c>
      <c r="BQ29" s="28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2</v>
      </c>
      <c r="BR29" s="29"/>
      <c r="BS29" s="29"/>
      <c r="BT29" s="20"/>
      <c r="BU29" s="30">
        <f t="shared" si="29"/>
        <v>22</v>
      </c>
      <c r="BV29" s="31" t="str">
        <f t="shared" si="30"/>
        <v>↓</v>
      </c>
      <c r="BW29" s="21" t="s">
        <v>141</v>
      </c>
      <c r="BX29" s="32">
        <f t="shared" si="31"/>
        <v>35</v>
      </c>
      <c r="BY29" s="22">
        <f t="shared" si="32"/>
        <v>2</v>
      </c>
      <c r="BZ29" s="22">
        <f>SUM(CA29*2)+(CB29*1) + SUMIFS(MATCH_INPUT!$G$26:$G$29, MATCH_INPUT!$F$26:$F$29, BW29) + SUMIFS(MATCH_INPUT!$I$26:$I$29, MATCH_INPUT!$J$26:$J$29, BW29)
</f>
        <v>7</v>
      </c>
      <c r="CA29" s="22">
        <f>IF(BW29&lt;&gt;"",
    COUNTIFS(MATCH_INPUT!$K$26:$K$29,BW29),
0)</f>
        <v>1</v>
      </c>
      <c r="CB29" s="22">
        <f>IF(BW29&lt;&gt;"",
    COUNTIFS(MATCH_INPUT!$F$26:$F$29, BW29, MATCH_INPUT!$K$26:$K$29, "Draw") +
    COUNTIFS(MATCH_INPUT!$J$26:$J$29, BW29, MATCH_INPUT!$K$26:$K$29, "Draw"),
0)</f>
        <v>1</v>
      </c>
      <c r="CC29" s="22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0</v>
      </c>
      <c r="CD29" s="23">
        <v>1.0</v>
      </c>
      <c r="CE29" s="23"/>
      <c r="CF29" s="33"/>
      <c r="CG29" s="25">
        <f t="shared" si="33"/>
        <v>13</v>
      </c>
      <c r="CH29" s="26" t="str">
        <f t="shared" si="34"/>
        <v>↑</v>
      </c>
      <c r="CI29" s="27"/>
      <c r="CJ29" s="28">
        <f t="shared" si="35"/>
        <v>35</v>
      </c>
      <c r="CK29" s="28">
        <f t="shared" si="36"/>
        <v>0</v>
      </c>
      <c r="CL29" s="28">
        <f>SUM(CM29*2)+(CN29*1) + SUMIFS(MATCH_INPUT!$G$30:$G$33, MATCH_INPUT!$F$30:$F$33, CI29) + SUMIFS(MATCH_INPUT!$I$30:$I$33, MATCH_INPUT!$J$30:$J$33, CI29)
</f>
        <v>0</v>
      </c>
      <c r="CM29" s="28">
        <f>IF(CI29&lt;&gt;"",
    COUNTIFS(MATCH_INPUT!$K$30:$K$33,CI29),
0)</f>
        <v>0</v>
      </c>
      <c r="CN29" s="28">
        <f>IF(CI29&lt;&gt;"",
    COUNTIFS(MATCH_INPUT!$F$30:$F$33, CI29, MATCH_INPUT!$K$30:$K$33, "Draw") +
    COUNTIFS(MATCH_INPUT!$J$30:$J$33, CI29, MATCH_INPUT!$K$30:$K$33, "Draw"),
0)</f>
        <v>0</v>
      </c>
      <c r="CO29" s="28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0</v>
      </c>
      <c r="CP29" s="29"/>
      <c r="CQ29" s="29"/>
      <c r="CR29" s="20"/>
      <c r="CS29" s="34">
        <f t="shared" si="37"/>
        <v>24</v>
      </c>
      <c r="CT29" s="34" t="str">
        <f t="shared" si="38"/>
        <v>↓</v>
      </c>
      <c r="CU29" s="35">
        <f t="shared" si="39"/>
        <v>21</v>
      </c>
      <c r="CV29" s="35" t="str">
        <f t="shared" ref="CV29:CW29" si="93">A29</f>
        <v>🍀 </v>
      </c>
      <c r="CW29" s="36" t="str">
        <f t="shared" si="93"/>
        <v>Alex</v>
      </c>
      <c r="CX29" s="36">
        <f t="shared" si="41"/>
        <v>35</v>
      </c>
      <c r="CY29" s="35">
        <f>SUM(
  IF(AND('MATCH DATES'!$A$2 &lt;= TODAY(), NOW() &gt;= 'MATCH DATES'!$A$2 + TIME(22, 0, 0)), E29, 0),
  IF(AND('MATCH DATES'!$A$3 &lt;= TODAY(), NOW() &gt;= 'MATCH DATES'!$A$3 + TIME(22, 0, 0)), Q29, 0),
  IF(AND('MATCH DATES'!$A$4 &lt;= TODAY(), NOW() &gt;= 'MATCH DATES'!$A$4 + TIME(22, 0, 0)), AC29, 0),
  IF(AND('MATCH DATES'!$A$5 &lt;= TODAY(), NOW() &gt;= 'MATCH DATES'!$A$5 + TIME(22, 0, 0)), AO29, 0),
  IF(AND('MATCH DATES'!$A$6 &lt;= TODAY(), NOW() &gt;= 'MATCH DATES'!$A$6 + TIME(22, 0, 0)), BA29, 0),
  IF(AND('MATCH DATES'!$A$7 &lt;= TODAY(), NOW() &gt;= 'MATCH DATES'!$A$7 + TIME(22, 0, 0)), BM29, 0),
  IF(AND('MATCH DATES'!$A$8 &lt;= TODAY(), NOW() &gt;= 'MATCH DATES'!$A$8 + TIME(22, 0, 0)), BY29, 0),
  IF(AND('MATCH DATES'!$A$9 &lt;= TODAY(), NOW() &gt;= 'MATCH DATES'!$A$9 + TIME(22, 0, 0)), CK29, 0)
)
</f>
        <v>14</v>
      </c>
      <c r="CZ29" s="36">
        <f t="shared" ref="CZ29:DA29" si="94">SUM(G29,S29,AE29,AQ29,BC29,BO29,CA29,CM29)</f>
        <v>5</v>
      </c>
      <c r="DA29" s="36">
        <f t="shared" si="94"/>
        <v>4</v>
      </c>
      <c r="DB29" s="36">
        <f>SUM(
  IF(AND('MATCH DATES'!$A$2 &lt;= TODAY(), NOW() &gt;= 'MATCH DATES'!$A$2 + TIME(22, 0, 0)), I29, 0),
  IF(AND('MATCH DATES'!$A$3 &lt;= TODAY(), NOW() &gt;= 'MATCH DATES'!$A$3 + TIME(22, 0, 0)), U29, 0),
  IF(AND('MATCH DATES'!$A$4 &lt;= TODAY(), NOW() &gt;= 'MATCH DATES'!$A$4 + TIME(22, 0, 0)), AG29, 0),
  IF(AND('MATCH DATES'!$A$5 &lt;= TODAY(), NOW() &gt;= 'MATCH DATES'!$A$5 + TIME(22, 0, 0)), AS29, 0),
  IF(AND('MATCH DATES'!$A$6 &lt;= TODAY(), NOW() &gt;= 'MATCH DATES'!$A$6 + TIME(22, 0, 0)), BE29, 0),
  IF(AND('MATCH DATES'!$A$7 &lt;= TODAY(), NOW() &gt;= 'MATCH DATES'!$A$7 + TIME(22, 0, 0)), BQ29, 0),
  IF(AND('MATCH DATES'!$A$8 &lt;= TODAY(), NOW() &gt;= 'MATCH DATES'!$A$8 + TIME(22, 0, 0)), CC29, 0),
  IF(AND('MATCH DATES'!$A$9 &lt;= TODAY(), NOW() &gt;= 'MATCH DATES'!$A$9 + TIME(22, 0, 0)), CO29, 0)
)</f>
        <v>5</v>
      </c>
      <c r="DD29" s="36">
        <f t="shared" si="43"/>
        <v>0</v>
      </c>
      <c r="DF29" s="36">
        <f t="shared" si="44"/>
        <v>0</v>
      </c>
    </row>
    <row r="30" ht="24.75" customHeight="1">
      <c r="A30" s="19" t="s">
        <v>137</v>
      </c>
      <c r="B30" s="20" t="s">
        <v>169</v>
      </c>
      <c r="C30" s="21" t="s">
        <v>139</v>
      </c>
      <c r="D30" s="22">
        <f t="shared" si="3"/>
        <v>6</v>
      </c>
      <c r="E30" s="22">
        <f t="shared" si="4"/>
        <v>2</v>
      </c>
      <c r="F30" s="22">
        <f t="shared" si="5"/>
        <v>4</v>
      </c>
      <c r="G30" s="22">
        <f>IF(C30&lt;&gt;"",
    COUNTIFS(MATCH_INPUT!$K$2:$K$5,C30),
0)</f>
        <v>2</v>
      </c>
      <c r="H30" s="22">
        <f>IF(C30&lt;&gt;"",
    COUNTIFS(MATCH_INPUT!$F$2:$F$5, C30, MATCH_INPUT!$K$2:$K$5, "Draw") +
    COUNTIFS(MATCH_INPUT!$J$2:$J$5, C30, MATCH_INPUT!$K$2:$K$5, "Draw"),
0)</f>
        <v>0</v>
      </c>
      <c r="I30" s="22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0</v>
      </c>
      <c r="J30" s="23"/>
      <c r="K30" s="23"/>
      <c r="L30" s="24"/>
      <c r="M30" s="25">
        <f t="shared" si="6"/>
        <v>2</v>
      </c>
      <c r="N30" s="26" t="str">
        <f t="shared" si="7"/>
        <v>↓</v>
      </c>
      <c r="O30" s="27" t="s">
        <v>142</v>
      </c>
      <c r="P30" s="28">
        <f t="shared" si="8"/>
        <v>12</v>
      </c>
      <c r="Q30" s="28">
        <f t="shared" si="9"/>
        <v>2</v>
      </c>
      <c r="R30" s="28">
        <f t="shared" si="10"/>
        <v>4</v>
      </c>
      <c r="S30" s="28">
        <f>IF(O30&lt;&gt;"",
    COUNTIFS(MATCH_INPUT!$K$6:$K$9,O30),
0)</f>
        <v>2</v>
      </c>
      <c r="T30" s="28">
        <f>IF(O30&lt;&gt;"",
    COUNTIFS(MATCH_INPUT!$F$6:$F$9, O30, MATCH_INPUT!$K$6:$K$9, "Draw") +
    COUNTIFS(MATCH_INPUT!$J$6:$J$9, O30, MATCH_INPUT!$K$6:$K$9, "Draw"),
0)</f>
        <v>0</v>
      </c>
      <c r="U30" s="28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0</v>
      </c>
      <c r="V30" s="29"/>
      <c r="W30" s="29"/>
      <c r="X30" s="20"/>
      <c r="Y30" s="30">
        <f t="shared" si="11"/>
        <v>1</v>
      </c>
      <c r="Z30" s="31" t="str">
        <f t="shared" si="12"/>
        <v>↑</v>
      </c>
      <c r="AA30" s="21" t="s">
        <v>139</v>
      </c>
      <c r="AB30" s="32">
        <f t="shared" si="13"/>
        <v>16</v>
      </c>
      <c r="AC30" s="22">
        <f t="shared" si="14"/>
        <v>2</v>
      </c>
      <c r="AD30" s="22">
        <f t="shared" si="15"/>
        <v>2</v>
      </c>
      <c r="AE30" s="22">
        <f>IF(AA30&lt;&gt;"",
    COUNTIFS(MATCH_INPUT!$K$10:$K$13,AA30),
0)</f>
        <v>0</v>
      </c>
      <c r="AF30" s="22">
        <f>IF(AA30&lt;&gt;"",
    COUNTIFS(MATCH_INPUT!$F$10:$F$13, AA30, MATCH_INPUT!$K$10:$K$13, "Draw") +
    COUNTIFS(MATCH_INPUT!$J$10:$J$13, AA30, MATCH_INPUT!$K$10:$K$13, "Draw"),
0)</f>
        <v>2</v>
      </c>
      <c r="AG30" s="22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0</v>
      </c>
      <c r="AH30" s="23"/>
      <c r="AI30" s="23"/>
      <c r="AJ30" s="33"/>
      <c r="AK30" s="25">
        <f t="shared" si="16"/>
        <v>2</v>
      </c>
      <c r="AL30" s="26" t="str">
        <f t="shared" si="17"/>
        <v>↓</v>
      </c>
      <c r="AM30" s="27" t="s">
        <v>142</v>
      </c>
      <c r="AN30" s="28">
        <f t="shared" si="18"/>
        <v>19</v>
      </c>
      <c r="AO30" s="28">
        <f t="shared" si="19"/>
        <v>2</v>
      </c>
      <c r="AP30" s="28">
        <f t="shared" si="20"/>
        <v>1</v>
      </c>
      <c r="AQ30" s="28">
        <f>IF(AM30&lt;&gt;"",
    COUNTIFS(MATCH_INPUT!$K$14:$K$17,AM30),
0)</f>
        <v>0</v>
      </c>
      <c r="AR30" s="28">
        <f>IF(AM30&lt;&gt;"",
    COUNTIFS(MATCH_INPUT!$F$14:$F$17, AM30, MATCH_INPUT!$K$14:$K$17, "Draw") +
    COUNTIFS(MATCH_INPUT!$J$14:$J$17, AM30, MATCH_INPUT!$K$14:$K$17, "Draw"),
0)</f>
        <v>1</v>
      </c>
      <c r="AS30" s="28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1</v>
      </c>
      <c r="AT30" s="29"/>
      <c r="AU30" s="29"/>
      <c r="AV30" s="20"/>
      <c r="AW30" s="30">
        <f t="shared" si="21"/>
        <v>2</v>
      </c>
      <c r="AX30" s="31" t="str">
        <f t="shared" si="22"/>
        <v>=</v>
      </c>
      <c r="AY30" s="21" t="s">
        <v>139</v>
      </c>
      <c r="AZ30" s="32">
        <f t="shared" si="23"/>
        <v>26</v>
      </c>
      <c r="BA30" s="22">
        <f t="shared" si="24"/>
        <v>2</v>
      </c>
      <c r="BB30" s="22">
        <f>SUM(BC30*2) + (BD30*1) + SUMIFS(MATCH_INPUT!$G$18:$G$21, MATCH_INPUT!$F$18:$F$21, AY30) + SUMIFS(MATCH_INPUT!$I$18:$I$21, MATCH_INPUT!$J$18:$J$21, AY30)
</f>
        <v>5</v>
      </c>
      <c r="BC30" s="22">
        <f>IF(AY30&lt;&gt;"",
    COUNTIFS(MATCH_INPUT!$K$18:$K$21,AY30),
0)</f>
        <v>0</v>
      </c>
      <c r="BD30" s="22">
        <f>IF(AY30&lt;&gt;"",
    COUNTIFS(MATCH_INPUT!$F$18:$F$21, AY30, MATCH_INPUT!$K$18:$K$21, "Draw") +
    COUNTIFS(MATCH_INPUT!$J$18:$J$21, AY30, MATCH_INPUT!$K$18:$K$21, "Draw"),
0)</f>
        <v>1</v>
      </c>
      <c r="BE30" s="22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1</v>
      </c>
      <c r="BF30" s="23"/>
      <c r="BG30" s="23"/>
      <c r="BH30" s="33"/>
      <c r="BI30" s="25">
        <f t="shared" si="25"/>
        <v>7</v>
      </c>
      <c r="BJ30" s="26" t="str">
        <f t="shared" si="26"/>
        <v>↓</v>
      </c>
      <c r="BK30" s="27"/>
      <c r="BL30" s="28">
        <f t="shared" si="27"/>
        <v>26</v>
      </c>
      <c r="BM30" s="28">
        <f t="shared" si="28"/>
        <v>0</v>
      </c>
      <c r="BN30" s="28">
        <f>SUM(BO30*2) + (BP30*1) + SUMIFS(MATCH_INPUT!$G$22:$G$25, MATCH_INPUT!$F$22:$F$25, BK30) + SUMIFS(MATCH_INPUT!$I$22:$I$25, MATCH_INPUT!$J$22:$J$25, BK30)
</f>
        <v>0</v>
      </c>
      <c r="BO30" s="28">
        <f>IF(BK30&lt;&gt;"",
    COUNTIFS(MATCH_INPUT!$K$22:$K$25,BK30),
0)</f>
        <v>0</v>
      </c>
      <c r="BP30" s="28">
        <f>IF(BK30&lt;&gt;"",
    COUNTIFS(MATCH_INPUT!$F$22:$F$25, BK30, MATCH_INPUT!$K$22:$K$25, "Draw") +
    COUNTIFS(MATCH_INPUT!$J$22:$J$25, BK30, MATCH_INPUT!$K$22:$K$25, "Draw"),
0)</f>
        <v>0</v>
      </c>
      <c r="BQ30" s="28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0</v>
      </c>
      <c r="BR30" s="29"/>
      <c r="BS30" s="29"/>
      <c r="BT30" s="20"/>
      <c r="BU30" s="30">
        <f t="shared" si="29"/>
        <v>22</v>
      </c>
      <c r="BV30" s="31" t="str">
        <f t="shared" si="30"/>
        <v>↓</v>
      </c>
      <c r="BW30" s="21" t="s">
        <v>140</v>
      </c>
      <c r="BX30" s="32">
        <f t="shared" si="31"/>
        <v>31</v>
      </c>
      <c r="BY30" s="22">
        <f t="shared" si="32"/>
        <v>2</v>
      </c>
      <c r="BZ30" s="22">
        <f>SUM(CA30*2)+(CB30*1) + SUMIFS(MATCH_INPUT!$G$26:$G$29, MATCH_INPUT!$F$26:$F$29, BW30) + SUMIFS(MATCH_INPUT!$I$26:$I$29, MATCH_INPUT!$J$26:$J$29, BW30)
</f>
        <v>3</v>
      </c>
      <c r="CA30" s="22">
        <f>IF(BW30&lt;&gt;"",
    COUNTIFS(MATCH_INPUT!$K$26:$K$29,BW30),
0)</f>
        <v>0</v>
      </c>
      <c r="CB30" s="22">
        <f>IF(BW30&lt;&gt;"",
    COUNTIFS(MATCH_INPUT!$F$26:$F$29, BW30, MATCH_INPUT!$K$26:$K$29, "Draw") +
    COUNTIFS(MATCH_INPUT!$J$26:$J$29, BW30, MATCH_INPUT!$K$26:$K$29, "Draw"),
0)</f>
        <v>1</v>
      </c>
      <c r="CC30" s="22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1</v>
      </c>
      <c r="CD30" s="23">
        <v>1.0</v>
      </c>
      <c r="CE30" s="23"/>
      <c r="CF30" s="33"/>
      <c r="CG30" s="25">
        <f t="shared" si="33"/>
        <v>23</v>
      </c>
      <c r="CH30" s="26" t="str">
        <f t="shared" si="34"/>
        <v>↓</v>
      </c>
      <c r="CI30" s="27" t="s">
        <v>140</v>
      </c>
      <c r="CJ30" s="28">
        <f t="shared" si="35"/>
        <v>35</v>
      </c>
      <c r="CK30" s="28">
        <f t="shared" si="36"/>
        <v>2</v>
      </c>
      <c r="CL30" s="28">
        <f>SUM(CM30*2)+(CN30*1) + SUMIFS(MATCH_INPUT!$G$30:$G$33, MATCH_INPUT!$F$30:$F$33, CI30) + SUMIFS(MATCH_INPUT!$I$30:$I$33, MATCH_INPUT!$J$30:$J$33, CI30)
</f>
        <v>2</v>
      </c>
      <c r="CM30" s="28">
        <f>IF(CI30&lt;&gt;"",
    COUNTIFS(MATCH_INPUT!$K$30:$K$33,CI30),
0)</f>
        <v>0</v>
      </c>
      <c r="CN30" s="28">
        <f>IF(CI30&lt;&gt;"",
    COUNTIFS(MATCH_INPUT!$F$30:$F$33, CI30, MATCH_INPUT!$K$30:$K$33, "Draw") +
    COUNTIFS(MATCH_INPUT!$J$30:$J$33, CI30, MATCH_INPUT!$K$30:$K$33, "Draw"),
0)</f>
        <v>1</v>
      </c>
      <c r="CO30" s="28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1</v>
      </c>
      <c r="CP30" s="29"/>
      <c r="CQ30" s="29"/>
      <c r="CR30" s="20"/>
      <c r="CS30" s="34">
        <f t="shared" si="37"/>
        <v>24</v>
      </c>
      <c r="CT30" s="34" t="str">
        <f t="shared" si="38"/>
        <v>↓</v>
      </c>
      <c r="CU30" s="35">
        <f t="shared" si="39"/>
        <v>21</v>
      </c>
      <c r="CV30" s="35" t="str">
        <f t="shared" ref="CV30:CW30" si="95">A30</f>
        <v>🍀 </v>
      </c>
      <c r="CW30" s="36" t="str">
        <f t="shared" si="95"/>
        <v>Chilas 👨🏻‍🤝‍👨🏾 Netto</v>
      </c>
      <c r="CX30" s="36">
        <f t="shared" si="41"/>
        <v>35</v>
      </c>
      <c r="CY30" s="35">
        <f>SUM(
  IF(AND('MATCH DATES'!$A$2 &lt;= TODAY(), NOW() &gt;= 'MATCH DATES'!$A$2 + TIME(22, 0, 0)), E30, 0),
  IF(AND('MATCH DATES'!$A$3 &lt;= TODAY(), NOW() &gt;= 'MATCH DATES'!$A$3 + TIME(22, 0, 0)), Q30, 0),
  IF(AND('MATCH DATES'!$A$4 &lt;= TODAY(), NOW() &gt;= 'MATCH DATES'!$A$4 + TIME(22, 0, 0)), AC30, 0),
  IF(AND('MATCH DATES'!$A$5 &lt;= TODAY(), NOW() &gt;= 'MATCH DATES'!$A$5 + TIME(22, 0, 0)), AO30, 0),
  IF(AND('MATCH DATES'!$A$6 &lt;= TODAY(), NOW() &gt;= 'MATCH DATES'!$A$6 + TIME(22, 0, 0)), BA30, 0),
  IF(AND('MATCH DATES'!$A$7 &lt;= TODAY(), NOW() &gt;= 'MATCH DATES'!$A$7 + TIME(22, 0, 0)), BM30, 0),
  IF(AND('MATCH DATES'!$A$8 &lt;= TODAY(), NOW() &gt;= 'MATCH DATES'!$A$8 + TIME(22, 0, 0)), BY30, 0),
  IF(AND('MATCH DATES'!$A$9 &lt;= TODAY(), NOW() &gt;= 'MATCH DATES'!$A$9 + TIME(22, 0, 0)), CK30, 0)
)
</f>
        <v>14</v>
      </c>
      <c r="CZ30" s="36">
        <f t="shared" ref="CZ30:DA30" si="96">SUM(G30,S30,AE30,AQ30,BC30,BO30,CA30,CM30)</f>
        <v>4</v>
      </c>
      <c r="DA30" s="36">
        <f t="shared" si="96"/>
        <v>6</v>
      </c>
      <c r="DB30" s="36">
        <f>SUM(
  IF(AND('MATCH DATES'!$A$2 &lt;= TODAY(), NOW() &gt;= 'MATCH DATES'!$A$2 + TIME(22, 0, 0)), I30, 0),
  IF(AND('MATCH DATES'!$A$3 &lt;= TODAY(), NOW() &gt;= 'MATCH DATES'!$A$3 + TIME(22, 0, 0)), U30, 0),
  IF(AND('MATCH DATES'!$A$4 &lt;= TODAY(), NOW() &gt;= 'MATCH DATES'!$A$4 + TIME(22, 0, 0)), AG30, 0),
  IF(AND('MATCH DATES'!$A$5 &lt;= TODAY(), NOW() &gt;= 'MATCH DATES'!$A$5 + TIME(22, 0, 0)), AS30, 0),
  IF(AND('MATCH DATES'!$A$6 &lt;= TODAY(), NOW() &gt;= 'MATCH DATES'!$A$6 + TIME(22, 0, 0)), BE30, 0),
  IF(AND('MATCH DATES'!$A$7 &lt;= TODAY(), NOW() &gt;= 'MATCH DATES'!$A$7 + TIME(22, 0, 0)), BQ30, 0),
  IF(AND('MATCH DATES'!$A$8 &lt;= TODAY(), NOW() &gt;= 'MATCH DATES'!$A$8 + TIME(22, 0, 0)), CC30, 0),
  IF(AND('MATCH DATES'!$A$9 &lt;= TODAY(), NOW() &gt;= 'MATCH DATES'!$A$9 + TIME(22, 0, 0)), CO30, 0)
)</f>
        <v>4</v>
      </c>
      <c r="DD30" s="36">
        <f t="shared" si="43"/>
        <v>0</v>
      </c>
      <c r="DF30" s="36">
        <f t="shared" si="44"/>
        <v>0</v>
      </c>
    </row>
    <row r="31" ht="24.75" customHeight="1">
      <c r="A31" s="19" t="s">
        <v>137</v>
      </c>
      <c r="B31" s="20" t="s">
        <v>170</v>
      </c>
      <c r="C31" s="21" t="s">
        <v>141</v>
      </c>
      <c r="D31" s="22">
        <f t="shared" si="3"/>
        <v>4</v>
      </c>
      <c r="E31" s="22">
        <f t="shared" si="4"/>
        <v>2</v>
      </c>
      <c r="F31" s="22">
        <f t="shared" si="5"/>
        <v>2</v>
      </c>
      <c r="G31" s="22">
        <f>IF(C31&lt;&gt;"",
    COUNTIFS(MATCH_INPUT!$K$2:$K$5,C31),
0)</f>
        <v>1</v>
      </c>
      <c r="H31" s="22">
        <f>IF(C31&lt;&gt;"",
    COUNTIFS(MATCH_INPUT!$F$2:$F$5, C31, MATCH_INPUT!$K$2:$K$5, "Draw") +
    COUNTIFS(MATCH_INPUT!$J$2:$J$5, C31, MATCH_INPUT!$K$2:$K$5, "Draw"),
0)</f>
        <v>0</v>
      </c>
      <c r="I31" s="22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1</v>
      </c>
      <c r="J31" s="23"/>
      <c r="K31" s="23"/>
      <c r="L31" s="24"/>
      <c r="M31" s="25">
        <f t="shared" si="6"/>
        <v>11</v>
      </c>
      <c r="N31" s="26" t="str">
        <f t="shared" si="7"/>
        <v>↓</v>
      </c>
      <c r="O31" s="27"/>
      <c r="P31" s="28">
        <f t="shared" si="8"/>
        <v>4</v>
      </c>
      <c r="Q31" s="28">
        <f t="shared" si="9"/>
        <v>0</v>
      </c>
      <c r="R31" s="28">
        <f t="shared" si="10"/>
        <v>0</v>
      </c>
      <c r="S31" s="28">
        <f>IF(O31&lt;&gt;"",
    COUNTIFS(MATCH_INPUT!$K$6:$K$9,O31),
0)</f>
        <v>0</v>
      </c>
      <c r="T31" s="28">
        <f>IF(O31&lt;&gt;"",
    COUNTIFS(MATCH_INPUT!$F$6:$F$9, O31, MATCH_INPUT!$K$6:$K$9, "Draw") +
    COUNTIFS(MATCH_INPUT!$J$6:$J$9, O31, MATCH_INPUT!$K$6:$K$9, "Draw"),
0)</f>
        <v>0</v>
      </c>
      <c r="U31" s="28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0</v>
      </c>
      <c r="V31" s="29"/>
      <c r="W31" s="29"/>
      <c r="X31" s="20"/>
      <c r="Y31" s="30">
        <f t="shared" si="11"/>
        <v>31</v>
      </c>
      <c r="Z31" s="31" t="str">
        <f t="shared" si="12"/>
        <v>↓</v>
      </c>
      <c r="AA31" s="21" t="s">
        <v>140</v>
      </c>
      <c r="AB31" s="32">
        <f t="shared" si="13"/>
        <v>7</v>
      </c>
      <c r="AC31" s="22">
        <f t="shared" si="14"/>
        <v>2</v>
      </c>
      <c r="AD31" s="22">
        <f t="shared" si="15"/>
        <v>1</v>
      </c>
      <c r="AE31" s="22">
        <f>IF(AA31&lt;&gt;"",
    COUNTIFS(MATCH_INPUT!$K$10:$K$13,AA31),
0)</f>
        <v>0</v>
      </c>
      <c r="AF31" s="22">
        <f>IF(AA31&lt;&gt;"",
    COUNTIFS(MATCH_INPUT!$F$10:$F$13, AA31, MATCH_INPUT!$K$10:$K$13, "Draw") +
    COUNTIFS(MATCH_INPUT!$J$10:$J$13, AA31, MATCH_INPUT!$K$10:$K$13, "Draw"),
0)</f>
        <v>1</v>
      </c>
      <c r="AG31" s="22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1</v>
      </c>
      <c r="AH31" s="23"/>
      <c r="AI31" s="23"/>
      <c r="AJ31" s="33"/>
      <c r="AK31" s="25">
        <f t="shared" si="16"/>
        <v>31</v>
      </c>
      <c r="AL31" s="26" t="str">
        <f t="shared" si="17"/>
        <v>=</v>
      </c>
      <c r="AM31" s="27" t="s">
        <v>140</v>
      </c>
      <c r="AN31" s="28">
        <f t="shared" si="18"/>
        <v>13</v>
      </c>
      <c r="AO31" s="28">
        <f t="shared" si="19"/>
        <v>2</v>
      </c>
      <c r="AP31" s="28">
        <f t="shared" si="20"/>
        <v>4</v>
      </c>
      <c r="AQ31" s="28">
        <f>IF(AM31&lt;&gt;"",
    COUNTIFS(MATCH_INPUT!$K$14:$K$17,AM31),
0)</f>
        <v>2</v>
      </c>
      <c r="AR31" s="28">
        <f>IF(AM31&lt;&gt;"",
    COUNTIFS(MATCH_INPUT!$F$14:$F$17, AM31, MATCH_INPUT!$K$14:$K$17, "Draw") +
    COUNTIFS(MATCH_INPUT!$J$14:$J$17, AM31, MATCH_INPUT!$K$14:$K$17, "Draw"),
0)</f>
        <v>0</v>
      </c>
      <c r="AS31" s="28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0</v>
      </c>
      <c r="AT31" s="29"/>
      <c r="AU31" s="29"/>
      <c r="AV31" s="20"/>
      <c r="AW31" s="30">
        <f t="shared" si="21"/>
        <v>26</v>
      </c>
      <c r="AX31" s="31" t="str">
        <f t="shared" si="22"/>
        <v>↑</v>
      </c>
      <c r="AY31" s="21" t="s">
        <v>139</v>
      </c>
      <c r="AZ31" s="32">
        <f t="shared" si="23"/>
        <v>20</v>
      </c>
      <c r="BA31" s="22">
        <f t="shared" si="24"/>
        <v>2</v>
      </c>
      <c r="BB31" s="22">
        <f>SUM(BC31*2) + (BD31*1) + SUMIFS(MATCH_INPUT!$G$18:$G$21, MATCH_INPUT!$F$18:$F$21, AY31) + SUMIFS(MATCH_INPUT!$I$18:$I$21, MATCH_INPUT!$J$18:$J$21, AY31)
</f>
        <v>5</v>
      </c>
      <c r="BC31" s="22">
        <f>IF(AY31&lt;&gt;"",
    COUNTIFS(MATCH_INPUT!$K$18:$K$21,AY31),
0)</f>
        <v>0</v>
      </c>
      <c r="BD31" s="22">
        <f>IF(AY31&lt;&gt;"",
    COUNTIFS(MATCH_INPUT!$F$18:$F$21, AY31, MATCH_INPUT!$K$18:$K$21, "Draw") +
    COUNTIFS(MATCH_INPUT!$J$18:$J$21, AY31, MATCH_INPUT!$K$18:$K$21, "Draw"),
0)</f>
        <v>1</v>
      </c>
      <c r="BE31" s="22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1</v>
      </c>
      <c r="BF31" s="23"/>
      <c r="BG31" s="23"/>
      <c r="BH31" s="33"/>
      <c r="BI31" s="25">
        <f t="shared" si="25"/>
        <v>24</v>
      </c>
      <c r="BJ31" s="26" t="str">
        <f t="shared" si="26"/>
        <v>↑</v>
      </c>
      <c r="BK31" s="27" t="s">
        <v>139</v>
      </c>
      <c r="BL31" s="28">
        <f t="shared" si="27"/>
        <v>28</v>
      </c>
      <c r="BM31" s="28">
        <f t="shared" si="28"/>
        <v>2</v>
      </c>
      <c r="BN31" s="28">
        <f>SUM(BO31*2) + (BP31*1) + SUMIFS(MATCH_INPUT!$G$22:$G$25, MATCH_INPUT!$F$22:$F$25, BK31) + SUMIFS(MATCH_INPUT!$I$22:$I$25, MATCH_INPUT!$J$22:$J$25, BK31)
</f>
        <v>6</v>
      </c>
      <c r="BO31" s="28">
        <f>IF(BK31&lt;&gt;"",
    COUNTIFS(MATCH_INPUT!$K$22:$K$25,BK31),
0)</f>
        <v>1</v>
      </c>
      <c r="BP31" s="28">
        <f>IF(BK31&lt;&gt;"",
    COUNTIFS(MATCH_INPUT!$F$22:$F$25, BK31, MATCH_INPUT!$K$22:$K$25, "Draw") +
    COUNTIFS(MATCH_INPUT!$J$22:$J$25, BK31, MATCH_INPUT!$K$22:$K$25, "Draw"),
0)</f>
        <v>1</v>
      </c>
      <c r="BQ31" s="28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0</v>
      </c>
      <c r="BR31" s="29"/>
      <c r="BS31" s="29"/>
      <c r="BT31" s="20"/>
      <c r="BU31" s="30">
        <f t="shared" si="29"/>
        <v>15</v>
      </c>
      <c r="BV31" s="31" t="str">
        <f t="shared" si="30"/>
        <v>↑</v>
      </c>
      <c r="BW31" s="21" t="s">
        <v>140</v>
      </c>
      <c r="BX31" s="32">
        <f t="shared" si="31"/>
        <v>33</v>
      </c>
      <c r="BY31" s="22">
        <f t="shared" si="32"/>
        <v>2</v>
      </c>
      <c r="BZ31" s="22">
        <f>SUM(CA31*2)+(CB31*1) + SUMIFS(MATCH_INPUT!$G$26:$G$29, MATCH_INPUT!$F$26:$F$29, BW31) + SUMIFS(MATCH_INPUT!$I$26:$I$29, MATCH_INPUT!$J$26:$J$29, BW31)
</f>
        <v>3</v>
      </c>
      <c r="CA31" s="22">
        <f>IF(BW31&lt;&gt;"",
    COUNTIFS(MATCH_INPUT!$K$26:$K$29,BW31),
0)</f>
        <v>0</v>
      </c>
      <c r="CB31" s="22">
        <f>IF(BW31&lt;&gt;"",
    COUNTIFS(MATCH_INPUT!$F$26:$F$29, BW31, MATCH_INPUT!$K$26:$K$29, "Draw") +
    COUNTIFS(MATCH_INPUT!$J$26:$J$29, BW31, MATCH_INPUT!$K$26:$K$29, "Draw"),
0)</f>
        <v>1</v>
      </c>
      <c r="CC31" s="22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1</v>
      </c>
      <c r="CD31" s="23"/>
      <c r="CE31" s="23"/>
      <c r="CF31" s="33"/>
      <c r="CG31" s="25">
        <f t="shared" si="33"/>
        <v>19</v>
      </c>
      <c r="CH31" s="26" t="str">
        <f t="shared" si="34"/>
        <v>↓</v>
      </c>
      <c r="CI31" s="27"/>
      <c r="CJ31" s="28">
        <f t="shared" si="35"/>
        <v>33</v>
      </c>
      <c r="CK31" s="28">
        <f t="shared" si="36"/>
        <v>0</v>
      </c>
      <c r="CL31" s="28">
        <f>SUM(CM31*2)+(CN31*1) + SUMIFS(MATCH_INPUT!$G$30:$G$33, MATCH_INPUT!$F$30:$F$33, CI31) + SUMIFS(MATCH_INPUT!$I$30:$I$33, MATCH_INPUT!$J$30:$J$33, CI31)
</f>
        <v>0</v>
      </c>
      <c r="CM31" s="28">
        <f>IF(CI31&lt;&gt;"",
    COUNTIFS(MATCH_INPUT!$K$30:$K$33,CI31),
0)</f>
        <v>0</v>
      </c>
      <c r="CN31" s="28">
        <f>IF(CI31&lt;&gt;"",
    COUNTIFS(MATCH_INPUT!$F$30:$F$33, CI31, MATCH_INPUT!$K$30:$K$33, "Draw") +
    COUNTIFS(MATCH_INPUT!$J$30:$J$33, CI31, MATCH_INPUT!$K$30:$K$33, "Draw"),
0)</f>
        <v>0</v>
      </c>
      <c r="CO31" s="28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0</v>
      </c>
      <c r="CP31" s="29"/>
      <c r="CQ31" s="29"/>
      <c r="CR31" s="20"/>
      <c r="CS31" s="34">
        <f t="shared" si="37"/>
        <v>29</v>
      </c>
      <c r="CT31" s="34" t="str">
        <f t="shared" si="38"/>
        <v>↓</v>
      </c>
      <c r="CU31" s="35">
        <f t="shared" si="39"/>
        <v>21</v>
      </c>
      <c r="CV31" s="35" t="str">
        <f t="shared" ref="CV31:CW31" si="97">A31</f>
        <v>🍀 </v>
      </c>
      <c r="CW31" s="36" t="str">
        <f t="shared" si="97"/>
        <v>Carlos Haro</v>
      </c>
      <c r="CX31" s="36">
        <f t="shared" si="41"/>
        <v>33</v>
      </c>
      <c r="CY31" s="35">
        <f>SUM(
  IF(AND('MATCH DATES'!$A$2 &lt;= TODAY(), NOW() &gt;= 'MATCH DATES'!$A$2 + TIME(22, 0, 0)), E31, 0),
  IF(AND('MATCH DATES'!$A$3 &lt;= TODAY(), NOW() &gt;= 'MATCH DATES'!$A$3 + TIME(22, 0, 0)), Q31, 0),
  IF(AND('MATCH DATES'!$A$4 &lt;= TODAY(), NOW() &gt;= 'MATCH DATES'!$A$4 + TIME(22, 0, 0)), AC31, 0),
  IF(AND('MATCH DATES'!$A$5 &lt;= TODAY(), NOW() &gt;= 'MATCH DATES'!$A$5 + TIME(22, 0, 0)), AO31, 0),
  IF(AND('MATCH DATES'!$A$6 &lt;= TODAY(), NOW() &gt;= 'MATCH DATES'!$A$6 + TIME(22, 0, 0)), BA31, 0),
  IF(AND('MATCH DATES'!$A$7 &lt;= TODAY(), NOW() &gt;= 'MATCH DATES'!$A$7 + TIME(22, 0, 0)), BM31, 0),
  IF(AND('MATCH DATES'!$A$8 &lt;= TODAY(), NOW() &gt;= 'MATCH DATES'!$A$8 + TIME(22, 0, 0)), BY31, 0),
  IF(AND('MATCH DATES'!$A$9 &lt;= TODAY(), NOW() &gt;= 'MATCH DATES'!$A$9 + TIME(22, 0, 0)), CK31, 0)
)
</f>
        <v>12</v>
      </c>
      <c r="CZ31" s="36">
        <f t="shared" ref="CZ31:DA31" si="98">SUM(G31,S31,AE31,AQ31,BC31,BO31,CA31,CM31)</f>
        <v>4</v>
      </c>
      <c r="DA31" s="36">
        <f t="shared" si="98"/>
        <v>4</v>
      </c>
      <c r="DB31" s="36">
        <f>SUM(
  IF(AND('MATCH DATES'!$A$2 &lt;= TODAY(), NOW() &gt;= 'MATCH DATES'!$A$2 + TIME(22, 0, 0)), I31, 0),
  IF(AND('MATCH DATES'!$A$3 &lt;= TODAY(), NOW() &gt;= 'MATCH DATES'!$A$3 + TIME(22, 0, 0)), U31, 0),
  IF(AND('MATCH DATES'!$A$4 &lt;= TODAY(), NOW() &gt;= 'MATCH DATES'!$A$4 + TIME(22, 0, 0)), AG31, 0),
  IF(AND('MATCH DATES'!$A$5 &lt;= TODAY(), NOW() &gt;= 'MATCH DATES'!$A$5 + TIME(22, 0, 0)), AS31, 0),
  IF(AND('MATCH DATES'!$A$6 &lt;= TODAY(), NOW() &gt;= 'MATCH DATES'!$A$6 + TIME(22, 0, 0)), BE31, 0),
  IF(AND('MATCH DATES'!$A$7 &lt;= TODAY(), NOW() &gt;= 'MATCH DATES'!$A$7 + TIME(22, 0, 0)), BQ31, 0),
  IF(AND('MATCH DATES'!$A$8 &lt;= TODAY(), NOW() &gt;= 'MATCH DATES'!$A$8 + TIME(22, 0, 0)), CC31, 0),
  IF(AND('MATCH DATES'!$A$9 &lt;= TODAY(), NOW() &gt;= 'MATCH DATES'!$A$9 + TIME(22, 0, 0)), CO31, 0)
)</f>
        <v>4</v>
      </c>
      <c r="DD31" s="36">
        <f t="shared" si="43"/>
        <v>0</v>
      </c>
      <c r="DF31" s="36">
        <f t="shared" si="44"/>
        <v>0</v>
      </c>
    </row>
    <row r="32" ht="24.75" customHeight="1">
      <c r="A32" s="19" t="s">
        <v>137</v>
      </c>
      <c r="B32" s="20" t="s">
        <v>171</v>
      </c>
      <c r="C32" s="21" t="s">
        <v>142</v>
      </c>
      <c r="D32" s="22">
        <f t="shared" si="3"/>
        <v>2</v>
      </c>
      <c r="E32" s="22">
        <f t="shared" si="4"/>
        <v>2</v>
      </c>
      <c r="F32" s="22">
        <f t="shared" si="5"/>
        <v>0</v>
      </c>
      <c r="G32" s="22">
        <f>IF(C32&lt;&gt;"",
    COUNTIFS(MATCH_INPUT!$K$2:$K$5,C32),
0)</f>
        <v>0</v>
      </c>
      <c r="H32" s="22">
        <f>IF(C32&lt;&gt;"",
    COUNTIFS(MATCH_INPUT!$F$2:$F$5, C32, MATCH_INPUT!$K$2:$K$5, "Draw") +
    COUNTIFS(MATCH_INPUT!$J$2:$J$5, C32, MATCH_INPUT!$K$2:$K$5, "Draw"),
0)</f>
        <v>0</v>
      </c>
      <c r="I32" s="22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2</v>
      </c>
      <c r="J32" s="23"/>
      <c r="K32" s="23"/>
      <c r="L32" s="24"/>
      <c r="M32" s="25">
        <f t="shared" si="6"/>
        <v>26</v>
      </c>
      <c r="N32" s="26" t="str">
        <f t="shared" si="7"/>
        <v>↓</v>
      </c>
      <c r="O32" s="27" t="s">
        <v>140</v>
      </c>
      <c r="P32" s="28">
        <f t="shared" si="8"/>
        <v>5</v>
      </c>
      <c r="Q32" s="28">
        <f t="shared" si="9"/>
        <v>2</v>
      </c>
      <c r="R32" s="28">
        <f t="shared" si="10"/>
        <v>1</v>
      </c>
      <c r="S32" s="28">
        <f>IF(O32&lt;&gt;"",
    COUNTIFS(MATCH_INPUT!$K$6:$K$9,O32),
0)</f>
        <v>0</v>
      </c>
      <c r="T32" s="28">
        <f>IF(O32&lt;&gt;"",
    COUNTIFS(MATCH_INPUT!$F$6:$F$9, O32, MATCH_INPUT!$K$6:$K$9, "Draw") +
    COUNTIFS(MATCH_INPUT!$J$6:$J$9, O32, MATCH_INPUT!$K$6:$K$9, "Draw"),
0)</f>
        <v>1</v>
      </c>
      <c r="U32" s="28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1</v>
      </c>
      <c r="V32" s="29"/>
      <c r="W32" s="29"/>
      <c r="X32" s="20"/>
      <c r="Y32" s="30">
        <f t="shared" si="11"/>
        <v>28</v>
      </c>
      <c r="Z32" s="31" t="str">
        <f t="shared" si="12"/>
        <v>↓</v>
      </c>
      <c r="AA32" s="21" t="s">
        <v>141</v>
      </c>
      <c r="AB32" s="32">
        <f t="shared" si="13"/>
        <v>10</v>
      </c>
      <c r="AC32" s="22">
        <f t="shared" si="14"/>
        <v>2</v>
      </c>
      <c r="AD32" s="22">
        <f t="shared" si="15"/>
        <v>3</v>
      </c>
      <c r="AE32" s="22">
        <f>IF(AA32&lt;&gt;"",
    COUNTIFS(MATCH_INPUT!$K$10:$K$13,AA32),
0)</f>
        <v>1</v>
      </c>
      <c r="AF32" s="22">
        <f>IF(AA32&lt;&gt;"",
    COUNTIFS(MATCH_INPUT!$F$10:$F$13, AA32, MATCH_INPUT!$K$10:$K$13, "Draw") +
    COUNTIFS(MATCH_INPUT!$J$10:$J$13, AA32, MATCH_INPUT!$K$10:$K$13, "Draw"),
0)</f>
        <v>1</v>
      </c>
      <c r="AG32" s="22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0</v>
      </c>
      <c r="AH32" s="23"/>
      <c r="AI32" s="23"/>
      <c r="AJ32" s="33"/>
      <c r="AK32" s="25">
        <f t="shared" si="16"/>
        <v>24</v>
      </c>
      <c r="AL32" s="26" t="str">
        <f t="shared" si="17"/>
        <v>↑</v>
      </c>
      <c r="AM32" s="27" t="s">
        <v>140</v>
      </c>
      <c r="AN32" s="28">
        <f t="shared" si="18"/>
        <v>17</v>
      </c>
      <c r="AO32" s="28">
        <f t="shared" si="19"/>
        <v>2</v>
      </c>
      <c r="AP32" s="28">
        <f t="shared" si="20"/>
        <v>4</v>
      </c>
      <c r="AQ32" s="28">
        <f>IF(AM32&lt;&gt;"",
    COUNTIFS(MATCH_INPUT!$K$14:$K$17,AM32),
0)</f>
        <v>2</v>
      </c>
      <c r="AR32" s="28">
        <f>IF(AM32&lt;&gt;"",
    COUNTIFS(MATCH_INPUT!$F$14:$F$17, AM32, MATCH_INPUT!$K$14:$K$17, "Draw") +
    COUNTIFS(MATCH_INPUT!$J$14:$J$17, AM32, MATCH_INPUT!$K$14:$K$17, "Draw"),
0)</f>
        <v>0</v>
      </c>
      <c r="AS32" s="28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0</v>
      </c>
      <c r="AT32" s="29"/>
      <c r="AU32" s="29">
        <v>1.0</v>
      </c>
      <c r="AV32" s="20"/>
      <c r="AW32" s="30">
        <f t="shared" si="21"/>
        <v>9</v>
      </c>
      <c r="AX32" s="31" t="str">
        <f t="shared" si="22"/>
        <v>↑</v>
      </c>
      <c r="AY32" s="21"/>
      <c r="AZ32" s="32">
        <f t="shared" si="23"/>
        <v>17</v>
      </c>
      <c r="BA32" s="22">
        <f t="shared" si="24"/>
        <v>0</v>
      </c>
      <c r="BB32" s="22">
        <f>SUM(BC32*2) + (BD32*1) + SUMIFS(MATCH_INPUT!$G$18:$G$21, MATCH_INPUT!$F$18:$F$21, AY32) + SUMIFS(MATCH_INPUT!$I$18:$I$21, MATCH_INPUT!$J$18:$J$21, AY32)
</f>
        <v>0</v>
      </c>
      <c r="BC32" s="22">
        <f>IF(AY32&lt;&gt;"",
    COUNTIFS(MATCH_INPUT!$K$18:$K$21,AY32),
0)</f>
        <v>0</v>
      </c>
      <c r="BD32" s="22">
        <f>IF(AY32&lt;&gt;"",
    COUNTIFS(MATCH_INPUT!$F$18:$F$21, AY32, MATCH_INPUT!$K$18:$K$21, "Draw") +
    COUNTIFS(MATCH_INPUT!$J$18:$J$21, AY32, MATCH_INPUT!$K$18:$K$21, "Draw"),
0)</f>
        <v>0</v>
      </c>
      <c r="BE32" s="22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0</v>
      </c>
      <c r="BF32" s="23"/>
      <c r="BG32" s="23"/>
      <c r="BH32" s="33"/>
      <c r="BI32" s="25">
        <f t="shared" si="25"/>
        <v>30</v>
      </c>
      <c r="BJ32" s="26" t="str">
        <f t="shared" si="26"/>
        <v>↓</v>
      </c>
      <c r="BK32" s="37"/>
      <c r="BL32" s="28">
        <f t="shared" si="27"/>
        <v>17</v>
      </c>
      <c r="BM32" s="28">
        <f t="shared" si="28"/>
        <v>0</v>
      </c>
      <c r="BN32" s="28">
        <f>SUM(BO32*2) + (BP32*1) + SUMIFS(MATCH_INPUT!$G$22:$G$25, MATCH_INPUT!$F$22:$F$25, BK32) + SUMIFS(MATCH_INPUT!$I$22:$I$25, MATCH_INPUT!$J$22:$J$25, BK32)
</f>
        <v>0</v>
      </c>
      <c r="BO32" s="28">
        <f>IF(BK32&lt;&gt;"",
    COUNTIFS(MATCH_INPUT!$K$22:$K$25,BK32),
0)</f>
        <v>0</v>
      </c>
      <c r="BP32" s="28">
        <f>IF(BK32&lt;&gt;"",
    COUNTIFS(MATCH_INPUT!$F$22:$F$25, BK32, MATCH_INPUT!$K$22:$K$25, "Draw") +
    COUNTIFS(MATCH_INPUT!$J$22:$J$25, BK32, MATCH_INPUT!$K$22:$K$25, "Draw"),
0)</f>
        <v>0</v>
      </c>
      <c r="BQ32" s="28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0</v>
      </c>
      <c r="BR32" s="29"/>
      <c r="BS32" s="29"/>
      <c r="BT32" s="20"/>
      <c r="BU32" s="30">
        <f t="shared" si="29"/>
        <v>33</v>
      </c>
      <c r="BV32" s="31" t="str">
        <f t="shared" si="30"/>
        <v>↓</v>
      </c>
      <c r="BW32" s="21" t="s">
        <v>140</v>
      </c>
      <c r="BX32" s="32">
        <f t="shared" si="31"/>
        <v>22</v>
      </c>
      <c r="BY32" s="22">
        <f t="shared" si="32"/>
        <v>2</v>
      </c>
      <c r="BZ32" s="22">
        <f>SUM(CA32*2)+(CB32*1) + SUMIFS(MATCH_INPUT!$G$26:$G$29, MATCH_INPUT!$F$26:$F$29, BW32) + SUMIFS(MATCH_INPUT!$I$26:$I$29, MATCH_INPUT!$J$26:$J$29, BW32)
</f>
        <v>3</v>
      </c>
      <c r="CA32" s="22">
        <f>IF(BW32&lt;&gt;"",
    COUNTIFS(MATCH_INPUT!$K$26:$K$29,BW32),
0)</f>
        <v>0</v>
      </c>
      <c r="CB32" s="22">
        <f>IF(BW32&lt;&gt;"",
    COUNTIFS(MATCH_INPUT!$F$26:$F$29, BW32, MATCH_INPUT!$K$26:$K$29, "Draw") +
    COUNTIFS(MATCH_INPUT!$J$26:$J$29, BW32, MATCH_INPUT!$K$26:$K$29, "Draw"),
0)</f>
        <v>1</v>
      </c>
      <c r="CC32" s="22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1</v>
      </c>
      <c r="CD32" s="23"/>
      <c r="CE32" s="23"/>
      <c r="CF32" s="33"/>
      <c r="CG32" s="25">
        <f t="shared" si="33"/>
        <v>32</v>
      </c>
      <c r="CH32" s="26" t="str">
        <f t="shared" si="34"/>
        <v>↑</v>
      </c>
      <c r="CI32" s="27" t="s">
        <v>139</v>
      </c>
      <c r="CJ32" s="28">
        <f t="shared" si="35"/>
        <v>26</v>
      </c>
      <c r="CK32" s="28">
        <f t="shared" si="36"/>
        <v>2</v>
      </c>
      <c r="CL32" s="28">
        <f>SUM(CM32*2)+(CN32*1) + SUMIFS(MATCH_INPUT!$G$30:$G$33, MATCH_INPUT!$F$30:$F$33, CI32) + SUMIFS(MATCH_INPUT!$I$30:$I$33, MATCH_INPUT!$J$30:$J$33, CI32)
</f>
        <v>2</v>
      </c>
      <c r="CM32" s="28">
        <f>IF(CI32&lt;&gt;"",
    COUNTIFS(MATCH_INPUT!$K$30:$K$33,CI32),
0)</f>
        <v>0</v>
      </c>
      <c r="CN32" s="28">
        <f>IF(CI32&lt;&gt;"",
    COUNTIFS(MATCH_INPUT!$F$30:$F$33, CI32, MATCH_INPUT!$K$30:$K$33, "Draw") +
    COUNTIFS(MATCH_INPUT!$J$30:$J$33, CI32, MATCH_INPUT!$K$30:$K$33, "Draw"),
0)</f>
        <v>1</v>
      </c>
      <c r="CO32" s="28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1</v>
      </c>
      <c r="CP32" s="29"/>
      <c r="CQ32" s="29"/>
      <c r="CR32" s="20"/>
      <c r="CS32" s="34">
        <f t="shared" si="37"/>
        <v>30</v>
      </c>
      <c r="CT32" s="34" t="str">
        <f t="shared" si="38"/>
        <v>↑</v>
      </c>
      <c r="CU32" s="35">
        <f t="shared" si="39"/>
        <v>13</v>
      </c>
      <c r="CV32" s="35" t="str">
        <f t="shared" ref="CV32:CW32" si="99">A32</f>
        <v>🍀 </v>
      </c>
      <c r="CW32" s="36" t="str">
        <f t="shared" si="99"/>
        <v>Chavito</v>
      </c>
      <c r="CX32" s="36">
        <f t="shared" si="41"/>
        <v>26</v>
      </c>
      <c r="CY32" s="35">
        <f>SUM(
  IF(AND('MATCH DATES'!$A$2 &lt;= TODAY(), NOW() &gt;= 'MATCH DATES'!$A$2 + TIME(22, 0, 0)), E32, 0),
  IF(AND('MATCH DATES'!$A$3 &lt;= TODAY(), NOW() &gt;= 'MATCH DATES'!$A$3 + TIME(22, 0, 0)), Q32, 0),
  IF(AND('MATCH DATES'!$A$4 &lt;= TODAY(), NOW() &gt;= 'MATCH DATES'!$A$4 + TIME(22, 0, 0)), AC32, 0),
  IF(AND('MATCH DATES'!$A$5 &lt;= TODAY(), NOW() &gt;= 'MATCH DATES'!$A$5 + TIME(22, 0, 0)), AO32, 0),
  IF(AND('MATCH DATES'!$A$6 &lt;= TODAY(), NOW() &gt;= 'MATCH DATES'!$A$6 + TIME(22, 0, 0)), BA32, 0),
  IF(AND('MATCH DATES'!$A$7 &lt;= TODAY(), NOW() &gt;= 'MATCH DATES'!$A$7 + TIME(22, 0, 0)), BM32, 0),
  IF(AND('MATCH DATES'!$A$8 &lt;= TODAY(), NOW() &gt;= 'MATCH DATES'!$A$8 + TIME(22, 0, 0)), BY32, 0),
  IF(AND('MATCH DATES'!$A$9 &lt;= TODAY(), NOW() &gt;= 'MATCH DATES'!$A$9 + TIME(22, 0, 0)), CK32, 0)
)
</f>
        <v>12</v>
      </c>
      <c r="CZ32" s="36">
        <f t="shared" ref="CZ32:DA32" si="100">SUM(G32,S32,AE32,AQ32,BC32,BO32,CA32,CM32)</f>
        <v>3</v>
      </c>
      <c r="DA32" s="36">
        <f t="shared" si="100"/>
        <v>4</v>
      </c>
      <c r="DB32" s="36">
        <f>SUM(
  IF(AND('MATCH DATES'!$A$2 &lt;= TODAY(), NOW() &gt;= 'MATCH DATES'!$A$2 + TIME(22, 0, 0)), I32, 0),
  IF(AND('MATCH DATES'!$A$3 &lt;= TODAY(), NOW() &gt;= 'MATCH DATES'!$A$3 + TIME(22, 0, 0)), U32, 0),
  IF(AND('MATCH DATES'!$A$4 &lt;= TODAY(), NOW() &gt;= 'MATCH DATES'!$A$4 + TIME(22, 0, 0)), AG32, 0),
  IF(AND('MATCH DATES'!$A$5 &lt;= TODAY(), NOW() &gt;= 'MATCH DATES'!$A$5 + TIME(22, 0, 0)), AS32, 0),
  IF(AND('MATCH DATES'!$A$6 &lt;= TODAY(), NOW() &gt;= 'MATCH DATES'!$A$6 + TIME(22, 0, 0)), BE32, 0),
  IF(AND('MATCH DATES'!$A$7 &lt;= TODAY(), NOW() &gt;= 'MATCH DATES'!$A$7 + TIME(22, 0, 0)), BQ32, 0),
  IF(AND('MATCH DATES'!$A$8 &lt;= TODAY(), NOW() &gt;= 'MATCH DATES'!$A$8 + TIME(22, 0, 0)), CC32, 0),
  IF(AND('MATCH DATES'!$A$9 &lt;= TODAY(), NOW() &gt;= 'MATCH DATES'!$A$9 + TIME(22, 0, 0)), CO32, 0)
)</f>
        <v>5</v>
      </c>
      <c r="DD32" s="36">
        <f t="shared" si="43"/>
        <v>1</v>
      </c>
      <c r="DF32" s="36">
        <f t="shared" si="44"/>
        <v>0</v>
      </c>
    </row>
    <row r="33" ht="24.75" customHeight="1">
      <c r="A33" s="19" t="s">
        <v>137</v>
      </c>
      <c r="B33" s="20" t="s">
        <v>172</v>
      </c>
      <c r="C33" s="21"/>
      <c r="D33" s="22">
        <f t="shared" si="3"/>
        <v>0</v>
      </c>
      <c r="E33" s="22">
        <f t="shared" si="4"/>
        <v>0</v>
      </c>
      <c r="F33" s="22">
        <f t="shared" si="5"/>
        <v>0</v>
      </c>
      <c r="G33" s="22">
        <f>IF(C33&lt;&gt;"",
    COUNTIFS(MATCH_INPUT!$K$2:$K$5,C33),
0)</f>
        <v>0</v>
      </c>
      <c r="H33" s="22">
        <f>IF(C33&lt;&gt;"",
    COUNTIFS(MATCH_INPUT!$F$2:$F$5, C33, MATCH_INPUT!$K$2:$K$5, "Draw") +
    COUNTIFS(MATCH_INPUT!$J$2:$J$5, C33, MATCH_INPUT!$K$2:$K$5, "Draw"),
0)</f>
        <v>0</v>
      </c>
      <c r="I33" s="22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0</v>
      </c>
      <c r="J33" s="23"/>
      <c r="K33" s="23"/>
      <c r="L33" s="24"/>
      <c r="M33" s="25">
        <f t="shared" si="6"/>
        <v>35</v>
      </c>
      <c r="N33" s="26" t="str">
        <f t="shared" si="7"/>
        <v>↓</v>
      </c>
      <c r="O33" s="27" t="s">
        <v>139</v>
      </c>
      <c r="P33" s="28">
        <f t="shared" si="8"/>
        <v>5</v>
      </c>
      <c r="Q33" s="28">
        <f t="shared" si="9"/>
        <v>2</v>
      </c>
      <c r="R33" s="28">
        <f t="shared" si="10"/>
        <v>3</v>
      </c>
      <c r="S33" s="28">
        <f>IF(O33&lt;&gt;"",
    COUNTIFS(MATCH_INPUT!$K$6:$K$9,O33),
0)</f>
        <v>1</v>
      </c>
      <c r="T33" s="28">
        <f>IF(O33&lt;&gt;"",
    COUNTIFS(MATCH_INPUT!$F$6:$F$9, O33, MATCH_INPUT!$K$6:$K$9, "Draw") +
    COUNTIFS(MATCH_INPUT!$J$6:$J$9, O33, MATCH_INPUT!$K$6:$K$9, "Draw"),
0)</f>
        <v>1</v>
      </c>
      <c r="U33" s="28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29"/>
      <c r="W33" s="29"/>
      <c r="X33" s="20"/>
      <c r="Y33" s="30">
        <f t="shared" si="11"/>
        <v>28</v>
      </c>
      <c r="Z33" s="31" t="str">
        <f t="shared" si="12"/>
        <v>↑</v>
      </c>
      <c r="AA33" s="21" t="s">
        <v>139</v>
      </c>
      <c r="AB33" s="32">
        <f t="shared" si="13"/>
        <v>9</v>
      </c>
      <c r="AC33" s="22">
        <f t="shared" si="14"/>
        <v>2</v>
      </c>
      <c r="AD33" s="22">
        <f t="shared" si="15"/>
        <v>2</v>
      </c>
      <c r="AE33" s="22">
        <f>IF(AA33&lt;&gt;"",
    COUNTIFS(MATCH_INPUT!$K$10:$K$13,AA33),
0)</f>
        <v>0</v>
      </c>
      <c r="AF33" s="22">
        <f>IF(AA33&lt;&gt;"",
    COUNTIFS(MATCH_INPUT!$F$10:$F$13, AA33, MATCH_INPUT!$K$10:$K$13, "Draw") +
    COUNTIFS(MATCH_INPUT!$J$10:$J$13, AA33, MATCH_INPUT!$K$10:$K$13, "Draw"),
0)</f>
        <v>2</v>
      </c>
      <c r="AG33" s="22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3"/>
      <c r="AI33" s="23"/>
      <c r="AJ33" s="33"/>
      <c r="AK33" s="25">
        <f t="shared" si="16"/>
        <v>28</v>
      </c>
      <c r="AL33" s="26" t="str">
        <f t="shared" si="17"/>
        <v>=</v>
      </c>
      <c r="AM33" s="27" t="s">
        <v>139</v>
      </c>
      <c r="AN33" s="28">
        <f t="shared" si="18"/>
        <v>12</v>
      </c>
      <c r="AO33" s="28">
        <f t="shared" si="19"/>
        <v>2</v>
      </c>
      <c r="AP33" s="28">
        <f t="shared" si="20"/>
        <v>1</v>
      </c>
      <c r="AQ33" s="28">
        <f>IF(AM33&lt;&gt;"",
    COUNTIFS(MATCH_INPUT!$K$14:$K$17,AM33),
0)</f>
        <v>0</v>
      </c>
      <c r="AR33" s="28">
        <f>IF(AM33&lt;&gt;"",
    COUNTIFS(MATCH_INPUT!$F$14:$F$17, AM33, MATCH_INPUT!$K$14:$K$17, "Draw") +
    COUNTIFS(MATCH_INPUT!$J$14:$J$17, AM33, MATCH_INPUT!$K$14:$K$17, "Draw"),
0)</f>
        <v>1</v>
      </c>
      <c r="AS33" s="28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1</v>
      </c>
      <c r="AT33" s="29">
        <v>1.0</v>
      </c>
      <c r="AU33" s="29"/>
      <c r="AV33" s="20"/>
      <c r="AW33" s="30">
        <f t="shared" si="21"/>
        <v>30</v>
      </c>
      <c r="AX33" s="31" t="str">
        <f t="shared" si="22"/>
        <v>↓</v>
      </c>
      <c r="AY33" s="21" t="s">
        <v>142</v>
      </c>
      <c r="AZ33" s="32">
        <f t="shared" si="23"/>
        <v>19</v>
      </c>
      <c r="BA33" s="22">
        <f t="shared" si="24"/>
        <v>2</v>
      </c>
      <c r="BB33" s="22">
        <f>SUM(BC33*2) + (BD33*1) + SUMIFS(MATCH_INPUT!$G$18:$G$21, MATCH_INPUT!$F$18:$F$21, AY33) + SUMIFS(MATCH_INPUT!$I$18:$I$21, MATCH_INPUT!$J$18:$J$21, AY33)
</f>
        <v>5</v>
      </c>
      <c r="BC33" s="22">
        <f>IF(AY33&lt;&gt;"",
    COUNTIFS(MATCH_INPUT!$K$18:$K$21,AY33),
0)</f>
        <v>1</v>
      </c>
      <c r="BD33" s="22">
        <f>IF(AY33&lt;&gt;"",
    COUNTIFS(MATCH_INPUT!$F$18:$F$21, AY33, MATCH_INPUT!$K$18:$K$21, "Draw") +
    COUNTIFS(MATCH_INPUT!$J$18:$J$21, AY33, MATCH_INPUT!$K$18:$K$21, "Draw"),
0)</f>
        <v>0</v>
      </c>
      <c r="BE33" s="22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1</v>
      </c>
      <c r="BF33" s="23"/>
      <c r="BG33" s="23"/>
      <c r="BH33" s="33"/>
      <c r="BI33" s="25">
        <f t="shared" si="25"/>
        <v>26</v>
      </c>
      <c r="BJ33" s="26" t="str">
        <f t="shared" si="26"/>
        <v>↑</v>
      </c>
      <c r="BK33" s="27" t="s">
        <v>142</v>
      </c>
      <c r="BL33" s="28">
        <f t="shared" si="27"/>
        <v>26</v>
      </c>
      <c r="BM33" s="28">
        <f t="shared" si="28"/>
        <v>2</v>
      </c>
      <c r="BN33" s="28">
        <f>SUM(BO33*2) + (BP33*1) + SUMIFS(MATCH_INPUT!$G$22:$G$25, MATCH_INPUT!$F$22:$F$25, BK33) + SUMIFS(MATCH_INPUT!$I$22:$I$25, MATCH_INPUT!$J$22:$J$25, BK33)
</f>
        <v>5</v>
      </c>
      <c r="BO33" s="28">
        <f>IF(BK33&lt;&gt;"",
    COUNTIFS(MATCH_INPUT!$K$22:$K$25,BK33),
0)</f>
        <v>1</v>
      </c>
      <c r="BP33" s="28">
        <f>IF(BK33&lt;&gt;"",
    COUNTIFS(MATCH_INPUT!$F$22:$F$25, BK33, MATCH_INPUT!$K$22:$K$25, "Draw") +
    COUNTIFS(MATCH_INPUT!$J$22:$J$25, BK33, MATCH_INPUT!$K$22:$K$25, "Draw"),
0)</f>
        <v>1</v>
      </c>
      <c r="BQ33" s="28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0</v>
      </c>
      <c r="BR33" s="29"/>
      <c r="BS33" s="29"/>
      <c r="BT33" s="20"/>
      <c r="BU33" s="30">
        <f t="shared" si="29"/>
        <v>22</v>
      </c>
      <c r="BV33" s="31" t="str">
        <f t="shared" si="30"/>
        <v>↑</v>
      </c>
      <c r="BW33" s="21"/>
      <c r="BX33" s="32">
        <f t="shared" si="31"/>
        <v>26</v>
      </c>
      <c r="BY33" s="22">
        <f t="shared" si="32"/>
        <v>0</v>
      </c>
      <c r="BZ33" s="22">
        <f>SUM(CA33*2)+(CB33*1) + SUMIFS(MATCH_INPUT!$G$26:$G$29, MATCH_INPUT!$F$26:$F$29, BW33) + SUMIFS(MATCH_INPUT!$I$26:$I$29, MATCH_INPUT!$J$26:$J$29, BW33)
</f>
        <v>0</v>
      </c>
      <c r="CA33" s="22">
        <f>IF(BW33&lt;&gt;"",
    COUNTIFS(MATCH_INPUT!$K$26:$K$29,BW33),
0)</f>
        <v>0</v>
      </c>
      <c r="CB33" s="22">
        <f>IF(BW33&lt;&gt;"",
    COUNTIFS(MATCH_INPUT!$F$26:$F$29, BW33, MATCH_INPUT!$K$26:$K$29, "Draw") +
    COUNTIFS(MATCH_INPUT!$J$26:$J$29, BW33, MATCH_INPUT!$K$26:$K$29, "Draw"),
0)</f>
        <v>0</v>
      </c>
      <c r="CC33" s="22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0</v>
      </c>
      <c r="CD33" s="23"/>
      <c r="CE33" s="23"/>
      <c r="CF33" s="33"/>
      <c r="CG33" s="25">
        <f t="shared" si="33"/>
        <v>30</v>
      </c>
      <c r="CH33" s="26" t="str">
        <f t="shared" si="34"/>
        <v>↓</v>
      </c>
      <c r="CI33" s="27"/>
      <c r="CJ33" s="28">
        <f t="shared" si="35"/>
        <v>26</v>
      </c>
      <c r="CK33" s="28">
        <f t="shared" si="36"/>
        <v>0</v>
      </c>
      <c r="CL33" s="28">
        <f>SUM(CM33*2)+(CN33*1) + SUMIFS(MATCH_INPUT!$G$30:$G$33, MATCH_INPUT!$F$30:$F$33, CI33) + SUMIFS(MATCH_INPUT!$I$30:$I$33, MATCH_INPUT!$J$30:$J$33, CI33)
</f>
        <v>0</v>
      </c>
      <c r="CM33" s="28">
        <f>IF(CI33&lt;&gt;"",
    COUNTIFS(MATCH_INPUT!$K$30:$K$33,CI33),
0)</f>
        <v>0</v>
      </c>
      <c r="CN33" s="28">
        <f>IF(CI33&lt;&gt;"",
    COUNTIFS(MATCH_INPUT!$F$30:$F$33, CI33, MATCH_INPUT!$K$30:$K$33, "Draw") +
    COUNTIFS(MATCH_INPUT!$J$30:$J$33, CI33, MATCH_INPUT!$K$30:$K$33, "Draw"),
0)</f>
        <v>0</v>
      </c>
      <c r="CO33" s="28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0</v>
      </c>
      <c r="CP33" s="29"/>
      <c r="CQ33" s="29"/>
      <c r="CR33" s="20"/>
      <c r="CS33" s="34">
        <f t="shared" si="37"/>
        <v>30</v>
      </c>
      <c r="CT33" s="34" t="str">
        <f t="shared" si="38"/>
        <v>=</v>
      </c>
      <c r="CU33" s="35">
        <f t="shared" si="39"/>
        <v>16</v>
      </c>
      <c r="CV33" s="35" t="str">
        <f t="shared" ref="CV33:CW33" si="101">A33</f>
        <v>🍀 </v>
      </c>
      <c r="CW33" s="36" t="str">
        <f t="shared" si="101"/>
        <v>Gabriel</v>
      </c>
      <c r="CX33" s="36">
        <f t="shared" si="41"/>
        <v>26</v>
      </c>
      <c r="CY33" s="35">
        <f>SUM(
  IF(AND('MATCH DATES'!$A$2 &lt;= TODAY(), NOW() &gt;= 'MATCH DATES'!$A$2 + TIME(22, 0, 0)), E33, 0),
  IF(AND('MATCH DATES'!$A$3 &lt;= TODAY(), NOW() &gt;= 'MATCH DATES'!$A$3 + TIME(22, 0, 0)), Q33, 0),
  IF(AND('MATCH DATES'!$A$4 &lt;= TODAY(), NOW() &gt;= 'MATCH DATES'!$A$4 + TIME(22, 0, 0)), AC33, 0),
  IF(AND('MATCH DATES'!$A$5 &lt;= TODAY(), NOW() &gt;= 'MATCH DATES'!$A$5 + TIME(22, 0, 0)), AO33, 0),
  IF(AND('MATCH DATES'!$A$6 &lt;= TODAY(), NOW() &gt;= 'MATCH DATES'!$A$6 + TIME(22, 0, 0)), BA33, 0),
  IF(AND('MATCH DATES'!$A$7 &lt;= TODAY(), NOW() &gt;= 'MATCH DATES'!$A$7 + TIME(22, 0, 0)), BM33, 0),
  IF(AND('MATCH DATES'!$A$8 &lt;= TODAY(), NOW() &gt;= 'MATCH DATES'!$A$8 + TIME(22, 0, 0)), BY33, 0),
  IF(AND('MATCH DATES'!$A$9 &lt;= TODAY(), NOW() &gt;= 'MATCH DATES'!$A$9 + TIME(22, 0, 0)), CK33, 0)
)
</f>
        <v>10</v>
      </c>
      <c r="CZ33" s="36">
        <f t="shared" ref="CZ33:DA33" si="102">SUM(G33,S33,AE33,AQ33,BC33,BO33,CA33,CM33)</f>
        <v>3</v>
      </c>
      <c r="DA33" s="36">
        <f t="shared" si="102"/>
        <v>5</v>
      </c>
      <c r="DB33" s="36">
        <f>SUM(
  IF(AND('MATCH DATES'!$A$2 &lt;= TODAY(), NOW() &gt;= 'MATCH DATES'!$A$2 + TIME(22, 0, 0)), I33, 0),
  IF(AND('MATCH DATES'!$A$3 &lt;= TODAY(), NOW() &gt;= 'MATCH DATES'!$A$3 + TIME(22, 0, 0)), U33, 0),
  IF(AND('MATCH DATES'!$A$4 &lt;= TODAY(), NOW() &gt;= 'MATCH DATES'!$A$4 + TIME(22, 0, 0)), AG33, 0),
  IF(AND('MATCH DATES'!$A$5 &lt;= TODAY(), NOW() &gt;= 'MATCH DATES'!$A$5 + TIME(22, 0, 0)), AS33, 0),
  IF(AND('MATCH DATES'!$A$6 &lt;= TODAY(), NOW() &gt;= 'MATCH DATES'!$A$6 + TIME(22, 0, 0)), BE33, 0),
  IF(AND('MATCH DATES'!$A$7 &lt;= TODAY(), NOW() &gt;= 'MATCH DATES'!$A$7 + TIME(22, 0, 0)), BQ33, 0),
  IF(AND('MATCH DATES'!$A$8 &lt;= TODAY(), NOW() &gt;= 'MATCH DATES'!$A$8 + TIME(22, 0, 0)), CC33, 0),
  IF(AND('MATCH DATES'!$A$9 &lt;= TODAY(), NOW() &gt;= 'MATCH DATES'!$A$9 + TIME(22, 0, 0)), CO33, 0)
)</f>
        <v>2</v>
      </c>
      <c r="DD33" s="36">
        <f t="shared" si="43"/>
        <v>0</v>
      </c>
      <c r="DF33" s="36">
        <f t="shared" si="44"/>
        <v>0</v>
      </c>
    </row>
    <row r="34" ht="24.75" customHeight="1">
      <c r="A34" s="19" t="s">
        <v>137</v>
      </c>
      <c r="B34" s="20" t="s">
        <v>173</v>
      </c>
      <c r="C34" s="21" t="s">
        <v>140</v>
      </c>
      <c r="D34" s="22">
        <f t="shared" si="3"/>
        <v>4</v>
      </c>
      <c r="E34" s="22">
        <f t="shared" si="4"/>
        <v>2</v>
      </c>
      <c r="F34" s="22">
        <f t="shared" si="5"/>
        <v>2</v>
      </c>
      <c r="G34" s="22">
        <f>IF(C34&lt;&gt;"",
    COUNTIFS(MATCH_INPUT!$K$2:$K$5,C34),
0)</f>
        <v>1</v>
      </c>
      <c r="H34" s="22">
        <f>IF(C34&lt;&gt;"",
    COUNTIFS(MATCH_INPUT!$F$2:$F$5, C34, MATCH_INPUT!$K$2:$K$5, "Draw") +
    COUNTIFS(MATCH_INPUT!$J$2:$J$5, C34, MATCH_INPUT!$K$2:$K$5, "Draw"),
0)</f>
        <v>0</v>
      </c>
      <c r="I34" s="22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1</v>
      </c>
      <c r="J34" s="23">
        <v>4.0</v>
      </c>
      <c r="K34" s="23"/>
      <c r="L34" s="24"/>
      <c r="M34" s="25">
        <f t="shared" si="6"/>
        <v>11</v>
      </c>
      <c r="N34" s="26" t="str">
        <f t="shared" si="7"/>
        <v>↓</v>
      </c>
      <c r="O34" s="27" t="s">
        <v>142</v>
      </c>
      <c r="P34" s="28">
        <f t="shared" si="8"/>
        <v>10</v>
      </c>
      <c r="Q34" s="28">
        <f t="shared" si="9"/>
        <v>2</v>
      </c>
      <c r="R34" s="28">
        <f t="shared" si="10"/>
        <v>4</v>
      </c>
      <c r="S34" s="28">
        <f>IF(O34&lt;&gt;"",
    COUNTIFS(MATCH_INPUT!$K$6:$K$9,O34),
0)</f>
        <v>2</v>
      </c>
      <c r="T34" s="28">
        <f>IF(O34&lt;&gt;"",
    COUNTIFS(MATCH_INPUT!$F$6:$F$9, O34, MATCH_INPUT!$K$6:$K$9, "Draw") +
    COUNTIFS(MATCH_INPUT!$J$6:$J$9, O34, MATCH_INPUT!$K$6:$K$9, "Draw"),
0)</f>
        <v>0</v>
      </c>
      <c r="U34" s="28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0</v>
      </c>
      <c r="V34" s="29">
        <v>2.0</v>
      </c>
      <c r="W34" s="29"/>
      <c r="X34" s="20"/>
      <c r="Y34" s="30">
        <f t="shared" si="11"/>
        <v>7</v>
      </c>
      <c r="Z34" s="31" t="str">
        <f t="shared" si="12"/>
        <v>↑</v>
      </c>
      <c r="AA34" s="21" t="s">
        <v>140</v>
      </c>
      <c r="AB34" s="32">
        <f t="shared" si="13"/>
        <v>13</v>
      </c>
      <c r="AC34" s="22">
        <f t="shared" si="14"/>
        <v>2</v>
      </c>
      <c r="AD34" s="22">
        <f t="shared" si="15"/>
        <v>1</v>
      </c>
      <c r="AE34" s="22">
        <f>IF(AA34&lt;&gt;"",
    COUNTIFS(MATCH_INPUT!$K$10:$K$13,AA34),
0)</f>
        <v>0</v>
      </c>
      <c r="AF34" s="22">
        <f>IF(AA34&lt;&gt;"",
    COUNTIFS(MATCH_INPUT!$F$10:$F$13, AA34, MATCH_INPUT!$K$10:$K$13, "Draw") +
    COUNTIFS(MATCH_INPUT!$J$10:$J$13, AA34, MATCH_INPUT!$K$10:$K$13, "Draw"),
0)</f>
        <v>1</v>
      </c>
      <c r="AG34" s="22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1</v>
      </c>
      <c r="AH34" s="23"/>
      <c r="AI34" s="23"/>
      <c r="AJ34" s="33"/>
      <c r="AK34" s="25">
        <f t="shared" si="16"/>
        <v>9</v>
      </c>
      <c r="AL34" s="26" t="str">
        <f t="shared" si="17"/>
        <v>↓</v>
      </c>
      <c r="AM34" s="27" t="s">
        <v>142</v>
      </c>
      <c r="AN34" s="28">
        <f t="shared" si="18"/>
        <v>16</v>
      </c>
      <c r="AO34" s="28">
        <f t="shared" si="19"/>
        <v>2</v>
      </c>
      <c r="AP34" s="28">
        <f t="shared" si="20"/>
        <v>1</v>
      </c>
      <c r="AQ34" s="28">
        <f>IF(AM34&lt;&gt;"",
    COUNTIFS(MATCH_INPUT!$K$14:$K$17,AM34),
0)</f>
        <v>0</v>
      </c>
      <c r="AR34" s="28">
        <f>IF(AM34&lt;&gt;"",
    COUNTIFS(MATCH_INPUT!$F$14:$F$17, AM34, MATCH_INPUT!$K$14:$K$17, "Draw") +
    COUNTIFS(MATCH_INPUT!$J$14:$J$17, AM34, MATCH_INPUT!$K$14:$K$17, "Draw"),
0)</f>
        <v>1</v>
      </c>
      <c r="AS34" s="28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1</v>
      </c>
      <c r="AT34" s="29"/>
      <c r="AU34" s="29"/>
      <c r="AV34" s="20"/>
      <c r="AW34" s="30">
        <f t="shared" si="21"/>
        <v>15</v>
      </c>
      <c r="AX34" s="31" t="str">
        <f t="shared" si="22"/>
        <v>↓</v>
      </c>
      <c r="AY34" s="21"/>
      <c r="AZ34" s="32">
        <f t="shared" si="23"/>
        <v>16</v>
      </c>
      <c r="BA34" s="22">
        <f t="shared" si="24"/>
        <v>0</v>
      </c>
      <c r="BB34" s="22">
        <f>SUM(BC34*2) + (BD34*1) + SUMIFS(MATCH_INPUT!$G$18:$G$21, MATCH_INPUT!$F$18:$F$21, AY34) + SUMIFS(MATCH_INPUT!$I$18:$I$21, MATCH_INPUT!$J$18:$J$21, AY34)
</f>
        <v>0</v>
      </c>
      <c r="BC34" s="22">
        <f>IF(AY34&lt;&gt;"",
    COUNTIFS(MATCH_INPUT!$K$18:$K$21,AY34),
0)</f>
        <v>0</v>
      </c>
      <c r="BD34" s="22">
        <f>IF(AY34&lt;&gt;"",
    COUNTIFS(MATCH_INPUT!$F$18:$F$21, AY34, MATCH_INPUT!$K$18:$K$21, "Draw") +
    COUNTIFS(MATCH_INPUT!$J$18:$J$21, AY34, MATCH_INPUT!$K$18:$K$21, "Draw"),
0)</f>
        <v>0</v>
      </c>
      <c r="BE34" s="22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0</v>
      </c>
      <c r="BF34" s="23"/>
      <c r="BG34" s="23"/>
      <c r="BH34" s="33"/>
      <c r="BI34" s="25">
        <f t="shared" si="25"/>
        <v>32</v>
      </c>
      <c r="BJ34" s="26" t="str">
        <f t="shared" si="26"/>
        <v>↓</v>
      </c>
      <c r="BK34" s="27"/>
      <c r="BL34" s="28">
        <f t="shared" si="27"/>
        <v>16</v>
      </c>
      <c r="BM34" s="28">
        <f t="shared" si="28"/>
        <v>0</v>
      </c>
      <c r="BN34" s="28">
        <f>SUM(BO34*2) + (BP34*1) + SUMIFS(MATCH_INPUT!$G$22:$G$25, MATCH_INPUT!$F$22:$F$25, BK34) + SUMIFS(MATCH_INPUT!$I$22:$I$25, MATCH_INPUT!$J$22:$J$25, BK34)
</f>
        <v>0</v>
      </c>
      <c r="BO34" s="28">
        <f>IF(BK34&lt;&gt;"",
    COUNTIFS(MATCH_INPUT!$K$22:$K$25,BK34),
0)</f>
        <v>0</v>
      </c>
      <c r="BP34" s="28">
        <f>IF(BK34&lt;&gt;"",
    COUNTIFS(MATCH_INPUT!$F$22:$F$25, BK34, MATCH_INPUT!$K$22:$K$25, "Draw") +
    COUNTIFS(MATCH_INPUT!$J$22:$J$25, BK34, MATCH_INPUT!$K$22:$K$25, "Draw"),
0)</f>
        <v>0</v>
      </c>
      <c r="BQ34" s="28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0</v>
      </c>
      <c r="BR34" s="29"/>
      <c r="BS34" s="29"/>
      <c r="BT34" s="20"/>
      <c r="BU34" s="30">
        <f t="shared" si="29"/>
        <v>34</v>
      </c>
      <c r="BV34" s="31" t="str">
        <f t="shared" si="30"/>
        <v>↓</v>
      </c>
      <c r="BW34" s="21" t="s">
        <v>142</v>
      </c>
      <c r="BX34" s="32">
        <f t="shared" si="31"/>
        <v>21</v>
      </c>
      <c r="BY34" s="22">
        <f t="shared" si="32"/>
        <v>2</v>
      </c>
      <c r="BZ34" s="22">
        <f>SUM(CA34*2)+(CB34*1) + SUMIFS(MATCH_INPUT!$G$26:$G$29, MATCH_INPUT!$F$26:$F$29, BW34) + SUMIFS(MATCH_INPUT!$I$26:$I$29, MATCH_INPUT!$J$26:$J$29, BW34)
</f>
        <v>3</v>
      </c>
      <c r="CA34" s="22">
        <f>IF(BW34&lt;&gt;"",
    COUNTIFS(MATCH_INPUT!$K$26:$K$29,BW34),
0)</f>
        <v>0</v>
      </c>
      <c r="CB34" s="22">
        <f>IF(BW34&lt;&gt;"",
    COUNTIFS(MATCH_INPUT!$F$26:$F$29, BW34, MATCH_INPUT!$K$26:$K$29, "Draw") +
    COUNTIFS(MATCH_INPUT!$J$26:$J$29, BW34, MATCH_INPUT!$K$26:$K$29, "Draw"),
0)</f>
        <v>2</v>
      </c>
      <c r="CC34" s="22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3">
        <v>1.0</v>
      </c>
      <c r="CE34" s="23"/>
      <c r="CF34" s="33"/>
      <c r="CG34" s="25">
        <f t="shared" si="33"/>
        <v>33</v>
      </c>
      <c r="CH34" s="26" t="str">
        <f t="shared" si="34"/>
        <v>↑</v>
      </c>
      <c r="CI34" s="27" t="s">
        <v>139</v>
      </c>
      <c r="CJ34" s="28">
        <f t="shared" si="35"/>
        <v>25</v>
      </c>
      <c r="CK34" s="28">
        <f t="shared" si="36"/>
        <v>2</v>
      </c>
      <c r="CL34" s="28">
        <f>SUM(CM34*2)+(CN34*1) + SUMIFS(MATCH_INPUT!$G$30:$G$33, MATCH_INPUT!$F$30:$F$33, CI34) + SUMIFS(MATCH_INPUT!$I$30:$I$33, MATCH_INPUT!$J$30:$J$33, CI34)
</f>
        <v>2</v>
      </c>
      <c r="CM34" s="28">
        <f>IF(CI34&lt;&gt;"",
    COUNTIFS(MATCH_INPUT!$K$30:$K$33,CI34),
0)</f>
        <v>0</v>
      </c>
      <c r="CN34" s="28">
        <f>IF(CI34&lt;&gt;"",
    COUNTIFS(MATCH_INPUT!$F$30:$F$33, CI34, MATCH_INPUT!$K$30:$K$33, "Draw") +
    COUNTIFS(MATCH_INPUT!$J$30:$J$33, CI34, MATCH_INPUT!$K$30:$K$33, "Draw"),
0)</f>
        <v>1</v>
      </c>
      <c r="CO34" s="28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1</v>
      </c>
      <c r="CP34" s="29"/>
      <c r="CQ34" s="29"/>
      <c r="CR34" s="20"/>
      <c r="CS34" s="34">
        <f t="shared" si="37"/>
        <v>32</v>
      </c>
      <c r="CT34" s="34" t="str">
        <f t="shared" si="38"/>
        <v>↑</v>
      </c>
      <c r="CU34" s="35">
        <f t="shared" si="39"/>
        <v>13</v>
      </c>
      <c r="CV34" s="35" t="str">
        <f t="shared" ref="CV34:CW34" si="103">A34</f>
        <v>🍀 </v>
      </c>
      <c r="CW34" s="36" t="str">
        <f t="shared" si="103"/>
        <v>Gus</v>
      </c>
      <c r="CX34" s="36">
        <f t="shared" si="41"/>
        <v>25</v>
      </c>
      <c r="CY34" s="35">
        <f>SUM(
  IF(AND('MATCH DATES'!$A$2 &lt;= TODAY(), NOW() &gt;= 'MATCH DATES'!$A$2 + TIME(22, 0, 0)), E34, 0),
  IF(AND('MATCH DATES'!$A$3 &lt;= TODAY(), NOW() &gt;= 'MATCH DATES'!$A$3 + TIME(22, 0, 0)), Q34, 0),
  IF(AND('MATCH DATES'!$A$4 &lt;= TODAY(), NOW() &gt;= 'MATCH DATES'!$A$4 + TIME(22, 0, 0)), AC34, 0),
  IF(AND('MATCH DATES'!$A$5 &lt;= TODAY(), NOW() &gt;= 'MATCH DATES'!$A$5 + TIME(22, 0, 0)), AO34, 0),
  IF(AND('MATCH DATES'!$A$6 &lt;= TODAY(), NOW() &gt;= 'MATCH DATES'!$A$6 + TIME(22, 0, 0)), BA34, 0),
  IF(AND('MATCH DATES'!$A$7 &lt;= TODAY(), NOW() &gt;= 'MATCH DATES'!$A$7 + TIME(22, 0, 0)), BM34, 0),
  IF(AND('MATCH DATES'!$A$8 &lt;= TODAY(), NOW() &gt;= 'MATCH DATES'!$A$8 + TIME(22, 0, 0)), BY34, 0),
  IF(AND('MATCH DATES'!$A$9 &lt;= TODAY(), NOW() &gt;= 'MATCH DATES'!$A$9 + TIME(22, 0, 0)), CK34, 0)
)
</f>
        <v>12</v>
      </c>
      <c r="CZ34" s="36">
        <f t="shared" ref="CZ34:DA34" si="104">SUM(G34,S34,AE34,AQ34,BC34,BO34,CA34,CM34)</f>
        <v>3</v>
      </c>
      <c r="DA34" s="36">
        <f t="shared" si="104"/>
        <v>5</v>
      </c>
      <c r="DB34" s="36">
        <f>SUM(
  IF(AND('MATCH DATES'!$A$2 &lt;= TODAY(), NOW() &gt;= 'MATCH DATES'!$A$2 + TIME(22, 0, 0)), I34, 0),
  IF(AND('MATCH DATES'!$A$3 &lt;= TODAY(), NOW() &gt;= 'MATCH DATES'!$A$3 + TIME(22, 0, 0)), U34, 0),
  IF(AND('MATCH DATES'!$A$4 &lt;= TODAY(), NOW() &gt;= 'MATCH DATES'!$A$4 + TIME(22, 0, 0)), AG34, 0),
  IF(AND('MATCH DATES'!$A$5 &lt;= TODAY(), NOW() &gt;= 'MATCH DATES'!$A$5 + TIME(22, 0, 0)), AS34, 0),
  IF(AND('MATCH DATES'!$A$6 &lt;= TODAY(), NOW() &gt;= 'MATCH DATES'!$A$6 + TIME(22, 0, 0)), BE34, 0),
  IF(AND('MATCH DATES'!$A$7 &lt;= TODAY(), NOW() &gt;= 'MATCH DATES'!$A$7 + TIME(22, 0, 0)), BQ34, 0),
  IF(AND('MATCH DATES'!$A$8 &lt;= TODAY(), NOW() &gt;= 'MATCH DATES'!$A$8 + TIME(22, 0, 0)), CC34, 0),
  IF(AND('MATCH DATES'!$A$9 &lt;= TODAY(), NOW() &gt;= 'MATCH DATES'!$A$9 + TIME(22, 0, 0)), CO34, 0)
)</f>
        <v>4</v>
      </c>
      <c r="DD34" s="36">
        <f t="shared" si="43"/>
        <v>0</v>
      </c>
      <c r="DF34" s="36">
        <f t="shared" si="44"/>
        <v>0</v>
      </c>
    </row>
    <row r="35" ht="24.75" customHeight="1">
      <c r="A35" s="19" t="s">
        <v>137</v>
      </c>
      <c r="B35" s="20" t="s">
        <v>174</v>
      </c>
      <c r="C35" s="21" t="s">
        <v>142</v>
      </c>
      <c r="D35" s="22">
        <f t="shared" si="3"/>
        <v>2</v>
      </c>
      <c r="E35" s="22">
        <f t="shared" si="4"/>
        <v>2</v>
      </c>
      <c r="F35" s="22">
        <f t="shared" si="5"/>
        <v>0</v>
      </c>
      <c r="G35" s="22">
        <f>IF(C35&lt;&gt;"",
    COUNTIFS(MATCH_INPUT!$K$2:$K$5,C35),
0)</f>
        <v>0</v>
      </c>
      <c r="H35" s="22">
        <f>IF(C35&lt;&gt;"",
    COUNTIFS(MATCH_INPUT!$F$2:$F$5, C35, MATCH_INPUT!$K$2:$K$5, "Draw") +
    COUNTIFS(MATCH_INPUT!$J$2:$J$5, C35, MATCH_INPUT!$K$2:$K$5, "Draw"),
0)</f>
        <v>0</v>
      </c>
      <c r="I35" s="22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2</v>
      </c>
      <c r="J35" s="23"/>
      <c r="K35" s="23"/>
      <c r="L35" s="24"/>
      <c r="M35" s="25">
        <f t="shared" si="6"/>
        <v>26</v>
      </c>
      <c r="N35" s="26" t="str">
        <f t="shared" si="7"/>
        <v>↓</v>
      </c>
      <c r="O35" s="27" t="s">
        <v>140</v>
      </c>
      <c r="P35" s="28">
        <f t="shared" si="8"/>
        <v>5</v>
      </c>
      <c r="Q35" s="28">
        <f t="shared" si="9"/>
        <v>2</v>
      </c>
      <c r="R35" s="28">
        <f t="shared" si="10"/>
        <v>1</v>
      </c>
      <c r="S35" s="28">
        <f>IF(O35&lt;&gt;"",
    COUNTIFS(MATCH_INPUT!$K$6:$K$9,O35),
0)</f>
        <v>0</v>
      </c>
      <c r="T35" s="28">
        <f>IF(O35&lt;&gt;"",
    COUNTIFS(MATCH_INPUT!$F$6:$F$9, O35, MATCH_INPUT!$K$6:$K$9, "Draw") +
    COUNTIFS(MATCH_INPUT!$J$6:$J$9, O35, MATCH_INPUT!$K$6:$K$9, "Draw"),
0)</f>
        <v>1</v>
      </c>
      <c r="U35" s="28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1</v>
      </c>
      <c r="V35" s="29"/>
      <c r="W35" s="29"/>
      <c r="X35" s="20"/>
      <c r="Y35" s="30">
        <f t="shared" si="11"/>
        <v>28</v>
      </c>
      <c r="Z35" s="31" t="str">
        <f t="shared" si="12"/>
        <v>↓</v>
      </c>
      <c r="AA35" s="21"/>
      <c r="AB35" s="32">
        <f t="shared" si="13"/>
        <v>5</v>
      </c>
      <c r="AC35" s="22">
        <f t="shared" si="14"/>
        <v>0</v>
      </c>
      <c r="AD35" s="22">
        <f t="shared" si="15"/>
        <v>0</v>
      </c>
      <c r="AE35" s="22">
        <f>IF(AA35&lt;&gt;"",
    COUNTIFS(MATCH_INPUT!$K$10:$K$13,AA35),
0)</f>
        <v>0</v>
      </c>
      <c r="AF35" s="22">
        <f>IF(AA35&lt;&gt;"",
    COUNTIFS(MATCH_INPUT!$F$10:$F$13, AA35, MATCH_INPUT!$K$10:$K$13, "Draw") +
    COUNTIFS(MATCH_INPUT!$J$10:$J$13, AA35, MATCH_INPUT!$K$10:$K$13, "Draw"),
0)</f>
        <v>0</v>
      </c>
      <c r="AG35" s="22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0</v>
      </c>
      <c r="AH35" s="23"/>
      <c r="AI35" s="23"/>
      <c r="AJ35" s="33"/>
      <c r="AK35" s="25">
        <f t="shared" si="16"/>
        <v>35</v>
      </c>
      <c r="AL35" s="26" t="str">
        <f t="shared" si="17"/>
        <v>↓</v>
      </c>
      <c r="AM35" s="27" t="s">
        <v>140</v>
      </c>
      <c r="AN35" s="28">
        <f t="shared" si="18"/>
        <v>11</v>
      </c>
      <c r="AO35" s="28">
        <f t="shared" si="19"/>
        <v>2</v>
      </c>
      <c r="AP35" s="28">
        <f t="shared" si="20"/>
        <v>4</v>
      </c>
      <c r="AQ35" s="28">
        <f>IF(AM35&lt;&gt;"",
    COUNTIFS(MATCH_INPUT!$K$14:$K$17,AM35),
0)</f>
        <v>2</v>
      </c>
      <c r="AR35" s="28">
        <f>IF(AM35&lt;&gt;"",
    COUNTIFS(MATCH_INPUT!$F$14:$F$17, AM35, MATCH_INPUT!$K$14:$K$17, "Draw") +
    COUNTIFS(MATCH_INPUT!$J$14:$J$17, AM35, MATCH_INPUT!$K$14:$K$17, "Draw"),
0)</f>
        <v>0</v>
      </c>
      <c r="AS35" s="28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0</v>
      </c>
      <c r="AT35" s="29">
        <v>2.0</v>
      </c>
      <c r="AU35" s="29"/>
      <c r="AV35" s="20"/>
      <c r="AW35" s="30">
        <f t="shared" si="21"/>
        <v>31</v>
      </c>
      <c r="AX35" s="31" t="str">
        <f t="shared" si="22"/>
        <v>↑</v>
      </c>
      <c r="AY35" s="21"/>
      <c r="AZ35" s="32">
        <f t="shared" si="23"/>
        <v>11</v>
      </c>
      <c r="BA35" s="22">
        <f t="shared" si="24"/>
        <v>0</v>
      </c>
      <c r="BB35" s="22">
        <f>SUM(BC35*2) + (BD35*1) + SUMIFS(MATCH_INPUT!$G$18:$G$21, MATCH_INPUT!$F$18:$F$21, AY35) + SUMIFS(MATCH_INPUT!$I$18:$I$21, MATCH_INPUT!$J$18:$J$21, AY35)
</f>
        <v>0</v>
      </c>
      <c r="BC35" s="22">
        <f>IF(AY35&lt;&gt;"",
    COUNTIFS(MATCH_INPUT!$K$18:$K$21,AY35),
0)</f>
        <v>0</v>
      </c>
      <c r="BD35" s="22">
        <f>IF(AY35&lt;&gt;"",
    COUNTIFS(MATCH_INPUT!$F$18:$F$21, AY35, MATCH_INPUT!$K$18:$K$21, "Draw") +
    COUNTIFS(MATCH_INPUT!$J$18:$J$21, AY35, MATCH_INPUT!$K$18:$K$21, "Draw"),
0)</f>
        <v>0</v>
      </c>
      <c r="BE35" s="22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3"/>
      <c r="BG35" s="23"/>
      <c r="BH35" s="33"/>
      <c r="BI35" s="25">
        <f t="shared" si="25"/>
        <v>35</v>
      </c>
      <c r="BJ35" s="26" t="str">
        <f t="shared" si="26"/>
        <v>↓</v>
      </c>
      <c r="BK35" s="27" t="s">
        <v>141</v>
      </c>
      <c r="BL35" s="28">
        <f t="shared" si="27"/>
        <v>13</v>
      </c>
      <c r="BM35" s="28">
        <f t="shared" si="28"/>
        <v>2</v>
      </c>
      <c r="BN35" s="28">
        <f>SUM(BO35*2) + (BP35*1) + SUMIFS(MATCH_INPUT!$G$22:$G$25, MATCH_INPUT!$F$22:$F$25, BK35) + SUMIFS(MATCH_INPUT!$I$22:$I$25, MATCH_INPUT!$J$22:$J$25, BK35)
</f>
        <v>0</v>
      </c>
      <c r="BO35" s="28">
        <f>IF(BK35&lt;&gt;"",
    COUNTIFS(MATCH_INPUT!$K$22:$K$25,BK35),
0)</f>
        <v>0</v>
      </c>
      <c r="BP35" s="28">
        <f>IF(BK35&lt;&gt;"",
    COUNTIFS(MATCH_INPUT!$F$22:$F$25, BK35, MATCH_INPUT!$K$22:$K$25, "Draw") +
    COUNTIFS(MATCH_INPUT!$J$22:$J$25, BK35, MATCH_INPUT!$K$22:$K$25, "Draw"),
0)</f>
        <v>0</v>
      </c>
      <c r="BQ35" s="28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2</v>
      </c>
      <c r="BR35" s="29"/>
      <c r="BS35" s="29"/>
      <c r="BT35" s="20"/>
      <c r="BU35" s="30">
        <f t="shared" si="29"/>
        <v>36</v>
      </c>
      <c r="BV35" s="31" t="str">
        <f t="shared" si="30"/>
        <v>↓</v>
      </c>
      <c r="BW35" s="21" t="s">
        <v>139</v>
      </c>
      <c r="BX35" s="32">
        <f t="shared" si="31"/>
        <v>20</v>
      </c>
      <c r="BY35" s="22">
        <f t="shared" si="32"/>
        <v>2</v>
      </c>
      <c r="BZ35" s="22">
        <f>SUM(CA35*2)+(CB35*1) + SUMIFS(MATCH_INPUT!$G$26:$G$29, MATCH_INPUT!$F$26:$F$29, BW35) + SUMIFS(MATCH_INPUT!$I$26:$I$29, MATCH_INPUT!$J$26:$J$29, BW35)
</f>
        <v>5</v>
      </c>
      <c r="CA35" s="22">
        <f>IF(BW35&lt;&gt;"",
    COUNTIFS(MATCH_INPUT!$K$26:$K$29,BW35),
0)</f>
        <v>1</v>
      </c>
      <c r="CB35" s="22">
        <f>IF(BW35&lt;&gt;"",
    COUNTIFS(MATCH_INPUT!$F$26:$F$29, BW35, MATCH_INPUT!$K$26:$K$29, "Draw") +
    COUNTIFS(MATCH_INPUT!$J$26:$J$29, BW35, MATCH_INPUT!$K$26:$K$29, "Draw"),
0)</f>
        <v>0</v>
      </c>
      <c r="CC35" s="22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1</v>
      </c>
      <c r="CD35" s="23"/>
      <c r="CE35" s="23"/>
      <c r="CF35" s="33"/>
      <c r="CG35" s="25">
        <f t="shared" si="33"/>
        <v>34</v>
      </c>
      <c r="CH35" s="26" t="str">
        <f t="shared" si="34"/>
        <v>↑</v>
      </c>
      <c r="CI35" s="27" t="s">
        <v>140</v>
      </c>
      <c r="CJ35" s="28">
        <f t="shared" si="35"/>
        <v>24</v>
      </c>
      <c r="CK35" s="28">
        <f t="shared" si="36"/>
        <v>2</v>
      </c>
      <c r="CL35" s="28">
        <f>SUM(CM35*2)+(CN35*1) + SUMIFS(MATCH_INPUT!$G$30:$G$33, MATCH_INPUT!$F$30:$F$33, CI35) + SUMIFS(MATCH_INPUT!$I$30:$I$33, MATCH_INPUT!$J$30:$J$33, CI35)
</f>
        <v>2</v>
      </c>
      <c r="CM35" s="28">
        <f>IF(CI35&lt;&gt;"",
    COUNTIFS(MATCH_INPUT!$K$30:$K$33,CI35),
0)</f>
        <v>0</v>
      </c>
      <c r="CN35" s="28">
        <f>IF(CI35&lt;&gt;"",
    COUNTIFS(MATCH_INPUT!$F$30:$F$33, CI35, MATCH_INPUT!$K$30:$K$33, "Draw") +
    COUNTIFS(MATCH_INPUT!$J$30:$J$33, CI35, MATCH_INPUT!$K$30:$K$33, "Draw"),
0)</f>
        <v>1</v>
      </c>
      <c r="CO35" s="28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1</v>
      </c>
      <c r="CP35" s="29"/>
      <c r="CQ35" s="29"/>
      <c r="CR35" s="20"/>
      <c r="CS35" s="34">
        <f t="shared" si="37"/>
        <v>33</v>
      </c>
      <c r="CT35" s="34" t="str">
        <f t="shared" si="38"/>
        <v>↑</v>
      </c>
      <c r="CU35" s="35">
        <f t="shared" si="39"/>
        <v>12</v>
      </c>
      <c r="CV35" s="35" t="str">
        <f t="shared" ref="CV35:CW35" si="105">A35</f>
        <v>🍀 </v>
      </c>
      <c r="CW35" s="36" t="str">
        <f t="shared" si="105"/>
        <v>David</v>
      </c>
      <c r="CX35" s="36">
        <f t="shared" si="41"/>
        <v>24</v>
      </c>
      <c r="CY35" s="35">
        <f>SUM(
  IF(AND('MATCH DATES'!$A$2 &lt;= TODAY(), NOW() &gt;= 'MATCH DATES'!$A$2 + TIME(22, 0, 0)), E35, 0),
  IF(AND('MATCH DATES'!$A$3 &lt;= TODAY(), NOW() &gt;= 'MATCH DATES'!$A$3 + TIME(22, 0, 0)), Q35, 0),
  IF(AND('MATCH DATES'!$A$4 &lt;= TODAY(), NOW() &gt;= 'MATCH DATES'!$A$4 + TIME(22, 0, 0)), AC35, 0),
  IF(AND('MATCH DATES'!$A$5 &lt;= TODAY(), NOW() &gt;= 'MATCH DATES'!$A$5 + TIME(22, 0, 0)), AO35, 0),
  IF(AND('MATCH DATES'!$A$6 &lt;= TODAY(), NOW() &gt;= 'MATCH DATES'!$A$6 + TIME(22, 0, 0)), BA35, 0),
  IF(AND('MATCH DATES'!$A$7 &lt;= TODAY(), NOW() &gt;= 'MATCH DATES'!$A$7 + TIME(22, 0, 0)), BM35, 0),
  IF(AND('MATCH DATES'!$A$8 &lt;= TODAY(), NOW() &gt;= 'MATCH DATES'!$A$8 + TIME(22, 0, 0)), BY35, 0),
  IF(AND('MATCH DATES'!$A$9 &lt;= TODAY(), NOW() &gt;= 'MATCH DATES'!$A$9 + TIME(22, 0, 0)), CK35, 0)
)
</f>
        <v>12</v>
      </c>
      <c r="CZ35" s="36">
        <f t="shared" ref="CZ35:DA35" si="106">SUM(G35,S35,AE35,AQ35,BC35,BO35,CA35,CM35)</f>
        <v>3</v>
      </c>
      <c r="DA35" s="36">
        <f t="shared" si="106"/>
        <v>2</v>
      </c>
      <c r="DB35" s="36">
        <f>SUM(
  IF(AND('MATCH DATES'!$A$2 &lt;= TODAY(), NOW() &gt;= 'MATCH DATES'!$A$2 + TIME(22, 0, 0)), I35, 0),
  IF(AND('MATCH DATES'!$A$3 &lt;= TODAY(), NOW() &gt;= 'MATCH DATES'!$A$3 + TIME(22, 0, 0)), U35, 0),
  IF(AND('MATCH DATES'!$A$4 &lt;= TODAY(), NOW() &gt;= 'MATCH DATES'!$A$4 + TIME(22, 0, 0)), AG35, 0),
  IF(AND('MATCH DATES'!$A$5 &lt;= TODAY(), NOW() &gt;= 'MATCH DATES'!$A$5 + TIME(22, 0, 0)), AS35, 0),
  IF(AND('MATCH DATES'!$A$6 &lt;= TODAY(), NOW() &gt;= 'MATCH DATES'!$A$6 + TIME(22, 0, 0)), BE35, 0),
  IF(AND('MATCH DATES'!$A$7 &lt;= TODAY(), NOW() &gt;= 'MATCH DATES'!$A$7 + TIME(22, 0, 0)), BQ35, 0),
  IF(AND('MATCH DATES'!$A$8 &lt;= TODAY(), NOW() &gt;= 'MATCH DATES'!$A$8 + TIME(22, 0, 0)), CC35, 0),
  IF(AND('MATCH DATES'!$A$9 &lt;= TODAY(), NOW() &gt;= 'MATCH DATES'!$A$9 + TIME(22, 0, 0)), CO35, 0)
)</f>
        <v>7</v>
      </c>
      <c r="DD35" s="36">
        <f t="shared" si="43"/>
        <v>0</v>
      </c>
      <c r="DF35" s="36">
        <f t="shared" si="44"/>
        <v>0</v>
      </c>
    </row>
    <row r="36" ht="24.75" customHeight="1">
      <c r="A36" s="19" t="s">
        <v>137</v>
      </c>
      <c r="B36" s="20" t="s">
        <v>175</v>
      </c>
      <c r="C36" s="21" t="s">
        <v>141</v>
      </c>
      <c r="D36" s="22">
        <f t="shared" si="3"/>
        <v>4</v>
      </c>
      <c r="E36" s="22">
        <f t="shared" si="4"/>
        <v>2</v>
      </c>
      <c r="F36" s="22">
        <f t="shared" si="5"/>
        <v>2</v>
      </c>
      <c r="G36" s="22">
        <f>IF(C36&lt;&gt;"",
    COUNTIFS(MATCH_INPUT!$K$2:$K$5,C36),
0)</f>
        <v>1</v>
      </c>
      <c r="H36" s="22">
        <f>IF(C36&lt;&gt;"",
    COUNTIFS(MATCH_INPUT!$F$2:$F$5, C36, MATCH_INPUT!$K$2:$K$5, "Draw") +
    COUNTIFS(MATCH_INPUT!$J$2:$J$5, C36, MATCH_INPUT!$K$2:$K$5, "Draw"),
0)</f>
        <v>0</v>
      </c>
      <c r="I36" s="22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1</v>
      </c>
      <c r="J36" s="23"/>
      <c r="K36" s="23"/>
      <c r="L36" s="24"/>
      <c r="M36" s="25">
        <f t="shared" si="6"/>
        <v>11</v>
      </c>
      <c r="N36" s="26" t="str">
        <f t="shared" si="7"/>
        <v>↓</v>
      </c>
      <c r="O36" s="27" t="s">
        <v>141</v>
      </c>
      <c r="P36" s="28">
        <f t="shared" si="8"/>
        <v>6</v>
      </c>
      <c r="Q36" s="28">
        <f t="shared" si="9"/>
        <v>2</v>
      </c>
      <c r="R36" s="28">
        <f t="shared" si="10"/>
        <v>0</v>
      </c>
      <c r="S36" s="28">
        <f>IF(O36&lt;&gt;"",
    COUNTIFS(MATCH_INPUT!$K$6:$K$9,O36),
0)</f>
        <v>0</v>
      </c>
      <c r="T36" s="28">
        <f>IF(O36&lt;&gt;"",
    COUNTIFS(MATCH_INPUT!$F$6:$F$9, O36, MATCH_INPUT!$K$6:$K$9, "Draw") +
    COUNTIFS(MATCH_INPUT!$J$6:$J$9, O36, MATCH_INPUT!$K$6:$K$9, "Draw"),
0)</f>
        <v>0</v>
      </c>
      <c r="U36" s="28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2</v>
      </c>
      <c r="V36" s="29"/>
      <c r="W36" s="29"/>
      <c r="X36" s="20"/>
      <c r="Y36" s="30">
        <f t="shared" si="11"/>
        <v>25</v>
      </c>
      <c r="Z36" s="31" t="str">
        <f t="shared" si="12"/>
        <v>↓</v>
      </c>
      <c r="AA36" s="21"/>
      <c r="AB36" s="32">
        <f t="shared" si="13"/>
        <v>6</v>
      </c>
      <c r="AC36" s="22">
        <f t="shared" si="14"/>
        <v>0</v>
      </c>
      <c r="AD36" s="22">
        <f t="shared" si="15"/>
        <v>0</v>
      </c>
      <c r="AE36" s="22">
        <f>IF(AA36&lt;&gt;"",
    COUNTIFS(MATCH_INPUT!$K$10:$K$13,AA36),
0)</f>
        <v>0</v>
      </c>
      <c r="AF36" s="22">
        <f>IF(AA36&lt;&gt;"",
    COUNTIFS(MATCH_INPUT!$F$10:$F$13, AA36, MATCH_INPUT!$K$10:$K$13, "Draw") +
    COUNTIFS(MATCH_INPUT!$J$10:$J$13, AA36, MATCH_INPUT!$K$10:$K$13, "Draw"),
0)</f>
        <v>0</v>
      </c>
      <c r="AG36" s="22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0</v>
      </c>
      <c r="AH36" s="23"/>
      <c r="AI36" s="23"/>
      <c r="AJ36" s="33"/>
      <c r="AK36" s="25">
        <f t="shared" si="16"/>
        <v>33</v>
      </c>
      <c r="AL36" s="26" t="str">
        <f t="shared" si="17"/>
        <v>↓</v>
      </c>
      <c r="AM36" s="27" t="s">
        <v>139</v>
      </c>
      <c r="AN36" s="28">
        <f t="shared" si="18"/>
        <v>9</v>
      </c>
      <c r="AO36" s="28">
        <f t="shared" si="19"/>
        <v>2</v>
      </c>
      <c r="AP36" s="28">
        <f t="shared" si="20"/>
        <v>1</v>
      </c>
      <c r="AQ36" s="28">
        <f>IF(AM36&lt;&gt;"",
    COUNTIFS(MATCH_INPUT!$K$14:$K$17,AM36),
0)</f>
        <v>0</v>
      </c>
      <c r="AR36" s="28">
        <f>IF(AM36&lt;&gt;"",
    COUNTIFS(MATCH_INPUT!$F$14:$F$17, AM36, MATCH_INPUT!$K$14:$K$17, "Draw") +
    COUNTIFS(MATCH_INPUT!$J$14:$J$17, AM36, MATCH_INPUT!$K$14:$K$17, "Draw"),
0)</f>
        <v>1</v>
      </c>
      <c r="AS36" s="28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1</v>
      </c>
      <c r="AT36" s="29"/>
      <c r="AU36" s="29"/>
      <c r="AV36" s="20"/>
      <c r="AW36" s="30">
        <f t="shared" si="21"/>
        <v>35</v>
      </c>
      <c r="AX36" s="31" t="str">
        <f t="shared" si="22"/>
        <v>↓</v>
      </c>
      <c r="AY36" s="21"/>
      <c r="AZ36" s="32">
        <f t="shared" si="23"/>
        <v>9</v>
      </c>
      <c r="BA36" s="22">
        <f t="shared" si="24"/>
        <v>0</v>
      </c>
      <c r="BB36" s="22">
        <f>SUM(BC36*2) + (BD36*1) + SUMIFS(MATCH_INPUT!$G$18:$G$21, MATCH_INPUT!$F$18:$F$21, AY36) + SUMIFS(MATCH_INPUT!$I$18:$I$21, MATCH_INPUT!$J$18:$J$21, AY36)
</f>
        <v>0</v>
      </c>
      <c r="BC36" s="22">
        <f>IF(AY36&lt;&gt;"",
    COUNTIFS(MATCH_INPUT!$K$18:$K$21,AY36),
0)</f>
        <v>0</v>
      </c>
      <c r="BD36" s="22">
        <f>IF(AY36&lt;&gt;"",
    COUNTIFS(MATCH_INPUT!$F$18:$F$21, AY36, MATCH_INPUT!$K$18:$K$21, "Draw") +
    COUNTIFS(MATCH_INPUT!$J$18:$J$21, AY36, MATCH_INPUT!$K$18:$K$21, "Draw"),
0)</f>
        <v>0</v>
      </c>
      <c r="BE36" s="22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0</v>
      </c>
      <c r="BF36" s="23"/>
      <c r="BG36" s="23"/>
      <c r="BH36" s="33"/>
      <c r="BI36" s="25">
        <f t="shared" si="25"/>
        <v>36</v>
      </c>
      <c r="BJ36" s="26" t="str">
        <f t="shared" si="26"/>
        <v>↓</v>
      </c>
      <c r="BK36" s="27" t="s">
        <v>140</v>
      </c>
      <c r="BL36" s="28">
        <f t="shared" si="27"/>
        <v>15</v>
      </c>
      <c r="BM36" s="28">
        <f t="shared" si="28"/>
        <v>2</v>
      </c>
      <c r="BN36" s="28">
        <f>SUM(BO36*2) + (BP36*1) + SUMIFS(MATCH_INPUT!$G$22:$G$25, MATCH_INPUT!$F$22:$F$25, BK36) + SUMIFS(MATCH_INPUT!$I$22:$I$25, MATCH_INPUT!$J$22:$J$25, BK36)
</f>
        <v>4</v>
      </c>
      <c r="BO36" s="28">
        <f>IF(BK36&lt;&gt;"",
    COUNTIFS(MATCH_INPUT!$K$22:$K$25,BK36),
0)</f>
        <v>0</v>
      </c>
      <c r="BP36" s="28">
        <f>IF(BK36&lt;&gt;"",
    COUNTIFS(MATCH_INPUT!$F$22:$F$25, BK36, MATCH_INPUT!$K$22:$K$25, "Draw") +
    COUNTIFS(MATCH_INPUT!$J$22:$J$25, BK36, MATCH_INPUT!$K$22:$K$25, "Draw"),
0)</f>
        <v>2</v>
      </c>
      <c r="BQ36" s="28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0</v>
      </c>
      <c r="BR36" s="29">
        <v>1.0</v>
      </c>
      <c r="BS36" s="29"/>
      <c r="BT36" s="20"/>
      <c r="BU36" s="30">
        <f t="shared" si="29"/>
        <v>35</v>
      </c>
      <c r="BV36" s="31" t="str">
        <f t="shared" si="30"/>
        <v>↑</v>
      </c>
      <c r="BW36" s="21"/>
      <c r="BX36" s="32">
        <f t="shared" si="31"/>
        <v>15</v>
      </c>
      <c r="BY36" s="22">
        <f t="shared" si="32"/>
        <v>0</v>
      </c>
      <c r="BZ36" s="22">
        <f>SUM(CA36*2)+(CB36*1) + SUMIFS(MATCH_INPUT!$G$26:$G$29, MATCH_INPUT!$F$26:$F$29, BW36) + SUMIFS(MATCH_INPUT!$I$26:$I$29, MATCH_INPUT!$J$26:$J$29, BW36)
</f>
        <v>0</v>
      </c>
      <c r="CA36" s="22">
        <f>IF(BW36&lt;&gt;"",
    COUNTIFS(MATCH_INPUT!$K$26:$K$29,BW36),
0)</f>
        <v>0</v>
      </c>
      <c r="CB36" s="22">
        <f>IF(BW36&lt;&gt;"",
    COUNTIFS(MATCH_INPUT!$F$26:$F$29, BW36, MATCH_INPUT!$K$26:$K$29, "Draw") +
    COUNTIFS(MATCH_INPUT!$J$26:$J$29, BW36, MATCH_INPUT!$K$26:$K$29, "Draw"),
0)</f>
        <v>0</v>
      </c>
      <c r="CC36" s="22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0</v>
      </c>
      <c r="CD36" s="23"/>
      <c r="CE36" s="23"/>
      <c r="CF36" s="33"/>
      <c r="CG36" s="25">
        <f t="shared" si="33"/>
        <v>36</v>
      </c>
      <c r="CH36" s="26" t="str">
        <f t="shared" si="34"/>
        <v>↓</v>
      </c>
      <c r="CI36" s="27" t="s">
        <v>141</v>
      </c>
      <c r="CJ36" s="28">
        <f t="shared" si="35"/>
        <v>24</v>
      </c>
      <c r="CK36" s="28">
        <f t="shared" si="36"/>
        <v>2</v>
      </c>
      <c r="CL36" s="28">
        <f>SUM(CM36*2)+(CN36*1) + SUMIFS(MATCH_INPUT!$G$30:$G$33, MATCH_INPUT!$F$30:$F$33, CI36) + SUMIFS(MATCH_INPUT!$I$30:$I$33, MATCH_INPUT!$J$30:$J$33, CI36)
</f>
        <v>7</v>
      </c>
      <c r="CM36" s="28">
        <f>IF(CI36&lt;&gt;"",
    COUNTIFS(MATCH_INPUT!$K$30:$K$33,CI36),
0)</f>
        <v>2</v>
      </c>
      <c r="CN36" s="28">
        <f>IF(CI36&lt;&gt;"",
    COUNTIFS(MATCH_INPUT!$F$30:$F$33, CI36, MATCH_INPUT!$K$30:$K$33, "Draw") +
    COUNTIFS(MATCH_INPUT!$J$30:$J$33, CI36, MATCH_INPUT!$K$30:$K$33, "Draw"),
0)</f>
        <v>0</v>
      </c>
      <c r="CO36" s="28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0</v>
      </c>
      <c r="CP36" s="29"/>
      <c r="CQ36" s="29"/>
      <c r="CR36" s="20"/>
      <c r="CS36" s="34">
        <f t="shared" si="37"/>
        <v>33</v>
      </c>
      <c r="CT36" s="34" t="str">
        <f t="shared" si="38"/>
        <v>↑</v>
      </c>
      <c r="CU36" s="35">
        <f t="shared" si="39"/>
        <v>14</v>
      </c>
      <c r="CV36" s="35" t="str">
        <f t="shared" ref="CV36:CW36" si="107">A36</f>
        <v>🍀 </v>
      </c>
      <c r="CW36" s="36" t="str">
        <f t="shared" si="107"/>
        <v>Kevin</v>
      </c>
      <c r="CX36" s="36">
        <f t="shared" si="41"/>
        <v>24</v>
      </c>
      <c r="CY36" s="35">
        <f>SUM(
  IF(AND('MATCH DATES'!$A$2 &lt;= TODAY(), NOW() &gt;= 'MATCH DATES'!$A$2 + TIME(22, 0, 0)), E36, 0),
  IF(AND('MATCH DATES'!$A$3 &lt;= TODAY(), NOW() &gt;= 'MATCH DATES'!$A$3 + TIME(22, 0, 0)), Q36, 0),
  IF(AND('MATCH DATES'!$A$4 &lt;= TODAY(), NOW() &gt;= 'MATCH DATES'!$A$4 + TIME(22, 0, 0)), AC36, 0),
  IF(AND('MATCH DATES'!$A$5 &lt;= TODAY(), NOW() &gt;= 'MATCH DATES'!$A$5 + TIME(22, 0, 0)), AO36, 0),
  IF(AND('MATCH DATES'!$A$6 &lt;= TODAY(), NOW() &gt;= 'MATCH DATES'!$A$6 + TIME(22, 0, 0)), BA36, 0),
  IF(AND('MATCH DATES'!$A$7 &lt;= TODAY(), NOW() &gt;= 'MATCH DATES'!$A$7 + TIME(22, 0, 0)), BM36, 0),
  IF(AND('MATCH DATES'!$A$8 &lt;= TODAY(), NOW() &gt;= 'MATCH DATES'!$A$8 + TIME(22, 0, 0)), BY36, 0),
  IF(AND('MATCH DATES'!$A$9 &lt;= TODAY(), NOW() &gt;= 'MATCH DATES'!$A$9 + TIME(22, 0, 0)), CK36, 0)
)
</f>
        <v>10</v>
      </c>
      <c r="CZ36" s="36">
        <f t="shared" ref="CZ36:DA36" si="108">SUM(G36,S36,AE36,AQ36,BC36,BO36,CA36,CM36)</f>
        <v>3</v>
      </c>
      <c r="DA36" s="36">
        <f t="shared" si="108"/>
        <v>3</v>
      </c>
      <c r="DB36" s="36">
        <f>SUM(
  IF(AND('MATCH DATES'!$A$2 &lt;= TODAY(), NOW() &gt;= 'MATCH DATES'!$A$2 + TIME(22, 0, 0)), I36, 0),
  IF(AND('MATCH DATES'!$A$3 &lt;= TODAY(), NOW() &gt;= 'MATCH DATES'!$A$3 + TIME(22, 0, 0)), U36, 0),
  IF(AND('MATCH DATES'!$A$4 &lt;= TODAY(), NOW() &gt;= 'MATCH DATES'!$A$4 + TIME(22, 0, 0)), AG36, 0),
  IF(AND('MATCH DATES'!$A$5 &lt;= TODAY(), NOW() &gt;= 'MATCH DATES'!$A$5 + TIME(22, 0, 0)), AS36, 0),
  IF(AND('MATCH DATES'!$A$6 &lt;= TODAY(), NOW() &gt;= 'MATCH DATES'!$A$6 + TIME(22, 0, 0)), BE36, 0),
  IF(AND('MATCH DATES'!$A$7 &lt;= TODAY(), NOW() &gt;= 'MATCH DATES'!$A$7 + TIME(22, 0, 0)), BQ36, 0),
  IF(AND('MATCH DATES'!$A$8 &lt;= TODAY(), NOW() &gt;= 'MATCH DATES'!$A$8 + TIME(22, 0, 0)), CC36, 0),
  IF(AND('MATCH DATES'!$A$9 &lt;= TODAY(), NOW() &gt;= 'MATCH DATES'!$A$9 + TIME(22, 0, 0)), CO36, 0)
)</f>
        <v>4</v>
      </c>
      <c r="DD36" s="36">
        <f t="shared" si="43"/>
        <v>0</v>
      </c>
      <c r="DF36" s="36">
        <f t="shared" si="44"/>
        <v>0</v>
      </c>
    </row>
    <row r="37" ht="24.75" customHeight="1">
      <c r="A37" s="19" t="s">
        <v>137</v>
      </c>
      <c r="B37" s="20" t="s">
        <v>176</v>
      </c>
      <c r="C37" s="21" t="s">
        <v>139</v>
      </c>
      <c r="D37" s="22">
        <f t="shared" si="3"/>
        <v>6</v>
      </c>
      <c r="E37" s="22">
        <f t="shared" si="4"/>
        <v>2</v>
      </c>
      <c r="F37" s="22">
        <f t="shared" si="5"/>
        <v>4</v>
      </c>
      <c r="G37" s="22">
        <f>IF(C37&lt;&gt;"",
    COUNTIFS(MATCH_INPUT!$K$2:$K$5,C37),
0)</f>
        <v>2</v>
      </c>
      <c r="H37" s="22">
        <f>IF(C37&lt;&gt;"",
    COUNTIFS(MATCH_INPUT!$F$2:$F$5, C37, MATCH_INPUT!$K$2:$K$5, "Draw") +
    COUNTIFS(MATCH_INPUT!$J$2:$J$5, C37, MATCH_INPUT!$K$2:$K$5, "Draw"),
0)</f>
        <v>0</v>
      </c>
      <c r="I37" s="22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0</v>
      </c>
      <c r="J37" s="23"/>
      <c r="K37" s="23"/>
      <c r="L37" s="24"/>
      <c r="M37" s="25">
        <f t="shared" si="6"/>
        <v>2</v>
      </c>
      <c r="N37" s="26" t="str">
        <f t="shared" si="7"/>
        <v>↓</v>
      </c>
      <c r="O37" s="27" t="s">
        <v>139</v>
      </c>
      <c r="P37" s="28">
        <f t="shared" si="8"/>
        <v>11</v>
      </c>
      <c r="Q37" s="28">
        <f t="shared" si="9"/>
        <v>2</v>
      </c>
      <c r="R37" s="28">
        <f t="shared" si="10"/>
        <v>3</v>
      </c>
      <c r="S37" s="28">
        <f>IF(O37&lt;&gt;"",
    COUNTIFS(MATCH_INPUT!$K$6:$K$9,O37),
0)</f>
        <v>1</v>
      </c>
      <c r="T37" s="28">
        <f>IF(O37&lt;&gt;"",
    COUNTIFS(MATCH_INPUT!$F$6:$F$9, O37, MATCH_INPUT!$K$6:$K$9, "Draw") +
    COUNTIFS(MATCH_INPUT!$J$6:$J$9, O37, MATCH_INPUT!$K$6:$K$9, "Draw"),
0)</f>
        <v>1</v>
      </c>
      <c r="U37" s="28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29"/>
      <c r="W37" s="29"/>
      <c r="X37" s="20"/>
      <c r="Y37" s="30">
        <f t="shared" si="11"/>
        <v>4</v>
      </c>
      <c r="Z37" s="31" t="str">
        <f t="shared" si="12"/>
        <v>↓</v>
      </c>
      <c r="AA37" s="21" t="s">
        <v>142</v>
      </c>
      <c r="AB37" s="32">
        <f t="shared" si="13"/>
        <v>15</v>
      </c>
      <c r="AC37" s="22">
        <f t="shared" si="14"/>
        <v>2</v>
      </c>
      <c r="AD37" s="22">
        <f t="shared" si="15"/>
        <v>2</v>
      </c>
      <c r="AE37" s="22">
        <f>IF(AA37&lt;&gt;"",
    COUNTIFS(MATCH_INPUT!$K$10:$K$13,AA37),
0)</f>
        <v>0</v>
      </c>
      <c r="AF37" s="22">
        <f>IF(AA37&lt;&gt;"",
    COUNTIFS(MATCH_INPUT!$F$10:$F$13, AA37, MATCH_INPUT!$K$10:$K$13, "Draw") +
    COUNTIFS(MATCH_INPUT!$J$10:$J$13, AA37, MATCH_INPUT!$K$10:$K$13, "Draw"),
0)</f>
        <v>2</v>
      </c>
      <c r="AG37" s="22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0</v>
      </c>
      <c r="AH37" s="23"/>
      <c r="AI37" s="23"/>
      <c r="AJ37" s="33"/>
      <c r="AK37" s="25">
        <f t="shared" si="16"/>
        <v>3</v>
      </c>
      <c r="AL37" s="26" t="str">
        <f t="shared" si="17"/>
        <v>↑</v>
      </c>
      <c r="AM37" s="27"/>
      <c r="AN37" s="28">
        <f t="shared" si="18"/>
        <v>15</v>
      </c>
      <c r="AO37" s="28">
        <f t="shared" si="19"/>
        <v>0</v>
      </c>
      <c r="AP37" s="28">
        <f t="shared" si="20"/>
        <v>0</v>
      </c>
      <c r="AQ37" s="28">
        <f>IF(AM37&lt;&gt;"",
    COUNTIFS(MATCH_INPUT!$K$14:$K$17,AM37),
0)</f>
        <v>0</v>
      </c>
      <c r="AR37" s="28">
        <f>IF(AM37&lt;&gt;"",
    COUNTIFS(MATCH_INPUT!$F$14:$F$17, AM37, MATCH_INPUT!$K$14:$K$17, "Draw") +
    COUNTIFS(MATCH_INPUT!$J$14:$J$17, AM37, MATCH_INPUT!$K$14:$K$17, "Draw"),
0)</f>
        <v>0</v>
      </c>
      <c r="AS37" s="28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0</v>
      </c>
      <c r="AT37" s="29"/>
      <c r="AU37" s="29"/>
      <c r="AV37" s="20"/>
      <c r="AW37" s="30">
        <f t="shared" si="21"/>
        <v>19</v>
      </c>
      <c r="AX37" s="31" t="str">
        <f t="shared" si="22"/>
        <v>↓</v>
      </c>
      <c r="AY37" s="21"/>
      <c r="AZ37" s="32">
        <f t="shared" si="23"/>
        <v>15</v>
      </c>
      <c r="BA37" s="22">
        <f t="shared" si="24"/>
        <v>0</v>
      </c>
      <c r="BB37" s="22">
        <f>SUM(BC37*2) + (BD37*1) + SUMIFS(MATCH_INPUT!$G$18:$G$21, MATCH_INPUT!$F$18:$F$21, AY37) + SUMIFS(MATCH_INPUT!$I$18:$I$21, MATCH_INPUT!$J$18:$J$21, AY37)
</f>
        <v>0</v>
      </c>
      <c r="BC37" s="22">
        <f>IF(AY37&lt;&gt;"",
    COUNTIFS(MATCH_INPUT!$K$18:$K$21,AY37),
0)</f>
        <v>0</v>
      </c>
      <c r="BD37" s="22">
        <f>IF(AY37&lt;&gt;"",
    COUNTIFS(MATCH_INPUT!$F$18:$F$21, AY37, MATCH_INPUT!$K$18:$K$21, "Draw") +
    COUNTIFS(MATCH_INPUT!$J$18:$J$21, AY37, MATCH_INPUT!$K$18:$K$21, "Draw"),
0)</f>
        <v>0</v>
      </c>
      <c r="BE37" s="22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0</v>
      </c>
      <c r="BF37" s="23"/>
      <c r="BG37" s="23"/>
      <c r="BH37" s="33"/>
      <c r="BI37" s="25">
        <f t="shared" si="25"/>
        <v>34</v>
      </c>
      <c r="BJ37" s="26" t="str">
        <f t="shared" si="26"/>
        <v>↓</v>
      </c>
      <c r="BK37" s="27" t="s">
        <v>139</v>
      </c>
      <c r="BL37" s="28">
        <f t="shared" si="27"/>
        <v>23</v>
      </c>
      <c r="BM37" s="28">
        <f t="shared" si="28"/>
        <v>2</v>
      </c>
      <c r="BN37" s="28">
        <f>SUM(BO37*2) + (BP37*1) + SUMIFS(MATCH_INPUT!$G$22:$G$25, MATCH_INPUT!$F$22:$F$25, BK37) + SUMIFS(MATCH_INPUT!$I$22:$I$25, MATCH_INPUT!$J$22:$J$25, BK37)
</f>
        <v>6</v>
      </c>
      <c r="BO37" s="28">
        <f>IF(BK37&lt;&gt;"",
    COUNTIFS(MATCH_INPUT!$K$22:$K$25,BK37),
0)</f>
        <v>1</v>
      </c>
      <c r="BP37" s="28">
        <f>IF(BK37&lt;&gt;"",
    COUNTIFS(MATCH_INPUT!$F$22:$F$25, BK37, MATCH_INPUT!$K$22:$K$25, "Draw") +
    COUNTIFS(MATCH_INPUT!$J$22:$J$25, BK37, MATCH_INPUT!$K$22:$K$25, "Draw"),
0)</f>
        <v>1</v>
      </c>
      <c r="BQ37" s="28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0</v>
      </c>
      <c r="BR37" s="29"/>
      <c r="BS37" s="29"/>
      <c r="BT37" s="20"/>
      <c r="BU37" s="30">
        <f t="shared" si="29"/>
        <v>30</v>
      </c>
      <c r="BV37" s="31" t="str">
        <f t="shared" si="30"/>
        <v>↑</v>
      </c>
      <c r="BW37" s="38"/>
      <c r="BX37" s="32">
        <f t="shared" si="31"/>
        <v>23</v>
      </c>
      <c r="BY37" s="22">
        <f t="shared" si="32"/>
        <v>0</v>
      </c>
      <c r="BZ37" s="22">
        <f>SUM(CA37*2)+(CB37*1) + SUMIFS(MATCH_INPUT!$G$26:$G$29, MATCH_INPUT!$F$26:$F$29, BW37) + SUMIFS(MATCH_INPUT!$I$26:$I$29, MATCH_INPUT!$J$26:$J$29, BW37)
</f>
        <v>0</v>
      </c>
      <c r="CA37" s="22">
        <f>IF(BW37&lt;&gt;"",
    COUNTIFS(MATCH_INPUT!$K$26:$K$29,BW37),
0)</f>
        <v>0</v>
      </c>
      <c r="CB37" s="22">
        <f>IF(BW37&lt;&gt;"",
    COUNTIFS(MATCH_INPUT!$F$26:$F$29, BW37, MATCH_INPUT!$K$26:$K$29, "Draw") +
    COUNTIFS(MATCH_INPUT!$J$26:$J$29, BW37, MATCH_INPUT!$K$26:$K$29, "Draw"),
0)</f>
        <v>0</v>
      </c>
      <c r="CC37" s="22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3"/>
      <c r="CE37" s="23"/>
      <c r="CF37" s="33"/>
      <c r="CG37" s="25">
        <f t="shared" si="33"/>
        <v>31</v>
      </c>
      <c r="CH37" s="26" t="str">
        <f t="shared" si="34"/>
        <v>↓</v>
      </c>
      <c r="CI37" s="27"/>
      <c r="CJ37" s="28">
        <f t="shared" si="35"/>
        <v>23</v>
      </c>
      <c r="CK37" s="28">
        <f t="shared" si="36"/>
        <v>0</v>
      </c>
      <c r="CL37" s="28">
        <f>SUM(CM37*2)+(CN37*1) + SUMIFS(MATCH_INPUT!$G$30:$G$33, MATCH_INPUT!$F$30:$F$33, CI37) + SUMIFS(MATCH_INPUT!$I$30:$I$33, MATCH_INPUT!$J$30:$J$33, CI37)
</f>
        <v>0</v>
      </c>
      <c r="CM37" s="28">
        <f>IF(CI37&lt;&gt;"",
    COUNTIFS(MATCH_INPUT!$K$30:$K$33,CI37),
0)</f>
        <v>0</v>
      </c>
      <c r="CN37" s="28">
        <f>IF(CI37&lt;&gt;"",
    COUNTIFS(MATCH_INPUT!$F$30:$F$33, CI37, MATCH_INPUT!$K$30:$K$33, "Draw") +
    COUNTIFS(MATCH_INPUT!$J$30:$J$33, CI37, MATCH_INPUT!$K$30:$K$33, "Draw"),
0)</f>
        <v>0</v>
      </c>
      <c r="CO37" s="28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0</v>
      </c>
      <c r="CP37" s="29"/>
      <c r="CQ37" s="29"/>
      <c r="CR37" s="20"/>
      <c r="CS37" s="34">
        <f t="shared" si="37"/>
        <v>35</v>
      </c>
      <c r="CT37" s="34" t="str">
        <f t="shared" si="38"/>
        <v>↓</v>
      </c>
      <c r="CU37" s="35">
        <f t="shared" si="39"/>
        <v>15</v>
      </c>
      <c r="CV37" s="35" t="str">
        <f t="shared" ref="CV37:CW37" si="109">A37</f>
        <v>🍀 </v>
      </c>
      <c r="CW37" s="36" t="str">
        <f t="shared" si="109"/>
        <v>Yan Carlos</v>
      </c>
      <c r="CX37" s="36">
        <f t="shared" si="41"/>
        <v>23</v>
      </c>
      <c r="CY37" s="35">
        <f>SUM(
  IF(AND('MATCH DATES'!$A$2 &lt;= TODAY(), NOW() &gt;= 'MATCH DATES'!$A$2 + TIME(22, 0, 0)), E37, 0),
  IF(AND('MATCH DATES'!$A$3 &lt;= TODAY(), NOW() &gt;= 'MATCH DATES'!$A$3 + TIME(22, 0, 0)), Q37, 0),
  IF(AND('MATCH DATES'!$A$4 &lt;= TODAY(), NOW() &gt;= 'MATCH DATES'!$A$4 + TIME(22, 0, 0)), AC37, 0),
  IF(AND('MATCH DATES'!$A$5 &lt;= TODAY(), NOW() &gt;= 'MATCH DATES'!$A$5 + TIME(22, 0, 0)), AO37, 0),
  IF(AND('MATCH DATES'!$A$6 &lt;= TODAY(), NOW() &gt;= 'MATCH DATES'!$A$6 + TIME(22, 0, 0)), BA37, 0),
  IF(AND('MATCH DATES'!$A$7 &lt;= TODAY(), NOW() &gt;= 'MATCH DATES'!$A$7 + TIME(22, 0, 0)), BM37, 0),
  IF(AND('MATCH DATES'!$A$8 &lt;= TODAY(), NOW() &gt;= 'MATCH DATES'!$A$8 + TIME(22, 0, 0)), BY37, 0),
  IF(AND('MATCH DATES'!$A$9 &lt;= TODAY(), NOW() &gt;= 'MATCH DATES'!$A$9 + TIME(22, 0, 0)), CK37, 0)
)
</f>
        <v>8</v>
      </c>
      <c r="CZ37" s="36">
        <f t="shared" ref="CZ37:DA37" si="110">SUM(G37,S37,AE37,AQ37,BC37,BO37,CA37,CM37)</f>
        <v>4</v>
      </c>
      <c r="DA37" s="36">
        <f t="shared" si="110"/>
        <v>4</v>
      </c>
      <c r="DB37" s="36">
        <f>SUM(
  IF(AND('MATCH DATES'!$A$2 &lt;= TODAY(), NOW() &gt;= 'MATCH DATES'!$A$2 + TIME(22, 0, 0)), I37, 0),
  IF(AND('MATCH DATES'!$A$3 &lt;= TODAY(), NOW() &gt;= 'MATCH DATES'!$A$3 + TIME(22, 0, 0)), U37, 0),
  IF(AND('MATCH DATES'!$A$4 &lt;= TODAY(), NOW() &gt;= 'MATCH DATES'!$A$4 + TIME(22, 0, 0)), AG37, 0),
  IF(AND('MATCH DATES'!$A$5 &lt;= TODAY(), NOW() &gt;= 'MATCH DATES'!$A$5 + TIME(22, 0, 0)), AS37, 0),
  IF(AND('MATCH DATES'!$A$6 &lt;= TODAY(), NOW() &gt;= 'MATCH DATES'!$A$6 + TIME(22, 0, 0)), BE37, 0),
  IF(AND('MATCH DATES'!$A$7 &lt;= TODAY(), NOW() &gt;= 'MATCH DATES'!$A$7 + TIME(22, 0, 0)), BQ37, 0),
  IF(AND('MATCH DATES'!$A$8 &lt;= TODAY(), NOW() &gt;= 'MATCH DATES'!$A$8 + TIME(22, 0, 0)), CC37, 0),
  IF(AND('MATCH DATES'!$A$9 &lt;= TODAY(), NOW() &gt;= 'MATCH DATES'!$A$9 + TIME(22, 0, 0)), CO37, 0)
)</f>
        <v>0</v>
      </c>
      <c r="DD37" s="36">
        <f t="shared" si="43"/>
        <v>0</v>
      </c>
      <c r="DF37" s="36">
        <f t="shared" si="44"/>
        <v>0</v>
      </c>
    </row>
    <row r="38" ht="24.75" customHeight="1">
      <c r="A38" s="19" t="s">
        <v>137</v>
      </c>
      <c r="B38" s="20" t="s">
        <v>177</v>
      </c>
      <c r="C38" s="21" t="s">
        <v>142</v>
      </c>
      <c r="D38" s="22">
        <f t="shared" si="3"/>
        <v>2</v>
      </c>
      <c r="E38" s="22">
        <f t="shared" si="4"/>
        <v>2</v>
      </c>
      <c r="F38" s="22">
        <f t="shared" si="5"/>
        <v>0</v>
      </c>
      <c r="G38" s="22">
        <f>IF(C38&lt;&gt;"",
    COUNTIFS(MATCH_INPUT!$K$2:$K$5,C38),
0)</f>
        <v>0</v>
      </c>
      <c r="H38" s="22">
        <f>IF(C38&lt;&gt;"",
    COUNTIFS(MATCH_INPUT!$F$2:$F$5, C38, MATCH_INPUT!$K$2:$K$5, "Draw") +
    COUNTIFS(MATCH_INPUT!$J$2:$J$5, C38, MATCH_INPUT!$K$2:$K$5, "Draw"),
0)</f>
        <v>0</v>
      </c>
      <c r="I38" s="22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2</v>
      </c>
      <c r="J38" s="23"/>
      <c r="K38" s="23"/>
      <c r="L38" s="24"/>
      <c r="M38" s="25">
        <f t="shared" si="6"/>
        <v>26</v>
      </c>
      <c r="N38" s="26" t="str">
        <f t="shared" si="7"/>
        <v>↓</v>
      </c>
      <c r="O38" s="27" t="s">
        <v>141</v>
      </c>
      <c r="P38" s="28">
        <f t="shared" si="8"/>
        <v>4</v>
      </c>
      <c r="Q38" s="28">
        <f t="shared" si="9"/>
        <v>2</v>
      </c>
      <c r="R38" s="28">
        <f t="shared" si="10"/>
        <v>0</v>
      </c>
      <c r="S38" s="28">
        <f>IF(O38&lt;&gt;"",
    COUNTIFS(MATCH_INPUT!$K$6:$K$9,O38),
0)</f>
        <v>0</v>
      </c>
      <c r="T38" s="28">
        <f>IF(O38&lt;&gt;"",
    COUNTIFS(MATCH_INPUT!$F$6:$F$9, O38, MATCH_INPUT!$K$6:$K$9, "Draw") +
    COUNTIFS(MATCH_INPUT!$J$6:$J$9, O38, MATCH_INPUT!$K$6:$K$9, "Draw"),
0)</f>
        <v>0</v>
      </c>
      <c r="U38" s="28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2</v>
      </c>
      <c r="V38" s="29"/>
      <c r="W38" s="29"/>
      <c r="X38" s="20"/>
      <c r="Y38" s="30">
        <f t="shared" si="11"/>
        <v>31</v>
      </c>
      <c r="Z38" s="31" t="str">
        <f t="shared" si="12"/>
        <v>↓</v>
      </c>
      <c r="AA38" s="21" t="s">
        <v>142</v>
      </c>
      <c r="AB38" s="32">
        <f t="shared" si="13"/>
        <v>8</v>
      </c>
      <c r="AC38" s="22">
        <f t="shared" si="14"/>
        <v>2</v>
      </c>
      <c r="AD38" s="22">
        <f t="shared" si="15"/>
        <v>2</v>
      </c>
      <c r="AE38" s="22">
        <f>IF(AA38&lt;&gt;"",
    COUNTIFS(MATCH_INPUT!$K$10:$K$13,AA38),
0)</f>
        <v>0</v>
      </c>
      <c r="AF38" s="22">
        <f>IF(AA38&lt;&gt;"",
    COUNTIFS(MATCH_INPUT!$F$10:$F$13, AA38, MATCH_INPUT!$K$10:$K$13, "Draw") +
    COUNTIFS(MATCH_INPUT!$J$10:$J$13, AA38, MATCH_INPUT!$K$10:$K$13, "Draw"),
0)</f>
        <v>2</v>
      </c>
      <c r="AG38" s="22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0</v>
      </c>
      <c r="AH38" s="23"/>
      <c r="AI38" s="23"/>
      <c r="AJ38" s="33"/>
      <c r="AK38" s="25">
        <f t="shared" si="16"/>
        <v>30</v>
      </c>
      <c r="AL38" s="26" t="str">
        <f t="shared" si="17"/>
        <v>↑</v>
      </c>
      <c r="AM38" s="27" t="s">
        <v>141</v>
      </c>
      <c r="AN38" s="28">
        <f t="shared" si="18"/>
        <v>13</v>
      </c>
      <c r="AO38" s="28">
        <f t="shared" si="19"/>
        <v>2</v>
      </c>
      <c r="AP38" s="28">
        <f t="shared" si="20"/>
        <v>2</v>
      </c>
      <c r="AQ38" s="28">
        <f>IF(AM38&lt;&gt;"",
    COUNTIFS(MATCH_INPUT!$K$14:$K$17,AM38),
0)</f>
        <v>0</v>
      </c>
      <c r="AR38" s="28">
        <f>IF(AM38&lt;&gt;"",
    COUNTIFS(MATCH_INPUT!$F$14:$F$17, AM38, MATCH_INPUT!$K$14:$K$17, "Draw") +
    COUNTIFS(MATCH_INPUT!$J$14:$J$17, AM38, MATCH_INPUT!$K$14:$K$17, "Draw"),
0)</f>
        <v>2</v>
      </c>
      <c r="AS38" s="28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0</v>
      </c>
      <c r="AT38" s="29"/>
      <c r="AU38" s="29">
        <v>1.0</v>
      </c>
      <c r="AV38" s="20"/>
      <c r="AW38" s="30">
        <f t="shared" si="21"/>
        <v>26</v>
      </c>
      <c r="AX38" s="31" t="str">
        <f t="shared" si="22"/>
        <v>↑</v>
      </c>
      <c r="AY38" s="21" t="s">
        <v>140</v>
      </c>
      <c r="AZ38" s="32">
        <f t="shared" si="23"/>
        <v>19</v>
      </c>
      <c r="BA38" s="22">
        <f t="shared" si="24"/>
        <v>2</v>
      </c>
      <c r="BB38" s="22">
        <f>SUM(BC38*2) + (BD38*1) + SUMIFS(MATCH_INPUT!$G$18:$G$21, MATCH_INPUT!$F$18:$F$21, AY38) + SUMIFS(MATCH_INPUT!$I$18:$I$21, MATCH_INPUT!$J$18:$J$21, AY38)
</f>
        <v>4</v>
      </c>
      <c r="BC38" s="22">
        <f>IF(AY38&lt;&gt;"",
    COUNTIFS(MATCH_INPUT!$K$18:$K$21,AY38),
0)</f>
        <v>0</v>
      </c>
      <c r="BD38" s="22">
        <f>IF(AY38&lt;&gt;"",
    COUNTIFS(MATCH_INPUT!$F$18:$F$21, AY38, MATCH_INPUT!$K$18:$K$21, "Draw") +
    COUNTIFS(MATCH_INPUT!$J$18:$J$21, AY38, MATCH_INPUT!$K$18:$K$21, "Draw"),
0)</f>
        <v>1</v>
      </c>
      <c r="BE38" s="22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1</v>
      </c>
      <c r="BF38" s="23"/>
      <c r="BG38" s="23"/>
      <c r="BH38" s="33"/>
      <c r="BI38" s="25">
        <f t="shared" si="25"/>
        <v>26</v>
      </c>
      <c r="BJ38" s="26" t="str">
        <f t="shared" si="26"/>
        <v>=</v>
      </c>
      <c r="BK38" s="27"/>
      <c r="BL38" s="28">
        <f t="shared" si="27"/>
        <v>19</v>
      </c>
      <c r="BM38" s="28">
        <f t="shared" si="28"/>
        <v>0</v>
      </c>
      <c r="BN38" s="28">
        <f>SUM(BO38*2) + (BP38*1) + SUMIFS(MATCH_INPUT!$G$22:$G$25, MATCH_INPUT!$F$22:$F$25, BK38) + SUMIFS(MATCH_INPUT!$I$22:$I$25, MATCH_INPUT!$J$22:$J$25, BK38)
</f>
        <v>0</v>
      </c>
      <c r="BO38" s="28">
        <f>IF(BK38&lt;&gt;"",
    COUNTIFS(MATCH_INPUT!$K$22:$K$25,BK38),
0)</f>
        <v>0</v>
      </c>
      <c r="BP38" s="28">
        <f>IF(BK38&lt;&gt;"",
    COUNTIFS(MATCH_INPUT!$F$22:$F$25, BK38, MATCH_INPUT!$K$22:$K$25, "Draw") +
    COUNTIFS(MATCH_INPUT!$J$22:$J$25, BK38, MATCH_INPUT!$K$22:$K$25, "Draw"),
0)</f>
        <v>0</v>
      </c>
      <c r="BQ38" s="28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0</v>
      </c>
      <c r="BR38" s="29"/>
      <c r="BS38" s="29"/>
      <c r="BT38" s="20"/>
      <c r="BU38" s="30">
        <f t="shared" si="29"/>
        <v>32</v>
      </c>
      <c r="BV38" s="31" t="str">
        <f t="shared" si="30"/>
        <v>↓</v>
      </c>
      <c r="BW38" s="21"/>
      <c r="BX38" s="32">
        <f t="shared" si="31"/>
        <v>19</v>
      </c>
      <c r="BY38" s="22">
        <f t="shared" si="32"/>
        <v>0</v>
      </c>
      <c r="BZ38" s="22">
        <f>SUM(CA38*2)+(CB38*1) + SUMIFS(MATCH_INPUT!$G$26:$G$29, MATCH_INPUT!$F$26:$F$29, BW38) + SUMIFS(MATCH_INPUT!$I$26:$I$29, MATCH_INPUT!$J$26:$J$29, BW38)
</f>
        <v>0</v>
      </c>
      <c r="CA38" s="22">
        <f>IF(BW38&lt;&gt;"",
    COUNTIFS(MATCH_INPUT!$K$26:$K$29,BW38),
0)</f>
        <v>0</v>
      </c>
      <c r="CB38" s="22">
        <f>IF(BW38&lt;&gt;"",
    COUNTIFS(MATCH_INPUT!$F$26:$F$29, BW38, MATCH_INPUT!$K$26:$K$29, "Draw") +
    COUNTIFS(MATCH_INPUT!$J$26:$J$29, BW38, MATCH_INPUT!$K$26:$K$29, "Draw"),
0)</f>
        <v>0</v>
      </c>
      <c r="CC38" s="22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0</v>
      </c>
      <c r="CD38" s="23"/>
      <c r="CE38" s="23"/>
      <c r="CF38" s="33"/>
      <c r="CG38" s="25">
        <f t="shared" si="33"/>
        <v>35</v>
      </c>
      <c r="CH38" s="26" t="str">
        <f t="shared" si="34"/>
        <v>↓</v>
      </c>
      <c r="CI38" s="27"/>
      <c r="CJ38" s="28">
        <f t="shared" si="35"/>
        <v>19</v>
      </c>
      <c r="CK38" s="28">
        <f t="shared" si="36"/>
        <v>0</v>
      </c>
      <c r="CL38" s="28">
        <f>SUM(CM38*2)+(CN38*1) + SUMIFS(MATCH_INPUT!$G$30:$G$33, MATCH_INPUT!$F$30:$F$33, CI38) + SUMIFS(MATCH_INPUT!$I$30:$I$33, MATCH_INPUT!$J$30:$J$33, CI38)
</f>
        <v>0</v>
      </c>
      <c r="CM38" s="28">
        <f>IF(CI38&lt;&gt;"",
    COUNTIFS(MATCH_INPUT!$K$30:$K$33,CI38),
0)</f>
        <v>0</v>
      </c>
      <c r="CN38" s="28">
        <f>IF(CI38&lt;&gt;"",
    COUNTIFS(MATCH_INPUT!$F$30:$F$33, CI38, MATCH_INPUT!$K$30:$K$33, "Draw") +
    COUNTIFS(MATCH_INPUT!$J$30:$J$33, CI38, MATCH_INPUT!$K$30:$K$33, "Draw"),
0)</f>
        <v>0</v>
      </c>
      <c r="CO38" s="28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0</v>
      </c>
      <c r="CP38" s="29"/>
      <c r="CQ38" s="29"/>
      <c r="CR38" s="20"/>
      <c r="CS38" s="34">
        <f t="shared" si="37"/>
        <v>36</v>
      </c>
      <c r="CT38" s="34" t="str">
        <f t="shared" si="38"/>
        <v>↓</v>
      </c>
      <c r="CU38" s="35">
        <f t="shared" si="39"/>
        <v>8</v>
      </c>
      <c r="CV38" s="35" t="str">
        <f t="shared" ref="CV38:CW38" si="111">A38</f>
        <v>🍀 </v>
      </c>
      <c r="CW38" s="36" t="str">
        <f t="shared" si="111"/>
        <v>Pirlo</v>
      </c>
      <c r="CX38" s="36">
        <f t="shared" si="41"/>
        <v>19</v>
      </c>
      <c r="CY38" s="35">
        <f>SUM(
  IF(AND('MATCH DATES'!$A$2 &lt;= TODAY(), NOW() &gt;= 'MATCH DATES'!$A$2 + TIME(22, 0, 0)), E38, 0),
  IF(AND('MATCH DATES'!$A$3 &lt;= TODAY(), NOW() &gt;= 'MATCH DATES'!$A$3 + TIME(22, 0, 0)), Q38, 0),
  IF(AND('MATCH DATES'!$A$4 &lt;= TODAY(), NOW() &gt;= 'MATCH DATES'!$A$4 + TIME(22, 0, 0)), AC38, 0),
  IF(AND('MATCH DATES'!$A$5 &lt;= TODAY(), NOW() &gt;= 'MATCH DATES'!$A$5 + TIME(22, 0, 0)), AO38, 0),
  IF(AND('MATCH DATES'!$A$6 &lt;= TODAY(), NOW() &gt;= 'MATCH DATES'!$A$6 + TIME(22, 0, 0)), BA38, 0),
  IF(AND('MATCH DATES'!$A$7 &lt;= TODAY(), NOW() &gt;= 'MATCH DATES'!$A$7 + TIME(22, 0, 0)), BM38, 0),
  IF(AND('MATCH DATES'!$A$8 &lt;= TODAY(), NOW() &gt;= 'MATCH DATES'!$A$8 + TIME(22, 0, 0)), BY38, 0),
  IF(AND('MATCH DATES'!$A$9 &lt;= TODAY(), NOW() &gt;= 'MATCH DATES'!$A$9 + TIME(22, 0, 0)), CK38, 0)
)
</f>
        <v>10</v>
      </c>
      <c r="CZ38" s="36">
        <f t="shared" ref="CZ38:DA38" si="112">SUM(G38,S38,AE38,AQ38,BC38,BO38,CA38,CM38)</f>
        <v>0</v>
      </c>
      <c r="DA38" s="36">
        <f t="shared" si="112"/>
        <v>5</v>
      </c>
      <c r="DB38" s="36">
        <f>SUM(
  IF(AND('MATCH DATES'!$A$2 &lt;= TODAY(), NOW() &gt;= 'MATCH DATES'!$A$2 + TIME(22, 0, 0)), I38, 0),
  IF(AND('MATCH DATES'!$A$3 &lt;= TODAY(), NOW() &gt;= 'MATCH DATES'!$A$3 + TIME(22, 0, 0)), U38, 0),
  IF(AND('MATCH DATES'!$A$4 &lt;= TODAY(), NOW() &gt;= 'MATCH DATES'!$A$4 + TIME(22, 0, 0)), AG38, 0),
  IF(AND('MATCH DATES'!$A$5 &lt;= TODAY(), NOW() &gt;= 'MATCH DATES'!$A$5 + TIME(22, 0, 0)), AS38, 0),
  IF(AND('MATCH DATES'!$A$6 &lt;= TODAY(), NOW() &gt;= 'MATCH DATES'!$A$6 + TIME(22, 0, 0)), BE38, 0),
  IF(AND('MATCH DATES'!$A$7 &lt;= TODAY(), NOW() &gt;= 'MATCH DATES'!$A$7 + TIME(22, 0, 0)), BQ38, 0),
  IF(AND('MATCH DATES'!$A$8 &lt;= TODAY(), NOW() &gt;= 'MATCH DATES'!$A$8 + TIME(22, 0, 0)), CC38, 0),
  IF(AND('MATCH DATES'!$A$9 &lt;= TODAY(), NOW() &gt;= 'MATCH DATES'!$A$9 + TIME(22, 0, 0)), CO38, 0)
)</f>
        <v>5</v>
      </c>
      <c r="DD38" s="36">
        <f t="shared" si="43"/>
        <v>1</v>
      </c>
      <c r="DF38" s="36">
        <f t="shared" si="44"/>
        <v>0</v>
      </c>
    </row>
    <row r="39" ht="24.75" customHeight="1">
      <c r="A39" s="20" t="s">
        <v>178</v>
      </c>
      <c r="B39" s="20" t="s">
        <v>179</v>
      </c>
      <c r="C39" s="21" t="s">
        <v>141</v>
      </c>
      <c r="D39" s="22">
        <f t="shared" si="3"/>
        <v>4</v>
      </c>
      <c r="E39" s="22">
        <f t="shared" si="4"/>
        <v>2</v>
      </c>
      <c r="F39" s="22">
        <f t="shared" si="5"/>
        <v>2</v>
      </c>
      <c r="G39" s="22">
        <f>IF(C39&lt;&gt;"",
    COUNTIFS(MATCH_INPUT!$K$2:$K$5,C39),
0)</f>
        <v>1</v>
      </c>
      <c r="H39" s="22">
        <f>IF(C39&lt;&gt;"",
    COUNTIFS(MATCH_INPUT!$F$2:$F$5, C39, MATCH_INPUT!$K$2:$K$5, "Draw") +
    COUNTIFS(MATCH_INPUT!$J$2:$J$5, C39, MATCH_INPUT!$K$2:$K$5, "Draw"),
0)</f>
        <v>0</v>
      </c>
      <c r="I39" s="22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1</v>
      </c>
      <c r="J39" s="23"/>
      <c r="K39" s="23"/>
      <c r="L39" s="24"/>
      <c r="M39" s="25">
        <f t="shared" ref="M39:M53" si="115">RANK(D39, D$39:D$53, 0)</f>
        <v>1</v>
      </c>
      <c r="N39" s="26" t="str">
        <f t="shared" si="7"/>
        <v>=</v>
      </c>
      <c r="O39" s="27" t="s">
        <v>142</v>
      </c>
      <c r="P39" s="28">
        <f t="shared" si="8"/>
        <v>10</v>
      </c>
      <c r="Q39" s="28">
        <f t="shared" si="9"/>
        <v>2</v>
      </c>
      <c r="R39" s="28">
        <f t="shared" si="10"/>
        <v>4</v>
      </c>
      <c r="S39" s="28">
        <f>IF(O39&lt;&gt;"",
    COUNTIFS(MATCH_INPUT!$K$6:$K$9,O39),
0)</f>
        <v>2</v>
      </c>
      <c r="T39" s="28">
        <f>IF(O39&lt;&gt;"",
    COUNTIFS(MATCH_INPUT!$F$6:$F$9, O39, MATCH_INPUT!$K$6:$K$9, "Draw") +
    COUNTIFS(MATCH_INPUT!$J$6:$J$9, O39, MATCH_INPUT!$K$6:$K$9, "Draw"),
0)</f>
        <v>0</v>
      </c>
      <c r="U39" s="28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0</v>
      </c>
      <c r="V39" s="29"/>
      <c r="W39" s="29"/>
      <c r="X39" s="20"/>
      <c r="Y39" s="30">
        <f t="shared" ref="Y39:Y53" si="116">RANK(P39, P$39:P$53, 0)</f>
        <v>1</v>
      </c>
      <c r="Z39" s="31" t="str">
        <f t="shared" si="12"/>
        <v>=</v>
      </c>
      <c r="AA39" s="21" t="s">
        <v>140</v>
      </c>
      <c r="AB39" s="32">
        <f t="shared" si="13"/>
        <v>13</v>
      </c>
      <c r="AC39" s="22">
        <f t="shared" si="14"/>
        <v>2</v>
      </c>
      <c r="AD39" s="22">
        <f t="shared" si="15"/>
        <v>1</v>
      </c>
      <c r="AE39" s="22">
        <f>IF(AA39&lt;&gt;"",
    COUNTIFS(MATCH_INPUT!$K$10:$K$13,AA39),
0)</f>
        <v>0</v>
      </c>
      <c r="AF39" s="22">
        <f>IF(AA39&lt;&gt;"",
    COUNTIFS(MATCH_INPUT!$F$10:$F$13, AA39, MATCH_INPUT!$K$10:$K$13, "Draw") +
    COUNTIFS(MATCH_INPUT!$J$10:$J$13, AA39, MATCH_INPUT!$K$10:$K$13, "Draw"),
0)</f>
        <v>1</v>
      </c>
      <c r="AG39" s="22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1</v>
      </c>
      <c r="AH39" s="23"/>
      <c r="AI39" s="23"/>
      <c r="AJ39" s="33"/>
      <c r="AK39" s="25">
        <f t="shared" ref="AK39:AK53" si="117">RANK(AB39, AB$39:AB$53, 0)</f>
        <v>1</v>
      </c>
      <c r="AL39" s="26" t="str">
        <f t="shared" si="17"/>
        <v>=</v>
      </c>
      <c r="AM39" s="27" t="s">
        <v>141</v>
      </c>
      <c r="AN39" s="28">
        <f t="shared" si="18"/>
        <v>17</v>
      </c>
      <c r="AO39" s="28">
        <f t="shared" si="19"/>
        <v>2</v>
      </c>
      <c r="AP39" s="28">
        <f t="shared" si="20"/>
        <v>2</v>
      </c>
      <c r="AQ39" s="28">
        <f>IF(AM39&lt;&gt;"",
    COUNTIFS(MATCH_INPUT!$K$14:$K$17,AM39),
0)</f>
        <v>0</v>
      </c>
      <c r="AR39" s="28">
        <f>IF(AM39&lt;&gt;"",
    COUNTIFS(MATCH_INPUT!$F$14:$F$17, AM39, MATCH_INPUT!$K$14:$K$17, "Draw") +
    COUNTIFS(MATCH_INPUT!$J$14:$J$17, AM39, MATCH_INPUT!$K$14:$K$17, "Draw"),
0)</f>
        <v>2</v>
      </c>
      <c r="AS39" s="28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0</v>
      </c>
      <c r="AT39" s="29"/>
      <c r="AU39" s="29"/>
      <c r="AV39" s="20"/>
      <c r="AW39" s="30">
        <f t="shared" ref="AW39:AW53" si="118">RANK(AN39, AN$39:AN$53, 0)</f>
        <v>1</v>
      </c>
      <c r="AX39" s="31" t="str">
        <f t="shared" si="22"/>
        <v>=</v>
      </c>
      <c r="AY39" s="21"/>
      <c r="AZ39" s="32">
        <f t="shared" si="23"/>
        <v>17</v>
      </c>
      <c r="BA39" s="22">
        <f t="shared" si="24"/>
        <v>0</v>
      </c>
      <c r="BB39" s="22">
        <f>SUM(BC39*2) + (BD39*1) + SUMIFS(MATCH_INPUT!$G$18:$G$21, MATCH_INPUT!$F$18:$F$21, AY39) + SUMIFS(MATCH_INPUT!$I$18:$I$21, MATCH_INPUT!$J$18:$J$21, AY39)
</f>
        <v>0</v>
      </c>
      <c r="BC39" s="22">
        <f>IF(AY39&lt;&gt;"",
    COUNTIFS(MATCH_INPUT!$K$18:$K$21,AY39),
0)</f>
        <v>0</v>
      </c>
      <c r="BD39" s="22">
        <f>IF(AY39&lt;&gt;"",
    COUNTIFS(MATCH_INPUT!$F$18:$F$21, AY39, MATCH_INPUT!$K$18:$K$21, "Draw") +
    COUNTIFS(MATCH_INPUT!$J$18:$J$21, AY39, MATCH_INPUT!$K$18:$K$21, "Draw"),
0)</f>
        <v>0</v>
      </c>
      <c r="BE39" s="22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0</v>
      </c>
      <c r="BF39" s="23"/>
      <c r="BG39" s="23"/>
      <c r="BH39" s="33"/>
      <c r="BI39" s="25">
        <f t="shared" ref="BI39:BI53" si="119">RANK(AZ39, AZ$39:AZ$53, 0)</f>
        <v>1</v>
      </c>
      <c r="BJ39" s="26" t="str">
        <f t="shared" si="26"/>
        <v>=</v>
      </c>
      <c r="BK39" s="37"/>
      <c r="BL39" s="28">
        <f t="shared" si="27"/>
        <v>17</v>
      </c>
      <c r="BM39" s="28">
        <f t="shared" si="28"/>
        <v>0</v>
      </c>
      <c r="BN39" s="28">
        <f>SUM(BO39*2) + (BP39*1) + SUMIFS(MATCH_INPUT!$G$22:$G$25, MATCH_INPUT!$F$22:$F$25, BK39) + SUMIFS(MATCH_INPUT!$I$22:$I$25, MATCH_INPUT!$J$22:$J$25, BK39)
</f>
        <v>0</v>
      </c>
      <c r="BO39" s="28">
        <f>IF(BK39&lt;&gt;"",
    COUNTIFS(MATCH_INPUT!$K$22:$K$25,BK39),
0)</f>
        <v>0</v>
      </c>
      <c r="BP39" s="28">
        <f>IF(BK39&lt;&gt;"",
    COUNTIFS(MATCH_INPUT!$F$22:$F$25, BK39, MATCH_INPUT!$K$22:$K$25, "Draw") +
    COUNTIFS(MATCH_INPUT!$J$22:$J$25, BK39, MATCH_INPUT!$K$22:$K$25, "Draw"),
0)</f>
        <v>0</v>
      </c>
      <c r="BQ39" s="28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29"/>
      <c r="BS39" s="29"/>
      <c r="BT39" s="20"/>
      <c r="BU39" s="30">
        <f t="shared" ref="BU39:BU53" si="120">RANK(BL39, BL$39:BL$53, 0)</f>
        <v>2</v>
      </c>
      <c r="BV39" s="31" t="str">
        <f t="shared" si="30"/>
        <v>↓</v>
      </c>
      <c r="BW39" s="21" t="s">
        <v>139</v>
      </c>
      <c r="BX39" s="32">
        <f t="shared" si="31"/>
        <v>24</v>
      </c>
      <c r="BY39" s="22">
        <f t="shared" si="32"/>
        <v>2</v>
      </c>
      <c r="BZ39" s="22">
        <f>SUM(CA39*2)+(CB39*1) + SUMIFS(MATCH_INPUT!$G$26:$G$29, MATCH_INPUT!$F$26:$F$29, BW39) + SUMIFS(MATCH_INPUT!$I$26:$I$29, MATCH_INPUT!$J$26:$J$29, BW39)
</f>
        <v>5</v>
      </c>
      <c r="CA39" s="22">
        <f>IF(BW39&lt;&gt;"",
    COUNTIFS(MATCH_INPUT!$K$26:$K$29,BW39),
0)</f>
        <v>1</v>
      </c>
      <c r="CB39" s="22">
        <f>IF(BW39&lt;&gt;"",
    COUNTIFS(MATCH_INPUT!$F$26:$F$29, BW39, MATCH_INPUT!$K$26:$K$29, "Draw") +
    COUNTIFS(MATCH_INPUT!$J$26:$J$29, BW39, MATCH_INPUT!$K$26:$K$29, "Draw"),
0)</f>
        <v>0</v>
      </c>
      <c r="CC39" s="22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1</v>
      </c>
      <c r="CD39" s="23"/>
      <c r="CE39" s="23"/>
      <c r="CF39" s="33"/>
      <c r="CG39" s="25">
        <f t="shared" ref="CG39:CG53" si="121">RANK(BX39, BX$39:BX$53, 0)</f>
        <v>2</v>
      </c>
      <c r="CH39" s="26" t="str">
        <f t="shared" si="34"/>
        <v>=</v>
      </c>
      <c r="CI39" s="27" t="s">
        <v>142</v>
      </c>
      <c r="CJ39" s="28">
        <f t="shared" si="35"/>
        <v>30</v>
      </c>
      <c r="CK39" s="28">
        <f t="shared" si="36"/>
        <v>2</v>
      </c>
      <c r="CL39" s="28">
        <f>SUM(CM39*2)+(CN39*1) + SUMIFS(MATCH_INPUT!$G$30:$G$33, MATCH_INPUT!$F$30:$F$33, CI39) + SUMIFS(MATCH_INPUT!$I$30:$I$33, MATCH_INPUT!$J$30:$J$33, CI39)
</f>
        <v>4</v>
      </c>
      <c r="CM39" s="28">
        <f>IF(CI39&lt;&gt;"",
    COUNTIFS(MATCH_INPUT!$K$30:$K$33,CI39),
0)</f>
        <v>1</v>
      </c>
      <c r="CN39" s="28">
        <f>IF(CI39&lt;&gt;"",
    COUNTIFS(MATCH_INPUT!$F$30:$F$33, CI39, MATCH_INPUT!$K$30:$K$33, "Draw") +
    COUNTIFS(MATCH_INPUT!$J$30:$J$33, CI39, MATCH_INPUT!$K$30:$K$33, "Draw"),
0)</f>
        <v>0</v>
      </c>
      <c r="CO39" s="28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1</v>
      </c>
      <c r="CP39" s="29"/>
      <c r="CQ39" s="29"/>
      <c r="CR39" s="20"/>
      <c r="CS39" s="34">
        <f t="shared" ref="CS39:CS53" si="122">RANK(CJ39, CJ$39:CJ$53, 0)</f>
        <v>1</v>
      </c>
      <c r="CT39" s="34" t="str">
        <f t="shared" si="38"/>
        <v>↑</v>
      </c>
      <c r="CU39" s="35">
        <f t="shared" si="39"/>
        <v>18</v>
      </c>
      <c r="CV39" s="35" t="str">
        <f t="shared" ref="CV39:CW39" si="113">A39</f>
        <v>🔁</v>
      </c>
      <c r="CW39" s="36" t="str">
        <f t="shared" si="113"/>
        <v>(Rudy)</v>
      </c>
      <c r="CX39" s="36">
        <f t="shared" si="41"/>
        <v>30</v>
      </c>
      <c r="CY39" s="35">
        <f>SUM(
  IF(AND('MATCH DATES'!$A$2 &lt;= TODAY(), NOW() &gt;= 'MATCH DATES'!$A$2 + TIME(22, 0, 0)), E39, 0),
  IF(AND('MATCH DATES'!$A$3 &lt;= TODAY(), NOW() &gt;= 'MATCH DATES'!$A$3 + TIME(22, 0, 0)), Q39, 0),
  IF(AND('MATCH DATES'!$A$4 &lt;= TODAY(), NOW() &gt;= 'MATCH DATES'!$A$4 + TIME(22, 0, 0)), AC39, 0),
  IF(AND('MATCH DATES'!$A$5 &lt;= TODAY(), NOW() &gt;= 'MATCH DATES'!$A$5 + TIME(22, 0, 0)), AO39, 0),
  IF(AND('MATCH DATES'!$A$6 &lt;= TODAY(), NOW() &gt;= 'MATCH DATES'!$A$6 + TIME(22, 0, 0)), BA39, 0),
  IF(AND('MATCH DATES'!$A$7 &lt;= TODAY(), NOW() &gt;= 'MATCH DATES'!$A$7 + TIME(22, 0, 0)), BM39, 0),
  IF(AND('MATCH DATES'!$A$8 &lt;= TODAY(), NOW() &gt;= 'MATCH DATES'!$A$8 + TIME(22, 0, 0)), BY39, 0),
  IF(AND('MATCH DATES'!$A$9 &lt;= TODAY(), NOW() &gt;= 'MATCH DATES'!$A$9 + TIME(22, 0, 0)), CK39, 0)
)
</f>
        <v>12</v>
      </c>
      <c r="CZ39" s="36">
        <f t="shared" ref="CZ39:DA39" si="114">SUM(G39,S39,AE39,AQ39,BC39,BO39,CA39,CM39)</f>
        <v>5</v>
      </c>
      <c r="DA39" s="36">
        <f t="shared" si="114"/>
        <v>3</v>
      </c>
      <c r="DB39" s="36">
        <f>SUM(
  IF(AND('MATCH DATES'!$A$2 &lt;= TODAY(), NOW() &gt;= 'MATCH DATES'!$A$2 + TIME(22, 0, 0)), I39, 0),
  IF(AND('MATCH DATES'!$A$3 &lt;= TODAY(), NOW() &gt;= 'MATCH DATES'!$A$3 + TIME(22, 0, 0)), U39, 0),
  IF(AND('MATCH DATES'!$A$4 &lt;= TODAY(), NOW() &gt;= 'MATCH DATES'!$A$4 + TIME(22, 0, 0)), AG39, 0),
  IF(AND('MATCH DATES'!$A$5 &lt;= TODAY(), NOW() &gt;= 'MATCH DATES'!$A$5 + TIME(22, 0, 0)), AS39, 0),
  IF(AND('MATCH DATES'!$A$6 &lt;= TODAY(), NOW() &gt;= 'MATCH DATES'!$A$6 + TIME(22, 0, 0)), BE39, 0),
  IF(AND('MATCH DATES'!$A$7 &lt;= TODAY(), NOW() &gt;= 'MATCH DATES'!$A$7 + TIME(22, 0, 0)), BQ39, 0),
  IF(AND('MATCH DATES'!$A$8 &lt;= TODAY(), NOW() &gt;= 'MATCH DATES'!$A$8 + TIME(22, 0, 0)), CC39, 0),
  IF(AND('MATCH DATES'!$A$9 &lt;= TODAY(), NOW() &gt;= 'MATCH DATES'!$A$9 + TIME(22, 0, 0)), CO39, 0)
)</f>
        <v>4</v>
      </c>
      <c r="DD39" s="36">
        <f t="shared" si="43"/>
        <v>0</v>
      </c>
      <c r="DF39" s="36">
        <f t="shared" si="44"/>
        <v>0</v>
      </c>
    </row>
    <row r="40" ht="24.75" customHeight="1">
      <c r="A40" s="20" t="s">
        <v>178</v>
      </c>
      <c r="B40" s="20" t="s">
        <v>180</v>
      </c>
      <c r="C40" s="21" t="s">
        <v>140</v>
      </c>
      <c r="D40" s="22">
        <f t="shared" si="3"/>
        <v>4</v>
      </c>
      <c r="E40" s="22">
        <f t="shared" si="4"/>
        <v>2</v>
      </c>
      <c r="F40" s="22">
        <f t="shared" si="5"/>
        <v>2</v>
      </c>
      <c r="G40" s="22">
        <f>IF(C40&lt;&gt;"",
    COUNTIFS(MATCH_INPUT!$K$2:$K$5,C40),
0)</f>
        <v>1</v>
      </c>
      <c r="H40" s="22">
        <f>IF(C40&lt;&gt;"",
    COUNTIFS(MATCH_INPUT!$F$2:$F$5, C40, MATCH_INPUT!$K$2:$K$5, "Draw") +
    COUNTIFS(MATCH_INPUT!$J$2:$J$5, C40, MATCH_INPUT!$K$2:$K$5, "Draw"),
0)</f>
        <v>0</v>
      </c>
      <c r="I40" s="22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1</v>
      </c>
      <c r="J40" s="23"/>
      <c r="K40" s="23"/>
      <c r="L40" s="24"/>
      <c r="M40" s="25">
        <f t="shared" si="115"/>
        <v>1</v>
      </c>
      <c r="N40" s="26" t="str">
        <f t="shared" si="7"/>
        <v>=</v>
      </c>
      <c r="O40" s="27" t="s">
        <v>141</v>
      </c>
      <c r="P40" s="28">
        <f t="shared" si="8"/>
        <v>6</v>
      </c>
      <c r="Q40" s="28">
        <f t="shared" si="9"/>
        <v>2</v>
      </c>
      <c r="R40" s="28">
        <f t="shared" si="10"/>
        <v>0</v>
      </c>
      <c r="S40" s="28">
        <f>IF(O40&lt;&gt;"",
    COUNTIFS(MATCH_INPUT!$K$6:$K$9,O40),
0)</f>
        <v>0</v>
      </c>
      <c r="T40" s="28">
        <f>IF(O40&lt;&gt;"",
    COUNTIFS(MATCH_INPUT!$F$6:$F$9, O40, MATCH_INPUT!$K$6:$K$9, "Draw") +
    COUNTIFS(MATCH_INPUT!$J$6:$J$9, O40, MATCH_INPUT!$K$6:$K$9, "Draw"),
0)</f>
        <v>0</v>
      </c>
      <c r="U40" s="28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2</v>
      </c>
      <c r="V40" s="29"/>
      <c r="W40" s="29"/>
      <c r="X40" s="20"/>
      <c r="Y40" s="30">
        <f t="shared" si="116"/>
        <v>2</v>
      </c>
      <c r="Z40" s="31" t="str">
        <f t="shared" si="12"/>
        <v>↓</v>
      </c>
      <c r="AA40" s="21"/>
      <c r="AB40" s="32">
        <f t="shared" si="13"/>
        <v>6</v>
      </c>
      <c r="AC40" s="22">
        <f t="shared" si="14"/>
        <v>0</v>
      </c>
      <c r="AD40" s="22">
        <f t="shared" si="15"/>
        <v>0</v>
      </c>
      <c r="AE40" s="22">
        <f>IF(AA40&lt;&gt;"",
    COUNTIFS(MATCH_INPUT!$K$10:$K$13,AA40),
0)</f>
        <v>0</v>
      </c>
      <c r="AF40" s="22">
        <f>IF(AA40&lt;&gt;"",
    COUNTIFS(MATCH_INPUT!$F$10:$F$13, AA40, MATCH_INPUT!$K$10:$K$13, "Draw") +
    COUNTIFS(MATCH_INPUT!$J$10:$J$13, AA40, MATCH_INPUT!$K$10:$K$13, "Draw"),
0)</f>
        <v>0</v>
      </c>
      <c r="AG40" s="22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0</v>
      </c>
      <c r="AH40" s="23"/>
      <c r="AI40" s="23"/>
      <c r="AJ40" s="33"/>
      <c r="AK40" s="25">
        <f t="shared" si="117"/>
        <v>2</v>
      </c>
      <c r="AL40" s="26" t="str">
        <f t="shared" si="17"/>
        <v>=</v>
      </c>
      <c r="AM40" s="27" t="s">
        <v>140</v>
      </c>
      <c r="AN40" s="28">
        <f t="shared" si="18"/>
        <v>12</v>
      </c>
      <c r="AO40" s="28">
        <f t="shared" si="19"/>
        <v>2</v>
      </c>
      <c r="AP40" s="28">
        <f t="shared" si="20"/>
        <v>4</v>
      </c>
      <c r="AQ40" s="28">
        <f>IF(AM40&lt;&gt;"",
    COUNTIFS(MATCH_INPUT!$K$14:$K$17,AM40),
0)</f>
        <v>2</v>
      </c>
      <c r="AR40" s="28">
        <f>IF(AM40&lt;&gt;"",
    COUNTIFS(MATCH_INPUT!$F$14:$F$17, AM40, MATCH_INPUT!$K$14:$K$17, "Draw") +
    COUNTIFS(MATCH_INPUT!$J$14:$J$17, AM40, MATCH_INPUT!$K$14:$K$17, "Draw"),
0)</f>
        <v>0</v>
      </c>
      <c r="AS40" s="28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29"/>
      <c r="AU40" s="29"/>
      <c r="AV40" s="20"/>
      <c r="AW40" s="30">
        <f t="shared" si="118"/>
        <v>2</v>
      </c>
      <c r="AX40" s="31" t="str">
        <f t="shared" si="22"/>
        <v>=</v>
      </c>
      <c r="AY40" s="21"/>
      <c r="AZ40" s="32">
        <f t="shared" si="23"/>
        <v>12</v>
      </c>
      <c r="BA40" s="22">
        <f t="shared" si="24"/>
        <v>0</v>
      </c>
      <c r="BB40" s="22">
        <f>SUM(BC40*2) + (BD40*1) + SUMIFS(MATCH_INPUT!$G$18:$G$21, MATCH_INPUT!$F$18:$F$21, AY40) + SUMIFS(MATCH_INPUT!$I$18:$I$21, MATCH_INPUT!$J$18:$J$21, AY40)
</f>
        <v>0</v>
      </c>
      <c r="BC40" s="22">
        <f>IF(AY40&lt;&gt;"",
    COUNTIFS(MATCH_INPUT!$K$18:$K$21,AY40),
0)</f>
        <v>0</v>
      </c>
      <c r="BD40" s="22">
        <f>IF(AY40&lt;&gt;"",
    COUNTIFS(MATCH_INPUT!$F$18:$F$21, AY40, MATCH_INPUT!$K$18:$K$21, "Draw") +
    COUNTIFS(MATCH_INPUT!$J$18:$J$21, AY40, MATCH_INPUT!$K$18:$K$21, "Draw"),
0)</f>
        <v>0</v>
      </c>
      <c r="BE40" s="22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0</v>
      </c>
      <c r="BF40" s="23"/>
      <c r="BG40" s="23"/>
      <c r="BH40" s="33"/>
      <c r="BI40" s="25">
        <f t="shared" si="119"/>
        <v>3</v>
      </c>
      <c r="BJ40" s="26" t="str">
        <f t="shared" si="26"/>
        <v>↓</v>
      </c>
      <c r="BK40" s="27"/>
      <c r="BL40" s="28">
        <f t="shared" si="27"/>
        <v>12</v>
      </c>
      <c r="BM40" s="28">
        <f t="shared" si="28"/>
        <v>0</v>
      </c>
      <c r="BN40" s="28">
        <f>SUM(BO40*2) + (BP40*1) + SUMIFS(MATCH_INPUT!$G$22:$G$25, MATCH_INPUT!$F$22:$F$25, BK40) + SUMIFS(MATCH_INPUT!$I$22:$I$25, MATCH_INPUT!$J$22:$J$25, BK40)
</f>
        <v>0</v>
      </c>
      <c r="BO40" s="28">
        <f>IF(BK40&lt;&gt;"",
    COUNTIFS(MATCH_INPUT!$K$22:$K$25,BK40),
0)</f>
        <v>0</v>
      </c>
      <c r="BP40" s="28">
        <f>IF(BK40&lt;&gt;"",
    COUNTIFS(MATCH_INPUT!$F$22:$F$25, BK40, MATCH_INPUT!$K$22:$K$25, "Draw") +
    COUNTIFS(MATCH_INPUT!$J$22:$J$25, BK40, MATCH_INPUT!$K$22:$K$25, "Draw"),
0)</f>
        <v>0</v>
      </c>
      <c r="BQ40" s="28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0</v>
      </c>
      <c r="BR40" s="29"/>
      <c r="BS40" s="29"/>
      <c r="BT40" s="20"/>
      <c r="BU40" s="30">
        <f t="shared" si="120"/>
        <v>5</v>
      </c>
      <c r="BV40" s="31" t="str">
        <f t="shared" si="30"/>
        <v>↓</v>
      </c>
      <c r="BW40" s="21" t="s">
        <v>141</v>
      </c>
      <c r="BX40" s="32">
        <f t="shared" si="31"/>
        <v>21</v>
      </c>
      <c r="BY40" s="22">
        <f t="shared" si="32"/>
        <v>2</v>
      </c>
      <c r="BZ40" s="22">
        <f>SUM(CA40*2)+(CB40*1) + SUMIFS(MATCH_INPUT!$G$26:$G$29, MATCH_INPUT!$F$26:$F$29, BW40) + SUMIFS(MATCH_INPUT!$I$26:$I$29, MATCH_INPUT!$J$26:$J$29, BW40)
</f>
        <v>7</v>
      </c>
      <c r="CA40" s="22">
        <f>IF(BW40&lt;&gt;"",
    COUNTIFS(MATCH_INPUT!$K$26:$K$29,BW40),
0)</f>
        <v>1</v>
      </c>
      <c r="CB40" s="22">
        <f>IF(BW40&lt;&gt;"",
    COUNTIFS(MATCH_INPUT!$F$26:$F$29, BW40, MATCH_INPUT!$K$26:$K$29, "Draw") +
    COUNTIFS(MATCH_INPUT!$J$26:$J$29, BW40, MATCH_INPUT!$K$26:$K$29, "Draw"),
0)</f>
        <v>1</v>
      </c>
      <c r="CC40" s="22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0</v>
      </c>
      <c r="CD40" s="23"/>
      <c r="CE40" s="23"/>
      <c r="CF40" s="33"/>
      <c r="CG40" s="25">
        <f t="shared" si="121"/>
        <v>3</v>
      </c>
      <c r="CH40" s="26" t="str">
        <f t="shared" si="34"/>
        <v>↑</v>
      </c>
      <c r="CI40" s="27" t="s">
        <v>142</v>
      </c>
      <c r="CJ40" s="28">
        <f t="shared" si="35"/>
        <v>28</v>
      </c>
      <c r="CK40" s="28">
        <f t="shared" si="36"/>
        <v>2</v>
      </c>
      <c r="CL40" s="28">
        <f>SUM(CM40*2)+(CN40*1) + SUMIFS(MATCH_INPUT!$G$30:$G$33, MATCH_INPUT!$F$30:$F$33, CI40) + SUMIFS(MATCH_INPUT!$I$30:$I$33, MATCH_INPUT!$J$30:$J$33, CI40)
</f>
        <v>4</v>
      </c>
      <c r="CM40" s="28">
        <f>IF(CI40&lt;&gt;"",
    COUNTIFS(MATCH_INPUT!$K$30:$K$33,CI40),
0)</f>
        <v>1</v>
      </c>
      <c r="CN40" s="28">
        <f>IF(CI40&lt;&gt;"",
    COUNTIFS(MATCH_INPUT!$F$30:$F$33, CI40, MATCH_INPUT!$K$30:$K$33, "Draw") +
    COUNTIFS(MATCH_INPUT!$J$30:$J$33, CI40, MATCH_INPUT!$K$30:$K$33, "Draw"),
0)</f>
        <v>0</v>
      </c>
      <c r="CO40" s="28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1</v>
      </c>
      <c r="CP40" s="29"/>
      <c r="CQ40" s="29">
        <v>1.0</v>
      </c>
      <c r="CR40" s="20">
        <v>1.0</v>
      </c>
      <c r="CS40" s="34">
        <f t="shared" si="122"/>
        <v>2</v>
      </c>
      <c r="CT40" s="34" t="str">
        <f t="shared" si="38"/>
        <v>↑</v>
      </c>
      <c r="CU40" s="35">
        <f t="shared" si="39"/>
        <v>17</v>
      </c>
      <c r="CV40" s="35" t="str">
        <f t="shared" ref="CV40:CW40" si="123">A40</f>
        <v>🔁</v>
      </c>
      <c r="CW40" s="36" t="str">
        <f t="shared" si="123"/>
        <v>(Enerson)</v>
      </c>
      <c r="CX40" s="36">
        <f t="shared" si="41"/>
        <v>28</v>
      </c>
      <c r="CY40" s="35">
        <f>SUM(
  IF(AND('MATCH DATES'!$A$2 &lt;= TODAY(), NOW() &gt;= 'MATCH DATES'!$A$2 + TIME(22, 0, 0)), E40, 0),
  IF(AND('MATCH DATES'!$A$3 &lt;= TODAY(), NOW() &gt;= 'MATCH DATES'!$A$3 + TIME(22, 0, 0)), Q40, 0),
  IF(AND('MATCH DATES'!$A$4 &lt;= TODAY(), NOW() &gt;= 'MATCH DATES'!$A$4 + TIME(22, 0, 0)), AC40, 0),
  IF(AND('MATCH DATES'!$A$5 &lt;= TODAY(), NOW() &gt;= 'MATCH DATES'!$A$5 + TIME(22, 0, 0)), AO40, 0),
  IF(AND('MATCH DATES'!$A$6 &lt;= TODAY(), NOW() &gt;= 'MATCH DATES'!$A$6 + TIME(22, 0, 0)), BA40, 0),
  IF(AND('MATCH DATES'!$A$7 &lt;= TODAY(), NOW() &gt;= 'MATCH DATES'!$A$7 + TIME(22, 0, 0)), BM40, 0),
  IF(AND('MATCH DATES'!$A$8 &lt;= TODAY(), NOW() &gt;= 'MATCH DATES'!$A$8 + TIME(22, 0, 0)), BY40, 0),
  IF(AND('MATCH DATES'!$A$9 &lt;= TODAY(), NOW() &gt;= 'MATCH DATES'!$A$9 + TIME(22, 0, 0)), CK40, 0)
)
</f>
        <v>10</v>
      </c>
      <c r="CZ40" s="36">
        <f t="shared" ref="CZ40:DA40" si="124">SUM(G40,S40,AE40,AQ40,BC40,BO40,CA40,CM40)</f>
        <v>5</v>
      </c>
      <c r="DA40" s="36">
        <f t="shared" si="124"/>
        <v>1</v>
      </c>
      <c r="DB40" s="36">
        <f>SUM(
  IF(AND('MATCH DATES'!$A$2 &lt;= TODAY(), NOW() &gt;= 'MATCH DATES'!$A$2 + TIME(22, 0, 0)), I40, 0),
  IF(AND('MATCH DATES'!$A$3 &lt;= TODAY(), NOW() &gt;= 'MATCH DATES'!$A$3 + TIME(22, 0, 0)), U40, 0),
  IF(AND('MATCH DATES'!$A$4 &lt;= TODAY(), NOW() &gt;= 'MATCH DATES'!$A$4 + TIME(22, 0, 0)), AG40, 0),
  IF(AND('MATCH DATES'!$A$5 &lt;= TODAY(), NOW() &gt;= 'MATCH DATES'!$A$5 + TIME(22, 0, 0)), AS40, 0),
  IF(AND('MATCH DATES'!$A$6 &lt;= TODAY(), NOW() &gt;= 'MATCH DATES'!$A$6 + TIME(22, 0, 0)), BE40, 0),
  IF(AND('MATCH DATES'!$A$7 &lt;= TODAY(), NOW() &gt;= 'MATCH DATES'!$A$7 + TIME(22, 0, 0)), BQ40, 0),
  IF(AND('MATCH DATES'!$A$8 &lt;= TODAY(), NOW() &gt;= 'MATCH DATES'!$A$8 + TIME(22, 0, 0)), CC40, 0),
  IF(AND('MATCH DATES'!$A$9 &lt;= TODAY(), NOW() &gt;= 'MATCH DATES'!$A$9 + TIME(22, 0, 0)), CO40, 0)
)</f>
        <v>4</v>
      </c>
      <c r="DD40" s="36">
        <f t="shared" si="43"/>
        <v>1</v>
      </c>
      <c r="DF40" s="36">
        <f t="shared" si="44"/>
        <v>1</v>
      </c>
    </row>
    <row r="41" ht="24.75" customHeight="1">
      <c r="A41" s="20" t="s">
        <v>178</v>
      </c>
      <c r="B41" s="20" t="s">
        <v>181</v>
      </c>
      <c r="C41" s="38"/>
      <c r="D41" s="22">
        <f t="shared" si="3"/>
        <v>0</v>
      </c>
      <c r="E41" s="22">
        <f t="shared" si="4"/>
        <v>0</v>
      </c>
      <c r="F41" s="22">
        <f t="shared" si="5"/>
        <v>0</v>
      </c>
      <c r="G41" s="22">
        <f>IF(C41&lt;&gt;"",
    COUNTIFS(MATCH_INPUT!$K$2:$K$5,C41),
0)</f>
        <v>0</v>
      </c>
      <c r="H41" s="22">
        <f>IF(C41&lt;&gt;"",
    COUNTIFS(MATCH_INPUT!$F$2:$F$5, C41, MATCH_INPUT!$K$2:$K$5, "Draw") +
    COUNTIFS(MATCH_INPUT!$J$2:$J$5, C41, MATCH_INPUT!$K$2:$K$5, "Draw"),
0)</f>
        <v>0</v>
      </c>
      <c r="I41" s="22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0</v>
      </c>
      <c r="J41" s="23"/>
      <c r="K41" s="23"/>
      <c r="L41" s="24"/>
      <c r="M41" s="25">
        <f t="shared" si="115"/>
        <v>3</v>
      </c>
      <c r="N41" s="26" t="str">
        <f t="shared" si="7"/>
        <v>↓</v>
      </c>
      <c r="O41" s="27"/>
      <c r="P41" s="28">
        <f t="shared" si="8"/>
        <v>0</v>
      </c>
      <c r="Q41" s="28">
        <f t="shared" si="9"/>
        <v>0</v>
      </c>
      <c r="R41" s="28">
        <f t="shared" si="10"/>
        <v>0</v>
      </c>
      <c r="S41" s="28">
        <f>IF(O41&lt;&gt;"",
    COUNTIFS(MATCH_INPUT!$K$6:$K$9,O41),
0)</f>
        <v>0</v>
      </c>
      <c r="T41" s="28">
        <f>IF(O41&lt;&gt;"",
    COUNTIFS(MATCH_INPUT!$F$6:$F$9, O41, MATCH_INPUT!$K$6:$K$9, "Draw") +
    COUNTIFS(MATCH_INPUT!$J$6:$J$9, O41, MATCH_INPUT!$K$6:$K$9, "Draw"),
0)</f>
        <v>0</v>
      </c>
      <c r="U41" s="28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0</v>
      </c>
      <c r="V41" s="29"/>
      <c r="W41" s="29"/>
      <c r="X41" s="20"/>
      <c r="Y41" s="30">
        <f t="shared" si="116"/>
        <v>4</v>
      </c>
      <c r="Z41" s="31" t="str">
        <f t="shared" si="12"/>
        <v>↓</v>
      </c>
      <c r="AA41" s="21"/>
      <c r="AB41" s="32">
        <f t="shared" si="13"/>
        <v>0</v>
      </c>
      <c r="AC41" s="22">
        <f t="shared" si="14"/>
        <v>0</v>
      </c>
      <c r="AD41" s="22">
        <f t="shared" si="15"/>
        <v>0</v>
      </c>
      <c r="AE41" s="22">
        <f>IF(AA41&lt;&gt;"",
    COUNTIFS(MATCH_INPUT!$K$10:$K$13,AA41),
0)</f>
        <v>0</v>
      </c>
      <c r="AF41" s="22">
        <f>IF(AA41&lt;&gt;"",
    COUNTIFS(MATCH_INPUT!$F$10:$F$13, AA41, MATCH_INPUT!$K$10:$K$13, "Draw") +
    COUNTIFS(MATCH_INPUT!$J$10:$J$13, AA41, MATCH_INPUT!$K$10:$K$13, "Draw"),
0)</f>
        <v>0</v>
      </c>
      <c r="AG41" s="22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0</v>
      </c>
      <c r="AH41" s="23"/>
      <c r="AI41" s="23"/>
      <c r="AJ41" s="33"/>
      <c r="AK41" s="25">
        <f t="shared" si="117"/>
        <v>6</v>
      </c>
      <c r="AL41" s="26" t="str">
        <f t="shared" si="17"/>
        <v>↓</v>
      </c>
      <c r="AM41" s="27"/>
      <c r="AN41" s="28">
        <f t="shared" si="18"/>
        <v>0</v>
      </c>
      <c r="AO41" s="28">
        <f t="shared" si="19"/>
        <v>0</v>
      </c>
      <c r="AP41" s="28">
        <f t="shared" si="20"/>
        <v>0</v>
      </c>
      <c r="AQ41" s="28">
        <f>IF(AM41&lt;&gt;"",
    COUNTIFS(MATCH_INPUT!$K$14:$K$17,AM41),
0)</f>
        <v>0</v>
      </c>
      <c r="AR41" s="28">
        <f>IF(AM41&lt;&gt;"",
    COUNTIFS(MATCH_INPUT!$F$14:$F$17, AM41, MATCH_INPUT!$K$14:$K$17, "Draw") +
    COUNTIFS(MATCH_INPUT!$J$14:$J$17, AM41, MATCH_INPUT!$K$14:$K$17, "Draw"),
0)</f>
        <v>0</v>
      </c>
      <c r="AS41" s="28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0</v>
      </c>
      <c r="AT41" s="29"/>
      <c r="AU41" s="29"/>
      <c r="AV41" s="20"/>
      <c r="AW41" s="30">
        <f t="shared" si="118"/>
        <v>7</v>
      </c>
      <c r="AX41" s="31" t="str">
        <f t="shared" si="22"/>
        <v>↓</v>
      </c>
      <c r="AY41" s="21" t="s">
        <v>141</v>
      </c>
      <c r="AZ41" s="32">
        <f t="shared" si="23"/>
        <v>12</v>
      </c>
      <c r="BA41" s="22">
        <f t="shared" si="24"/>
        <v>2</v>
      </c>
      <c r="BB41" s="22">
        <f>SUM(BC41*2) + (BD41*1) + SUMIFS(MATCH_INPUT!$G$18:$G$21, MATCH_INPUT!$F$18:$F$21, AY41) + SUMIFS(MATCH_INPUT!$I$18:$I$21, MATCH_INPUT!$J$18:$J$21, AY41)
</f>
        <v>10</v>
      </c>
      <c r="BC41" s="22">
        <f>IF(AY41&lt;&gt;"",
    COUNTIFS(MATCH_INPUT!$K$18:$K$21,AY41),
0)</f>
        <v>2</v>
      </c>
      <c r="BD41" s="22">
        <f>IF(AY41&lt;&gt;"",
    COUNTIFS(MATCH_INPUT!$F$18:$F$21, AY41, MATCH_INPUT!$K$18:$K$21, "Draw") +
    COUNTIFS(MATCH_INPUT!$J$18:$J$21, AY41, MATCH_INPUT!$K$18:$K$21, "Draw"),
0)</f>
        <v>0</v>
      </c>
      <c r="BE41" s="22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0</v>
      </c>
      <c r="BF41" s="23"/>
      <c r="BG41" s="23"/>
      <c r="BH41" s="33"/>
      <c r="BI41" s="25">
        <f t="shared" si="119"/>
        <v>3</v>
      </c>
      <c r="BJ41" s="26" t="str">
        <f t="shared" si="26"/>
        <v>↑</v>
      </c>
      <c r="BK41" s="27" t="s">
        <v>140</v>
      </c>
      <c r="BL41" s="28">
        <f t="shared" si="27"/>
        <v>19</v>
      </c>
      <c r="BM41" s="28">
        <f t="shared" si="28"/>
        <v>2</v>
      </c>
      <c r="BN41" s="28">
        <f>SUM(BO41*2) + (BP41*1) + SUMIFS(MATCH_INPUT!$G$22:$G$25, MATCH_INPUT!$F$22:$F$25, BK41) + SUMIFS(MATCH_INPUT!$I$22:$I$25, MATCH_INPUT!$J$22:$J$25, BK41)
</f>
        <v>4</v>
      </c>
      <c r="BO41" s="28">
        <f>IF(BK41&lt;&gt;"",
    COUNTIFS(MATCH_INPUT!$K$22:$K$25,BK41),
0)</f>
        <v>0</v>
      </c>
      <c r="BP41" s="28">
        <f>IF(BK41&lt;&gt;"",
    COUNTIFS(MATCH_INPUT!$F$22:$F$25, BK41, MATCH_INPUT!$K$22:$K$25, "Draw") +
    COUNTIFS(MATCH_INPUT!$J$22:$J$25, BK41, MATCH_INPUT!$K$22:$K$25, "Draw"),
0)</f>
        <v>2</v>
      </c>
      <c r="BQ41" s="28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0</v>
      </c>
      <c r="BR41" s="29"/>
      <c r="BS41" s="29">
        <v>1.0</v>
      </c>
      <c r="BT41" s="20"/>
      <c r="BU41" s="30">
        <f t="shared" si="120"/>
        <v>1</v>
      </c>
      <c r="BV41" s="31" t="str">
        <f t="shared" si="30"/>
        <v>↑</v>
      </c>
      <c r="BW41" s="21" t="s">
        <v>140</v>
      </c>
      <c r="BX41" s="32">
        <f t="shared" si="31"/>
        <v>25</v>
      </c>
      <c r="BY41" s="22">
        <f t="shared" si="32"/>
        <v>2</v>
      </c>
      <c r="BZ41" s="22">
        <f>SUM(CA41*2)+(CB41*1) + SUMIFS(MATCH_INPUT!$G$26:$G$29, MATCH_INPUT!$F$26:$F$29, BW41) + SUMIFS(MATCH_INPUT!$I$26:$I$29, MATCH_INPUT!$J$26:$J$29, BW41)
</f>
        <v>3</v>
      </c>
      <c r="CA41" s="22">
        <f>IF(BW41&lt;&gt;"",
    COUNTIFS(MATCH_INPUT!$K$26:$K$29,BW41),
0)</f>
        <v>0</v>
      </c>
      <c r="CB41" s="22">
        <f>IF(BW41&lt;&gt;"",
    COUNTIFS(MATCH_INPUT!$F$26:$F$29, BW41, MATCH_INPUT!$K$26:$K$29, "Draw") +
    COUNTIFS(MATCH_INPUT!$J$26:$J$29, BW41, MATCH_INPUT!$K$26:$K$29, "Draw"),
0)</f>
        <v>1</v>
      </c>
      <c r="CC41" s="22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1</v>
      </c>
      <c r="CD41" s="23"/>
      <c r="CE41" s="23">
        <v>1.0</v>
      </c>
      <c r="CF41" s="33"/>
      <c r="CG41" s="25">
        <f t="shared" si="121"/>
        <v>1</v>
      </c>
      <c r="CH41" s="26" t="str">
        <f t="shared" si="34"/>
        <v>=</v>
      </c>
      <c r="CI41" s="27"/>
      <c r="CJ41" s="28">
        <f t="shared" si="35"/>
        <v>25</v>
      </c>
      <c r="CK41" s="28">
        <f t="shared" si="36"/>
        <v>0</v>
      </c>
      <c r="CL41" s="28">
        <f>SUM(CM41*2)+(CN41*1) + SUMIFS(MATCH_INPUT!$G$30:$G$33, MATCH_INPUT!$F$30:$F$33, CI41) + SUMIFS(MATCH_INPUT!$I$30:$I$33, MATCH_INPUT!$J$30:$J$33, CI41)
</f>
        <v>0</v>
      </c>
      <c r="CM41" s="28">
        <f>IF(CI41&lt;&gt;"",
    COUNTIFS(MATCH_INPUT!$K$30:$K$33,CI41),
0)</f>
        <v>0</v>
      </c>
      <c r="CN41" s="28">
        <f>IF(CI41&lt;&gt;"",
    COUNTIFS(MATCH_INPUT!$F$30:$F$33, CI41, MATCH_INPUT!$K$30:$K$33, "Draw") +
    COUNTIFS(MATCH_INPUT!$J$30:$J$33, CI41, MATCH_INPUT!$K$30:$K$33, "Draw"),
0)</f>
        <v>0</v>
      </c>
      <c r="CO41" s="28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0</v>
      </c>
      <c r="CP41" s="29"/>
      <c r="CQ41" s="29"/>
      <c r="CR41" s="20"/>
      <c r="CS41" s="34">
        <f t="shared" si="122"/>
        <v>3</v>
      </c>
      <c r="CT41" s="34" t="str">
        <f t="shared" si="38"/>
        <v>↓</v>
      </c>
      <c r="CU41" s="35">
        <f t="shared" si="39"/>
        <v>17</v>
      </c>
      <c r="CV41" s="35" t="str">
        <f t="shared" ref="CV41:CW41" si="125">A41</f>
        <v>🔁</v>
      </c>
      <c r="CW41" s="36" t="str">
        <f t="shared" si="125"/>
        <v>(Jeff)</v>
      </c>
      <c r="CX41" s="36">
        <f t="shared" si="41"/>
        <v>25</v>
      </c>
      <c r="CY41" s="35">
        <f>SUM(
  IF(AND('MATCH DATES'!$A$2 &lt;= TODAY(), NOW() &gt;= 'MATCH DATES'!$A$2 + TIME(22, 0, 0)), E41, 0),
  IF(AND('MATCH DATES'!$A$3 &lt;= TODAY(), NOW() &gt;= 'MATCH DATES'!$A$3 + TIME(22, 0, 0)), Q41, 0),
  IF(AND('MATCH DATES'!$A$4 &lt;= TODAY(), NOW() &gt;= 'MATCH DATES'!$A$4 + TIME(22, 0, 0)), AC41, 0),
  IF(AND('MATCH DATES'!$A$5 &lt;= TODAY(), NOW() &gt;= 'MATCH DATES'!$A$5 + TIME(22, 0, 0)), AO41, 0),
  IF(AND('MATCH DATES'!$A$6 &lt;= TODAY(), NOW() &gt;= 'MATCH DATES'!$A$6 + TIME(22, 0, 0)), BA41, 0),
  IF(AND('MATCH DATES'!$A$7 &lt;= TODAY(), NOW() &gt;= 'MATCH DATES'!$A$7 + TIME(22, 0, 0)), BM41, 0),
  IF(AND('MATCH DATES'!$A$8 &lt;= TODAY(), NOW() &gt;= 'MATCH DATES'!$A$8 + TIME(22, 0, 0)), BY41, 0),
  IF(AND('MATCH DATES'!$A$9 &lt;= TODAY(), NOW() &gt;= 'MATCH DATES'!$A$9 + TIME(22, 0, 0)), CK41, 0)
)
</f>
        <v>6</v>
      </c>
      <c r="CZ41" s="36">
        <f t="shared" ref="CZ41:DA41" si="126">SUM(G41,S41,AE41,AQ41,BC41,BO41,CA41,CM41)</f>
        <v>2</v>
      </c>
      <c r="DA41" s="36">
        <f t="shared" si="126"/>
        <v>3</v>
      </c>
      <c r="DB41" s="36">
        <f>SUM(
  IF(AND('MATCH DATES'!$A$2 &lt;= TODAY(), NOW() &gt;= 'MATCH DATES'!$A$2 + TIME(22, 0, 0)), I41, 0),
  IF(AND('MATCH DATES'!$A$3 &lt;= TODAY(), NOW() &gt;= 'MATCH DATES'!$A$3 + TIME(22, 0, 0)), U41, 0),
  IF(AND('MATCH DATES'!$A$4 &lt;= TODAY(), NOW() &gt;= 'MATCH DATES'!$A$4 + TIME(22, 0, 0)), AG41, 0),
  IF(AND('MATCH DATES'!$A$5 &lt;= TODAY(), NOW() &gt;= 'MATCH DATES'!$A$5 + TIME(22, 0, 0)), AS41, 0),
  IF(AND('MATCH DATES'!$A$6 &lt;= TODAY(), NOW() &gt;= 'MATCH DATES'!$A$6 + TIME(22, 0, 0)), BE41, 0),
  IF(AND('MATCH DATES'!$A$7 &lt;= TODAY(), NOW() &gt;= 'MATCH DATES'!$A$7 + TIME(22, 0, 0)), BQ41, 0),
  IF(AND('MATCH DATES'!$A$8 &lt;= TODAY(), NOW() &gt;= 'MATCH DATES'!$A$8 + TIME(22, 0, 0)), CC41, 0),
  IF(AND('MATCH DATES'!$A$9 &lt;= TODAY(), NOW() &gt;= 'MATCH DATES'!$A$9 + TIME(22, 0, 0)), CO41, 0)
)</f>
        <v>1</v>
      </c>
      <c r="DD41" s="36">
        <f t="shared" si="43"/>
        <v>2</v>
      </c>
      <c r="DF41" s="36">
        <f t="shared" si="44"/>
        <v>0</v>
      </c>
    </row>
    <row r="42" ht="24.75" customHeight="1">
      <c r="A42" s="20" t="s">
        <v>178</v>
      </c>
      <c r="B42" s="20" t="s">
        <v>182</v>
      </c>
      <c r="C42" s="38"/>
      <c r="D42" s="22">
        <f t="shared" si="3"/>
        <v>0</v>
      </c>
      <c r="E42" s="22">
        <f t="shared" si="4"/>
        <v>0</v>
      </c>
      <c r="F42" s="22">
        <f t="shared" si="5"/>
        <v>0</v>
      </c>
      <c r="G42" s="22">
        <f>IF(C42&lt;&gt;"",
    COUNTIFS(MATCH_INPUT!$K$2:$K$5,C42),
0)</f>
        <v>0</v>
      </c>
      <c r="H42" s="22">
        <f>IF(C42&lt;&gt;"",
    COUNTIFS(MATCH_INPUT!$F$2:$F$5, C42, MATCH_INPUT!$K$2:$K$5, "Draw") +
    COUNTIFS(MATCH_INPUT!$J$2:$J$5, C42, MATCH_INPUT!$K$2:$K$5, "Draw"),
0)</f>
        <v>0</v>
      </c>
      <c r="I42" s="22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0</v>
      </c>
      <c r="J42" s="23"/>
      <c r="K42" s="23"/>
      <c r="L42" s="24"/>
      <c r="M42" s="25">
        <f t="shared" si="115"/>
        <v>3</v>
      </c>
      <c r="N42" s="26" t="str">
        <f t="shared" si="7"/>
        <v>↓</v>
      </c>
      <c r="O42" s="27"/>
      <c r="P42" s="28">
        <f t="shared" si="8"/>
        <v>0</v>
      </c>
      <c r="Q42" s="28">
        <f t="shared" si="9"/>
        <v>0</v>
      </c>
      <c r="R42" s="28">
        <f t="shared" si="10"/>
        <v>0</v>
      </c>
      <c r="S42" s="28">
        <f>IF(O42&lt;&gt;"",
    COUNTIFS(MATCH_INPUT!$K$6:$K$9,O42),
0)</f>
        <v>0</v>
      </c>
      <c r="T42" s="28">
        <f>IF(O42&lt;&gt;"",
    COUNTIFS(MATCH_INPUT!$F$6:$F$9, O42, MATCH_INPUT!$K$6:$K$9, "Draw") +
    COUNTIFS(MATCH_INPUT!$J$6:$J$9, O42, MATCH_INPUT!$K$6:$K$9, "Draw"),
0)</f>
        <v>0</v>
      </c>
      <c r="U42" s="28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29"/>
      <c r="W42" s="29"/>
      <c r="X42" s="20"/>
      <c r="Y42" s="30">
        <f t="shared" si="116"/>
        <v>4</v>
      </c>
      <c r="Z42" s="31" t="str">
        <f t="shared" si="12"/>
        <v>↓</v>
      </c>
      <c r="AA42" s="21" t="s">
        <v>140</v>
      </c>
      <c r="AB42" s="32">
        <f t="shared" si="13"/>
        <v>3</v>
      </c>
      <c r="AC42" s="22">
        <f t="shared" si="14"/>
        <v>2</v>
      </c>
      <c r="AD42" s="22">
        <f t="shared" si="15"/>
        <v>1</v>
      </c>
      <c r="AE42" s="22">
        <f>IF(AA42&lt;&gt;"",
    COUNTIFS(MATCH_INPUT!$K$10:$K$13,AA42),
0)</f>
        <v>0</v>
      </c>
      <c r="AF42" s="22">
        <f>IF(AA42&lt;&gt;"",
    COUNTIFS(MATCH_INPUT!$F$10:$F$13, AA42, MATCH_INPUT!$K$10:$K$13, "Draw") +
    COUNTIFS(MATCH_INPUT!$J$10:$J$13, AA42, MATCH_INPUT!$K$10:$K$13, "Draw"),
0)</f>
        <v>1</v>
      </c>
      <c r="AG42" s="22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1</v>
      </c>
      <c r="AH42" s="23"/>
      <c r="AI42" s="23"/>
      <c r="AJ42" s="33"/>
      <c r="AK42" s="25">
        <f t="shared" si="117"/>
        <v>5</v>
      </c>
      <c r="AL42" s="26" t="str">
        <f t="shared" si="17"/>
        <v>↓</v>
      </c>
      <c r="AM42" s="27"/>
      <c r="AN42" s="28">
        <f t="shared" si="18"/>
        <v>3</v>
      </c>
      <c r="AO42" s="28">
        <f t="shared" si="19"/>
        <v>0</v>
      </c>
      <c r="AP42" s="28">
        <f t="shared" si="20"/>
        <v>0</v>
      </c>
      <c r="AQ42" s="28">
        <f>IF(AM42&lt;&gt;"",
    COUNTIFS(MATCH_INPUT!$K$14:$K$17,AM42),
0)</f>
        <v>0</v>
      </c>
      <c r="AR42" s="28">
        <f>IF(AM42&lt;&gt;"",
    COUNTIFS(MATCH_INPUT!$F$14:$F$17, AM42, MATCH_INPUT!$K$14:$K$17, "Draw") +
    COUNTIFS(MATCH_INPUT!$J$14:$J$17, AM42, MATCH_INPUT!$K$14:$K$17, "Draw"),
0)</f>
        <v>0</v>
      </c>
      <c r="AS42" s="28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0</v>
      </c>
      <c r="AT42" s="29"/>
      <c r="AU42" s="29"/>
      <c r="AV42" s="20"/>
      <c r="AW42" s="30">
        <f t="shared" si="118"/>
        <v>5</v>
      </c>
      <c r="AX42" s="31" t="str">
        <f t="shared" si="22"/>
        <v>=</v>
      </c>
      <c r="AY42" s="21" t="s">
        <v>142</v>
      </c>
      <c r="AZ42" s="32">
        <f t="shared" si="23"/>
        <v>10</v>
      </c>
      <c r="BA42" s="22">
        <f t="shared" si="24"/>
        <v>2</v>
      </c>
      <c r="BB42" s="22">
        <f>SUM(BC42*2) + (BD42*1) + SUMIFS(MATCH_INPUT!$G$18:$G$21, MATCH_INPUT!$F$18:$F$21, AY42) + SUMIFS(MATCH_INPUT!$I$18:$I$21, MATCH_INPUT!$J$18:$J$21, AY42)
</f>
        <v>5</v>
      </c>
      <c r="BC42" s="22">
        <f>IF(AY42&lt;&gt;"",
    COUNTIFS(MATCH_INPUT!$K$18:$K$21,AY42),
0)</f>
        <v>1</v>
      </c>
      <c r="BD42" s="22">
        <f>IF(AY42&lt;&gt;"",
    COUNTIFS(MATCH_INPUT!$F$18:$F$21, AY42, MATCH_INPUT!$K$18:$K$21, "Draw") +
    COUNTIFS(MATCH_INPUT!$J$18:$J$21, AY42, MATCH_INPUT!$K$18:$K$21, "Draw"),
0)</f>
        <v>0</v>
      </c>
      <c r="BE42" s="22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1</v>
      </c>
      <c r="BF42" s="23"/>
      <c r="BG42" s="23"/>
      <c r="BH42" s="33"/>
      <c r="BI42" s="25">
        <f t="shared" si="119"/>
        <v>6</v>
      </c>
      <c r="BJ42" s="26" t="str">
        <f t="shared" si="26"/>
        <v>↓</v>
      </c>
      <c r="BK42" s="39" t="s">
        <v>142</v>
      </c>
      <c r="BL42" s="28">
        <f t="shared" si="27"/>
        <v>17</v>
      </c>
      <c r="BM42" s="28">
        <f t="shared" si="28"/>
        <v>2</v>
      </c>
      <c r="BN42" s="28">
        <f>SUM(BO42*2) + (BP42*1) + SUMIFS(MATCH_INPUT!$G$22:$G$25, MATCH_INPUT!$F$22:$F$25, BK42) + SUMIFS(MATCH_INPUT!$I$22:$I$25, MATCH_INPUT!$J$22:$J$25, BK42)
</f>
        <v>5</v>
      </c>
      <c r="BO42" s="28">
        <f>IF(BK42&lt;&gt;"",
    COUNTIFS(MATCH_INPUT!$K$22:$K$25,BK42),
0)</f>
        <v>1</v>
      </c>
      <c r="BP42" s="28">
        <f>IF(BK42&lt;&gt;"",
    COUNTIFS(MATCH_INPUT!$F$22:$F$25, BK42, MATCH_INPUT!$K$22:$K$25, "Draw") +
    COUNTIFS(MATCH_INPUT!$J$22:$J$25, BK42, MATCH_INPUT!$K$22:$K$25, "Draw"),
0)</f>
        <v>1</v>
      </c>
      <c r="BQ42" s="28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0</v>
      </c>
      <c r="BR42" s="29"/>
      <c r="BS42" s="29"/>
      <c r="BT42" s="20"/>
      <c r="BU42" s="30">
        <f t="shared" si="120"/>
        <v>2</v>
      </c>
      <c r="BV42" s="31" t="str">
        <f t="shared" si="30"/>
        <v>↑</v>
      </c>
      <c r="BW42" s="38"/>
      <c r="BX42" s="32">
        <f t="shared" si="31"/>
        <v>17</v>
      </c>
      <c r="BY42" s="22">
        <f t="shared" si="32"/>
        <v>0</v>
      </c>
      <c r="BZ42" s="22">
        <f>SUM(CA42*2)+(CB42*1) + SUMIFS(MATCH_INPUT!$G$26:$G$29, MATCH_INPUT!$F$26:$F$29, BW42) + SUMIFS(MATCH_INPUT!$I$26:$I$29, MATCH_INPUT!$J$26:$J$29, BW42)
</f>
        <v>0</v>
      </c>
      <c r="CA42" s="22">
        <f>IF(BW42&lt;&gt;"",
    COUNTIFS(MATCH_INPUT!$K$26:$K$29,BW42),
0)</f>
        <v>0</v>
      </c>
      <c r="CB42" s="22">
        <f>IF(BW42&lt;&gt;"",
    COUNTIFS(MATCH_INPUT!$F$26:$F$29, BW42, MATCH_INPUT!$K$26:$K$29, "Draw") +
    COUNTIFS(MATCH_INPUT!$J$26:$J$29, BW42, MATCH_INPUT!$K$26:$K$29, "Draw"),
0)</f>
        <v>0</v>
      </c>
      <c r="CC42" s="22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3"/>
      <c r="CE42" s="23"/>
      <c r="CF42" s="33"/>
      <c r="CG42" s="25">
        <f t="shared" si="121"/>
        <v>4</v>
      </c>
      <c r="CH42" s="26" t="str">
        <f t="shared" si="34"/>
        <v>↓</v>
      </c>
      <c r="CI42" s="27" t="s">
        <v>140</v>
      </c>
      <c r="CJ42" s="28">
        <f t="shared" si="35"/>
        <v>22</v>
      </c>
      <c r="CK42" s="28">
        <f t="shared" si="36"/>
        <v>2</v>
      </c>
      <c r="CL42" s="28">
        <f>SUM(CM42*2)+(CN42*1) + SUMIFS(MATCH_INPUT!$G$30:$G$33, MATCH_INPUT!$F$30:$F$33, CI42) + SUMIFS(MATCH_INPUT!$I$30:$I$33, MATCH_INPUT!$J$30:$J$33, CI42)
</f>
        <v>2</v>
      </c>
      <c r="CM42" s="28">
        <f>IF(CI42&lt;&gt;"",
    COUNTIFS(MATCH_INPUT!$K$30:$K$33,CI42),
0)</f>
        <v>0</v>
      </c>
      <c r="CN42" s="28">
        <f>IF(CI42&lt;&gt;"",
    COUNTIFS(MATCH_INPUT!$F$30:$F$33, CI42, MATCH_INPUT!$K$30:$K$33, "Draw") +
    COUNTIFS(MATCH_INPUT!$J$30:$J$33, CI42, MATCH_INPUT!$K$30:$K$33, "Draw"),
0)</f>
        <v>1</v>
      </c>
      <c r="CO42" s="28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1</v>
      </c>
      <c r="CP42" s="29"/>
      <c r="CQ42" s="29">
        <v>1.0</v>
      </c>
      <c r="CR42" s="20"/>
      <c r="CS42" s="34">
        <f t="shared" si="122"/>
        <v>4</v>
      </c>
      <c r="CT42" s="34" t="str">
        <f t="shared" si="38"/>
        <v>=</v>
      </c>
      <c r="CU42" s="35">
        <f t="shared" si="39"/>
        <v>13</v>
      </c>
      <c r="CV42" s="35" t="str">
        <f t="shared" ref="CV42:CW42" si="127">A42</f>
        <v>🔁</v>
      </c>
      <c r="CW42" s="36" t="str">
        <f t="shared" si="127"/>
        <v>(Nicolas)</v>
      </c>
      <c r="CX42" s="36">
        <f t="shared" si="41"/>
        <v>22</v>
      </c>
      <c r="CY42" s="35">
        <f>SUM(
  IF(AND('MATCH DATES'!$A$2 &lt;= TODAY(), NOW() &gt;= 'MATCH DATES'!$A$2 + TIME(22, 0, 0)), E42, 0),
  IF(AND('MATCH DATES'!$A$3 &lt;= TODAY(), NOW() &gt;= 'MATCH DATES'!$A$3 + TIME(22, 0, 0)), Q42, 0),
  IF(AND('MATCH DATES'!$A$4 &lt;= TODAY(), NOW() &gt;= 'MATCH DATES'!$A$4 + TIME(22, 0, 0)), AC42, 0),
  IF(AND('MATCH DATES'!$A$5 &lt;= TODAY(), NOW() &gt;= 'MATCH DATES'!$A$5 + TIME(22, 0, 0)), AO42, 0),
  IF(AND('MATCH DATES'!$A$6 &lt;= TODAY(), NOW() &gt;= 'MATCH DATES'!$A$6 + TIME(22, 0, 0)), BA42, 0),
  IF(AND('MATCH DATES'!$A$7 &lt;= TODAY(), NOW() &gt;= 'MATCH DATES'!$A$7 + TIME(22, 0, 0)), BM42, 0),
  IF(AND('MATCH DATES'!$A$8 &lt;= TODAY(), NOW() &gt;= 'MATCH DATES'!$A$8 + TIME(22, 0, 0)), BY42, 0),
  IF(AND('MATCH DATES'!$A$9 &lt;= TODAY(), NOW() &gt;= 'MATCH DATES'!$A$9 + TIME(22, 0, 0)), CK42, 0)
)
</f>
        <v>8</v>
      </c>
      <c r="CZ42" s="36">
        <f t="shared" ref="CZ42:DA42" si="128">SUM(G42,S42,AE42,AQ42,BC42,BO42,CA42,CM42)</f>
        <v>2</v>
      </c>
      <c r="DA42" s="36">
        <f t="shared" si="128"/>
        <v>3</v>
      </c>
      <c r="DB42" s="36">
        <f>SUM(
  IF(AND('MATCH DATES'!$A$2 &lt;= TODAY(), NOW() &gt;= 'MATCH DATES'!$A$2 + TIME(22, 0, 0)), I42, 0),
  IF(AND('MATCH DATES'!$A$3 &lt;= TODAY(), NOW() &gt;= 'MATCH DATES'!$A$3 + TIME(22, 0, 0)), U42, 0),
  IF(AND('MATCH DATES'!$A$4 &lt;= TODAY(), NOW() &gt;= 'MATCH DATES'!$A$4 + TIME(22, 0, 0)), AG42, 0),
  IF(AND('MATCH DATES'!$A$5 &lt;= TODAY(), NOW() &gt;= 'MATCH DATES'!$A$5 + TIME(22, 0, 0)), AS42, 0),
  IF(AND('MATCH DATES'!$A$6 &lt;= TODAY(), NOW() &gt;= 'MATCH DATES'!$A$6 + TIME(22, 0, 0)), BE42, 0),
  IF(AND('MATCH DATES'!$A$7 &lt;= TODAY(), NOW() &gt;= 'MATCH DATES'!$A$7 + TIME(22, 0, 0)), BQ42, 0),
  IF(AND('MATCH DATES'!$A$8 &lt;= TODAY(), NOW() &gt;= 'MATCH DATES'!$A$8 + TIME(22, 0, 0)), CC42, 0),
  IF(AND('MATCH DATES'!$A$9 &lt;= TODAY(), NOW() &gt;= 'MATCH DATES'!$A$9 + TIME(22, 0, 0)), CO42, 0)
)</f>
        <v>3</v>
      </c>
      <c r="DD42" s="36">
        <f t="shared" si="43"/>
        <v>1</v>
      </c>
      <c r="DF42" s="36">
        <f t="shared" si="44"/>
        <v>0</v>
      </c>
    </row>
    <row r="43" ht="24.75" customHeight="1">
      <c r="A43" s="19" t="s">
        <v>178</v>
      </c>
      <c r="B43" s="20" t="s">
        <v>183</v>
      </c>
      <c r="C43" s="38"/>
      <c r="D43" s="22">
        <f t="shared" si="3"/>
        <v>0</v>
      </c>
      <c r="E43" s="22">
        <f t="shared" si="4"/>
        <v>0</v>
      </c>
      <c r="F43" s="22">
        <f t="shared" si="5"/>
        <v>0</v>
      </c>
      <c r="G43" s="22">
        <f>IF(C43&lt;&gt;"",
    COUNTIFS(MATCH_INPUT!$K$2:$K$5,C43),
0)</f>
        <v>0</v>
      </c>
      <c r="H43" s="22">
        <f>IF(C43&lt;&gt;"",
    COUNTIFS(MATCH_INPUT!$F$2:$F$5, C43, MATCH_INPUT!$K$2:$K$5, "Draw") +
    COUNTIFS(MATCH_INPUT!$J$2:$J$5, C43, MATCH_INPUT!$K$2:$K$5, "Draw"),
0)</f>
        <v>0</v>
      </c>
      <c r="I43" s="22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3"/>
      <c r="K43" s="23"/>
      <c r="L43" s="24"/>
      <c r="M43" s="25">
        <f t="shared" si="115"/>
        <v>3</v>
      </c>
      <c r="N43" s="26" t="str">
        <f t="shared" si="7"/>
        <v>↓</v>
      </c>
      <c r="O43" s="27"/>
      <c r="P43" s="28">
        <f t="shared" si="8"/>
        <v>0</v>
      </c>
      <c r="Q43" s="28">
        <f t="shared" si="9"/>
        <v>0</v>
      </c>
      <c r="R43" s="28">
        <f t="shared" si="10"/>
        <v>0</v>
      </c>
      <c r="S43" s="28">
        <f>IF(O43&lt;&gt;"",
    COUNTIFS(MATCH_INPUT!$K$6:$K$9,O43),
0)</f>
        <v>0</v>
      </c>
      <c r="T43" s="28">
        <f>IF(O43&lt;&gt;"",
    COUNTIFS(MATCH_INPUT!$F$6:$F$9, O43, MATCH_INPUT!$K$6:$K$9, "Draw") +
    COUNTIFS(MATCH_INPUT!$J$6:$J$9, O43, MATCH_INPUT!$K$6:$K$9, "Draw"),
0)</f>
        <v>0</v>
      </c>
      <c r="U43" s="28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29"/>
      <c r="W43" s="29"/>
      <c r="X43" s="20"/>
      <c r="Y43" s="30">
        <f t="shared" si="116"/>
        <v>4</v>
      </c>
      <c r="Z43" s="31" t="str">
        <f t="shared" si="12"/>
        <v>↓</v>
      </c>
      <c r="AA43" s="21"/>
      <c r="AB43" s="32">
        <f t="shared" si="13"/>
        <v>0</v>
      </c>
      <c r="AC43" s="22">
        <f t="shared" si="14"/>
        <v>0</v>
      </c>
      <c r="AD43" s="22">
        <f t="shared" si="15"/>
        <v>0</v>
      </c>
      <c r="AE43" s="22">
        <f>IF(AA43&lt;&gt;"",
    COUNTIFS(MATCH_INPUT!$K$10:$K$13,AA43),
0)</f>
        <v>0</v>
      </c>
      <c r="AF43" s="22">
        <f>IF(AA43&lt;&gt;"",
    COUNTIFS(MATCH_INPUT!$F$10:$F$13, AA43, MATCH_INPUT!$K$10:$K$13, "Draw") +
    COUNTIFS(MATCH_INPUT!$J$10:$J$13, AA43, MATCH_INPUT!$K$10:$K$13, "Draw"),
0)</f>
        <v>0</v>
      </c>
      <c r="AG43" s="22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3"/>
      <c r="AI43" s="23"/>
      <c r="AJ43" s="33"/>
      <c r="AK43" s="25">
        <f t="shared" si="117"/>
        <v>6</v>
      </c>
      <c r="AL43" s="26" t="str">
        <f t="shared" si="17"/>
        <v>↓</v>
      </c>
      <c r="AM43" s="27" t="s">
        <v>139</v>
      </c>
      <c r="AN43" s="28">
        <f t="shared" si="18"/>
        <v>3</v>
      </c>
      <c r="AO43" s="28">
        <f t="shared" si="19"/>
        <v>2</v>
      </c>
      <c r="AP43" s="28">
        <f t="shared" si="20"/>
        <v>1</v>
      </c>
      <c r="AQ43" s="28">
        <f>IF(AM43&lt;&gt;"",
    COUNTIFS(MATCH_INPUT!$K$14:$K$17,AM43),
0)</f>
        <v>0</v>
      </c>
      <c r="AR43" s="28">
        <f>IF(AM43&lt;&gt;"",
    COUNTIFS(MATCH_INPUT!$F$14:$F$17, AM43, MATCH_INPUT!$K$14:$K$17, "Draw") +
    COUNTIFS(MATCH_INPUT!$J$14:$J$17, AM43, MATCH_INPUT!$K$14:$K$17, "Draw"),
0)</f>
        <v>1</v>
      </c>
      <c r="AS43" s="28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1</v>
      </c>
      <c r="AT43" s="29">
        <v>1.0</v>
      </c>
      <c r="AU43" s="29"/>
      <c r="AV43" s="20"/>
      <c r="AW43" s="30">
        <f t="shared" si="118"/>
        <v>5</v>
      </c>
      <c r="AX43" s="31" t="str">
        <f t="shared" si="22"/>
        <v>↑</v>
      </c>
      <c r="AY43" s="21" t="s">
        <v>141</v>
      </c>
      <c r="AZ43" s="32">
        <f t="shared" si="23"/>
        <v>15</v>
      </c>
      <c r="BA43" s="22">
        <f t="shared" si="24"/>
        <v>2</v>
      </c>
      <c r="BB43" s="22">
        <f>SUM(BC43*2) + (BD43*1) + SUMIFS(MATCH_INPUT!$G$18:$G$21, MATCH_INPUT!$F$18:$F$21, AY43) + SUMIFS(MATCH_INPUT!$I$18:$I$21, MATCH_INPUT!$J$18:$J$21, AY43)
</f>
        <v>10</v>
      </c>
      <c r="BC43" s="22">
        <f>IF(AY43&lt;&gt;"",
    COUNTIFS(MATCH_INPUT!$K$18:$K$21,AY43),
0)</f>
        <v>2</v>
      </c>
      <c r="BD43" s="22">
        <f>IF(AY43&lt;&gt;"",
    COUNTIFS(MATCH_INPUT!$F$18:$F$21, AY43, MATCH_INPUT!$K$18:$K$21, "Draw") +
    COUNTIFS(MATCH_INPUT!$J$18:$J$21, AY43, MATCH_INPUT!$K$18:$K$21, "Draw"),
0)</f>
        <v>0</v>
      </c>
      <c r="BE43" s="22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3"/>
      <c r="BG43" s="23"/>
      <c r="BH43" s="33"/>
      <c r="BI43" s="25">
        <f t="shared" si="119"/>
        <v>2</v>
      </c>
      <c r="BJ43" s="26" t="str">
        <f t="shared" si="26"/>
        <v>↑</v>
      </c>
      <c r="BK43" s="27"/>
      <c r="BL43" s="28">
        <f t="shared" si="27"/>
        <v>15</v>
      </c>
      <c r="BM43" s="28">
        <f t="shared" si="28"/>
        <v>0</v>
      </c>
      <c r="BN43" s="28">
        <f>SUM(BO43*2) + (BP43*1) + SUMIFS(MATCH_INPUT!$G$22:$G$25, MATCH_INPUT!$F$22:$F$25, BK43) + SUMIFS(MATCH_INPUT!$I$22:$I$25, MATCH_INPUT!$J$22:$J$25, BK43)
</f>
        <v>0</v>
      </c>
      <c r="BO43" s="28">
        <f>IF(BK43&lt;&gt;"",
    COUNTIFS(MATCH_INPUT!$K$22:$K$25,BK43),
0)</f>
        <v>0</v>
      </c>
      <c r="BP43" s="28">
        <f>IF(BK43&lt;&gt;"",
    COUNTIFS(MATCH_INPUT!$F$22:$F$25, BK43, MATCH_INPUT!$K$22:$K$25, "Draw") +
    COUNTIFS(MATCH_INPUT!$J$22:$J$25, BK43, MATCH_INPUT!$K$22:$K$25, "Draw"),
0)</f>
        <v>0</v>
      </c>
      <c r="BQ43" s="28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0</v>
      </c>
      <c r="BR43" s="29"/>
      <c r="BS43" s="29"/>
      <c r="BT43" s="20"/>
      <c r="BU43" s="30">
        <f t="shared" si="120"/>
        <v>4</v>
      </c>
      <c r="BV43" s="31" t="str">
        <f t="shared" si="30"/>
        <v>↓</v>
      </c>
      <c r="BW43" s="21"/>
      <c r="BX43" s="32">
        <f t="shared" si="31"/>
        <v>15</v>
      </c>
      <c r="BY43" s="22">
        <f t="shared" si="32"/>
        <v>0</v>
      </c>
      <c r="BZ43" s="22">
        <f>SUM(CA43*2)+(CB43*1) + SUMIFS(MATCH_INPUT!$G$26:$G$29, MATCH_INPUT!$F$26:$F$29, BW43) + SUMIFS(MATCH_INPUT!$I$26:$I$29, MATCH_INPUT!$J$26:$J$29, BW43)
</f>
        <v>0</v>
      </c>
      <c r="CA43" s="22">
        <f>IF(BW43&lt;&gt;"",
    COUNTIFS(MATCH_INPUT!$K$26:$K$29,BW43),
0)</f>
        <v>0</v>
      </c>
      <c r="CB43" s="22">
        <f>IF(BW43&lt;&gt;"",
    COUNTIFS(MATCH_INPUT!$F$26:$F$29, BW43, MATCH_INPUT!$K$26:$K$29, "Draw") +
    COUNTIFS(MATCH_INPUT!$J$26:$J$29, BW43, MATCH_INPUT!$K$26:$K$29, "Draw"),
0)</f>
        <v>0</v>
      </c>
      <c r="CC43" s="22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3"/>
      <c r="CE43" s="23"/>
      <c r="CF43" s="33"/>
      <c r="CG43" s="25">
        <f t="shared" si="121"/>
        <v>7</v>
      </c>
      <c r="CH43" s="26" t="str">
        <f t="shared" si="34"/>
        <v>↓</v>
      </c>
      <c r="CI43" s="27" t="s">
        <v>139</v>
      </c>
      <c r="CJ43" s="28">
        <f t="shared" si="35"/>
        <v>19</v>
      </c>
      <c r="CK43" s="28">
        <f t="shared" si="36"/>
        <v>2</v>
      </c>
      <c r="CL43" s="28">
        <f>SUM(CM43*2)+(CN43*1) + SUMIFS(MATCH_INPUT!$G$30:$G$33, MATCH_INPUT!$F$30:$F$33, CI43) + SUMIFS(MATCH_INPUT!$I$30:$I$33, MATCH_INPUT!$J$30:$J$33, CI43)
</f>
        <v>2</v>
      </c>
      <c r="CM43" s="28">
        <f>IF(CI43&lt;&gt;"",
    COUNTIFS(MATCH_INPUT!$K$30:$K$33,CI43),
0)</f>
        <v>0</v>
      </c>
      <c r="CN43" s="28">
        <f>IF(CI43&lt;&gt;"",
    COUNTIFS(MATCH_INPUT!$F$30:$F$33, CI43, MATCH_INPUT!$K$30:$K$33, "Draw") +
    COUNTIFS(MATCH_INPUT!$J$30:$J$33, CI43, MATCH_INPUT!$K$30:$K$33, "Draw"),
0)</f>
        <v>1</v>
      </c>
      <c r="CO43" s="28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1</v>
      </c>
      <c r="CP43" s="29"/>
      <c r="CQ43" s="29"/>
      <c r="CR43" s="20"/>
      <c r="CS43" s="34">
        <f t="shared" si="122"/>
        <v>5</v>
      </c>
      <c r="CT43" s="34" t="str">
        <f t="shared" si="38"/>
        <v>↑</v>
      </c>
      <c r="CU43" s="35">
        <f t="shared" si="39"/>
        <v>13</v>
      </c>
      <c r="CV43" s="35" t="str">
        <f t="shared" ref="CV43:CW43" si="129">A43</f>
        <v>🔁</v>
      </c>
      <c r="CW43" s="36" t="str">
        <f t="shared" si="129"/>
        <v>(Jhony S)</v>
      </c>
      <c r="CX43" s="36">
        <f t="shared" si="41"/>
        <v>19</v>
      </c>
      <c r="CY43" s="35">
        <f>SUM(
  IF(AND('MATCH DATES'!$A$2 &lt;= TODAY(), NOW() &gt;= 'MATCH DATES'!$A$2 + TIME(22, 0, 0)), E43, 0),
  IF(AND('MATCH DATES'!$A$3 &lt;= TODAY(), NOW() &gt;= 'MATCH DATES'!$A$3 + TIME(22, 0, 0)), Q43, 0),
  IF(AND('MATCH DATES'!$A$4 &lt;= TODAY(), NOW() &gt;= 'MATCH DATES'!$A$4 + TIME(22, 0, 0)), AC43, 0),
  IF(AND('MATCH DATES'!$A$5 &lt;= TODAY(), NOW() &gt;= 'MATCH DATES'!$A$5 + TIME(22, 0, 0)), AO43, 0),
  IF(AND('MATCH DATES'!$A$6 &lt;= TODAY(), NOW() &gt;= 'MATCH DATES'!$A$6 + TIME(22, 0, 0)), BA43, 0),
  IF(AND('MATCH DATES'!$A$7 &lt;= TODAY(), NOW() &gt;= 'MATCH DATES'!$A$7 + TIME(22, 0, 0)), BM43, 0),
  IF(AND('MATCH DATES'!$A$8 &lt;= TODAY(), NOW() &gt;= 'MATCH DATES'!$A$8 + TIME(22, 0, 0)), BY43, 0),
  IF(AND('MATCH DATES'!$A$9 &lt;= TODAY(), NOW() &gt;= 'MATCH DATES'!$A$9 + TIME(22, 0, 0)), CK43, 0)
)
</f>
        <v>6</v>
      </c>
      <c r="CZ43" s="36">
        <f t="shared" ref="CZ43:DA43" si="130">SUM(G43,S43,AE43,AQ43,BC43,BO43,CA43,CM43)</f>
        <v>2</v>
      </c>
      <c r="DA43" s="36">
        <f t="shared" si="130"/>
        <v>2</v>
      </c>
      <c r="DB43" s="36">
        <f>SUM(
  IF(AND('MATCH DATES'!$A$2 &lt;= TODAY(), NOW() &gt;= 'MATCH DATES'!$A$2 + TIME(22, 0, 0)), I43, 0),
  IF(AND('MATCH DATES'!$A$3 &lt;= TODAY(), NOW() &gt;= 'MATCH DATES'!$A$3 + TIME(22, 0, 0)), U43, 0),
  IF(AND('MATCH DATES'!$A$4 &lt;= TODAY(), NOW() &gt;= 'MATCH DATES'!$A$4 + TIME(22, 0, 0)), AG43, 0),
  IF(AND('MATCH DATES'!$A$5 &lt;= TODAY(), NOW() &gt;= 'MATCH DATES'!$A$5 + TIME(22, 0, 0)), AS43, 0),
  IF(AND('MATCH DATES'!$A$6 &lt;= TODAY(), NOW() &gt;= 'MATCH DATES'!$A$6 + TIME(22, 0, 0)), BE43, 0),
  IF(AND('MATCH DATES'!$A$7 &lt;= TODAY(), NOW() &gt;= 'MATCH DATES'!$A$7 + TIME(22, 0, 0)), BQ43, 0),
  IF(AND('MATCH DATES'!$A$8 &lt;= TODAY(), NOW() &gt;= 'MATCH DATES'!$A$8 + TIME(22, 0, 0)), CC43, 0),
  IF(AND('MATCH DATES'!$A$9 &lt;= TODAY(), NOW() &gt;= 'MATCH DATES'!$A$9 + TIME(22, 0, 0)), CO43, 0)
)</f>
        <v>2</v>
      </c>
      <c r="DD43" s="36">
        <f t="shared" si="43"/>
        <v>0</v>
      </c>
      <c r="DF43" s="36">
        <f t="shared" si="44"/>
        <v>0</v>
      </c>
    </row>
    <row r="44" ht="24.75" customHeight="1">
      <c r="A44" s="19" t="s">
        <v>178</v>
      </c>
      <c r="B44" s="20" t="s">
        <v>184</v>
      </c>
      <c r="C44" s="21"/>
      <c r="D44" s="22">
        <f t="shared" si="3"/>
        <v>0</v>
      </c>
      <c r="E44" s="22">
        <f t="shared" si="4"/>
        <v>0</v>
      </c>
      <c r="F44" s="22">
        <f t="shared" si="5"/>
        <v>0</v>
      </c>
      <c r="G44" s="22">
        <f>IF(C44&lt;&gt;"",
    COUNTIFS(MATCH_INPUT!$K$2:$K$5,C44),
0)</f>
        <v>0</v>
      </c>
      <c r="H44" s="22">
        <f>IF(C44&lt;&gt;"",
    COUNTIFS(MATCH_INPUT!$F$2:$F$5, C44, MATCH_INPUT!$K$2:$K$5, "Draw") +
    COUNTIFS(MATCH_INPUT!$J$2:$J$5, C44, MATCH_INPUT!$K$2:$K$5, "Draw"),
0)</f>
        <v>0</v>
      </c>
      <c r="I44" s="22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0</v>
      </c>
      <c r="J44" s="23"/>
      <c r="K44" s="23"/>
      <c r="L44" s="24"/>
      <c r="M44" s="25">
        <f t="shared" si="115"/>
        <v>3</v>
      </c>
      <c r="N44" s="26" t="str">
        <f t="shared" si="7"/>
        <v>↓</v>
      </c>
      <c r="O44" s="27"/>
      <c r="P44" s="28">
        <f t="shared" si="8"/>
        <v>0</v>
      </c>
      <c r="Q44" s="28">
        <f t="shared" si="9"/>
        <v>0</v>
      </c>
      <c r="R44" s="28">
        <f t="shared" si="10"/>
        <v>0</v>
      </c>
      <c r="S44" s="28">
        <f>IF(O44&lt;&gt;"",
    COUNTIFS(MATCH_INPUT!$K$6:$K$9,O44),
0)</f>
        <v>0</v>
      </c>
      <c r="T44" s="28">
        <f>IF(O44&lt;&gt;"",
    COUNTIFS(MATCH_INPUT!$F$6:$F$9, O44, MATCH_INPUT!$K$6:$K$9, "Draw") +
    COUNTIFS(MATCH_INPUT!$J$6:$J$9, O44, MATCH_INPUT!$K$6:$K$9, "Draw"),
0)</f>
        <v>0</v>
      </c>
      <c r="U44" s="28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29"/>
      <c r="W44" s="29"/>
      <c r="X44" s="20"/>
      <c r="Y44" s="30">
        <f t="shared" si="116"/>
        <v>4</v>
      </c>
      <c r="Z44" s="31" t="str">
        <f t="shared" si="12"/>
        <v>↓</v>
      </c>
      <c r="AA44" s="21"/>
      <c r="AB44" s="32">
        <f t="shared" si="13"/>
        <v>0</v>
      </c>
      <c r="AC44" s="22">
        <f t="shared" si="14"/>
        <v>0</v>
      </c>
      <c r="AD44" s="22">
        <f t="shared" si="15"/>
        <v>0</v>
      </c>
      <c r="AE44" s="22">
        <f>IF(AA44&lt;&gt;"",
    COUNTIFS(MATCH_INPUT!$K$10:$K$13,AA44),
0)</f>
        <v>0</v>
      </c>
      <c r="AF44" s="22">
        <f>IF(AA44&lt;&gt;"",
    COUNTIFS(MATCH_INPUT!$F$10:$F$13, AA44, MATCH_INPUT!$K$10:$K$13, "Draw") +
    COUNTIFS(MATCH_INPUT!$J$10:$J$13, AA44, MATCH_INPUT!$K$10:$K$13, "Draw"),
0)</f>
        <v>0</v>
      </c>
      <c r="AG44" s="22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0</v>
      </c>
      <c r="AH44" s="23"/>
      <c r="AI44" s="23"/>
      <c r="AJ44" s="33"/>
      <c r="AK44" s="25">
        <f t="shared" si="117"/>
        <v>6</v>
      </c>
      <c r="AL44" s="26" t="str">
        <f t="shared" si="17"/>
        <v>↓</v>
      </c>
      <c r="AM44" s="27"/>
      <c r="AN44" s="28">
        <f t="shared" si="18"/>
        <v>0</v>
      </c>
      <c r="AO44" s="28">
        <f t="shared" si="19"/>
        <v>0</v>
      </c>
      <c r="AP44" s="28">
        <f t="shared" si="20"/>
        <v>0</v>
      </c>
      <c r="AQ44" s="28">
        <f>IF(AM44&lt;&gt;"",
    COUNTIFS(MATCH_INPUT!$K$14:$K$17,AM44),
0)</f>
        <v>0</v>
      </c>
      <c r="AR44" s="28">
        <f>IF(AM44&lt;&gt;"",
    COUNTIFS(MATCH_INPUT!$F$14:$F$17, AM44, MATCH_INPUT!$K$14:$K$17, "Draw") +
    COUNTIFS(MATCH_INPUT!$J$14:$J$17, AM44, MATCH_INPUT!$K$14:$K$17, "Draw"),
0)</f>
        <v>0</v>
      </c>
      <c r="AS44" s="28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0</v>
      </c>
      <c r="AT44" s="29"/>
      <c r="AU44" s="29"/>
      <c r="AV44" s="20"/>
      <c r="AW44" s="30">
        <f t="shared" si="118"/>
        <v>7</v>
      </c>
      <c r="AX44" s="31" t="str">
        <f t="shared" si="22"/>
        <v>↓</v>
      </c>
      <c r="AY44" s="21"/>
      <c r="AZ44" s="32">
        <f t="shared" si="23"/>
        <v>0</v>
      </c>
      <c r="BA44" s="22">
        <f t="shared" si="24"/>
        <v>0</v>
      </c>
      <c r="BB44" s="22">
        <f>SUM(BC44*2) + (BD44*1) + SUMIFS(MATCH_INPUT!$G$18:$G$21, MATCH_INPUT!$F$18:$F$21, AY44) + SUMIFS(MATCH_INPUT!$I$18:$I$21, MATCH_INPUT!$J$18:$J$21, AY44)
</f>
        <v>0</v>
      </c>
      <c r="BC44" s="22">
        <f>IF(AY44&lt;&gt;"",
    COUNTIFS(MATCH_INPUT!$K$18:$K$21,AY44),
0)</f>
        <v>0</v>
      </c>
      <c r="BD44" s="22">
        <f>IF(AY44&lt;&gt;"",
    COUNTIFS(MATCH_INPUT!$F$18:$F$21, AY44, MATCH_INPUT!$K$18:$K$21, "Draw") +
    COUNTIFS(MATCH_INPUT!$J$18:$J$21, AY44, MATCH_INPUT!$K$18:$K$21, "Draw"),
0)</f>
        <v>0</v>
      </c>
      <c r="BE44" s="22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3"/>
      <c r="BG44" s="23"/>
      <c r="BH44" s="33"/>
      <c r="BI44" s="25">
        <f t="shared" si="119"/>
        <v>11</v>
      </c>
      <c r="BJ44" s="26" t="str">
        <f t="shared" si="26"/>
        <v>↓</v>
      </c>
      <c r="BK44" s="27" t="s">
        <v>140</v>
      </c>
      <c r="BL44" s="28">
        <f t="shared" si="27"/>
        <v>6</v>
      </c>
      <c r="BM44" s="28">
        <f t="shared" si="28"/>
        <v>2</v>
      </c>
      <c r="BN44" s="28">
        <f>SUM(BO44*2) + (BP44*1) + SUMIFS(MATCH_INPUT!$G$22:$G$25, MATCH_INPUT!$F$22:$F$25, BK44) + SUMIFS(MATCH_INPUT!$I$22:$I$25, MATCH_INPUT!$J$22:$J$25, BK44)
</f>
        <v>4</v>
      </c>
      <c r="BO44" s="28">
        <f>IF(BK44&lt;&gt;"",
    COUNTIFS(MATCH_INPUT!$K$22:$K$25,BK44),
0)</f>
        <v>0</v>
      </c>
      <c r="BP44" s="28">
        <f>IF(BK44&lt;&gt;"",
    COUNTIFS(MATCH_INPUT!$F$22:$F$25, BK44, MATCH_INPUT!$K$22:$K$25, "Draw") +
    COUNTIFS(MATCH_INPUT!$J$22:$J$25, BK44, MATCH_INPUT!$K$22:$K$25, "Draw"),
0)</f>
        <v>2</v>
      </c>
      <c r="BQ44" s="28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0</v>
      </c>
      <c r="BR44" s="29"/>
      <c r="BS44" s="29"/>
      <c r="BT44" s="20"/>
      <c r="BU44" s="30">
        <f t="shared" si="120"/>
        <v>9</v>
      </c>
      <c r="BV44" s="31" t="str">
        <f t="shared" si="30"/>
        <v>↑</v>
      </c>
      <c r="BW44" s="21" t="s">
        <v>141</v>
      </c>
      <c r="BX44" s="32">
        <f t="shared" si="31"/>
        <v>15</v>
      </c>
      <c r="BY44" s="22">
        <f t="shared" si="32"/>
        <v>2</v>
      </c>
      <c r="BZ44" s="22">
        <f>SUM(CA44*2)+(CB44*1) + SUMIFS(MATCH_INPUT!$G$26:$G$29, MATCH_INPUT!$F$26:$F$29, BW44) + SUMIFS(MATCH_INPUT!$I$26:$I$29, MATCH_INPUT!$J$26:$J$29, BW44)
</f>
        <v>7</v>
      </c>
      <c r="CA44" s="22">
        <f>IF(BW44&lt;&gt;"",
    COUNTIFS(MATCH_INPUT!$K$26:$K$29,BW44),
0)</f>
        <v>1</v>
      </c>
      <c r="CB44" s="22">
        <f>IF(BW44&lt;&gt;"",
    COUNTIFS(MATCH_INPUT!$F$26:$F$29, BW44, MATCH_INPUT!$K$26:$K$29, "Draw") +
    COUNTIFS(MATCH_INPUT!$J$26:$J$29, BW44, MATCH_INPUT!$K$26:$K$29, "Draw"),
0)</f>
        <v>1</v>
      </c>
      <c r="CC44" s="22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3">
        <v>1.0</v>
      </c>
      <c r="CE44" s="23"/>
      <c r="CF44" s="33"/>
      <c r="CG44" s="25">
        <f t="shared" si="121"/>
        <v>7</v>
      </c>
      <c r="CH44" s="26" t="str">
        <f t="shared" si="34"/>
        <v>↑</v>
      </c>
      <c r="CI44" s="27" t="s">
        <v>139</v>
      </c>
      <c r="CJ44" s="28">
        <f t="shared" si="35"/>
        <v>19</v>
      </c>
      <c r="CK44" s="28">
        <f t="shared" si="36"/>
        <v>2</v>
      </c>
      <c r="CL44" s="28">
        <f>SUM(CM44*2)+(CN44*1) + SUMIFS(MATCH_INPUT!$G$30:$G$33, MATCH_INPUT!$F$30:$F$33, CI44) + SUMIFS(MATCH_INPUT!$I$30:$I$33, MATCH_INPUT!$J$30:$J$33, CI44)
</f>
        <v>2</v>
      </c>
      <c r="CM44" s="28">
        <f>IF(CI44&lt;&gt;"",
    COUNTIFS(MATCH_INPUT!$K$30:$K$33,CI44),
0)</f>
        <v>0</v>
      </c>
      <c r="CN44" s="28">
        <f>IF(CI44&lt;&gt;"",
    COUNTIFS(MATCH_INPUT!$F$30:$F$33, CI44, MATCH_INPUT!$K$30:$K$33, "Draw") +
    COUNTIFS(MATCH_INPUT!$J$30:$J$33, CI44, MATCH_INPUT!$K$30:$K$33, "Draw"),
0)</f>
        <v>1</v>
      </c>
      <c r="CO44" s="28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1</v>
      </c>
      <c r="CP44" s="29"/>
      <c r="CQ44" s="29"/>
      <c r="CR44" s="20"/>
      <c r="CS44" s="34">
        <f t="shared" si="122"/>
        <v>5</v>
      </c>
      <c r="CT44" s="34" t="str">
        <f t="shared" si="38"/>
        <v>↑</v>
      </c>
      <c r="CU44" s="35">
        <f t="shared" si="39"/>
        <v>13</v>
      </c>
      <c r="CV44" s="35" t="str">
        <f t="shared" ref="CV44:CW44" si="131">A44</f>
        <v>🔁</v>
      </c>
      <c r="CW44" s="36" t="str">
        <f t="shared" si="131"/>
        <v>(Saul)</v>
      </c>
      <c r="CX44" s="36">
        <f t="shared" si="41"/>
        <v>19</v>
      </c>
      <c r="CY44" s="35">
        <f>SUM(
  IF(AND('MATCH DATES'!$A$2 &lt;= TODAY(), NOW() &gt;= 'MATCH DATES'!$A$2 + TIME(22, 0, 0)), E44, 0),
  IF(AND('MATCH DATES'!$A$3 &lt;= TODAY(), NOW() &gt;= 'MATCH DATES'!$A$3 + TIME(22, 0, 0)), Q44, 0),
  IF(AND('MATCH DATES'!$A$4 &lt;= TODAY(), NOW() &gt;= 'MATCH DATES'!$A$4 + TIME(22, 0, 0)), AC44, 0),
  IF(AND('MATCH DATES'!$A$5 &lt;= TODAY(), NOW() &gt;= 'MATCH DATES'!$A$5 + TIME(22, 0, 0)), AO44, 0),
  IF(AND('MATCH DATES'!$A$6 &lt;= TODAY(), NOW() &gt;= 'MATCH DATES'!$A$6 + TIME(22, 0, 0)), BA44, 0),
  IF(AND('MATCH DATES'!$A$7 &lt;= TODAY(), NOW() &gt;= 'MATCH DATES'!$A$7 + TIME(22, 0, 0)), BM44, 0),
  IF(AND('MATCH DATES'!$A$8 &lt;= TODAY(), NOW() &gt;= 'MATCH DATES'!$A$8 + TIME(22, 0, 0)), BY44, 0),
  IF(AND('MATCH DATES'!$A$9 &lt;= TODAY(), NOW() &gt;= 'MATCH DATES'!$A$9 + TIME(22, 0, 0)), CK44, 0)
)
</f>
        <v>6</v>
      </c>
      <c r="CZ44" s="36">
        <f t="shared" ref="CZ44:DA44" si="132">SUM(G44,S44,AE44,AQ44,BC44,BO44,CA44,CM44)</f>
        <v>1</v>
      </c>
      <c r="DA44" s="36">
        <f t="shared" si="132"/>
        <v>4</v>
      </c>
      <c r="DB44" s="36">
        <f>SUM(
  IF(AND('MATCH DATES'!$A$2 &lt;= TODAY(), NOW() &gt;= 'MATCH DATES'!$A$2 + TIME(22, 0, 0)), I44, 0),
  IF(AND('MATCH DATES'!$A$3 &lt;= TODAY(), NOW() &gt;= 'MATCH DATES'!$A$3 + TIME(22, 0, 0)), U44, 0),
  IF(AND('MATCH DATES'!$A$4 &lt;= TODAY(), NOW() &gt;= 'MATCH DATES'!$A$4 + TIME(22, 0, 0)), AG44, 0),
  IF(AND('MATCH DATES'!$A$5 &lt;= TODAY(), NOW() &gt;= 'MATCH DATES'!$A$5 + TIME(22, 0, 0)), AS44, 0),
  IF(AND('MATCH DATES'!$A$6 &lt;= TODAY(), NOW() &gt;= 'MATCH DATES'!$A$6 + TIME(22, 0, 0)), BE44, 0),
  IF(AND('MATCH DATES'!$A$7 &lt;= TODAY(), NOW() &gt;= 'MATCH DATES'!$A$7 + TIME(22, 0, 0)), BQ44, 0),
  IF(AND('MATCH DATES'!$A$8 &lt;= TODAY(), NOW() &gt;= 'MATCH DATES'!$A$8 + TIME(22, 0, 0)), CC44, 0),
  IF(AND('MATCH DATES'!$A$9 &lt;= TODAY(), NOW() &gt;= 'MATCH DATES'!$A$9 + TIME(22, 0, 0)), CO44, 0)
)</f>
        <v>1</v>
      </c>
      <c r="DD44" s="36">
        <f t="shared" si="43"/>
        <v>0</v>
      </c>
      <c r="DF44" s="36">
        <f t="shared" si="44"/>
        <v>0</v>
      </c>
    </row>
    <row r="45" ht="24.75" customHeight="1">
      <c r="A45" s="19" t="s">
        <v>178</v>
      </c>
      <c r="B45" s="20" t="s">
        <v>185</v>
      </c>
      <c r="C45" s="40"/>
      <c r="D45" s="22">
        <f t="shared" si="3"/>
        <v>0</v>
      </c>
      <c r="E45" s="22">
        <f t="shared" si="4"/>
        <v>0</v>
      </c>
      <c r="F45" s="22">
        <f t="shared" si="5"/>
        <v>0</v>
      </c>
      <c r="G45" s="22">
        <f>IF(C45&lt;&gt;"",
    COUNTIFS(MATCH_INPUT!$K$2:$K$5,C45),
0)</f>
        <v>0</v>
      </c>
      <c r="H45" s="22">
        <f>IF(C45&lt;&gt;"",
    COUNTIFS(MATCH_INPUT!$F$2:$F$5, C45, MATCH_INPUT!$K$2:$K$5, "Draw") +
    COUNTIFS(MATCH_INPUT!$J$2:$J$5, C45, MATCH_INPUT!$K$2:$K$5, "Draw"),
0)</f>
        <v>0</v>
      </c>
      <c r="I45" s="22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3"/>
      <c r="K45" s="23"/>
      <c r="L45" s="24"/>
      <c r="M45" s="25">
        <f t="shared" si="115"/>
        <v>3</v>
      </c>
      <c r="N45" s="26" t="str">
        <f t="shared" si="7"/>
        <v>↓</v>
      </c>
      <c r="O45" s="27"/>
      <c r="P45" s="28">
        <f t="shared" si="8"/>
        <v>0</v>
      </c>
      <c r="Q45" s="28">
        <f t="shared" si="9"/>
        <v>0</v>
      </c>
      <c r="R45" s="28">
        <f t="shared" si="10"/>
        <v>0</v>
      </c>
      <c r="S45" s="28">
        <f>IF(O45&lt;&gt;"",
    COUNTIFS(MATCH_INPUT!$K$6:$K$9,O45),
0)</f>
        <v>0</v>
      </c>
      <c r="T45" s="28">
        <f>IF(O45&lt;&gt;"",
    COUNTIFS(MATCH_INPUT!$F$6:$F$9, O45, MATCH_INPUT!$K$6:$K$9, "Draw") +
    COUNTIFS(MATCH_INPUT!$J$6:$J$9, O45, MATCH_INPUT!$K$6:$K$9, "Draw"),
0)</f>
        <v>0</v>
      </c>
      <c r="U45" s="28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0</v>
      </c>
      <c r="V45" s="29"/>
      <c r="W45" s="29"/>
      <c r="X45" s="20"/>
      <c r="Y45" s="30">
        <f t="shared" si="116"/>
        <v>4</v>
      </c>
      <c r="Z45" s="31" t="str">
        <f t="shared" si="12"/>
        <v>↓</v>
      </c>
      <c r="AA45" s="21" t="s">
        <v>141</v>
      </c>
      <c r="AB45" s="32">
        <f t="shared" si="13"/>
        <v>6</v>
      </c>
      <c r="AC45" s="22">
        <f t="shared" si="14"/>
        <v>2</v>
      </c>
      <c r="AD45" s="22">
        <f t="shared" si="15"/>
        <v>3</v>
      </c>
      <c r="AE45" s="22">
        <f>IF(AA45&lt;&gt;"",
    COUNTIFS(MATCH_INPUT!$K$10:$K$13,AA45),
0)</f>
        <v>1</v>
      </c>
      <c r="AF45" s="22">
        <f>IF(AA45&lt;&gt;"",
    COUNTIFS(MATCH_INPUT!$F$10:$F$13, AA45, MATCH_INPUT!$K$10:$K$13, "Draw") +
    COUNTIFS(MATCH_INPUT!$J$10:$J$13, AA45, MATCH_INPUT!$K$10:$K$13, "Draw"),
0)</f>
        <v>1</v>
      </c>
      <c r="AG45" s="22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0</v>
      </c>
      <c r="AH45" s="23"/>
      <c r="AI45" s="23">
        <v>1.0</v>
      </c>
      <c r="AJ45" s="33"/>
      <c r="AK45" s="25">
        <f t="shared" si="117"/>
        <v>2</v>
      </c>
      <c r="AL45" s="26" t="str">
        <f t="shared" si="17"/>
        <v>↑</v>
      </c>
      <c r="AM45" s="27"/>
      <c r="AN45" s="28">
        <f t="shared" si="18"/>
        <v>6</v>
      </c>
      <c r="AO45" s="28">
        <f t="shared" si="19"/>
        <v>0</v>
      </c>
      <c r="AP45" s="28">
        <f t="shared" si="20"/>
        <v>0</v>
      </c>
      <c r="AQ45" s="28">
        <f>IF(AM45&lt;&gt;"",
    COUNTIFS(MATCH_INPUT!$K$14:$K$17,AM45),
0)</f>
        <v>0</v>
      </c>
      <c r="AR45" s="28">
        <f>IF(AM45&lt;&gt;"",
    COUNTIFS(MATCH_INPUT!$F$14:$F$17, AM45, MATCH_INPUT!$K$14:$K$17, "Draw") +
    COUNTIFS(MATCH_INPUT!$J$14:$J$17, AM45, MATCH_INPUT!$K$14:$K$17, "Draw"),
0)</f>
        <v>0</v>
      </c>
      <c r="AS45" s="28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0</v>
      </c>
      <c r="AT45" s="29"/>
      <c r="AU45" s="29"/>
      <c r="AV45" s="20"/>
      <c r="AW45" s="30">
        <f t="shared" si="118"/>
        <v>3</v>
      </c>
      <c r="AX45" s="31" t="str">
        <f t="shared" si="22"/>
        <v>↓</v>
      </c>
      <c r="AY45" s="21" t="s">
        <v>140</v>
      </c>
      <c r="AZ45" s="32">
        <f t="shared" si="23"/>
        <v>12</v>
      </c>
      <c r="BA45" s="22">
        <f t="shared" si="24"/>
        <v>2</v>
      </c>
      <c r="BB45" s="22">
        <f>SUM(BC45*2) + (BD45*1) + SUMIFS(MATCH_INPUT!$G$18:$G$21, MATCH_INPUT!$F$18:$F$21, AY45) + SUMIFS(MATCH_INPUT!$I$18:$I$21, MATCH_INPUT!$J$18:$J$21, AY45)
</f>
        <v>4</v>
      </c>
      <c r="BC45" s="22">
        <f>IF(AY45&lt;&gt;"",
    COUNTIFS(MATCH_INPUT!$K$18:$K$21,AY45),
0)</f>
        <v>0</v>
      </c>
      <c r="BD45" s="22">
        <f>IF(AY45&lt;&gt;"",
    COUNTIFS(MATCH_INPUT!$F$18:$F$21, AY45, MATCH_INPUT!$K$18:$K$21, "Draw") +
    COUNTIFS(MATCH_INPUT!$J$18:$J$21, AY45, MATCH_INPUT!$K$18:$K$21, "Draw"),
0)</f>
        <v>1</v>
      </c>
      <c r="BE45" s="22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1</v>
      </c>
      <c r="BF45" s="23"/>
      <c r="BG45" s="23"/>
      <c r="BH45" s="33"/>
      <c r="BI45" s="25">
        <f t="shared" si="119"/>
        <v>3</v>
      </c>
      <c r="BJ45" s="26" t="str">
        <f t="shared" si="26"/>
        <v>=</v>
      </c>
      <c r="BK45" s="41"/>
      <c r="BL45" s="28">
        <f t="shared" si="27"/>
        <v>12</v>
      </c>
      <c r="BM45" s="28">
        <f t="shared" si="28"/>
        <v>0</v>
      </c>
      <c r="BN45" s="28">
        <f>SUM(BO45*2) + (BP45*1) + SUMIFS(MATCH_INPUT!$G$22:$G$25, MATCH_INPUT!$F$22:$F$25, BK45) + SUMIFS(MATCH_INPUT!$I$22:$I$25, MATCH_INPUT!$J$22:$J$25, BK45)
</f>
        <v>0</v>
      </c>
      <c r="BO45" s="28">
        <f>IF(BK45&lt;&gt;"",
    COUNTIFS(MATCH_INPUT!$K$22:$K$25,BK45),
0)</f>
        <v>0</v>
      </c>
      <c r="BP45" s="28">
        <f>IF(BK45&lt;&gt;"",
    COUNTIFS(MATCH_INPUT!$F$22:$F$25, BK45, MATCH_INPUT!$K$22:$K$25, "Draw") +
    COUNTIFS(MATCH_INPUT!$J$22:$J$25, BK45, MATCH_INPUT!$K$22:$K$25, "Draw"),
0)</f>
        <v>0</v>
      </c>
      <c r="BQ45" s="28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29"/>
      <c r="BS45" s="29"/>
      <c r="BT45" s="20"/>
      <c r="BU45" s="30">
        <f t="shared" si="120"/>
        <v>5</v>
      </c>
      <c r="BV45" s="31" t="str">
        <f t="shared" si="30"/>
        <v>↓</v>
      </c>
      <c r="BW45" s="21" t="s">
        <v>140</v>
      </c>
      <c r="BX45" s="32">
        <f t="shared" si="31"/>
        <v>17</v>
      </c>
      <c r="BY45" s="22">
        <f t="shared" si="32"/>
        <v>2</v>
      </c>
      <c r="BZ45" s="22">
        <f>SUM(CA45*2)+(CB45*1) + SUMIFS(MATCH_INPUT!$G$26:$G$29, MATCH_INPUT!$F$26:$F$29, BW45) + SUMIFS(MATCH_INPUT!$I$26:$I$29, MATCH_INPUT!$J$26:$J$29, BW45)
</f>
        <v>3</v>
      </c>
      <c r="CA45" s="22">
        <f>IF(BW45&lt;&gt;"",
    COUNTIFS(MATCH_INPUT!$K$26:$K$29,BW45),
0)</f>
        <v>0</v>
      </c>
      <c r="CB45" s="22">
        <f>IF(BW45&lt;&gt;"",
    COUNTIFS(MATCH_INPUT!$F$26:$F$29, BW45, MATCH_INPUT!$K$26:$K$29, "Draw") +
    COUNTIFS(MATCH_INPUT!$J$26:$J$29, BW45, MATCH_INPUT!$K$26:$K$29, "Draw"),
0)</f>
        <v>1</v>
      </c>
      <c r="CC45" s="22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1</v>
      </c>
      <c r="CD45" s="23">
        <v>1.0</v>
      </c>
      <c r="CE45" s="23"/>
      <c r="CF45" s="33"/>
      <c r="CG45" s="25">
        <f t="shared" si="121"/>
        <v>4</v>
      </c>
      <c r="CH45" s="26" t="str">
        <f t="shared" si="34"/>
        <v>↑</v>
      </c>
      <c r="CI45" s="27"/>
      <c r="CJ45" s="28">
        <f t="shared" si="35"/>
        <v>17</v>
      </c>
      <c r="CK45" s="28">
        <f t="shared" si="36"/>
        <v>0</v>
      </c>
      <c r="CL45" s="28">
        <f>SUM(CM45*2)+(CN45*1) + SUMIFS(MATCH_INPUT!$G$30:$G$33, MATCH_INPUT!$F$30:$F$33, CI45) + SUMIFS(MATCH_INPUT!$I$30:$I$33, MATCH_INPUT!$J$30:$J$33, CI45)
</f>
        <v>0</v>
      </c>
      <c r="CM45" s="28">
        <f>IF(CI45&lt;&gt;"",
    COUNTIFS(MATCH_INPUT!$K$30:$K$33,CI45),
0)</f>
        <v>0</v>
      </c>
      <c r="CN45" s="28">
        <f>IF(CI45&lt;&gt;"",
    COUNTIFS(MATCH_INPUT!$F$30:$F$33, CI45, MATCH_INPUT!$K$30:$K$33, "Draw") +
    COUNTIFS(MATCH_INPUT!$J$30:$J$33, CI45, MATCH_INPUT!$K$30:$K$33, "Draw"),
0)</f>
        <v>0</v>
      </c>
      <c r="CO45" s="28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29"/>
      <c r="CQ45" s="29"/>
      <c r="CR45" s="20"/>
      <c r="CS45" s="34">
        <f t="shared" si="122"/>
        <v>7</v>
      </c>
      <c r="CT45" s="34" t="str">
        <f t="shared" si="38"/>
        <v>↓</v>
      </c>
      <c r="CU45" s="35">
        <f t="shared" si="39"/>
        <v>10</v>
      </c>
      <c r="CV45" s="35" t="str">
        <f t="shared" ref="CV45:CW45" si="133">A45</f>
        <v>🔁</v>
      </c>
      <c r="CW45" s="36" t="str">
        <f t="shared" si="133"/>
        <v>(Cuñis)</v>
      </c>
      <c r="CX45" s="36">
        <f t="shared" si="41"/>
        <v>17</v>
      </c>
      <c r="CY45" s="35">
        <f>SUM(
  IF(AND('MATCH DATES'!$A$2 &lt;= TODAY(), NOW() &gt;= 'MATCH DATES'!$A$2 + TIME(22, 0, 0)), E45, 0),
  IF(AND('MATCH DATES'!$A$3 &lt;= TODAY(), NOW() &gt;= 'MATCH DATES'!$A$3 + TIME(22, 0, 0)), Q45, 0),
  IF(AND('MATCH DATES'!$A$4 &lt;= TODAY(), NOW() &gt;= 'MATCH DATES'!$A$4 + TIME(22, 0, 0)), AC45, 0),
  IF(AND('MATCH DATES'!$A$5 &lt;= TODAY(), NOW() &gt;= 'MATCH DATES'!$A$5 + TIME(22, 0, 0)), AO45, 0),
  IF(AND('MATCH DATES'!$A$6 &lt;= TODAY(), NOW() &gt;= 'MATCH DATES'!$A$6 + TIME(22, 0, 0)), BA45, 0),
  IF(AND('MATCH DATES'!$A$7 &lt;= TODAY(), NOW() &gt;= 'MATCH DATES'!$A$7 + TIME(22, 0, 0)), BM45, 0),
  IF(AND('MATCH DATES'!$A$8 &lt;= TODAY(), NOW() &gt;= 'MATCH DATES'!$A$8 + TIME(22, 0, 0)), BY45, 0),
  IF(AND('MATCH DATES'!$A$9 &lt;= TODAY(), NOW() &gt;= 'MATCH DATES'!$A$9 + TIME(22, 0, 0)), CK45, 0)
)
</f>
        <v>6</v>
      </c>
      <c r="CZ45" s="36">
        <f t="shared" ref="CZ45:DA45" si="134">SUM(G45,S45,AE45,AQ45,BC45,BO45,CA45,CM45)</f>
        <v>1</v>
      </c>
      <c r="DA45" s="36">
        <f t="shared" si="134"/>
        <v>3</v>
      </c>
      <c r="DB45" s="36">
        <f>SUM(
  IF(AND('MATCH DATES'!$A$2 &lt;= TODAY(), NOW() &gt;= 'MATCH DATES'!$A$2 + TIME(22, 0, 0)), I45, 0),
  IF(AND('MATCH DATES'!$A$3 &lt;= TODAY(), NOW() &gt;= 'MATCH DATES'!$A$3 + TIME(22, 0, 0)), U45, 0),
  IF(AND('MATCH DATES'!$A$4 &lt;= TODAY(), NOW() &gt;= 'MATCH DATES'!$A$4 + TIME(22, 0, 0)), AG45, 0),
  IF(AND('MATCH DATES'!$A$5 &lt;= TODAY(), NOW() &gt;= 'MATCH DATES'!$A$5 + TIME(22, 0, 0)), AS45, 0),
  IF(AND('MATCH DATES'!$A$6 &lt;= TODAY(), NOW() &gt;= 'MATCH DATES'!$A$6 + TIME(22, 0, 0)), BE45, 0),
  IF(AND('MATCH DATES'!$A$7 &lt;= TODAY(), NOW() &gt;= 'MATCH DATES'!$A$7 + TIME(22, 0, 0)), BQ45, 0),
  IF(AND('MATCH DATES'!$A$8 &lt;= TODAY(), NOW() &gt;= 'MATCH DATES'!$A$8 + TIME(22, 0, 0)), CC45, 0),
  IF(AND('MATCH DATES'!$A$9 &lt;= TODAY(), NOW() &gt;= 'MATCH DATES'!$A$9 + TIME(22, 0, 0)), CO45, 0)
)</f>
        <v>2</v>
      </c>
      <c r="DD45" s="36">
        <f t="shared" si="43"/>
        <v>1</v>
      </c>
      <c r="DF45" s="36">
        <f t="shared" si="44"/>
        <v>0</v>
      </c>
    </row>
    <row r="46" ht="24.75" customHeight="1">
      <c r="A46" s="19" t="s">
        <v>178</v>
      </c>
      <c r="B46" s="20" t="s">
        <v>186</v>
      </c>
      <c r="C46" s="38"/>
      <c r="D46" s="22">
        <f t="shared" si="3"/>
        <v>0</v>
      </c>
      <c r="E46" s="22">
        <f t="shared" si="4"/>
        <v>0</v>
      </c>
      <c r="F46" s="22">
        <f t="shared" si="5"/>
        <v>0</v>
      </c>
      <c r="G46" s="22">
        <f>IF(C46&lt;&gt;"",
    COUNTIFS(MATCH_INPUT!$K$2:$K$5,C46),
0)</f>
        <v>0</v>
      </c>
      <c r="H46" s="22">
        <f>IF(C46&lt;&gt;"",
    COUNTIFS(MATCH_INPUT!$F$2:$F$5, C46, MATCH_INPUT!$K$2:$K$5, "Draw") +
    COUNTIFS(MATCH_INPUT!$J$2:$J$5, C46, MATCH_INPUT!$K$2:$K$5, "Draw"),
0)</f>
        <v>0</v>
      </c>
      <c r="I46" s="22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3"/>
      <c r="K46" s="23"/>
      <c r="L46" s="24"/>
      <c r="M46" s="25">
        <f t="shared" si="115"/>
        <v>3</v>
      </c>
      <c r="N46" s="26" t="str">
        <f t="shared" si="7"/>
        <v>↓</v>
      </c>
      <c r="O46" s="27"/>
      <c r="P46" s="28">
        <f t="shared" si="8"/>
        <v>0</v>
      </c>
      <c r="Q46" s="28">
        <f t="shared" si="9"/>
        <v>0</v>
      </c>
      <c r="R46" s="28">
        <f t="shared" si="10"/>
        <v>0</v>
      </c>
      <c r="S46" s="28">
        <f>IF(O46&lt;&gt;"",
    COUNTIFS(MATCH_INPUT!$K$6:$K$9,O46),
0)</f>
        <v>0</v>
      </c>
      <c r="T46" s="28">
        <f>IF(O46&lt;&gt;"",
    COUNTIFS(MATCH_INPUT!$F$6:$F$9, O46, MATCH_INPUT!$K$6:$K$9, "Draw") +
    COUNTIFS(MATCH_INPUT!$J$6:$J$9, O46, MATCH_INPUT!$K$6:$K$9, "Draw"),
0)</f>
        <v>0</v>
      </c>
      <c r="U46" s="28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29"/>
      <c r="W46" s="29"/>
      <c r="X46" s="20"/>
      <c r="Y46" s="30">
        <f t="shared" si="116"/>
        <v>4</v>
      </c>
      <c r="Z46" s="31" t="str">
        <f t="shared" si="12"/>
        <v>↓</v>
      </c>
      <c r="AA46" s="21"/>
      <c r="AB46" s="32">
        <f t="shared" si="13"/>
        <v>0</v>
      </c>
      <c r="AC46" s="22">
        <f t="shared" si="14"/>
        <v>0</v>
      </c>
      <c r="AD46" s="22">
        <f t="shared" si="15"/>
        <v>0</v>
      </c>
      <c r="AE46" s="22">
        <f>IF(AA46&lt;&gt;"",
    COUNTIFS(MATCH_INPUT!$K$10:$K$13,AA46),
0)</f>
        <v>0</v>
      </c>
      <c r="AF46" s="22">
        <f>IF(AA46&lt;&gt;"",
    COUNTIFS(MATCH_INPUT!$F$10:$F$13, AA46, MATCH_INPUT!$K$10:$K$13, "Draw") +
    COUNTIFS(MATCH_INPUT!$J$10:$J$13, AA46, MATCH_INPUT!$K$10:$K$13, "Draw"),
0)</f>
        <v>0</v>
      </c>
      <c r="AG46" s="22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3"/>
      <c r="AI46" s="23"/>
      <c r="AJ46" s="33"/>
      <c r="AK46" s="25">
        <f t="shared" si="117"/>
        <v>6</v>
      </c>
      <c r="AL46" s="26" t="str">
        <f t="shared" si="17"/>
        <v>↓</v>
      </c>
      <c r="AM46" s="27"/>
      <c r="AN46" s="28">
        <f t="shared" si="18"/>
        <v>0</v>
      </c>
      <c r="AO46" s="28">
        <f t="shared" si="19"/>
        <v>0</v>
      </c>
      <c r="AP46" s="28">
        <f t="shared" si="20"/>
        <v>0</v>
      </c>
      <c r="AQ46" s="28">
        <f>IF(AM46&lt;&gt;"",
    COUNTIFS(MATCH_INPUT!$K$14:$K$17,AM46),
0)</f>
        <v>0</v>
      </c>
      <c r="AR46" s="28">
        <f>IF(AM46&lt;&gt;"",
    COUNTIFS(MATCH_INPUT!$F$14:$F$17, AM46, MATCH_INPUT!$K$14:$K$17, "Draw") +
    COUNTIFS(MATCH_INPUT!$J$14:$J$17, AM46, MATCH_INPUT!$K$14:$K$17, "Draw"),
0)</f>
        <v>0</v>
      </c>
      <c r="AS46" s="28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0</v>
      </c>
      <c r="AT46" s="29"/>
      <c r="AU46" s="29"/>
      <c r="AV46" s="20"/>
      <c r="AW46" s="30">
        <f t="shared" si="118"/>
        <v>7</v>
      </c>
      <c r="AX46" s="31" t="str">
        <f t="shared" si="22"/>
        <v>↓</v>
      </c>
      <c r="AY46" s="21" t="s">
        <v>139</v>
      </c>
      <c r="AZ46" s="32">
        <f t="shared" si="23"/>
        <v>7</v>
      </c>
      <c r="BA46" s="22">
        <f t="shared" si="24"/>
        <v>2</v>
      </c>
      <c r="BB46" s="22">
        <f>SUM(BC46*2) + (BD46*1) + SUMIFS(MATCH_INPUT!$G$18:$G$21, MATCH_INPUT!$F$18:$F$21, AY46) + SUMIFS(MATCH_INPUT!$I$18:$I$21, MATCH_INPUT!$J$18:$J$21, AY46)
</f>
        <v>5</v>
      </c>
      <c r="BC46" s="22">
        <f>IF(AY46&lt;&gt;"",
    COUNTIFS(MATCH_INPUT!$K$18:$K$21,AY46),
0)</f>
        <v>0</v>
      </c>
      <c r="BD46" s="22">
        <f>IF(AY46&lt;&gt;"",
    COUNTIFS(MATCH_INPUT!$F$18:$F$21, AY46, MATCH_INPUT!$K$18:$K$21, "Draw") +
    COUNTIFS(MATCH_INPUT!$J$18:$J$21, AY46, MATCH_INPUT!$K$18:$K$21, "Draw"),
0)</f>
        <v>1</v>
      </c>
      <c r="BE46" s="22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1</v>
      </c>
      <c r="BF46" s="23"/>
      <c r="BG46" s="23"/>
      <c r="BH46" s="33"/>
      <c r="BI46" s="25">
        <f t="shared" si="119"/>
        <v>7</v>
      </c>
      <c r="BJ46" s="26" t="str">
        <f t="shared" si="26"/>
        <v>=</v>
      </c>
      <c r="BK46" s="37"/>
      <c r="BL46" s="28">
        <f t="shared" si="27"/>
        <v>7</v>
      </c>
      <c r="BM46" s="28">
        <f t="shared" si="28"/>
        <v>0</v>
      </c>
      <c r="BN46" s="28">
        <f>SUM(BO46*2) + (BP46*1) + SUMIFS(MATCH_INPUT!$G$22:$G$25, MATCH_INPUT!$F$22:$F$25, BK46) + SUMIFS(MATCH_INPUT!$I$22:$I$25, MATCH_INPUT!$J$22:$J$25, BK46)
</f>
        <v>0</v>
      </c>
      <c r="BO46" s="28">
        <f>IF(BK46&lt;&gt;"",
    COUNTIFS(MATCH_INPUT!$K$22:$K$25,BK46),
0)</f>
        <v>0</v>
      </c>
      <c r="BP46" s="28">
        <f>IF(BK46&lt;&gt;"",
    COUNTIFS(MATCH_INPUT!$F$22:$F$25, BK46, MATCH_INPUT!$K$22:$K$25, "Draw") +
    COUNTIFS(MATCH_INPUT!$J$22:$J$25, BK46, MATCH_INPUT!$K$22:$K$25, "Draw"),
0)</f>
        <v>0</v>
      </c>
      <c r="BQ46" s="28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0</v>
      </c>
      <c r="BR46" s="29"/>
      <c r="BS46" s="29"/>
      <c r="BT46" s="20"/>
      <c r="BU46" s="30">
        <f t="shared" si="120"/>
        <v>8</v>
      </c>
      <c r="BV46" s="31" t="str">
        <f t="shared" si="30"/>
        <v>↓</v>
      </c>
      <c r="BW46" s="21" t="s">
        <v>141</v>
      </c>
      <c r="BX46" s="32">
        <f t="shared" si="31"/>
        <v>16</v>
      </c>
      <c r="BY46" s="22">
        <f t="shared" si="32"/>
        <v>2</v>
      </c>
      <c r="BZ46" s="22">
        <f>SUM(CA46*2)+(CB46*1) + SUMIFS(MATCH_INPUT!$G$26:$G$29, MATCH_INPUT!$F$26:$F$29, BW46) + SUMIFS(MATCH_INPUT!$I$26:$I$29, MATCH_INPUT!$J$26:$J$29, BW46)
</f>
        <v>7</v>
      </c>
      <c r="CA46" s="22">
        <f>IF(BW46&lt;&gt;"",
    COUNTIFS(MATCH_INPUT!$K$26:$K$29,BW46),
0)</f>
        <v>1</v>
      </c>
      <c r="CB46" s="22">
        <f>IF(BW46&lt;&gt;"",
    COUNTIFS(MATCH_INPUT!$F$26:$F$29, BW46, MATCH_INPUT!$K$26:$K$29, "Draw") +
    COUNTIFS(MATCH_INPUT!$J$26:$J$29, BW46, MATCH_INPUT!$K$26:$K$29, "Draw"),
0)</f>
        <v>1</v>
      </c>
      <c r="CC46" s="22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3"/>
      <c r="CE46" s="23"/>
      <c r="CF46" s="33"/>
      <c r="CG46" s="25">
        <f t="shared" si="121"/>
        <v>6</v>
      </c>
      <c r="CH46" s="26" t="str">
        <f t="shared" si="34"/>
        <v>↑</v>
      </c>
      <c r="CI46" s="27"/>
      <c r="CJ46" s="28">
        <f t="shared" si="35"/>
        <v>16</v>
      </c>
      <c r="CK46" s="28">
        <f t="shared" si="36"/>
        <v>0</v>
      </c>
      <c r="CL46" s="28">
        <f>SUM(CM46*2)+(CN46*1) + SUMIFS(MATCH_INPUT!$G$30:$G$33, MATCH_INPUT!$F$30:$F$33, CI46) + SUMIFS(MATCH_INPUT!$I$30:$I$33, MATCH_INPUT!$J$30:$J$33, CI46)
</f>
        <v>0</v>
      </c>
      <c r="CM46" s="28">
        <f>IF(CI46&lt;&gt;"",
    COUNTIFS(MATCH_INPUT!$K$30:$K$33,CI46),
0)</f>
        <v>0</v>
      </c>
      <c r="CN46" s="28">
        <f>IF(CI46&lt;&gt;"",
    COUNTIFS(MATCH_INPUT!$F$30:$F$33, CI46, MATCH_INPUT!$K$30:$K$33, "Draw") +
    COUNTIFS(MATCH_INPUT!$J$30:$J$33, CI46, MATCH_INPUT!$K$30:$K$33, "Draw"),
0)</f>
        <v>0</v>
      </c>
      <c r="CO46" s="28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0</v>
      </c>
      <c r="CP46" s="29"/>
      <c r="CQ46" s="29"/>
      <c r="CR46" s="20"/>
      <c r="CS46" s="34">
        <f t="shared" si="122"/>
        <v>8</v>
      </c>
      <c r="CT46" s="34" t="str">
        <f t="shared" si="38"/>
        <v>↓</v>
      </c>
      <c r="CU46" s="35">
        <f t="shared" si="39"/>
        <v>12</v>
      </c>
      <c r="CV46" s="35" t="str">
        <f t="shared" ref="CV46:CW46" si="135">A46</f>
        <v>🔁</v>
      </c>
      <c r="CW46" s="36" t="str">
        <f t="shared" si="135"/>
        <v>(Víctor N)</v>
      </c>
      <c r="CX46" s="36">
        <f t="shared" si="41"/>
        <v>16</v>
      </c>
      <c r="CY46" s="35">
        <f>SUM(
  IF(AND('MATCH DATES'!$A$2 &lt;= TODAY(), NOW() &gt;= 'MATCH DATES'!$A$2 + TIME(22, 0, 0)), E46, 0),
  IF(AND('MATCH DATES'!$A$3 &lt;= TODAY(), NOW() &gt;= 'MATCH DATES'!$A$3 + TIME(22, 0, 0)), Q46, 0),
  IF(AND('MATCH DATES'!$A$4 &lt;= TODAY(), NOW() &gt;= 'MATCH DATES'!$A$4 + TIME(22, 0, 0)), AC46, 0),
  IF(AND('MATCH DATES'!$A$5 &lt;= TODAY(), NOW() &gt;= 'MATCH DATES'!$A$5 + TIME(22, 0, 0)), AO46, 0),
  IF(AND('MATCH DATES'!$A$6 &lt;= TODAY(), NOW() &gt;= 'MATCH DATES'!$A$6 + TIME(22, 0, 0)), BA46, 0),
  IF(AND('MATCH DATES'!$A$7 &lt;= TODAY(), NOW() &gt;= 'MATCH DATES'!$A$7 + TIME(22, 0, 0)), BM46, 0),
  IF(AND('MATCH DATES'!$A$8 &lt;= TODAY(), NOW() &gt;= 'MATCH DATES'!$A$8 + TIME(22, 0, 0)), BY46, 0),
  IF(AND('MATCH DATES'!$A$9 &lt;= TODAY(), NOW() &gt;= 'MATCH DATES'!$A$9 + TIME(22, 0, 0)), CK46, 0)
)
</f>
        <v>4</v>
      </c>
      <c r="CZ46" s="36">
        <f t="shared" ref="CZ46:DA46" si="136">SUM(G46,S46,AE46,AQ46,BC46,BO46,CA46,CM46)</f>
        <v>1</v>
      </c>
      <c r="DA46" s="36">
        <f t="shared" si="136"/>
        <v>2</v>
      </c>
      <c r="DB46" s="36">
        <f>SUM(
  IF(AND('MATCH DATES'!$A$2 &lt;= TODAY(), NOW() &gt;= 'MATCH DATES'!$A$2 + TIME(22, 0, 0)), I46, 0),
  IF(AND('MATCH DATES'!$A$3 &lt;= TODAY(), NOW() &gt;= 'MATCH DATES'!$A$3 + TIME(22, 0, 0)), U46, 0),
  IF(AND('MATCH DATES'!$A$4 &lt;= TODAY(), NOW() &gt;= 'MATCH DATES'!$A$4 + TIME(22, 0, 0)), AG46, 0),
  IF(AND('MATCH DATES'!$A$5 &lt;= TODAY(), NOW() &gt;= 'MATCH DATES'!$A$5 + TIME(22, 0, 0)), AS46, 0),
  IF(AND('MATCH DATES'!$A$6 &lt;= TODAY(), NOW() &gt;= 'MATCH DATES'!$A$6 + TIME(22, 0, 0)), BE46, 0),
  IF(AND('MATCH DATES'!$A$7 &lt;= TODAY(), NOW() &gt;= 'MATCH DATES'!$A$7 + TIME(22, 0, 0)), BQ46, 0),
  IF(AND('MATCH DATES'!$A$8 &lt;= TODAY(), NOW() &gt;= 'MATCH DATES'!$A$8 + TIME(22, 0, 0)), CC46, 0),
  IF(AND('MATCH DATES'!$A$9 &lt;= TODAY(), NOW() &gt;= 'MATCH DATES'!$A$9 + TIME(22, 0, 0)), CO46, 0)
)</f>
        <v>1</v>
      </c>
      <c r="DD46" s="36">
        <f t="shared" si="43"/>
        <v>0</v>
      </c>
      <c r="DF46" s="36">
        <f t="shared" si="44"/>
        <v>0</v>
      </c>
    </row>
    <row r="47" ht="24.75" customHeight="1">
      <c r="A47" s="19" t="s">
        <v>178</v>
      </c>
      <c r="B47" s="20" t="s">
        <v>187</v>
      </c>
      <c r="C47" s="38"/>
      <c r="D47" s="22">
        <f t="shared" si="3"/>
        <v>0</v>
      </c>
      <c r="E47" s="22">
        <f t="shared" si="4"/>
        <v>0</v>
      </c>
      <c r="F47" s="22">
        <f t="shared" si="5"/>
        <v>0</v>
      </c>
      <c r="G47" s="22">
        <f>IF(C47&lt;&gt;"",
    COUNTIFS(MATCH_INPUT!$K$2:$K$5,C47),
0)</f>
        <v>0</v>
      </c>
      <c r="H47" s="22">
        <f>IF(C47&lt;&gt;"",
    COUNTIFS(MATCH_INPUT!$F$2:$F$5, C47, MATCH_INPUT!$K$2:$K$5, "Draw") +
    COUNTIFS(MATCH_INPUT!$J$2:$J$5, C47, MATCH_INPUT!$K$2:$K$5, "Draw"),
0)</f>
        <v>0</v>
      </c>
      <c r="I47" s="22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3"/>
      <c r="K47" s="23"/>
      <c r="L47" s="24"/>
      <c r="M47" s="25">
        <f t="shared" si="115"/>
        <v>3</v>
      </c>
      <c r="N47" s="26" t="str">
        <f t="shared" si="7"/>
        <v>↓</v>
      </c>
      <c r="O47" s="27"/>
      <c r="P47" s="28">
        <f t="shared" si="8"/>
        <v>0</v>
      </c>
      <c r="Q47" s="28">
        <f t="shared" si="9"/>
        <v>0</v>
      </c>
      <c r="R47" s="28">
        <f t="shared" si="10"/>
        <v>0</v>
      </c>
      <c r="S47" s="28">
        <f>IF(O47&lt;&gt;"",
    COUNTIFS(MATCH_INPUT!$K$6:$K$9,O47),
0)</f>
        <v>0</v>
      </c>
      <c r="T47" s="28">
        <f>IF(O47&lt;&gt;"",
    COUNTIFS(MATCH_INPUT!$F$6:$F$9, O47, MATCH_INPUT!$K$6:$K$9, "Draw") +
    COUNTIFS(MATCH_INPUT!$J$6:$J$9, O47, MATCH_INPUT!$K$6:$K$9, "Draw"),
0)</f>
        <v>0</v>
      </c>
      <c r="U47" s="28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29"/>
      <c r="W47" s="29"/>
      <c r="X47" s="20"/>
      <c r="Y47" s="30">
        <f t="shared" si="116"/>
        <v>4</v>
      </c>
      <c r="Z47" s="31" t="str">
        <f t="shared" si="12"/>
        <v>↓</v>
      </c>
      <c r="AA47" s="21"/>
      <c r="AB47" s="32">
        <f t="shared" si="13"/>
        <v>0</v>
      </c>
      <c r="AC47" s="22">
        <f t="shared" si="14"/>
        <v>0</v>
      </c>
      <c r="AD47" s="22">
        <f t="shared" si="15"/>
        <v>0</v>
      </c>
      <c r="AE47" s="22">
        <f>IF(AA47&lt;&gt;"",
    COUNTIFS(MATCH_INPUT!$K$10:$K$13,AA47),
0)</f>
        <v>0</v>
      </c>
      <c r="AF47" s="22">
        <f>IF(AA47&lt;&gt;"",
    COUNTIFS(MATCH_INPUT!$F$10:$F$13, AA47, MATCH_INPUT!$K$10:$K$13, "Draw") +
    COUNTIFS(MATCH_INPUT!$J$10:$J$13, AA47, MATCH_INPUT!$K$10:$K$13, "Draw"),
0)</f>
        <v>0</v>
      </c>
      <c r="AG47" s="22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3"/>
      <c r="AI47" s="23"/>
      <c r="AJ47" s="33"/>
      <c r="AK47" s="25">
        <f t="shared" si="117"/>
        <v>6</v>
      </c>
      <c r="AL47" s="26" t="str">
        <f t="shared" si="17"/>
        <v>↓</v>
      </c>
      <c r="AM47" s="27"/>
      <c r="AN47" s="28">
        <f t="shared" si="18"/>
        <v>0</v>
      </c>
      <c r="AO47" s="28">
        <f t="shared" si="19"/>
        <v>0</v>
      </c>
      <c r="AP47" s="28">
        <f t="shared" si="20"/>
        <v>0</v>
      </c>
      <c r="AQ47" s="28">
        <f>IF(AM47&lt;&gt;"",
    COUNTIFS(MATCH_INPUT!$K$14:$K$17,AM47),
0)</f>
        <v>0</v>
      </c>
      <c r="AR47" s="28">
        <f>IF(AM47&lt;&gt;"",
    COUNTIFS(MATCH_INPUT!$F$14:$F$17, AM47, MATCH_INPUT!$K$14:$K$17, "Draw") +
    COUNTIFS(MATCH_INPUT!$J$14:$J$17, AM47, MATCH_INPUT!$K$14:$K$17, "Draw"),
0)</f>
        <v>0</v>
      </c>
      <c r="AS47" s="28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29"/>
      <c r="AU47" s="29"/>
      <c r="AV47" s="20"/>
      <c r="AW47" s="30">
        <f t="shared" si="118"/>
        <v>7</v>
      </c>
      <c r="AX47" s="31" t="str">
        <f t="shared" si="22"/>
        <v>↓</v>
      </c>
      <c r="AY47" s="21" t="s">
        <v>140</v>
      </c>
      <c r="AZ47" s="32">
        <f t="shared" si="23"/>
        <v>6</v>
      </c>
      <c r="BA47" s="22">
        <f t="shared" si="24"/>
        <v>2</v>
      </c>
      <c r="BB47" s="22">
        <f>SUM(BC47*2) + (BD47*1) + SUMIFS(MATCH_INPUT!$G$18:$G$21, MATCH_INPUT!$F$18:$F$21, AY47) + SUMIFS(MATCH_INPUT!$I$18:$I$21, MATCH_INPUT!$J$18:$J$21, AY47)
</f>
        <v>4</v>
      </c>
      <c r="BC47" s="22">
        <f>IF(AY47&lt;&gt;"",
    COUNTIFS(MATCH_INPUT!$K$18:$K$21,AY47),
0)</f>
        <v>0</v>
      </c>
      <c r="BD47" s="22">
        <f>IF(AY47&lt;&gt;"",
    COUNTIFS(MATCH_INPUT!$F$18:$F$21, AY47, MATCH_INPUT!$K$18:$K$21, "Draw") +
    COUNTIFS(MATCH_INPUT!$J$18:$J$21, AY47, MATCH_INPUT!$K$18:$K$21, "Draw"),
0)</f>
        <v>1</v>
      </c>
      <c r="BE47" s="22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1</v>
      </c>
      <c r="BF47" s="23"/>
      <c r="BG47" s="23"/>
      <c r="BH47" s="33"/>
      <c r="BI47" s="25">
        <f t="shared" si="119"/>
        <v>8</v>
      </c>
      <c r="BJ47" s="26" t="str">
        <f t="shared" si="26"/>
        <v>↓</v>
      </c>
      <c r="BK47" s="27"/>
      <c r="BL47" s="28">
        <f t="shared" si="27"/>
        <v>6</v>
      </c>
      <c r="BM47" s="28">
        <f t="shared" si="28"/>
        <v>0</v>
      </c>
      <c r="BN47" s="28">
        <f>SUM(BO47*2) + (BP47*1) + SUMIFS(MATCH_INPUT!$G$22:$G$25, MATCH_INPUT!$F$22:$F$25, BK47) + SUMIFS(MATCH_INPUT!$I$22:$I$25, MATCH_INPUT!$J$22:$J$25, BK47)
</f>
        <v>0</v>
      </c>
      <c r="BO47" s="28">
        <f>IF(BK47&lt;&gt;"",
    COUNTIFS(MATCH_INPUT!$K$22:$K$25,BK47),
0)</f>
        <v>0</v>
      </c>
      <c r="BP47" s="28">
        <f>IF(BK47&lt;&gt;"",
    COUNTIFS(MATCH_INPUT!$F$22:$F$25, BK47, MATCH_INPUT!$K$22:$K$25, "Draw") +
    COUNTIFS(MATCH_INPUT!$J$22:$J$25, BK47, MATCH_INPUT!$K$22:$K$25, "Draw"),
0)</f>
        <v>0</v>
      </c>
      <c r="BQ47" s="28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0</v>
      </c>
      <c r="BR47" s="29"/>
      <c r="BS47" s="29"/>
      <c r="BT47" s="20"/>
      <c r="BU47" s="30">
        <f t="shared" si="120"/>
        <v>9</v>
      </c>
      <c r="BV47" s="31" t="str">
        <f t="shared" si="30"/>
        <v>↓</v>
      </c>
      <c r="BW47" s="38"/>
      <c r="BX47" s="32">
        <f t="shared" si="31"/>
        <v>6</v>
      </c>
      <c r="BY47" s="22">
        <f t="shared" si="32"/>
        <v>0</v>
      </c>
      <c r="BZ47" s="22">
        <f>SUM(CA47*2)+(CB47*1) + SUMIFS(MATCH_INPUT!$G$26:$G$29, MATCH_INPUT!$F$26:$F$29, BW47) + SUMIFS(MATCH_INPUT!$I$26:$I$29, MATCH_INPUT!$J$26:$J$29, BW47)
</f>
        <v>0</v>
      </c>
      <c r="CA47" s="22">
        <f>IF(BW47&lt;&gt;"",
    COUNTIFS(MATCH_INPUT!$K$26:$K$29,BW47),
0)</f>
        <v>0</v>
      </c>
      <c r="CB47" s="22">
        <f>IF(BW47&lt;&gt;"",
    COUNTIFS(MATCH_INPUT!$F$26:$F$29, BW47, MATCH_INPUT!$K$26:$K$29, "Draw") +
    COUNTIFS(MATCH_INPUT!$J$26:$J$29, BW47, MATCH_INPUT!$K$26:$K$29, "Draw"),
0)</f>
        <v>0</v>
      </c>
      <c r="CC47" s="22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3"/>
      <c r="CE47" s="23"/>
      <c r="CF47" s="33"/>
      <c r="CG47" s="25">
        <f t="shared" si="121"/>
        <v>10</v>
      </c>
      <c r="CH47" s="26" t="str">
        <f t="shared" si="34"/>
        <v>↓</v>
      </c>
      <c r="CI47" s="27" t="s">
        <v>141</v>
      </c>
      <c r="CJ47" s="28">
        <f t="shared" si="35"/>
        <v>15</v>
      </c>
      <c r="CK47" s="28">
        <f t="shared" si="36"/>
        <v>2</v>
      </c>
      <c r="CL47" s="28">
        <f>SUM(CM47*2)+(CN47*1) + SUMIFS(MATCH_INPUT!$G$30:$G$33, MATCH_INPUT!$F$30:$F$33, CI47) + SUMIFS(MATCH_INPUT!$I$30:$I$33, MATCH_INPUT!$J$30:$J$33, CI47)
</f>
        <v>7</v>
      </c>
      <c r="CM47" s="28">
        <f>IF(CI47&lt;&gt;"",
    COUNTIFS(MATCH_INPUT!$K$30:$K$33,CI47),
0)</f>
        <v>2</v>
      </c>
      <c r="CN47" s="28">
        <f>IF(CI47&lt;&gt;"",
    COUNTIFS(MATCH_INPUT!$F$30:$F$33, CI47, MATCH_INPUT!$K$30:$K$33, "Draw") +
    COUNTIFS(MATCH_INPUT!$J$30:$J$33, CI47, MATCH_INPUT!$K$30:$K$33, "Draw"),
0)</f>
        <v>0</v>
      </c>
      <c r="CO47" s="28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29"/>
      <c r="CQ47" s="29"/>
      <c r="CR47" s="20"/>
      <c r="CS47" s="34">
        <f t="shared" si="122"/>
        <v>9</v>
      </c>
      <c r="CT47" s="34" t="str">
        <f t="shared" si="38"/>
        <v>↑</v>
      </c>
      <c r="CU47" s="35">
        <f t="shared" si="39"/>
        <v>11</v>
      </c>
      <c r="CV47" s="35" t="str">
        <f t="shared" ref="CV47:CW47" si="137">A47</f>
        <v>🔁</v>
      </c>
      <c r="CW47" s="36" t="str">
        <f t="shared" si="137"/>
        <v>(Víctor)</v>
      </c>
      <c r="CX47" s="36">
        <f t="shared" si="41"/>
        <v>15</v>
      </c>
      <c r="CY47" s="35">
        <f>SUM(
  IF(AND('MATCH DATES'!$A$2 &lt;= TODAY(), NOW() &gt;= 'MATCH DATES'!$A$2 + TIME(22, 0, 0)), E47, 0),
  IF(AND('MATCH DATES'!$A$3 &lt;= TODAY(), NOW() &gt;= 'MATCH DATES'!$A$3 + TIME(22, 0, 0)), Q47, 0),
  IF(AND('MATCH DATES'!$A$4 &lt;= TODAY(), NOW() &gt;= 'MATCH DATES'!$A$4 + TIME(22, 0, 0)), AC47, 0),
  IF(AND('MATCH DATES'!$A$5 &lt;= TODAY(), NOW() &gt;= 'MATCH DATES'!$A$5 + TIME(22, 0, 0)), AO47, 0),
  IF(AND('MATCH DATES'!$A$6 &lt;= TODAY(), NOW() &gt;= 'MATCH DATES'!$A$6 + TIME(22, 0, 0)), BA47, 0),
  IF(AND('MATCH DATES'!$A$7 &lt;= TODAY(), NOW() &gt;= 'MATCH DATES'!$A$7 + TIME(22, 0, 0)), BM47, 0),
  IF(AND('MATCH DATES'!$A$8 &lt;= TODAY(), NOW() &gt;= 'MATCH DATES'!$A$8 + TIME(22, 0, 0)), BY47, 0),
  IF(AND('MATCH DATES'!$A$9 &lt;= TODAY(), NOW() &gt;= 'MATCH DATES'!$A$9 + TIME(22, 0, 0)), CK47, 0)
)
</f>
        <v>4</v>
      </c>
      <c r="CZ47" s="36">
        <f t="shared" ref="CZ47:DA47" si="138">SUM(G47,S47,AE47,AQ47,BC47,BO47,CA47,CM47)</f>
        <v>2</v>
      </c>
      <c r="DA47" s="36">
        <f t="shared" si="138"/>
        <v>1</v>
      </c>
      <c r="DB47" s="36">
        <f>SUM(
  IF(AND('MATCH DATES'!$A$2 &lt;= TODAY(), NOW() &gt;= 'MATCH DATES'!$A$2 + TIME(22, 0, 0)), I47, 0),
  IF(AND('MATCH DATES'!$A$3 &lt;= TODAY(), NOW() &gt;= 'MATCH DATES'!$A$3 + TIME(22, 0, 0)), U47, 0),
  IF(AND('MATCH DATES'!$A$4 &lt;= TODAY(), NOW() &gt;= 'MATCH DATES'!$A$4 + TIME(22, 0, 0)), AG47, 0),
  IF(AND('MATCH DATES'!$A$5 &lt;= TODAY(), NOW() &gt;= 'MATCH DATES'!$A$5 + TIME(22, 0, 0)), AS47, 0),
  IF(AND('MATCH DATES'!$A$6 &lt;= TODAY(), NOW() &gt;= 'MATCH DATES'!$A$6 + TIME(22, 0, 0)), BE47, 0),
  IF(AND('MATCH DATES'!$A$7 &lt;= TODAY(), NOW() &gt;= 'MATCH DATES'!$A$7 + TIME(22, 0, 0)), BQ47, 0),
  IF(AND('MATCH DATES'!$A$8 &lt;= TODAY(), NOW() &gt;= 'MATCH DATES'!$A$8 + TIME(22, 0, 0)), CC47, 0),
  IF(AND('MATCH DATES'!$A$9 &lt;= TODAY(), NOW() &gt;= 'MATCH DATES'!$A$9 + TIME(22, 0, 0)), CO47, 0)
)</f>
        <v>1</v>
      </c>
      <c r="DD47" s="36">
        <f t="shared" si="43"/>
        <v>0</v>
      </c>
      <c r="DF47" s="36">
        <f t="shared" si="44"/>
        <v>0</v>
      </c>
    </row>
    <row r="48" ht="24.75" customHeight="1">
      <c r="A48" s="19" t="s">
        <v>178</v>
      </c>
      <c r="B48" s="20" t="s">
        <v>188</v>
      </c>
      <c r="C48" s="21"/>
      <c r="D48" s="22">
        <f t="shared" si="3"/>
        <v>0</v>
      </c>
      <c r="E48" s="22">
        <f t="shared" si="4"/>
        <v>0</v>
      </c>
      <c r="F48" s="22">
        <f t="shared" si="5"/>
        <v>0</v>
      </c>
      <c r="G48" s="22">
        <f>IF(C48&lt;&gt;"",
    COUNTIFS(MATCH_INPUT!$K$2:$K$5,C48),
0)</f>
        <v>0</v>
      </c>
      <c r="H48" s="22">
        <f>IF(C48&lt;&gt;"",
    COUNTIFS(MATCH_INPUT!$F$2:$F$5, C48, MATCH_INPUT!$K$2:$K$5, "Draw") +
    COUNTIFS(MATCH_INPUT!$J$2:$J$5, C48, MATCH_INPUT!$K$2:$K$5, "Draw"),
0)</f>
        <v>0</v>
      </c>
      <c r="I48" s="22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3"/>
      <c r="K48" s="23"/>
      <c r="L48" s="24"/>
      <c r="M48" s="25">
        <f t="shared" si="115"/>
        <v>3</v>
      </c>
      <c r="N48" s="26" t="str">
        <f t="shared" si="7"/>
        <v>↓</v>
      </c>
      <c r="O48" s="27"/>
      <c r="P48" s="28">
        <f t="shared" si="8"/>
        <v>0</v>
      </c>
      <c r="Q48" s="28">
        <f t="shared" si="9"/>
        <v>0</v>
      </c>
      <c r="R48" s="28">
        <f t="shared" si="10"/>
        <v>0</v>
      </c>
      <c r="S48" s="28">
        <f>IF(O48&lt;&gt;"",
    COUNTIFS(MATCH_INPUT!$K$6:$K$9,O48),
0)</f>
        <v>0</v>
      </c>
      <c r="T48" s="28">
        <f>IF(O48&lt;&gt;"",
    COUNTIFS(MATCH_INPUT!$F$6:$F$9, O48, MATCH_INPUT!$K$6:$K$9, "Draw") +
    COUNTIFS(MATCH_INPUT!$J$6:$J$9, O48, MATCH_INPUT!$K$6:$K$9, "Draw"),
0)</f>
        <v>0</v>
      </c>
      <c r="U48" s="28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29"/>
      <c r="W48" s="29"/>
      <c r="X48" s="20"/>
      <c r="Y48" s="30">
        <f t="shared" si="116"/>
        <v>4</v>
      </c>
      <c r="Z48" s="31" t="str">
        <f t="shared" si="12"/>
        <v>↓</v>
      </c>
      <c r="AA48" s="21"/>
      <c r="AB48" s="32">
        <f t="shared" si="13"/>
        <v>0</v>
      </c>
      <c r="AC48" s="22">
        <f t="shared" si="14"/>
        <v>0</v>
      </c>
      <c r="AD48" s="22">
        <f t="shared" si="15"/>
        <v>0</v>
      </c>
      <c r="AE48" s="22">
        <f>IF(AA48&lt;&gt;"",
    COUNTIFS(MATCH_INPUT!$K$10:$K$13,AA48),
0)</f>
        <v>0</v>
      </c>
      <c r="AF48" s="22">
        <f>IF(AA48&lt;&gt;"",
    COUNTIFS(MATCH_INPUT!$F$10:$F$13, AA48, MATCH_INPUT!$K$10:$K$13, "Draw") +
    COUNTIFS(MATCH_INPUT!$J$10:$J$13, AA48, MATCH_INPUT!$K$10:$K$13, "Draw"),
0)</f>
        <v>0</v>
      </c>
      <c r="AG48" s="22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3"/>
      <c r="AI48" s="23"/>
      <c r="AJ48" s="33"/>
      <c r="AK48" s="25">
        <f t="shared" si="117"/>
        <v>6</v>
      </c>
      <c r="AL48" s="26" t="str">
        <f t="shared" si="17"/>
        <v>↓</v>
      </c>
      <c r="AM48" s="27"/>
      <c r="AN48" s="28">
        <f t="shared" si="18"/>
        <v>0</v>
      </c>
      <c r="AO48" s="28">
        <f t="shared" si="19"/>
        <v>0</v>
      </c>
      <c r="AP48" s="28">
        <f t="shared" si="20"/>
        <v>0</v>
      </c>
      <c r="AQ48" s="28">
        <f>IF(AM48&lt;&gt;"",
    COUNTIFS(MATCH_INPUT!$K$14:$K$17,AM48),
0)</f>
        <v>0</v>
      </c>
      <c r="AR48" s="28">
        <f>IF(AM48&lt;&gt;"",
    COUNTIFS(MATCH_INPUT!$F$14:$F$17, AM48, MATCH_INPUT!$K$14:$K$17, "Draw") +
    COUNTIFS(MATCH_INPUT!$J$14:$J$17, AM48, MATCH_INPUT!$K$14:$K$17, "Draw"),
0)</f>
        <v>0</v>
      </c>
      <c r="AS48" s="28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0</v>
      </c>
      <c r="AT48" s="29"/>
      <c r="AU48" s="29"/>
      <c r="AV48" s="20"/>
      <c r="AW48" s="30">
        <f t="shared" si="118"/>
        <v>7</v>
      </c>
      <c r="AX48" s="31" t="str">
        <f t="shared" si="22"/>
        <v>↓</v>
      </c>
      <c r="AY48" s="21"/>
      <c r="AZ48" s="32">
        <f t="shared" si="23"/>
        <v>0</v>
      </c>
      <c r="BA48" s="22">
        <f t="shared" si="24"/>
        <v>0</v>
      </c>
      <c r="BB48" s="22">
        <f>SUM(BC48*2) + (BD48*1) + SUMIFS(MATCH_INPUT!$G$18:$G$21, MATCH_INPUT!$F$18:$F$21, AY48) + SUMIFS(MATCH_INPUT!$I$18:$I$21, MATCH_INPUT!$J$18:$J$21, AY48)
</f>
        <v>0</v>
      </c>
      <c r="BC48" s="22">
        <f>IF(AY48&lt;&gt;"",
    COUNTIFS(MATCH_INPUT!$K$18:$K$21,AY48),
0)</f>
        <v>0</v>
      </c>
      <c r="BD48" s="22">
        <f>IF(AY48&lt;&gt;"",
    COUNTIFS(MATCH_INPUT!$F$18:$F$21, AY48, MATCH_INPUT!$K$18:$K$21, "Draw") +
    COUNTIFS(MATCH_INPUT!$J$18:$J$21, AY48, MATCH_INPUT!$K$18:$K$21, "Draw"),
0)</f>
        <v>0</v>
      </c>
      <c r="BE48" s="22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3"/>
      <c r="BG48" s="23"/>
      <c r="BH48" s="33"/>
      <c r="BI48" s="25">
        <f t="shared" si="119"/>
        <v>11</v>
      </c>
      <c r="BJ48" s="26" t="str">
        <f t="shared" si="26"/>
        <v>↓</v>
      </c>
      <c r="BK48" s="27"/>
      <c r="BL48" s="28">
        <f t="shared" si="27"/>
        <v>0</v>
      </c>
      <c r="BM48" s="28">
        <f t="shared" si="28"/>
        <v>0</v>
      </c>
      <c r="BN48" s="28">
        <f>SUM(BO48*2) + (BP48*1) + SUMIFS(MATCH_INPUT!$G$22:$G$25, MATCH_INPUT!$F$22:$F$25, BK48) + SUMIFS(MATCH_INPUT!$I$22:$I$25, MATCH_INPUT!$J$22:$J$25, BK48)
</f>
        <v>0</v>
      </c>
      <c r="BO48" s="28">
        <f>IF(BK48&lt;&gt;"",
    COUNTIFS(MATCH_INPUT!$K$22:$K$25,BK48),
0)</f>
        <v>0</v>
      </c>
      <c r="BP48" s="28">
        <f>IF(BK48&lt;&gt;"",
    COUNTIFS(MATCH_INPUT!$F$22:$F$25, BK48, MATCH_INPUT!$K$22:$K$25, "Draw") +
    COUNTIFS(MATCH_INPUT!$J$22:$J$25, BK48, MATCH_INPUT!$K$22:$K$25, "Draw"),
0)</f>
        <v>0</v>
      </c>
      <c r="BQ48" s="28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29"/>
      <c r="BS48" s="29"/>
      <c r="BT48" s="20"/>
      <c r="BU48" s="30">
        <f t="shared" si="120"/>
        <v>12</v>
      </c>
      <c r="BV48" s="31" t="str">
        <f t="shared" si="30"/>
        <v>↓</v>
      </c>
      <c r="BW48" s="21"/>
      <c r="BX48" s="32">
        <f t="shared" si="31"/>
        <v>0</v>
      </c>
      <c r="BY48" s="22">
        <f t="shared" si="32"/>
        <v>0</v>
      </c>
      <c r="BZ48" s="22">
        <f>SUM(CA48*2)+(CB48*1) + SUMIFS(MATCH_INPUT!$G$26:$G$29, MATCH_INPUT!$F$26:$F$29, BW48) + SUMIFS(MATCH_INPUT!$I$26:$I$29, MATCH_INPUT!$J$26:$J$29, BW48)
</f>
        <v>0</v>
      </c>
      <c r="CA48" s="22">
        <f>IF(BW48&lt;&gt;"",
    COUNTIFS(MATCH_INPUT!$K$26:$K$29,BW48),
0)</f>
        <v>0</v>
      </c>
      <c r="CB48" s="22">
        <f>IF(BW48&lt;&gt;"",
    COUNTIFS(MATCH_INPUT!$F$26:$F$29, BW48, MATCH_INPUT!$K$26:$K$29, "Draw") +
    COUNTIFS(MATCH_INPUT!$J$26:$J$29, BW48, MATCH_INPUT!$K$26:$K$29, "Draw"),
0)</f>
        <v>0</v>
      </c>
      <c r="CC48" s="22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3"/>
      <c r="CE48" s="23"/>
      <c r="CF48" s="33"/>
      <c r="CG48" s="25">
        <f t="shared" si="121"/>
        <v>12</v>
      </c>
      <c r="CH48" s="26" t="str">
        <f t="shared" si="34"/>
        <v>=</v>
      </c>
      <c r="CI48" s="27" t="s">
        <v>141</v>
      </c>
      <c r="CJ48" s="28">
        <f t="shared" si="35"/>
        <v>9</v>
      </c>
      <c r="CK48" s="28">
        <f t="shared" si="36"/>
        <v>2</v>
      </c>
      <c r="CL48" s="28">
        <f>SUM(CM48*2)+(CN48*1) + SUMIFS(MATCH_INPUT!$G$30:$G$33, MATCH_INPUT!$F$30:$F$33, CI48) + SUMIFS(MATCH_INPUT!$I$30:$I$33, MATCH_INPUT!$J$30:$J$33, CI48)
</f>
        <v>7</v>
      </c>
      <c r="CM48" s="28">
        <f>IF(CI48&lt;&gt;"",
    COUNTIFS(MATCH_INPUT!$K$30:$K$33,CI48),
0)</f>
        <v>2</v>
      </c>
      <c r="CN48" s="28">
        <f>IF(CI48&lt;&gt;"",
    COUNTIFS(MATCH_INPUT!$F$30:$F$33, CI48, MATCH_INPUT!$K$30:$K$33, "Draw") +
    COUNTIFS(MATCH_INPUT!$J$30:$J$33, CI48, MATCH_INPUT!$K$30:$K$33, "Draw"),
0)</f>
        <v>0</v>
      </c>
      <c r="CO48" s="28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29">
        <v>1.0</v>
      </c>
      <c r="CQ48" s="29"/>
      <c r="CR48" s="20"/>
      <c r="CS48" s="34">
        <f t="shared" si="122"/>
        <v>10</v>
      </c>
      <c r="CT48" s="34" t="str">
        <f t="shared" si="38"/>
        <v>↑</v>
      </c>
      <c r="CU48" s="35">
        <f t="shared" si="39"/>
        <v>7</v>
      </c>
      <c r="CV48" s="35" t="str">
        <f t="shared" ref="CV48:CW48" si="139">A48</f>
        <v>🔁</v>
      </c>
      <c r="CW48" s="36" t="str">
        <f t="shared" si="139"/>
        <v>(Jhonatan A)</v>
      </c>
      <c r="CX48" s="36">
        <f t="shared" si="41"/>
        <v>9</v>
      </c>
      <c r="CY48" s="35">
        <f>SUM(
  IF(AND('MATCH DATES'!$A$2 &lt;= TODAY(), NOW() &gt;= 'MATCH DATES'!$A$2 + TIME(22, 0, 0)), E48, 0),
  IF(AND('MATCH DATES'!$A$3 &lt;= TODAY(), NOW() &gt;= 'MATCH DATES'!$A$3 + TIME(22, 0, 0)), Q48, 0),
  IF(AND('MATCH DATES'!$A$4 &lt;= TODAY(), NOW() &gt;= 'MATCH DATES'!$A$4 + TIME(22, 0, 0)), AC48, 0),
  IF(AND('MATCH DATES'!$A$5 &lt;= TODAY(), NOW() &gt;= 'MATCH DATES'!$A$5 + TIME(22, 0, 0)), AO48, 0),
  IF(AND('MATCH DATES'!$A$6 &lt;= TODAY(), NOW() &gt;= 'MATCH DATES'!$A$6 + TIME(22, 0, 0)), BA48, 0),
  IF(AND('MATCH DATES'!$A$7 &lt;= TODAY(), NOW() &gt;= 'MATCH DATES'!$A$7 + TIME(22, 0, 0)), BM48, 0),
  IF(AND('MATCH DATES'!$A$8 &lt;= TODAY(), NOW() &gt;= 'MATCH DATES'!$A$8 + TIME(22, 0, 0)), BY48, 0),
  IF(AND('MATCH DATES'!$A$9 &lt;= TODAY(), NOW() &gt;= 'MATCH DATES'!$A$9 + TIME(22, 0, 0)), CK48, 0)
)
</f>
        <v>2</v>
      </c>
      <c r="CZ48" s="36">
        <f t="shared" ref="CZ48:DA48" si="140">SUM(G48,S48,AE48,AQ48,BC48,BO48,CA48,CM48)</f>
        <v>2</v>
      </c>
      <c r="DA48" s="36">
        <f t="shared" si="140"/>
        <v>0</v>
      </c>
      <c r="DB48" s="36">
        <f>SUM(
  IF(AND('MATCH DATES'!$A$2 &lt;= TODAY(), NOW() &gt;= 'MATCH DATES'!$A$2 + TIME(22, 0, 0)), I48, 0),
  IF(AND('MATCH DATES'!$A$3 &lt;= TODAY(), NOW() &gt;= 'MATCH DATES'!$A$3 + TIME(22, 0, 0)), U48, 0),
  IF(AND('MATCH DATES'!$A$4 &lt;= TODAY(), NOW() &gt;= 'MATCH DATES'!$A$4 + TIME(22, 0, 0)), AG48, 0),
  IF(AND('MATCH DATES'!$A$5 &lt;= TODAY(), NOW() &gt;= 'MATCH DATES'!$A$5 + TIME(22, 0, 0)), AS48, 0),
  IF(AND('MATCH DATES'!$A$6 &lt;= TODAY(), NOW() &gt;= 'MATCH DATES'!$A$6 + TIME(22, 0, 0)), BE48, 0),
  IF(AND('MATCH DATES'!$A$7 &lt;= TODAY(), NOW() &gt;= 'MATCH DATES'!$A$7 + TIME(22, 0, 0)), BQ48, 0),
  IF(AND('MATCH DATES'!$A$8 &lt;= TODAY(), NOW() &gt;= 'MATCH DATES'!$A$8 + TIME(22, 0, 0)), CC48, 0),
  IF(AND('MATCH DATES'!$A$9 &lt;= TODAY(), NOW() &gt;= 'MATCH DATES'!$A$9 + TIME(22, 0, 0)), CO48, 0)
)</f>
        <v>0</v>
      </c>
      <c r="DD48" s="36">
        <f t="shared" si="43"/>
        <v>0</v>
      </c>
      <c r="DF48" s="36">
        <f t="shared" si="44"/>
        <v>0</v>
      </c>
    </row>
    <row r="49" ht="24.75" customHeight="1">
      <c r="A49" s="19" t="s">
        <v>178</v>
      </c>
      <c r="B49" s="20" t="s">
        <v>189</v>
      </c>
      <c r="C49" s="21"/>
      <c r="D49" s="22">
        <f t="shared" si="3"/>
        <v>0</v>
      </c>
      <c r="E49" s="22">
        <f t="shared" si="4"/>
        <v>0</v>
      </c>
      <c r="F49" s="22">
        <f t="shared" si="5"/>
        <v>0</v>
      </c>
      <c r="G49" s="22">
        <f>IF(C49&lt;&gt;"",
    COUNTIFS(MATCH_INPUT!$K$2:$K$5,C49),
0)</f>
        <v>0</v>
      </c>
      <c r="H49" s="22">
        <f>IF(C49&lt;&gt;"",
    COUNTIFS(MATCH_INPUT!$F$2:$F$5, C49, MATCH_INPUT!$K$2:$K$5, "Draw") +
    COUNTIFS(MATCH_INPUT!$J$2:$J$5, C49, MATCH_INPUT!$K$2:$K$5, "Draw"),
0)</f>
        <v>0</v>
      </c>
      <c r="I49" s="22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3"/>
      <c r="K49" s="23"/>
      <c r="L49" s="24"/>
      <c r="M49" s="25">
        <f t="shared" si="115"/>
        <v>3</v>
      </c>
      <c r="N49" s="26" t="str">
        <f t="shared" si="7"/>
        <v>↓</v>
      </c>
      <c r="O49" s="27" t="s">
        <v>142</v>
      </c>
      <c r="P49" s="28">
        <f t="shared" si="8"/>
        <v>6</v>
      </c>
      <c r="Q49" s="28">
        <f t="shared" si="9"/>
        <v>2</v>
      </c>
      <c r="R49" s="28">
        <f t="shared" si="10"/>
        <v>4</v>
      </c>
      <c r="S49" s="28">
        <f>IF(O49&lt;&gt;"",
    COUNTIFS(MATCH_INPUT!$K$6:$K$9,O49),
0)</f>
        <v>2</v>
      </c>
      <c r="T49" s="28">
        <f>IF(O49&lt;&gt;"",
    COUNTIFS(MATCH_INPUT!$F$6:$F$9, O49, MATCH_INPUT!$K$6:$K$9, "Draw") +
    COUNTIFS(MATCH_INPUT!$J$6:$J$9, O49, MATCH_INPUT!$K$6:$K$9, "Draw"),
0)</f>
        <v>0</v>
      </c>
      <c r="U49" s="28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29"/>
      <c r="W49" s="29"/>
      <c r="X49" s="20"/>
      <c r="Y49" s="30">
        <f t="shared" si="116"/>
        <v>2</v>
      </c>
      <c r="Z49" s="31" t="str">
        <f t="shared" si="12"/>
        <v>↑</v>
      </c>
      <c r="AA49" s="21"/>
      <c r="AB49" s="32">
        <f t="shared" si="13"/>
        <v>6</v>
      </c>
      <c r="AC49" s="22">
        <f t="shared" si="14"/>
        <v>0</v>
      </c>
      <c r="AD49" s="22">
        <f t="shared" si="15"/>
        <v>0</v>
      </c>
      <c r="AE49" s="22">
        <f>IF(AA49&lt;&gt;"",
    COUNTIFS(MATCH_INPUT!$K$10:$K$13,AA49),
0)</f>
        <v>0</v>
      </c>
      <c r="AF49" s="22">
        <f>IF(AA49&lt;&gt;"",
    COUNTIFS(MATCH_INPUT!$F$10:$F$13, AA49, MATCH_INPUT!$K$10:$K$13, "Draw") +
    COUNTIFS(MATCH_INPUT!$J$10:$J$13, AA49, MATCH_INPUT!$K$10:$K$13, "Draw"),
0)</f>
        <v>0</v>
      </c>
      <c r="AG49" s="22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3"/>
      <c r="AI49" s="23"/>
      <c r="AJ49" s="33"/>
      <c r="AK49" s="25">
        <f t="shared" si="117"/>
        <v>2</v>
      </c>
      <c r="AL49" s="26" t="str">
        <f t="shared" si="17"/>
        <v>=</v>
      </c>
      <c r="AM49" s="27"/>
      <c r="AN49" s="28">
        <f t="shared" si="18"/>
        <v>6</v>
      </c>
      <c r="AO49" s="28">
        <f t="shared" si="19"/>
        <v>0</v>
      </c>
      <c r="AP49" s="28">
        <f t="shared" si="20"/>
        <v>0</v>
      </c>
      <c r="AQ49" s="28">
        <f>IF(AM49&lt;&gt;"",
    COUNTIFS(MATCH_INPUT!$K$14:$K$17,AM49),
0)</f>
        <v>0</v>
      </c>
      <c r="AR49" s="28">
        <f>IF(AM49&lt;&gt;"",
    COUNTIFS(MATCH_INPUT!$F$14:$F$17, AM49, MATCH_INPUT!$K$14:$K$17, "Draw") +
    COUNTIFS(MATCH_INPUT!$J$14:$J$17, AM49, MATCH_INPUT!$K$14:$K$17, "Draw"),
0)</f>
        <v>0</v>
      </c>
      <c r="AS49" s="28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29"/>
      <c r="AU49" s="29"/>
      <c r="AV49" s="20"/>
      <c r="AW49" s="30">
        <f t="shared" si="118"/>
        <v>3</v>
      </c>
      <c r="AX49" s="31" t="str">
        <f t="shared" si="22"/>
        <v>↓</v>
      </c>
      <c r="AY49" s="21"/>
      <c r="AZ49" s="32">
        <f t="shared" si="23"/>
        <v>6</v>
      </c>
      <c r="BA49" s="22">
        <f t="shared" si="24"/>
        <v>0</v>
      </c>
      <c r="BB49" s="22">
        <f>SUM(BC49*2) + (BD49*1) + SUMIFS(MATCH_INPUT!$G$18:$G$21, MATCH_INPUT!$F$18:$F$21, AY49) + SUMIFS(MATCH_INPUT!$I$18:$I$21, MATCH_INPUT!$J$18:$J$21, AY49)
</f>
        <v>0</v>
      </c>
      <c r="BC49" s="22">
        <f>IF(AY49&lt;&gt;"",
    COUNTIFS(MATCH_INPUT!$K$18:$K$21,AY49),
0)</f>
        <v>0</v>
      </c>
      <c r="BD49" s="22">
        <f>IF(AY49&lt;&gt;"",
    COUNTIFS(MATCH_INPUT!$F$18:$F$21, AY49, MATCH_INPUT!$K$18:$K$21, "Draw") +
    COUNTIFS(MATCH_INPUT!$J$18:$J$21, AY49, MATCH_INPUT!$K$18:$K$21, "Draw"),
0)</f>
        <v>0</v>
      </c>
      <c r="BE49" s="22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3"/>
      <c r="BG49" s="23"/>
      <c r="BH49" s="33"/>
      <c r="BI49" s="25">
        <f t="shared" si="119"/>
        <v>8</v>
      </c>
      <c r="BJ49" s="26" t="str">
        <f t="shared" si="26"/>
        <v>↓</v>
      </c>
      <c r="BK49" s="27" t="s">
        <v>141</v>
      </c>
      <c r="BL49" s="28">
        <f t="shared" si="27"/>
        <v>8</v>
      </c>
      <c r="BM49" s="28">
        <f t="shared" si="28"/>
        <v>2</v>
      </c>
      <c r="BN49" s="28">
        <f>SUM(BO49*2) + (BP49*1) + SUMIFS(MATCH_INPUT!$G$22:$G$25, MATCH_INPUT!$F$22:$F$25, BK49) + SUMIFS(MATCH_INPUT!$I$22:$I$25, MATCH_INPUT!$J$22:$J$25, BK49)
</f>
        <v>0</v>
      </c>
      <c r="BO49" s="28">
        <f>IF(BK49&lt;&gt;"",
    COUNTIFS(MATCH_INPUT!$K$22:$K$25,BK49),
0)</f>
        <v>0</v>
      </c>
      <c r="BP49" s="28">
        <f>IF(BK49&lt;&gt;"",
    COUNTIFS(MATCH_INPUT!$F$22:$F$25, BK49, MATCH_INPUT!$K$22:$K$25, "Draw") +
    COUNTIFS(MATCH_INPUT!$J$22:$J$25, BK49, MATCH_INPUT!$K$22:$K$25, "Draw"),
0)</f>
        <v>0</v>
      </c>
      <c r="BQ49" s="28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2</v>
      </c>
      <c r="BR49" s="29"/>
      <c r="BS49" s="29"/>
      <c r="BT49" s="20"/>
      <c r="BU49" s="30">
        <f t="shared" si="120"/>
        <v>7</v>
      </c>
      <c r="BV49" s="31" t="str">
        <f t="shared" si="30"/>
        <v>↑</v>
      </c>
      <c r="BW49" s="38"/>
      <c r="BX49" s="32">
        <f t="shared" si="31"/>
        <v>8</v>
      </c>
      <c r="BY49" s="22">
        <f t="shared" si="32"/>
        <v>0</v>
      </c>
      <c r="BZ49" s="22">
        <f>SUM(CA49*2)+(CB49*1) + SUMIFS(MATCH_INPUT!$G$26:$G$29, MATCH_INPUT!$F$26:$F$29, BW49) + SUMIFS(MATCH_INPUT!$I$26:$I$29, MATCH_INPUT!$J$26:$J$29, BW49)
</f>
        <v>0</v>
      </c>
      <c r="CA49" s="22">
        <f>IF(BW49&lt;&gt;"",
    COUNTIFS(MATCH_INPUT!$K$26:$K$29,BW49),
0)</f>
        <v>0</v>
      </c>
      <c r="CB49" s="22">
        <f>IF(BW49&lt;&gt;"",
    COUNTIFS(MATCH_INPUT!$F$26:$F$29, BW49, MATCH_INPUT!$K$26:$K$29, "Draw") +
    COUNTIFS(MATCH_INPUT!$J$26:$J$29, BW49, MATCH_INPUT!$K$26:$K$29, "Draw"),
0)</f>
        <v>0</v>
      </c>
      <c r="CC49" s="22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3"/>
      <c r="CE49" s="23"/>
      <c r="CF49" s="33"/>
      <c r="CG49" s="25">
        <f t="shared" si="121"/>
        <v>9</v>
      </c>
      <c r="CH49" s="26" t="str">
        <f t="shared" si="34"/>
        <v>↓</v>
      </c>
      <c r="CI49" s="27"/>
      <c r="CJ49" s="28">
        <f t="shared" si="35"/>
        <v>8</v>
      </c>
      <c r="CK49" s="28">
        <f t="shared" si="36"/>
        <v>0</v>
      </c>
      <c r="CL49" s="28">
        <f>SUM(CM49*2)+(CN49*1) + SUMIFS(MATCH_INPUT!$G$30:$G$33, MATCH_INPUT!$F$30:$F$33, CI49) + SUMIFS(MATCH_INPUT!$I$30:$I$33, MATCH_INPUT!$J$30:$J$33, CI49)
</f>
        <v>0</v>
      </c>
      <c r="CM49" s="28">
        <f>IF(CI49&lt;&gt;"",
    COUNTIFS(MATCH_INPUT!$K$30:$K$33,CI49),
0)</f>
        <v>0</v>
      </c>
      <c r="CN49" s="28">
        <f>IF(CI49&lt;&gt;"",
    COUNTIFS(MATCH_INPUT!$F$30:$F$33, CI49, MATCH_INPUT!$K$30:$K$33, "Draw") +
    COUNTIFS(MATCH_INPUT!$J$30:$J$33, CI49, MATCH_INPUT!$K$30:$K$33, "Draw"),
0)</f>
        <v>0</v>
      </c>
      <c r="CO49" s="28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0</v>
      </c>
      <c r="CP49" s="29"/>
      <c r="CQ49" s="29"/>
      <c r="CR49" s="20"/>
      <c r="CS49" s="34">
        <f t="shared" si="122"/>
        <v>11</v>
      </c>
      <c r="CT49" s="34" t="str">
        <f t="shared" si="38"/>
        <v>↓</v>
      </c>
      <c r="CU49" s="35">
        <f t="shared" si="39"/>
        <v>4</v>
      </c>
      <c r="CV49" s="35" t="str">
        <f t="shared" ref="CV49:CW49" si="141">A49</f>
        <v>🔁</v>
      </c>
      <c r="CW49" s="36" t="str">
        <f t="shared" si="141"/>
        <v>(Karter)</v>
      </c>
      <c r="CX49" s="36">
        <f t="shared" si="41"/>
        <v>8</v>
      </c>
      <c r="CY49" s="35">
        <f>SUM(
  IF(AND('MATCH DATES'!$A$2 &lt;= TODAY(), NOW() &gt;= 'MATCH DATES'!$A$2 + TIME(22, 0, 0)), E49, 0),
  IF(AND('MATCH DATES'!$A$3 &lt;= TODAY(), NOW() &gt;= 'MATCH DATES'!$A$3 + TIME(22, 0, 0)), Q49, 0),
  IF(AND('MATCH DATES'!$A$4 &lt;= TODAY(), NOW() &gt;= 'MATCH DATES'!$A$4 + TIME(22, 0, 0)), AC49, 0),
  IF(AND('MATCH DATES'!$A$5 &lt;= TODAY(), NOW() &gt;= 'MATCH DATES'!$A$5 + TIME(22, 0, 0)), AO49, 0),
  IF(AND('MATCH DATES'!$A$6 &lt;= TODAY(), NOW() &gt;= 'MATCH DATES'!$A$6 + TIME(22, 0, 0)), BA49, 0),
  IF(AND('MATCH DATES'!$A$7 &lt;= TODAY(), NOW() &gt;= 'MATCH DATES'!$A$7 + TIME(22, 0, 0)), BM49, 0),
  IF(AND('MATCH DATES'!$A$8 &lt;= TODAY(), NOW() &gt;= 'MATCH DATES'!$A$8 + TIME(22, 0, 0)), BY49, 0),
  IF(AND('MATCH DATES'!$A$9 &lt;= TODAY(), NOW() &gt;= 'MATCH DATES'!$A$9 + TIME(22, 0, 0)), CK49, 0)
)
</f>
        <v>4</v>
      </c>
      <c r="CZ49" s="36">
        <f t="shared" ref="CZ49:DA49" si="142">SUM(G49,S49,AE49,AQ49,BC49,BO49,CA49,CM49)</f>
        <v>2</v>
      </c>
      <c r="DA49" s="36">
        <f t="shared" si="142"/>
        <v>0</v>
      </c>
      <c r="DB49" s="36">
        <f>SUM(
  IF(AND('MATCH DATES'!$A$2 &lt;= TODAY(), NOW() &gt;= 'MATCH DATES'!$A$2 + TIME(22, 0, 0)), I49, 0),
  IF(AND('MATCH DATES'!$A$3 &lt;= TODAY(), NOW() &gt;= 'MATCH DATES'!$A$3 + TIME(22, 0, 0)), U49, 0),
  IF(AND('MATCH DATES'!$A$4 &lt;= TODAY(), NOW() &gt;= 'MATCH DATES'!$A$4 + TIME(22, 0, 0)), AG49, 0),
  IF(AND('MATCH DATES'!$A$5 &lt;= TODAY(), NOW() &gt;= 'MATCH DATES'!$A$5 + TIME(22, 0, 0)), AS49, 0),
  IF(AND('MATCH DATES'!$A$6 &lt;= TODAY(), NOW() &gt;= 'MATCH DATES'!$A$6 + TIME(22, 0, 0)), BE49, 0),
  IF(AND('MATCH DATES'!$A$7 &lt;= TODAY(), NOW() &gt;= 'MATCH DATES'!$A$7 + TIME(22, 0, 0)), BQ49, 0),
  IF(AND('MATCH DATES'!$A$8 &lt;= TODAY(), NOW() &gt;= 'MATCH DATES'!$A$8 + TIME(22, 0, 0)), CC49, 0),
  IF(AND('MATCH DATES'!$A$9 &lt;= TODAY(), NOW() &gt;= 'MATCH DATES'!$A$9 + TIME(22, 0, 0)), CO49, 0)
)</f>
        <v>2</v>
      </c>
      <c r="DD49" s="36">
        <f t="shared" si="43"/>
        <v>0</v>
      </c>
      <c r="DF49" s="36">
        <f t="shared" si="44"/>
        <v>0</v>
      </c>
    </row>
    <row r="50" ht="24.75" customHeight="1">
      <c r="A50" s="19" t="s">
        <v>178</v>
      </c>
      <c r="B50" s="20" t="s">
        <v>190</v>
      </c>
      <c r="C50" s="21"/>
      <c r="D50" s="22">
        <f t="shared" si="3"/>
        <v>0</v>
      </c>
      <c r="E50" s="22">
        <f t="shared" si="4"/>
        <v>0</v>
      </c>
      <c r="F50" s="22">
        <f t="shared" si="5"/>
        <v>0</v>
      </c>
      <c r="G50" s="22">
        <f>IF(C50&lt;&gt;"",
    COUNTIFS(MATCH_INPUT!$K$2:$K$5,C50),
0)</f>
        <v>0</v>
      </c>
      <c r="H50" s="22">
        <f>IF(C50&lt;&gt;"",
    COUNTIFS(MATCH_INPUT!$F$2:$F$5, C50, MATCH_INPUT!$K$2:$K$5, "Draw") +
    COUNTIFS(MATCH_INPUT!$J$2:$J$5, C50, MATCH_INPUT!$K$2:$K$5, "Draw"),
0)</f>
        <v>0</v>
      </c>
      <c r="I50" s="22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3"/>
      <c r="K50" s="23"/>
      <c r="L50" s="24"/>
      <c r="M50" s="25">
        <f t="shared" si="115"/>
        <v>3</v>
      </c>
      <c r="N50" s="26" t="str">
        <f t="shared" si="7"/>
        <v>↓</v>
      </c>
      <c r="O50" s="27"/>
      <c r="P50" s="28">
        <f t="shared" si="8"/>
        <v>0</v>
      </c>
      <c r="Q50" s="28">
        <f t="shared" si="9"/>
        <v>0</v>
      </c>
      <c r="R50" s="28">
        <f t="shared" si="10"/>
        <v>0</v>
      </c>
      <c r="S50" s="28">
        <f>IF(O50&lt;&gt;"",
    COUNTIFS(MATCH_INPUT!$K$6:$K$9,O50),
0)</f>
        <v>0</v>
      </c>
      <c r="T50" s="28">
        <f>IF(O50&lt;&gt;"",
    COUNTIFS(MATCH_INPUT!$F$6:$F$9, O50, MATCH_INPUT!$K$6:$K$9, "Draw") +
    COUNTIFS(MATCH_INPUT!$J$6:$J$9, O50, MATCH_INPUT!$K$6:$K$9, "Draw"),
0)</f>
        <v>0</v>
      </c>
      <c r="U50" s="28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29"/>
      <c r="W50" s="29"/>
      <c r="X50" s="20"/>
      <c r="Y50" s="30">
        <f t="shared" si="116"/>
        <v>4</v>
      </c>
      <c r="Z50" s="31" t="str">
        <f t="shared" si="12"/>
        <v>↓</v>
      </c>
      <c r="AA50" s="21"/>
      <c r="AB50" s="32">
        <f t="shared" si="13"/>
        <v>0</v>
      </c>
      <c r="AC50" s="22">
        <f t="shared" si="14"/>
        <v>0</v>
      </c>
      <c r="AD50" s="22">
        <f t="shared" si="15"/>
        <v>0</v>
      </c>
      <c r="AE50" s="22">
        <f>IF(AA50&lt;&gt;"",
    COUNTIFS(MATCH_INPUT!$K$10:$K$13,AA50),
0)</f>
        <v>0</v>
      </c>
      <c r="AF50" s="22">
        <f>IF(AA50&lt;&gt;"",
    COUNTIFS(MATCH_INPUT!$F$10:$F$13, AA50, MATCH_INPUT!$K$10:$K$13, "Draw") +
    COUNTIFS(MATCH_INPUT!$J$10:$J$13, AA50, MATCH_INPUT!$K$10:$K$13, "Draw"),
0)</f>
        <v>0</v>
      </c>
      <c r="AG50" s="22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3"/>
      <c r="AI50" s="23"/>
      <c r="AJ50" s="33"/>
      <c r="AK50" s="25">
        <f t="shared" si="117"/>
        <v>6</v>
      </c>
      <c r="AL50" s="26" t="str">
        <f t="shared" si="17"/>
        <v>↓</v>
      </c>
      <c r="AM50" s="27"/>
      <c r="AN50" s="28">
        <f t="shared" si="18"/>
        <v>0</v>
      </c>
      <c r="AO50" s="28">
        <f t="shared" si="19"/>
        <v>0</v>
      </c>
      <c r="AP50" s="28">
        <f t="shared" si="20"/>
        <v>0</v>
      </c>
      <c r="AQ50" s="28">
        <f>IF(AM50&lt;&gt;"",
    COUNTIFS(MATCH_INPUT!$K$14:$K$17,AM50),
0)</f>
        <v>0</v>
      </c>
      <c r="AR50" s="28">
        <f>IF(AM50&lt;&gt;"",
    COUNTIFS(MATCH_INPUT!$F$14:$F$17, AM50, MATCH_INPUT!$K$14:$K$17, "Draw") +
    COUNTIFS(MATCH_INPUT!$J$14:$J$17, AM50, MATCH_INPUT!$K$14:$K$17, "Draw"),
0)</f>
        <v>0</v>
      </c>
      <c r="AS50" s="28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29"/>
      <c r="AU50" s="29"/>
      <c r="AV50" s="20"/>
      <c r="AW50" s="30">
        <f t="shared" si="118"/>
        <v>7</v>
      </c>
      <c r="AX50" s="31" t="str">
        <f t="shared" si="22"/>
        <v>↓</v>
      </c>
      <c r="AY50" s="21"/>
      <c r="AZ50" s="32">
        <f t="shared" si="23"/>
        <v>0</v>
      </c>
      <c r="BA50" s="22">
        <f t="shared" si="24"/>
        <v>0</v>
      </c>
      <c r="BB50" s="22">
        <f>SUM(BC50*2) + (BD50*1) + SUMIFS(MATCH_INPUT!$G$18:$G$21, MATCH_INPUT!$F$18:$F$21, AY50) + SUMIFS(MATCH_INPUT!$I$18:$I$21, MATCH_INPUT!$J$18:$J$21, AY50)
</f>
        <v>0</v>
      </c>
      <c r="BC50" s="22">
        <f>IF(AY50&lt;&gt;"",
    COUNTIFS(MATCH_INPUT!$K$18:$K$21,AY50),
0)</f>
        <v>0</v>
      </c>
      <c r="BD50" s="22">
        <f>IF(AY50&lt;&gt;"",
    COUNTIFS(MATCH_INPUT!$F$18:$F$21, AY50, MATCH_INPUT!$K$18:$K$21, "Draw") +
    COUNTIFS(MATCH_INPUT!$J$18:$J$21, AY50, MATCH_INPUT!$K$18:$K$21, "Draw"),
0)</f>
        <v>0</v>
      </c>
      <c r="BE50" s="22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0</v>
      </c>
      <c r="BF50" s="23"/>
      <c r="BG50" s="23"/>
      <c r="BH50" s="33"/>
      <c r="BI50" s="25">
        <f t="shared" si="119"/>
        <v>11</v>
      </c>
      <c r="BJ50" s="26" t="str">
        <f t="shared" si="26"/>
        <v>↓</v>
      </c>
      <c r="BK50" s="27"/>
      <c r="BL50" s="28">
        <f t="shared" si="27"/>
        <v>0</v>
      </c>
      <c r="BM50" s="28">
        <f t="shared" si="28"/>
        <v>0</v>
      </c>
      <c r="BN50" s="28">
        <f>SUM(BO50*2) + (BP50*1) + SUMIFS(MATCH_INPUT!$G$22:$G$25, MATCH_INPUT!$F$22:$F$25, BK50) + SUMIFS(MATCH_INPUT!$I$22:$I$25, MATCH_INPUT!$J$22:$J$25, BK50)
</f>
        <v>0</v>
      </c>
      <c r="BO50" s="28">
        <f>IF(BK50&lt;&gt;"",
    COUNTIFS(MATCH_INPUT!$K$22:$K$25,BK50),
0)</f>
        <v>0</v>
      </c>
      <c r="BP50" s="28">
        <f>IF(BK50&lt;&gt;"",
    COUNTIFS(MATCH_INPUT!$F$22:$F$25, BK50, MATCH_INPUT!$K$22:$K$25, "Draw") +
    COUNTIFS(MATCH_INPUT!$J$22:$J$25, BK50, MATCH_INPUT!$K$22:$K$25, "Draw"),
0)</f>
        <v>0</v>
      </c>
      <c r="BQ50" s="28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29"/>
      <c r="BS50" s="29"/>
      <c r="BT50" s="20"/>
      <c r="BU50" s="30">
        <f t="shared" si="120"/>
        <v>12</v>
      </c>
      <c r="BV50" s="31" t="str">
        <f t="shared" si="30"/>
        <v>↓</v>
      </c>
      <c r="BW50" s="21"/>
      <c r="BX50" s="32">
        <f t="shared" si="31"/>
        <v>0</v>
      </c>
      <c r="BY50" s="22">
        <f t="shared" si="32"/>
        <v>0</v>
      </c>
      <c r="BZ50" s="22">
        <f>SUM(CA50*2)+(CB50*1) + SUMIFS(MATCH_INPUT!$G$26:$G$29, MATCH_INPUT!$F$26:$F$29, BW50) + SUMIFS(MATCH_INPUT!$I$26:$I$29, MATCH_INPUT!$J$26:$J$29, BW50)
</f>
        <v>0</v>
      </c>
      <c r="CA50" s="22">
        <f>IF(BW50&lt;&gt;"",
    COUNTIFS(MATCH_INPUT!$K$26:$K$29,BW50),
0)</f>
        <v>0</v>
      </c>
      <c r="CB50" s="22">
        <f>IF(BW50&lt;&gt;"",
    COUNTIFS(MATCH_INPUT!$F$26:$F$29, BW50, MATCH_INPUT!$K$26:$K$29, "Draw") +
    COUNTIFS(MATCH_INPUT!$J$26:$J$29, BW50, MATCH_INPUT!$K$26:$K$29, "Draw"),
0)</f>
        <v>0</v>
      </c>
      <c r="CC50" s="22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3"/>
      <c r="CE50" s="23"/>
      <c r="CF50" s="33"/>
      <c r="CG50" s="25">
        <f t="shared" si="121"/>
        <v>12</v>
      </c>
      <c r="CH50" s="26" t="str">
        <f t="shared" si="34"/>
        <v>=</v>
      </c>
      <c r="CI50" s="27" t="s">
        <v>142</v>
      </c>
      <c r="CJ50" s="28">
        <f t="shared" si="35"/>
        <v>6</v>
      </c>
      <c r="CK50" s="28">
        <f t="shared" si="36"/>
        <v>2</v>
      </c>
      <c r="CL50" s="28">
        <f>SUM(CM50*2)+(CN50*1) + SUMIFS(MATCH_INPUT!$G$30:$G$33, MATCH_INPUT!$F$30:$F$33, CI50) + SUMIFS(MATCH_INPUT!$I$30:$I$33, MATCH_INPUT!$J$30:$J$33, CI50)
</f>
        <v>4</v>
      </c>
      <c r="CM50" s="28">
        <f>IF(CI50&lt;&gt;"",
    COUNTIFS(MATCH_INPUT!$K$30:$K$33,CI50),
0)</f>
        <v>1</v>
      </c>
      <c r="CN50" s="28">
        <f>IF(CI50&lt;&gt;"",
    COUNTIFS(MATCH_INPUT!$F$30:$F$33, CI50, MATCH_INPUT!$K$30:$K$33, "Draw") +
    COUNTIFS(MATCH_INPUT!$J$30:$J$33, CI50, MATCH_INPUT!$K$30:$K$33, "Draw"),
0)</f>
        <v>0</v>
      </c>
      <c r="CO50" s="28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1</v>
      </c>
      <c r="CP50" s="29"/>
      <c r="CQ50" s="29"/>
      <c r="CR50" s="20"/>
      <c r="CS50" s="34">
        <f t="shared" si="122"/>
        <v>12</v>
      </c>
      <c r="CT50" s="34" t="str">
        <f t="shared" si="38"/>
        <v>=</v>
      </c>
      <c r="CU50" s="35">
        <f t="shared" si="39"/>
        <v>4</v>
      </c>
      <c r="CV50" s="35" t="str">
        <f t="shared" ref="CV50:CW50" si="143">A50</f>
        <v>🔁</v>
      </c>
      <c r="CW50" s="36" t="str">
        <f t="shared" si="143"/>
        <v>(Juan Pablo)</v>
      </c>
      <c r="CX50" s="36">
        <f t="shared" si="41"/>
        <v>6</v>
      </c>
      <c r="CY50" s="35">
        <f>SUM(
  IF(AND('MATCH DATES'!$A$2 &lt;= TODAY(), NOW() &gt;= 'MATCH DATES'!$A$2 + TIME(22, 0, 0)), E50, 0),
  IF(AND('MATCH DATES'!$A$3 &lt;= TODAY(), NOW() &gt;= 'MATCH DATES'!$A$3 + TIME(22, 0, 0)), Q50, 0),
  IF(AND('MATCH DATES'!$A$4 &lt;= TODAY(), NOW() &gt;= 'MATCH DATES'!$A$4 + TIME(22, 0, 0)), AC50, 0),
  IF(AND('MATCH DATES'!$A$5 &lt;= TODAY(), NOW() &gt;= 'MATCH DATES'!$A$5 + TIME(22, 0, 0)), AO50, 0),
  IF(AND('MATCH DATES'!$A$6 &lt;= TODAY(), NOW() &gt;= 'MATCH DATES'!$A$6 + TIME(22, 0, 0)), BA50, 0),
  IF(AND('MATCH DATES'!$A$7 &lt;= TODAY(), NOW() &gt;= 'MATCH DATES'!$A$7 + TIME(22, 0, 0)), BM50, 0),
  IF(AND('MATCH DATES'!$A$8 &lt;= TODAY(), NOW() &gt;= 'MATCH DATES'!$A$8 + TIME(22, 0, 0)), BY50, 0),
  IF(AND('MATCH DATES'!$A$9 &lt;= TODAY(), NOW() &gt;= 'MATCH DATES'!$A$9 + TIME(22, 0, 0)), CK50, 0)
)
</f>
        <v>2</v>
      </c>
      <c r="CZ50" s="36">
        <f t="shared" ref="CZ50:DA50" si="144">SUM(G50,S50,AE50,AQ50,BC50,BO50,CA50,CM50)</f>
        <v>1</v>
      </c>
      <c r="DA50" s="36">
        <f t="shared" si="144"/>
        <v>0</v>
      </c>
      <c r="DB50" s="36">
        <f>SUM(
  IF(AND('MATCH DATES'!$A$2 &lt;= TODAY(), NOW() &gt;= 'MATCH DATES'!$A$2 + TIME(22, 0, 0)), I50, 0),
  IF(AND('MATCH DATES'!$A$3 &lt;= TODAY(), NOW() &gt;= 'MATCH DATES'!$A$3 + TIME(22, 0, 0)), U50, 0),
  IF(AND('MATCH DATES'!$A$4 &lt;= TODAY(), NOW() &gt;= 'MATCH DATES'!$A$4 + TIME(22, 0, 0)), AG50, 0),
  IF(AND('MATCH DATES'!$A$5 &lt;= TODAY(), NOW() &gt;= 'MATCH DATES'!$A$5 + TIME(22, 0, 0)), AS50, 0),
  IF(AND('MATCH DATES'!$A$6 &lt;= TODAY(), NOW() &gt;= 'MATCH DATES'!$A$6 + TIME(22, 0, 0)), BE50, 0),
  IF(AND('MATCH DATES'!$A$7 &lt;= TODAY(), NOW() &gt;= 'MATCH DATES'!$A$7 + TIME(22, 0, 0)), BQ50, 0),
  IF(AND('MATCH DATES'!$A$8 &lt;= TODAY(), NOW() &gt;= 'MATCH DATES'!$A$8 + TIME(22, 0, 0)), CC50, 0),
  IF(AND('MATCH DATES'!$A$9 &lt;= TODAY(), NOW() &gt;= 'MATCH DATES'!$A$9 + TIME(22, 0, 0)), CO50, 0)
)</f>
        <v>1</v>
      </c>
      <c r="DD50" s="36">
        <f t="shared" si="43"/>
        <v>0</v>
      </c>
      <c r="DF50" s="36">
        <f t="shared" si="44"/>
        <v>0</v>
      </c>
    </row>
    <row r="51" ht="24.75" customHeight="1">
      <c r="A51" s="19" t="s">
        <v>178</v>
      </c>
      <c r="B51" s="20" t="s">
        <v>191</v>
      </c>
      <c r="C51" s="21"/>
      <c r="D51" s="22">
        <f t="shared" si="3"/>
        <v>0</v>
      </c>
      <c r="E51" s="22">
        <f t="shared" si="4"/>
        <v>0</v>
      </c>
      <c r="F51" s="22">
        <f t="shared" si="5"/>
        <v>0</v>
      </c>
      <c r="G51" s="22">
        <f>IF(C51&lt;&gt;"",
    COUNTIFS(MATCH_INPUT!$K$2:$K$5,C51),
0)</f>
        <v>0</v>
      </c>
      <c r="H51" s="22">
        <f>IF(C51&lt;&gt;"",
    COUNTIFS(MATCH_INPUT!$F$2:$F$5, C51, MATCH_INPUT!$K$2:$K$5, "Draw") +
    COUNTIFS(MATCH_INPUT!$J$2:$J$5, C51, MATCH_INPUT!$K$2:$K$5, "Draw"),
0)</f>
        <v>0</v>
      </c>
      <c r="I51" s="22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3"/>
      <c r="K51" s="23"/>
      <c r="L51" s="24"/>
      <c r="M51" s="25">
        <f t="shared" si="115"/>
        <v>3</v>
      </c>
      <c r="N51" s="26" t="str">
        <f t="shared" si="7"/>
        <v>↓</v>
      </c>
      <c r="O51" s="27"/>
      <c r="P51" s="28">
        <f t="shared" si="8"/>
        <v>0</v>
      </c>
      <c r="Q51" s="28">
        <f t="shared" si="9"/>
        <v>0</v>
      </c>
      <c r="R51" s="28">
        <f t="shared" si="10"/>
        <v>0</v>
      </c>
      <c r="S51" s="28">
        <f>IF(O51&lt;&gt;"",
    COUNTIFS(MATCH_INPUT!$K$6:$K$9,O51),
0)</f>
        <v>0</v>
      </c>
      <c r="T51" s="28">
        <f>IF(O51&lt;&gt;"",
    COUNTIFS(MATCH_INPUT!$F$6:$F$9, O51, MATCH_INPUT!$K$6:$K$9, "Draw") +
    COUNTIFS(MATCH_INPUT!$J$6:$J$9, O51, MATCH_INPUT!$K$6:$K$9, "Draw"),
0)</f>
        <v>0</v>
      </c>
      <c r="U51" s="28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29"/>
      <c r="W51" s="29"/>
      <c r="X51" s="20"/>
      <c r="Y51" s="30">
        <f t="shared" si="116"/>
        <v>4</v>
      </c>
      <c r="Z51" s="31" t="str">
        <f t="shared" si="12"/>
        <v>↓</v>
      </c>
      <c r="AA51" s="21"/>
      <c r="AB51" s="32">
        <f t="shared" si="13"/>
        <v>0</v>
      </c>
      <c r="AC51" s="22">
        <f t="shared" si="14"/>
        <v>0</v>
      </c>
      <c r="AD51" s="22">
        <f t="shared" si="15"/>
        <v>0</v>
      </c>
      <c r="AE51" s="22">
        <f>IF(AA51&lt;&gt;"",
    COUNTIFS(MATCH_INPUT!$K$10:$K$13,AA51),
0)</f>
        <v>0</v>
      </c>
      <c r="AF51" s="22">
        <f>IF(AA51&lt;&gt;"",
    COUNTIFS(MATCH_INPUT!$F$10:$F$13, AA51, MATCH_INPUT!$K$10:$K$13, "Draw") +
    COUNTIFS(MATCH_INPUT!$J$10:$J$13, AA51, MATCH_INPUT!$K$10:$K$13, "Draw"),
0)</f>
        <v>0</v>
      </c>
      <c r="AG51" s="22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3"/>
      <c r="AI51" s="23"/>
      <c r="AJ51" s="33"/>
      <c r="AK51" s="25">
        <f t="shared" si="117"/>
        <v>6</v>
      </c>
      <c r="AL51" s="26" t="str">
        <f t="shared" si="17"/>
        <v>↓</v>
      </c>
      <c r="AM51" s="27"/>
      <c r="AN51" s="28">
        <f t="shared" si="18"/>
        <v>0</v>
      </c>
      <c r="AO51" s="28">
        <f t="shared" si="19"/>
        <v>0</v>
      </c>
      <c r="AP51" s="28">
        <f t="shared" si="20"/>
        <v>0</v>
      </c>
      <c r="AQ51" s="28">
        <f>IF(AM51&lt;&gt;"",
    COUNTIFS(MATCH_INPUT!$K$14:$K$17,AM51),
0)</f>
        <v>0</v>
      </c>
      <c r="AR51" s="28">
        <f>IF(AM51&lt;&gt;"",
    COUNTIFS(MATCH_INPUT!$F$14:$F$17, AM51, MATCH_INPUT!$K$14:$K$17, "Draw") +
    COUNTIFS(MATCH_INPUT!$J$14:$J$17, AM51, MATCH_INPUT!$K$14:$K$17, "Draw"),
0)</f>
        <v>0</v>
      </c>
      <c r="AS51" s="28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29"/>
      <c r="AU51" s="29"/>
      <c r="AV51" s="20"/>
      <c r="AW51" s="30">
        <f t="shared" si="118"/>
        <v>7</v>
      </c>
      <c r="AX51" s="31" t="str">
        <f t="shared" si="22"/>
        <v>↓</v>
      </c>
      <c r="AY51" s="21"/>
      <c r="AZ51" s="32">
        <f t="shared" si="23"/>
        <v>0</v>
      </c>
      <c r="BA51" s="22">
        <f t="shared" si="24"/>
        <v>0</v>
      </c>
      <c r="BB51" s="22">
        <f>SUM(BC51*2) + (BD51*1) + SUMIFS(MATCH_INPUT!$G$18:$G$21, MATCH_INPUT!$F$18:$F$21, AY51) + SUMIFS(MATCH_INPUT!$I$18:$I$21, MATCH_INPUT!$J$18:$J$21, AY51)
</f>
        <v>0</v>
      </c>
      <c r="BC51" s="22">
        <f>IF(AY51&lt;&gt;"",
    COUNTIFS(MATCH_INPUT!$K$18:$K$21,AY51),
0)</f>
        <v>0</v>
      </c>
      <c r="BD51" s="22">
        <f>IF(AY51&lt;&gt;"",
    COUNTIFS(MATCH_INPUT!$F$18:$F$21, AY51, MATCH_INPUT!$K$18:$K$21, "Draw") +
    COUNTIFS(MATCH_INPUT!$J$18:$J$21, AY51, MATCH_INPUT!$K$18:$K$21, "Draw"),
0)</f>
        <v>0</v>
      </c>
      <c r="BE51" s="22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0</v>
      </c>
      <c r="BF51" s="23"/>
      <c r="BG51" s="23"/>
      <c r="BH51" s="33"/>
      <c r="BI51" s="25">
        <f t="shared" si="119"/>
        <v>11</v>
      </c>
      <c r="BJ51" s="26" t="str">
        <f t="shared" si="26"/>
        <v>↓</v>
      </c>
      <c r="BK51" s="27"/>
      <c r="BL51" s="28">
        <f t="shared" si="27"/>
        <v>0</v>
      </c>
      <c r="BM51" s="28">
        <f t="shared" si="28"/>
        <v>0</v>
      </c>
      <c r="BN51" s="28">
        <f>SUM(BO51*2) + (BP51*1) + SUMIFS(MATCH_INPUT!$G$22:$G$25, MATCH_INPUT!$F$22:$F$25, BK51) + SUMIFS(MATCH_INPUT!$I$22:$I$25, MATCH_INPUT!$J$22:$J$25, BK51)
</f>
        <v>0</v>
      </c>
      <c r="BO51" s="28">
        <f>IF(BK51&lt;&gt;"",
    COUNTIFS(MATCH_INPUT!$K$22:$K$25,BK51),
0)</f>
        <v>0</v>
      </c>
      <c r="BP51" s="28">
        <f>IF(BK51&lt;&gt;"",
    COUNTIFS(MATCH_INPUT!$F$22:$F$25, BK51, MATCH_INPUT!$K$22:$K$25, "Draw") +
    COUNTIFS(MATCH_INPUT!$J$22:$J$25, BK51, MATCH_INPUT!$K$22:$K$25, "Draw"),
0)</f>
        <v>0</v>
      </c>
      <c r="BQ51" s="28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29"/>
      <c r="BS51" s="29"/>
      <c r="BT51" s="20"/>
      <c r="BU51" s="30">
        <f t="shared" si="120"/>
        <v>12</v>
      </c>
      <c r="BV51" s="31" t="str">
        <f t="shared" si="30"/>
        <v>↓</v>
      </c>
      <c r="BW51" s="21"/>
      <c r="BX51" s="32">
        <f t="shared" si="31"/>
        <v>0</v>
      </c>
      <c r="BY51" s="22">
        <f t="shared" si="32"/>
        <v>0</v>
      </c>
      <c r="BZ51" s="22">
        <f>SUM(CA51*2)+(CB51*1) + SUMIFS(MATCH_INPUT!$G$26:$G$29, MATCH_INPUT!$F$26:$F$29, BW51) + SUMIFS(MATCH_INPUT!$I$26:$I$29, MATCH_INPUT!$J$26:$J$29, BW51)
</f>
        <v>0</v>
      </c>
      <c r="CA51" s="22">
        <f>IF(BW51&lt;&gt;"",
    COUNTIFS(MATCH_INPUT!$K$26:$K$29,BW51),
0)</f>
        <v>0</v>
      </c>
      <c r="CB51" s="22">
        <f>IF(BW51&lt;&gt;"",
    COUNTIFS(MATCH_INPUT!$F$26:$F$29, BW51, MATCH_INPUT!$K$26:$K$29, "Draw") +
    COUNTIFS(MATCH_INPUT!$J$26:$J$29, BW51, MATCH_INPUT!$K$26:$K$29, "Draw"),
0)</f>
        <v>0</v>
      </c>
      <c r="CC51" s="22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3"/>
      <c r="CE51" s="23"/>
      <c r="CF51" s="33"/>
      <c r="CG51" s="25">
        <f t="shared" si="121"/>
        <v>12</v>
      </c>
      <c r="CH51" s="26" t="str">
        <f t="shared" si="34"/>
        <v>=</v>
      </c>
      <c r="CI51" s="27" t="s">
        <v>142</v>
      </c>
      <c r="CJ51" s="28">
        <f t="shared" si="35"/>
        <v>6</v>
      </c>
      <c r="CK51" s="28">
        <f t="shared" si="36"/>
        <v>2</v>
      </c>
      <c r="CL51" s="28">
        <f>SUM(CM51*2)+(CN51*1) + SUMIFS(MATCH_INPUT!$G$30:$G$33, MATCH_INPUT!$F$30:$F$33, CI51) + SUMIFS(MATCH_INPUT!$I$30:$I$33, MATCH_INPUT!$J$30:$J$33, CI51)
</f>
        <v>4</v>
      </c>
      <c r="CM51" s="28">
        <f>IF(CI51&lt;&gt;"",
    COUNTIFS(MATCH_INPUT!$K$30:$K$33,CI51),
0)</f>
        <v>1</v>
      </c>
      <c r="CN51" s="28">
        <f>IF(CI51&lt;&gt;"",
    COUNTIFS(MATCH_INPUT!$F$30:$F$33, CI51, MATCH_INPUT!$K$30:$K$33, "Draw") +
    COUNTIFS(MATCH_INPUT!$J$30:$J$33, CI51, MATCH_INPUT!$K$30:$K$33, "Draw"),
0)</f>
        <v>0</v>
      </c>
      <c r="CO51" s="28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1</v>
      </c>
      <c r="CP51" s="29"/>
      <c r="CQ51" s="29"/>
      <c r="CR51" s="20"/>
      <c r="CS51" s="34">
        <f t="shared" si="122"/>
        <v>12</v>
      </c>
      <c r="CT51" s="34" t="str">
        <f t="shared" si="38"/>
        <v>=</v>
      </c>
      <c r="CU51" s="35">
        <f t="shared" si="39"/>
        <v>4</v>
      </c>
      <c r="CV51" s="35" t="str">
        <f t="shared" ref="CV51:CW51" si="145">A51</f>
        <v>🔁</v>
      </c>
      <c r="CW51" s="36" t="str">
        <f t="shared" si="145"/>
        <v>(Alexis)</v>
      </c>
      <c r="CX51" s="36">
        <f t="shared" si="41"/>
        <v>6</v>
      </c>
      <c r="CY51" s="35">
        <f>SUM(
  IF(AND('MATCH DATES'!$A$2 &lt;= TODAY(), NOW() &gt;= 'MATCH DATES'!$A$2 + TIME(22, 0, 0)), E51, 0),
  IF(AND('MATCH DATES'!$A$3 &lt;= TODAY(), NOW() &gt;= 'MATCH DATES'!$A$3 + TIME(22, 0, 0)), Q51, 0),
  IF(AND('MATCH DATES'!$A$4 &lt;= TODAY(), NOW() &gt;= 'MATCH DATES'!$A$4 + TIME(22, 0, 0)), AC51, 0),
  IF(AND('MATCH DATES'!$A$5 &lt;= TODAY(), NOW() &gt;= 'MATCH DATES'!$A$5 + TIME(22, 0, 0)), AO51, 0),
  IF(AND('MATCH DATES'!$A$6 &lt;= TODAY(), NOW() &gt;= 'MATCH DATES'!$A$6 + TIME(22, 0, 0)), BA51, 0),
  IF(AND('MATCH DATES'!$A$7 &lt;= TODAY(), NOW() &gt;= 'MATCH DATES'!$A$7 + TIME(22, 0, 0)), BM51, 0),
  IF(AND('MATCH DATES'!$A$8 &lt;= TODAY(), NOW() &gt;= 'MATCH DATES'!$A$8 + TIME(22, 0, 0)), BY51, 0),
  IF(AND('MATCH DATES'!$A$9 &lt;= TODAY(), NOW() &gt;= 'MATCH DATES'!$A$9 + TIME(22, 0, 0)), CK51, 0)
)
</f>
        <v>2</v>
      </c>
      <c r="CZ51" s="36">
        <f t="shared" ref="CZ51:DA51" si="146">SUM(G51,S51,AE51,AQ51,BC51,BO51,CA51,CM51)</f>
        <v>1</v>
      </c>
      <c r="DA51" s="36">
        <f t="shared" si="146"/>
        <v>0</v>
      </c>
      <c r="DB51" s="36">
        <f>SUM(
  IF(AND('MATCH DATES'!$A$2 &lt;= TODAY(), NOW() &gt;= 'MATCH DATES'!$A$2 + TIME(22, 0, 0)), I51, 0),
  IF(AND('MATCH DATES'!$A$3 &lt;= TODAY(), NOW() &gt;= 'MATCH DATES'!$A$3 + TIME(22, 0, 0)), U51, 0),
  IF(AND('MATCH DATES'!$A$4 &lt;= TODAY(), NOW() &gt;= 'MATCH DATES'!$A$4 + TIME(22, 0, 0)), AG51, 0),
  IF(AND('MATCH DATES'!$A$5 &lt;= TODAY(), NOW() &gt;= 'MATCH DATES'!$A$5 + TIME(22, 0, 0)), AS51, 0),
  IF(AND('MATCH DATES'!$A$6 &lt;= TODAY(), NOW() &gt;= 'MATCH DATES'!$A$6 + TIME(22, 0, 0)), BE51, 0),
  IF(AND('MATCH DATES'!$A$7 &lt;= TODAY(), NOW() &gt;= 'MATCH DATES'!$A$7 + TIME(22, 0, 0)), BQ51, 0),
  IF(AND('MATCH DATES'!$A$8 &lt;= TODAY(), NOW() &gt;= 'MATCH DATES'!$A$8 + TIME(22, 0, 0)), CC51, 0),
  IF(AND('MATCH DATES'!$A$9 &lt;= TODAY(), NOW() &gt;= 'MATCH DATES'!$A$9 + TIME(22, 0, 0)), CO51, 0)
)</f>
        <v>1</v>
      </c>
      <c r="DD51" s="36">
        <f t="shared" si="43"/>
        <v>0</v>
      </c>
      <c r="DF51" s="36">
        <f t="shared" si="44"/>
        <v>0</v>
      </c>
    </row>
    <row r="52" ht="24.75" customHeight="1">
      <c r="A52" s="19" t="s">
        <v>178</v>
      </c>
      <c r="B52" s="20" t="s">
        <v>192</v>
      </c>
      <c r="C52" s="21"/>
      <c r="D52" s="22">
        <f t="shared" si="3"/>
        <v>0</v>
      </c>
      <c r="E52" s="22">
        <f t="shared" si="4"/>
        <v>0</v>
      </c>
      <c r="F52" s="22">
        <f t="shared" si="5"/>
        <v>0</v>
      </c>
      <c r="G52" s="22">
        <f>IF(C52&lt;&gt;"",
    COUNTIFS(MATCH_INPUT!$K$2:$K$5,C52),
0)</f>
        <v>0</v>
      </c>
      <c r="H52" s="22">
        <f>IF(C52&lt;&gt;"",
    COUNTIFS(MATCH_INPUT!$F$2:$F$5, C52, MATCH_INPUT!$K$2:$K$5, "Draw") +
    COUNTIFS(MATCH_INPUT!$J$2:$J$5, C52, MATCH_INPUT!$K$2:$K$5, "Draw"),
0)</f>
        <v>0</v>
      </c>
      <c r="I52" s="22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3"/>
      <c r="K52" s="23"/>
      <c r="L52" s="24"/>
      <c r="M52" s="25">
        <f t="shared" si="115"/>
        <v>3</v>
      </c>
      <c r="N52" s="26" t="str">
        <f t="shared" si="7"/>
        <v>↓</v>
      </c>
      <c r="O52" s="27"/>
      <c r="P52" s="28">
        <f t="shared" si="8"/>
        <v>0</v>
      </c>
      <c r="Q52" s="28">
        <f t="shared" si="9"/>
        <v>0</v>
      </c>
      <c r="R52" s="28">
        <f t="shared" si="10"/>
        <v>0</v>
      </c>
      <c r="S52" s="28">
        <f>IF(O52&lt;&gt;"",
    COUNTIFS(MATCH_INPUT!$K$6:$K$9,O52),
0)</f>
        <v>0</v>
      </c>
      <c r="T52" s="28">
        <f>IF(O52&lt;&gt;"",
    COUNTIFS(MATCH_INPUT!$F$6:$F$9, O52, MATCH_INPUT!$K$6:$K$9, "Draw") +
    COUNTIFS(MATCH_INPUT!$J$6:$J$9, O52, MATCH_INPUT!$K$6:$K$9, "Draw"),
0)</f>
        <v>0</v>
      </c>
      <c r="U52" s="28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29"/>
      <c r="W52" s="29"/>
      <c r="X52" s="20"/>
      <c r="Y52" s="30">
        <f t="shared" si="116"/>
        <v>4</v>
      </c>
      <c r="Z52" s="31" t="str">
        <f t="shared" si="12"/>
        <v>↓</v>
      </c>
      <c r="AA52" s="21"/>
      <c r="AB52" s="32">
        <f t="shared" si="13"/>
        <v>0</v>
      </c>
      <c r="AC52" s="22">
        <f t="shared" si="14"/>
        <v>0</v>
      </c>
      <c r="AD52" s="22">
        <f t="shared" si="15"/>
        <v>0</v>
      </c>
      <c r="AE52" s="22">
        <f>IF(AA52&lt;&gt;"",
    COUNTIFS(MATCH_INPUT!$K$10:$K$13,AA52),
0)</f>
        <v>0</v>
      </c>
      <c r="AF52" s="22">
        <f>IF(AA52&lt;&gt;"",
    COUNTIFS(MATCH_INPUT!$F$10:$F$13, AA52, MATCH_INPUT!$K$10:$K$13, "Draw") +
    COUNTIFS(MATCH_INPUT!$J$10:$J$13, AA52, MATCH_INPUT!$K$10:$K$13, "Draw"),
0)</f>
        <v>0</v>
      </c>
      <c r="AG52" s="22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3"/>
      <c r="AI52" s="23"/>
      <c r="AJ52" s="33"/>
      <c r="AK52" s="25">
        <f t="shared" si="117"/>
        <v>6</v>
      </c>
      <c r="AL52" s="26" t="str">
        <f t="shared" si="17"/>
        <v>↓</v>
      </c>
      <c r="AM52" s="27"/>
      <c r="AN52" s="28">
        <f t="shared" si="18"/>
        <v>0</v>
      </c>
      <c r="AO52" s="28">
        <f t="shared" si="19"/>
        <v>0</v>
      </c>
      <c r="AP52" s="28">
        <f t="shared" si="20"/>
        <v>0</v>
      </c>
      <c r="AQ52" s="28">
        <f>IF(AM52&lt;&gt;"",
    COUNTIFS(MATCH_INPUT!$K$14:$K$17,AM52),
0)</f>
        <v>0</v>
      </c>
      <c r="AR52" s="28">
        <f>IF(AM52&lt;&gt;"",
    COUNTIFS(MATCH_INPUT!$F$14:$F$17, AM52, MATCH_INPUT!$K$14:$K$17, "Draw") +
    COUNTIFS(MATCH_INPUT!$J$14:$J$17, AM52, MATCH_INPUT!$K$14:$K$17, "Draw"),
0)</f>
        <v>0</v>
      </c>
      <c r="AS52" s="28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29"/>
      <c r="AU52" s="29"/>
      <c r="AV52" s="20"/>
      <c r="AW52" s="30">
        <f t="shared" si="118"/>
        <v>7</v>
      </c>
      <c r="AX52" s="31" t="str">
        <f t="shared" si="22"/>
        <v>↓</v>
      </c>
      <c r="AY52" s="21" t="s">
        <v>140</v>
      </c>
      <c r="AZ52" s="32">
        <f t="shared" si="23"/>
        <v>6</v>
      </c>
      <c r="BA52" s="22">
        <f t="shared" si="24"/>
        <v>2</v>
      </c>
      <c r="BB52" s="22">
        <f>SUM(BC52*2) + (BD52*1) + SUMIFS(MATCH_INPUT!$G$18:$G$21, MATCH_INPUT!$F$18:$F$21, AY52) + SUMIFS(MATCH_INPUT!$I$18:$I$21, MATCH_INPUT!$J$18:$J$21, AY52)
</f>
        <v>4</v>
      </c>
      <c r="BC52" s="22">
        <f>IF(AY52&lt;&gt;"",
    COUNTIFS(MATCH_INPUT!$K$18:$K$21,AY52),
0)</f>
        <v>0</v>
      </c>
      <c r="BD52" s="22">
        <f>IF(AY52&lt;&gt;"",
    COUNTIFS(MATCH_INPUT!$F$18:$F$21, AY52, MATCH_INPUT!$K$18:$K$21, "Draw") +
    COUNTIFS(MATCH_INPUT!$J$18:$J$21, AY52, MATCH_INPUT!$K$18:$K$21, "Draw"),
0)</f>
        <v>1</v>
      </c>
      <c r="BE52" s="22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1</v>
      </c>
      <c r="BF52" s="23"/>
      <c r="BG52" s="23"/>
      <c r="BH52" s="33"/>
      <c r="BI52" s="25">
        <f t="shared" si="119"/>
        <v>8</v>
      </c>
      <c r="BJ52" s="26" t="str">
        <f t="shared" si="26"/>
        <v>↓</v>
      </c>
      <c r="BK52" s="27"/>
      <c r="BL52" s="28">
        <f t="shared" si="27"/>
        <v>6</v>
      </c>
      <c r="BM52" s="28">
        <f t="shared" si="28"/>
        <v>0</v>
      </c>
      <c r="BN52" s="28">
        <f>SUM(BO52*2) + (BP52*1) + SUMIFS(MATCH_INPUT!$G$22:$G$25, MATCH_INPUT!$F$22:$F$25, BK52) + SUMIFS(MATCH_INPUT!$I$22:$I$25, MATCH_INPUT!$J$22:$J$25, BK52)
</f>
        <v>0</v>
      </c>
      <c r="BO52" s="28">
        <f>IF(BK52&lt;&gt;"",
    COUNTIFS(MATCH_INPUT!$K$22:$K$25,BK52),
0)</f>
        <v>0</v>
      </c>
      <c r="BP52" s="28">
        <f>IF(BK52&lt;&gt;"",
    COUNTIFS(MATCH_INPUT!$F$22:$F$25, BK52, MATCH_INPUT!$K$22:$K$25, "Draw") +
    COUNTIFS(MATCH_INPUT!$J$22:$J$25, BK52, MATCH_INPUT!$K$22:$K$25, "Draw"),
0)</f>
        <v>0</v>
      </c>
      <c r="BQ52" s="28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0</v>
      </c>
      <c r="BR52" s="29"/>
      <c r="BS52" s="29"/>
      <c r="BT52" s="20"/>
      <c r="BU52" s="30">
        <f t="shared" si="120"/>
        <v>9</v>
      </c>
      <c r="BV52" s="31" t="str">
        <f t="shared" si="30"/>
        <v>↓</v>
      </c>
      <c r="BW52" s="21"/>
      <c r="BX52" s="32">
        <f t="shared" si="31"/>
        <v>6</v>
      </c>
      <c r="BY52" s="22">
        <f t="shared" si="32"/>
        <v>0</v>
      </c>
      <c r="BZ52" s="22">
        <f>SUM(CA52*2)+(CB52*1) + SUMIFS(MATCH_INPUT!$G$26:$G$29, MATCH_INPUT!$F$26:$F$29, BW52) + SUMIFS(MATCH_INPUT!$I$26:$I$29, MATCH_INPUT!$J$26:$J$29, BW52)
</f>
        <v>0</v>
      </c>
      <c r="CA52" s="22">
        <f>IF(BW52&lt;&gt;"",
    COUNTIFS(MATCH_INPUT!$K$26:$K$29,BW52),
0)</f>
        <v>0</v>
      </c>
      <c r="CB52" s="22">
        <f>IF(BW52&lt;&gt;"",
    COUNTIFS(MATCH_INPUT!$F$26:$F$29, BW52, MATCH_INPUT!$K$26:$K$29, "Draw") +
    COUNTIFS(MATCH_INPUT!$J$26:$J$29, BW52, MATCH_INPUT!$K$26:$K$29, "Draw"),
0)</f>
        <v>0</v>
      </c>
      <c r="CC52" s="22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3"/>
      <c r="CE52" s="23"/>
      <c r="CF52" s="33"/>
      <c r="CG52" s="25">
        <f t="shared" si="121"/>
        <v>10</v>
      </c>
      <c r="CH52" s="26" t="str">
        <f t="shared" si="34"/>
        <v>↓</v>
      </c>
      <c r="CI52" s="27"/>
      <c r="CJ52" s="28">
        <f t="shared" si="35"/>
        <v>6</v>
      </c>
      <c r="CK52" s="28">
        <f t="shared" si="36"/>
        <v>0</v>
      </c>
      <c r="CL52" s="28">
        <f>SUM(CM52*2)+(CN52*1) + SUMIFS(MATCH_INPUT!$G$30:$G$33, MATCH_INPUT!$F$30:$F$33, CI52) + SUMIFS(MATCH_INPUT!$I$30:$I$33, MATCH_INPUT!$J$30:$J$33, CI52)
</f>
        <v>0</v>
      </c>
      <c r="CM52" s="28">
        <f>IF(CI52&lt;&gt;"",
    COUNTIFS(MATCH_INPUT!$K$30:$K$33,CI52),
0)</f>
        <v>0</v>
      </c>
      <c r="CN52" s="28">
        <f>IF(CI52&lt;&gt;"",
    COUNTIFS(MATCH_INPUT!$F$30:$F$33, CI52, MATCH_INPUT!$K$30:$K$33, "Draw") +
    COUNTIFS(MATCH_INPUT!$J$30:$J$33, CI52, MATCH_INPUT!$K$30:$K$33, "Draw"),
0)</f>
        <v>0</v>
      </c>
      <c r="CO52" s="28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29"/>
      <c r="CQ52" s="29"/>
      <c r="CR52" s="20"/>
      <c r="CS52" s="34">
        <f t="shared" si="122"/>
        <v>12</v>
      </c>
      <c r="CT52" s="34" t="str">
        <f t="shared" si="38"/>
        <v>↓</v>
      </c>
      <c r="CU52" s="35">
        <f t="shared" si="39"/>
        <v>4</v>
      </c>
      <c r="CV52" s="35" t="str">
        <f t="shared" ref="CV52:CW52" si="147">A52</f>
        <v>🔁</v>
      </c>
      <c r="CW52" s="36" t="str">
        <f t="shared" si="147"/>
        <v>(Jayden)</v>
      </c>
      <c r="CX52" s="36">
        <f t="shared" si="41"/>
        <v>6</v>
      </c>
      <c r="CY52" s="35">
        <f>SUM(
  IF(AND('MATCH DATES'!$A$2 &lt;= TODAY(), NOW() &gt;= 'MATCH DATES'!$A$2 + TIME(22, 0, 0)), E52, 0),
  IF(AND('MATCH DATES'!$A$3 &lt;= TODAY(), NOW() &gt;= 'MATCH DATES'!$A$3 + TIME(22, 0, 0)), Q52, 0),
  IF(AND('MATCH DATES'!$A$4 &lt;= TODAY(), NOW() &gt;= 'MATCH DATES'!$A$4 + TIME(22, 0, 0)), AC52, 0),
  IF(AND('MATCH DATES'!$A$5 &lt;= TODAY(), NOW() &gt;= 'MATCH DATES'!$A$5 + TIME(22, 0, 0)), AO52, 0),
  IF(AND('MATCH DATES'!$A$6 &lt;= TODAY(), NOW() &gt;= 'MATCH DATES'!$A$6 + TIME(22, 0, 0)), BA52, 0),
  IF(AND('MATCH DATES'!$A$7 &lt;= TODAY(), NOW() &gt;= 'MATCH DATES'!$A$7 + TIME(22, 0, 0)), BM52, 0),
  IF(AND('MATCH DATES'!$A$8 &lt;= TODAY(), NOW() &gt;= 'MATCH DATES'!$A$8 + TIME(22, 0, 0)), BY52, 0),
  IF(AND('MATCH DATES'!$A$9 &lt;= TODAY(), NOW() &gt;= 'MATCH DATES'!$A$9 + TIME(22, 0, 0)), CK52, 0)
)
</f>
        <v>2</v>
      </c>
      <c r="CZ52" s="36">
        <f t="shared" ref="CZ52:DA52" si="148">SUM(G52,S52,AE52,AQ52,BC52,BO52,CA52,CM52)</f>
        <v>0</v>
      </c>
      <c r="DA52" s="36">
        <f t="shared" si="148"/>
        <v>1</v>
      </c>
      <c r="DB52" s="36">
        <f>SUM(
  IF(AND('MATCH DATES'!$A$2 &lt;= TODAY(), NOW() &gt;= 'MATCH DATES'!$A$2 + TIME(22, 0, 0)), I52, 0),
  IF(AND('MATCH DATES'!$A$3 &lt;= TODAY(), NOW() &gt;= 'MATCH DATES'!$A$3 + TIME(22, 0, 0)), U52, 0),
  IF(AND('MATCH DATES'!$A$4 &lt;= TODAY(), NOW() &gt;= 'MATCH DATES'!$A$4 + TIME(22, 0, 0)), AG52, 0),
  IF(AND('MATCH DATES'!$A$5 &lt;= TODAY(), NOW() &gt;= 'MATCH DATES'!$A$5 + TIME(22, 0, 0)), AS52, 0),
  IF(AND('MATCH DATES'!$A$6 &lt;= TODAY(), NOW() &gt;= 'MATCH DATES'!$A$6 + TIME(22, 0, 0)), BE52, 0),
  IF(AND('MATCH DATES'!$A$7 &lt;= TODAY(), NOW() &gt;= 'MATCH DATES'!$A$7 + TIME(22, 0, 0)), BQ52, 0),
  IF(AND('MATCH DATES'!$A$8 &lt;= TODAY(), NOW() &gt;= 'MATCH DATES'!$A$8 + TIME(22, 0, 0)), CC52, 0),
  IF(AND('MATCH DATES'!$A$9 &lt;= TODAY(), NOW() &gt;= 'MATCH DATES'!$A$9 + TIME(22, 0, 0)), CO52, 0)
)</f>
        <v>1</v>
      </c>
      <c r="DD52" s="36">
        <f t="shared" si="43"/>
        <v>0</v>
      </c>
      <c r="DF52" s="36">
        <f t="shared" si="44"/>
        <v>0</v>
      </c>
    </row>
    <row r="53" ht="24.75" customHeight="1">
      <c r="A53" s="19"/>
      <c r="B53" s="20"/>
      <c r="C53" s="21"/>
      <c r="D53" s="22">
        <f t="shared" si="3"/>
        <v>0</v>
      </c>
      <c r="E53" s="22">
        <f t="shared" si="4"/>
        <v>0</v>
      </c>
      <c r="F53" s="22">
        <f t="shared" si="5"/>
        <v>0</v>
      </c>
      <c r="G53" s="22">
        <f>IF(C53&lt;&gt;"",
    COUNTIFS(MATCH_INPUT!$K$2:$K$5,C53),
0)</f>
        <v>0</v>
      </c>
      <c r="H53" s="22">
        <f>IF(C53&lt;&gt;"",
    COUNTIFS(MATCH_INPUT!$F$2:$F$5, C53, MATCH_INPUT!$K$2:$K$5, "Draw") +
    COUNTIFS(MATCH_INPUT!$J$2:$J$5, C53, MATCH_INPUT!$K$2:$K$5, "Draw"),
0)</f>
        <v>0</v>
      </c>
      <c r="I53" s="22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3"/>
      <c r="K53" s="23"/>
      <c r="L53" s="24"/>
      <c r="M53" s="25">
        <f t="shared" si="115"/>
        <v>3</v>
      </c>
      <c r="N53" s="26" t="str">
        <f t="shared" si="7"/>
        <v>↓</v>
      </c>
      <c r="O53" s="27"/>
      <c r="P53" s="28">
        <f t="shared" si="8"/>
        <v>0</v>
      </c>
      <c r="Q53" s="28">
        <f t="shared" si="9"/>
        <v>0</v>
      </c>
      <c r="R53" s="28">
        <f t="shared" si="10"/>
        <v>0</v>
      </c>
      <c r="S53" s="28">
        <f>IF(O53&lt;&gt;"",
    COUNTIFS(MATCH_INPUT!$K$6:$K$9,O53),
0)</f>
        <v>0</v>
      </c>
      <c r="T53" s="28">
        <f>IF(O53&lt;&gt;"",
    COUNTIFS(MATCH_INPUT!$F$6:$F$9, O53, MATCH_INPUT!$K$6:$K$9, "Draw") +
    COUNTIFS(MATCH_INPUT!$J$6:$J$9, O53, MATCH_INPUT!$K$6:$K$9, "Draw"),
0)</f>
        <v>0</v>
      </c>
      <c r="U53" s="28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29"/>
      <c r="W53" s="29"/>
      <c r="X53" s="20"/>
      <c r="Y53" s="30">
        <f t="shared" si="116"/>
        <v>4</v>
      </c>
      <c r="Z53" s="31" t="str">
        <f t="shared" si="12"/>
        <v>↓</v>
      </c>
      <c r="AA53" s="21"/>
      <c r="AB53" s="32">
        <f t="shared" si="13"/>
        <v>0</v>
      </c>
      <c r="AC53" s="22">
        <f t="shared" si="14"/>
        <v>0</v>
      </c>
      <c r="AD53" s="22">
        <f t="shared" si="15"/>
        <v>0</v>
      </c>
      <c r="AE53" s="22">
        <f>IF(AA53&lt;&gt;"",
    COUNTIFS(MATCH_INPUT!$K$10:$K$13,AA53),
0)</f>
        <v>0</v>
      </c>
      <c r="AF53" s="22">
        <f>IF(AA53&lt;&gt;"",
    COUNTIFS(MATCH_INPUT!$F$10:$F$13, AA53, MATCH_INPUT!$K$10:$K$13, "Draw") +
    COUNTIFS(MATCH_INPUT!$J$10:$J$13, AA53, MATCH_INPUT!$K$10:$K$13, "Draw"),
0)</f>
        <v>0</v>
      </c>
      <c r="AG53" s="22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3"/>
      <c r="AI53" s="23"/>
      <c r="AJ53" s="33"/>
      <c r="AK53" s="25">
        <f t="shared" si="117"/>
        <v>6</v>
      </c>
      <c r="AL53" s="26" t="str">
        <f t="shared" si="17"/>
        <v>↓</v>
      </c>
      <c r="AM53" s="27"/>
      <c r="AN53" s="28">
        <f t="shared" si="18"/>
        <v>0</v>
      </c>
      <c r="AO53" s="28">
        <f t="shared" si="19"/>
        <v>0</v>
      </c>
      <c r="AP53" s="28">
        <f t="shared" si="20"/>
        <v>0</v>
      </c>
      <c r="AQ53" s="28">
        <f>IF(AM53&lt;&gt;"",
    COUNTIFS(MATCH_INPUT!$K$14:$K$17,AM53),
0)</f>
        <v>0</v>
      </c>
      <c r="AR53" s="28">
        <f>IF(AM53&lt;&gt;"",
    COUNTIFS(MATCH_INPUT!$F$14:$F$17, AM53, MATCH_INPUT!$K$14:$K$17, "Draw") +
    COUNTIFS(MATCH_INPUT!$J$14:$J$17, AM53, MATCH_INPUT!$K$14:$K$17, "Draw"),
0)</f>
        <v>0</v>
      </c>
      <c r="AS53" s="28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29"/>
      <c r="AU53" s="29"/>
      <c r="AV53" s="20"/>
      <c r="AW53" s="30">
        <f t="shared" si="118"/>
        <v>7</v>
      </c>
      <c r="AX53" s="31" t="str">
        <f t="shared" si="22"/>
        <v>↓</v>
      </c>
      <c r="AY53" s="21"/>
      <c r="AZ53" s="32">
        <f t="shared" si="23"/>
        <v>0</v>
      </c>
      <c r="BA53" s="22">
        <f t="shared" si="24"/>
        <v>0</v>
      </c>
      <c r="BB53" s="22">
        <f>SUM(BC53*2) + (BD53*1) + SUMIFS(MATCH_INPUT!$G$18:$G$21, MATCH_INPUT!$F$18:$F$21, AY53) + SUMIFS(MATCH_INPUT!$I$18:$I$21, MATCH_INPUT!$J$18:$J$21, AY53)
</f>
        <v>0</v>
      </c>
      <c r="BC53" s="22">
        <f>IF(AY53&lt;&gt;"",
    COUNTIFS(MATCH_INPUT!$K$18:$K$21,AY53),
0)</f>
        <v>0</v>
      </c>
      <c r="BD53" s="22">
        <f>IF(AY53&lt;&gt;"",
    COUNTIFS(MATCH_INPUT!$F$18:$F$21, AY53, MATCH_INPUT!$K$18:$K$21, "Draw") +
    COUNTIFS(MATCH_INPUT!$J$18:$J$21, AY53, MATCH_INPUT!$K$18:$K$21, "Draw"),
0)</f>
        <v>0</v>
      </c>
      <c r="BE53" s="22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3"/>
      <c r="BG53" s="23"/>
      <c r="BH53" s="33"/>
      <c r="BI53" s="25">
        <f t="shared" si="119"/>
        <v>11</v>
      </c>
      <c r="BJ53" s="26" t="str">
        <f t="shared" si="26"/>
        <v>↓</v>
      </c>
      <c r="BK53" s="27"/>
      <c r="BL53" s="28">
        <f t="shared" si="27"/>
        <v>0</v>
      </c>
      <c r="BM53" s="28">
        <f t="shared" si="28"/>
        <v>0</v>
      </c>
      <c r="BN53" s="28">
        <f>SUM(BO53*2) + (BP53*1) + SUMIFS(MATCH_INPUT!$G$22:$G$25, MATCH_INPUT!$F$22:$F$25, BK53) + SUMIFS(MATCH_INPUT!$I$22:$I$25, MATCH_INPUT!$J$22:$J$25, BK53)
</f>
        <v>0</v>
      </c>
      <c r="BO53" s="28">
        <f>IF(BK53&lt;&gt;"",
    COUNTIFS(MATCH_INPUT!$K$22:$K$25,BK53),
0)</f>
        <v>0</v>
      </c>
      <c r="BP53" s="28">
        <f>IF(BK53&lt;&gt;"",
    COUNTIFS(MATCH_INPUT!$F$22:$F$25, BK53, MATCH_INPUT!$K$22:$K$25, "Draw") +
    COUNTIFS(MATCH_INPUT!$J$22:$J$25, BK53, MATCH_INPUT!$K$22:$K$25, "Draw"),
0)</f>
        <v>0</v>
      </c>
      <c r="BQ53" s="28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29"/>
      <c r="BS53" s="29"/>
      <c r="BT53" s="20"/>
      <c r="BU53" s="30">
        <f t="shared" si="120"/>
        <v>12</v>
      </c>
      <c r="BV53" s="31" t="str">
        <f t="shared" si="30"/>
        <v>↓</v>
      </c>
      <c r="BW53" s="21"/>
      <c r="BX53" s="32">
        <f t="shared" si="31"/>
        <v>0</v>
      </c>
      <c r="BY53" s="22">
        <f t="shared" si="32"/>
        <v>0</v>
      </c>
      <c r="BZ53" s="22">
        <f>SUM(CA53*2)+(CB53*1) + SUMIFS(MATCH_INPUT!$G$26:$G$29, MATCH_INPUT!$F$26:$F$29, BW53) + SUMIFS(MATCH_INPUT!$I$26:$I$29, MATCH_INPUT!$J$26:$J$29, BW53)
</f>
        <v>0</v>
      </c>
      <c r="CA53" s="22">
        <f>IF(BW53&lt;&gt;"",
    COUNTIFS(MATCH_INPUT!$K$26:$K$29,BW53),
0)</f>
        <v>0</v>
      </c>
      <c r="CB53" s="22">
        <f>IF(BW53&lt;&gt;"",
    COUNTIFS(MATCH_INPUT!$F$26:$F$29, BW53, MATCH_INPUT!$K$26:$K$29, "Draw") +
    COUNTIFS(MATCH_INPUT!$J$26:$J$29, BW53, MATCH_INPUT!$K$26:$K$29, "Draw"),
0)</f>
        <v>0</v>
      </c>
      <c r="CC53" s="22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3"/>
      <c r="CE53" s="23"/>
      <c r="CF53" s="33"/>
      <c r="CG53" s="25">
        <f t="shared" si="121"/>
        <v>12</v>
      </c>
      <c r="CH53" s="26" t="str">
        <f t="shared" si="34"/>
        <v>=</v>
      </c>
      <c r="CI53" s="27"/>
      <c r="CJ53" s="28">
        <f t="shared" si="35"/>
        <v>0</v>
      </c>
      <c r="CK53" s="28">
        <f t="shared" si="36"/>
        <v>0</v>
      </c>
      <c r="CL53" s="28">
        <f>SUM(CM53*2)+(CN53*1) + SUMIFS(MATCH_INPUT!$G$30:$G$33, MATCH_INPUT!$F$30:$F$33, CI53) + SUMIFS(MATCH_INPUT!$I$30:$I$33, MATCH_INPUT!$J$30:$J$33, CI53)
</f>
        <v>0</v>
      </c>
      <c r="CM53" s="28">
        <f>IF(CI53&lt;&gt;"",
    COUNTIFS(MATCH_INPUT!$K$30:$K$33,CI53),
0)</f>
        <v>0</v>
      </c>
      <c r="CN53" s="28">
        <f>IF(CI53&lt;&gt;"",
    COUNTIFS(MATCH_INPUT!$F$30:$F$33, CI53, MATCH_INPUT!$K$30:$K$33, "Draw") +
    COUNTIFS(MATCH_INPUT!$J$30:$J$33, CI53, MATCH_INPUT!$K$30:$K$33, "Draw"),
0)</f>
        <v>0</v>
      </c>
      <c r="CO53" s="28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29"/>
      <c r="CQ53" s="29"/>
      <c r="CR53" s="20"/>
      <c r="CS53" s="34">
        <f t="shared" si="122"/>
        <v>15</v>
      </c>
      <c r="CT53" s="34" t="str">
        <f t="shared" si="38"/>
        <v>↓</v>
      </c>
      <c r="CU53" s="35">
        <f t="shared" si="39"/>
        <v>0</v>
      </c>
      <c r="CV53" s="35" t="str">
        <f t="shared" ref="CV53:CW53" si="149">A53</f>
        <v/>
      </c>
      <c r="CW53" s="36" t="str">
        <f t="shared" si="149"/>
        <v/>
      </c>
      <c r="CX53" s="36">
        <f t="shared" si="41"/>
        <v>0</v>
      </c>
      <c r="CY53" s="35">
        <f>SUM(
  IF(AND('MATCH DATES'!$A$2 &lt;= TODAY(), NOW() &gt;= 'MATCH DATES'!$A$2 + TIME(22, 0, 0)), E53, 0),
  IF(AND('MATCH DATES'!$A$3 &lt;= TODAY(), NOW() &gt;= 'MATCH DATES'!$A$3 + TIME(22, 0, 0)), Q53, 0),
  IF(AND('MATCH DATES'!$A$4 &lt;= TODAY(), NOW() &gt;= 'MATCH DATES'!$A$4 + TIME(22, 0, 0)), AC53, 0),
  IF(AND('MATCH DATES'!$A$5 &lt;= TODAY(), NOW() &gt;= 'MATCH DATES'!$A$5 + TIME(22, 0, 0)), AO53, 0),
  IF(AND('MATCH DATES'!$A$6 &lt;= TODAY(), NOW() &gt;= 'MATCH DATES'!$A$6 + TIME(22, 0, 0)), BA53, 0),
  IF(AND('MATCH DATES'!$A$7 &lt;= TODAY(), NOW() &gt;= 'MATCH DATES'!$A$7 + TIME(22, 0, 0)), BM53, 0),
  IF(AND('MATCH DATES'!$A$8 &lt;= TODAY(), NOW() &gt;= 'MATCH DATES'!$A$8 + TIME(22, 0, 0)), BY53, 0),
  IF(AND('MATCH DATES'!$A$9 &lt;= TODAY(), NOW() &gt;= 'MATCH DATES'!$A$9 + TIME(22, 0, 0)), CK53, 0)
)
</f>
        <v>0</v>
      </c>
      <c r="CZ53" s="36">
        <f t="shared" ref="CZ53:DA53" si="150">SUM(G53,S53,AE53,AQ53,BC53,BO53,CA53,CM53)</f>
        <v>0</v>
      </c>
      <c r="DA53" s="36">
        <f t="shared" si="150"/>
        <v>0</v>
      </c>
      <c r="DB53" s="36">
        <f>SUM(
  IF(AND('MATCH DATES'!$A$2 &lt;= TODAY(), NOW() &gt;= 'MATCH DATES'!$A$2 + TIME(22, 0, 0)), I53, 0),
  IF(AND('MATCH DATES'!$A$3 &lt;= TODAY(), NOW() &gt;= 'MATCH DATES'!$A$3 + TIME(22, 0, 0)), U53, 0),
  IF(AND('MATCH DATES'!$A$4 &lt;= TODAY(), NOW() &gt;= 'MATCH DATES'!$A$4 + TIME(22, 0, 0)), AG53, 0),
  IF(AND('MATCH DATES'!$A$5 &lt;= TODAY(), NOW() &gt;= 'MATCH DATES'!$A$5 + TIME(22, 0, 0)), AS53, 0),
  IF(AND('MATCH DATES'!$A$6 &lt;= TODAY(), NOW() &gt;= 'MATCH DATES'!$A$6 + TIME(22, 0, 0)), BE53, 0),
  IF(AND('MATCH DATES'!$A$7 &lt;= TODAY(), NOW() &gt;= 'MATCH DATES'!$A$7 + TIME(22, 0, 0)), BQ53, 0),
  IF(AND('MATCH DATES'!$A$8 &lt;= TODAY(), NOW() &gt;= 'MATCH DATES'!$A$8 + TIME(22, 0, 0)), CC53, 0),
  IF(AND('MATCH DATES'!$A$9 &lt;= TODAY(), NOW() &gt;= 'MATCH DATES'!$A$9 + TIME(22, 0, 0)), CO53, 0)
)</f>
        <v>0</v>
      </c>
      <c r="DD53" s="36">
        <f t="shared" si="43"/>
        <v>0</v>
      </c>
      <c r="DF53" s="36">
        <f t="shared" si="44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53 O1:O53 AA1 AM1 AY1 BK1 BW1 CI1">
    <cfRule type="cellIs" dxfId="6" priority="2" operator="equal">
      <formula>"BLUE"</formula>
    </cfRule>
  </conditionalFormatting>
  <conditionalFormatting sqref="C1:C53 O1:O53 AA1 AM1 AY1 BK1 BW1 CI1">
    <cfRule type="cellIs" dxfId="7" priority="3" stopIfTrue="1" operator="equal">
      <formula>"MAGENTA"</formula>
    </cfRule>
  </conditionalFormatting>
  <conditionalFormatting sqref="C1:C53 O1:O53 AA1 AM1 AY1 BK1 BW1 CI1">
    <cfRule type="cellIs" dxfId="8" priority="4" stopIfTrue="1" operator="equal">
      <formula>"GREEN"</formula>
    </cfRule>
  </conditionalFormatting>
  <conditionalFormatting sqref="C1:C53 O1:O53 AA1 AM1 AY1 BK1 BW1 CI1">
    <cfRule type="cellIs" dxfId="9" priority="5" operator="equal">
      <formula>"ORANGE"</formula>
    </cfRule>
  </conditionalFormatting>
  <conditionalFormatting sqref="AA2:AA53">
    <cfRule type="cellIs" dxfId="6" priority="6" operator="equal">
      <formula>"BLUE"</formula>
    </cfRule>
  </conditionalFormatting>
  <conditionalFormatting sqref="AA2:AA53">
    <cfRule type="cellIs" dxfId="7" priority="7" stopIfTrue="1" operator="equal">
      <formula>"MAGENTA"</formula>
    </cfRule>
  </conditionalFormatting>
  <conditionalFormatting sqref="AA2:AA53">
    <cfRule type="cellIs" dxfId="8" priority="8" stopIfTrue="1" operator="equal">
      <formula>"GREEN"</formula>
    </cfRule>
  </conditionalFormatting>
  <conditionalFormatting sqref="AA2:AA53">
    <cfRule type="cellIs" dxfId="9" priority="9" operator="equal">
      <formula>"ORANGE"</formula>
    </cfRule>
  </conditionalFormatting>
  <conditionalFormatting sqref="AM2:AM53">
    <cfRule type="cellIs" dxfId="6" priority="10" operator="equal">
      <formula>"BLUE"</formula>
    </cfRule>
  </conditionalFormatting>
  <conditionalFormatting sqref="AM2:AM53">
    <cfRule type="cellIs" dxfId="7" priority="11" stopIfTrue="1" operator="equal">
      <formula>"MAGENTA"</formula>
    </cfRule>
  </conditionalFormatting>
  <conditionalFormatting sqref="AM2:AM53">
    <cfRule type="cellIs" dxfId="8" priority="12" stopIfTrue="1" operator="equal">
      <formula>"GREEN"</formula>
    </cfRule>
  </conditionalFormatting>
  <conditionalFormatting sqref="AM2:AM53">
    <cfRule type="cellIs" dxfId="9" priority="13" operator="equal">
      <formula>"ORANGE"</formula>
    </cfRule>
  </conditionalFormatting>
  <conditionalFormatting sqref="AY2:AY53">
    <cfRule type="cellIs" dxfId="6" priority="14" operator="equal">
      <formula>"BLUE"</formula>
    </cfRule>
  </conditionalFormatting>
  <conditionalFormatting sqref="AY2:AY53">
    <cfRule type="cellIs" dxfId="7" priority="15" stopIfTrue="1" operator="equal">
      <formula>"MAGENTA"</formula>
    </cfRule>
  </conditionalFormatting>
  <conditionalFormatting sqref="AY2:AY53">
    <cfRule type="cellIs" dxfId="8" priority="16" stopIfTrue="1" operator="equal">
      <formula>"GREEN"</formula>
    </cfRule>
  </conditionalFormatting>
  <conditionalFormatting sqref="AY2:AY53">
    <cfRule type="cellIs" dxfId="9" priority="17" operator="equal">
      <formula>"ORANGE"</formula>
    </cfRule>
  </conditionalFormatting>
  <conditionalFormatting sqref="BK2:BK53">
    <cfRule type="cellIs" dxfId="6" priority="18" operator="equal">
      <formula>"BLUE"</formula>
    </cfRule>
  </conditionalFormatting>
  <conditionalFormatting sqref="BK2:BK53">
    <cfRule type="cellIs" dxfId="7" priority="19" stopIfTrue="1" operator="equal">
      <formula>"MAGENTA"</formula>
    </cfRule>
  </conditionalFormatting>
  <conditionalFormatting sqref="BK2:BK53">
    <cfRule type="cellIs" dxfId="8" priority="20" stopIfTrue="1" operator="equal">
      <formula>"GREEN"</formula>
    </cfRule>
  </conditionalFormatting>
  <conditionalFormatting sqref="BK2:BK53">
    <cfRule type="cellIs" dxfId="9" priority="21" operator="equal">
      <formula>"ORANGE"</formula>
    </cfRule>
  </conditionalFormatting>
  <conditionalFormatting sqref="BW2:BW53">
    <cfRule type="cellIs" dxfId="6" priority="22" operator="equal">
      <formula>"BLUE"</formula>
    </cfRule>
  </conditionalFormatting>
  <conditionalFormatting sqref="BW2:BW53">
    <cfRule type="cellIs" dxfId="7" priority="23" stopIfTrue="1" operator="equal">
      <formula>"MAGENTA"</formula>
    </cfRule>
  </conditionalFormatting>
  <conditionalFormatting sqref="BW2:BW53">
    <cfRule type="cellIs" dxfId="8" priority="24" stopIfTrue="1" operator="equal">
      <formula>"GREEN"</formula>
    </cfRule>
  </conditionalFormatting>
  <conditionalFormatting sqref="BW2:BW53">
    <cfRule type="cellIs" dxfId="9" priority="25" operator="equal">
      <formula>"ORANGE"</formula>
    </cfRule>
  </conditionalFormatting>
  <conditionalFormatting sqref="CI2:CI53">
    <cfRule type="cellIs" dxfId="6" priority="26" operator="equal">
      <formula>"BLUE"</formula>
    </cfRule>
  </conditionalFormatting>
  <conditionalFormatting sqref="CI2:CI53">
    <cfRule type="cellIs" dxfId="7" priority="27" stopIfTrue="1" operator="equal">
      <formula>"MAGENTA"</formula>
    </cfRule>
  </conditionalFormatting>
  <conditionalFormatting sqref="CI2:CI53">
    <cfRule type="cellIs" dxfId="8" priority="28" stopIfTrue="1" operator="equal">
      <formula>"GREEN"</formula>
    </cfRule>
  </conditionalFormatting>
  <conditionalFormatting sqref="CI2:CI53">
    <cfRule type="cellIs" dxfId="9" priority="29" operator="equal">
      <formula>"ORANGE"</formula>
    </cfRule>
  </conditionalFormatting>
  <conditionalFormatting sqref="D1:L53">
    <cfRule type="cellIs" dxfId="10" priority="30" operator="equal">
      <formula>0</formula>
    </cfRule>
  </conditionalFormatting>
  <conditionalFormatting sqref="P1:X53">
    <cfRule type="cellIs" dxfId="11" priority="31" operator="equal">
      <formula>0</formula>
    </cfRule>
  </conditionalFormatting>
  <conditionalFormatting sqref="AB1:AJ53">
    <cfRule type="cellIs" dxfId="10" priority="32" operator="equal">
      <formula>0</formula>
    </cfRule>
  </conditionalFormatting>
  <conditionalFormatting sqref="AN1:AV53">
    <cfRule type="cellIs" dxfId="11" priority="33" operator="equal">
      <formula>0</formula>
    </cfRule>
  </conditionalFormatting>
  <conditionalFormatting sqref="AZ1:BH53">
    <cfRule type="cellIs" dxfId="10" priority="34" operator="equal">
      <formula>0</formula>
    </cfRule>
  </conditionalFormatting>
  <conditionalFormatting sqref="BL1:BT53">
    <cfRule type="cellIs" dxfId="11" priority="35" operator="equal">
      <formula>0</formula>
    </cfRule>
  </conditionalFormatting>
  <conditionalFormatting sqref="BX1:CF53">
    <cfRule type="cellIs" dxfId="10" priority="36" operator="equal">
      <formula>0</formula>
    </cfRule>
  </conditionalFormatting>
  <conditionalFormatting sqref="CJ1:CR53">
    <cfRule type="cellIs" dxfId="11" priority="37" operator="equal">
      <formula>0</formula>
    </cfRule>
  </conditionalFormatting>
  <conditionalFormatting sqref="CU1:DD53 DF1:DF53">
    <cfRule type="cellIs" dxfId="12" priority="38" operator="equal">
      <formula>0</formula>
    </cfRule>
  </conditionalFormatting>
  <dataValidations>
    <dataValidation type="list" allowBlank="1" showErrorMessage="1" sqref="C3:C53 O3:O53 AA3:AA53 AM3:AM53 AY3:AY53 BK3:BK53 BW3:BW53 CI3:CI53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hidden="1" min="4" max="4" width="11.22"/>
    <col customWidth="1" min="5" max="5" width="33.44"/>
    <col customWidth="1" min="6" max="10" width="5.67"/>
    <col customWidth="1" hidden="1" min="11" max="12" width="11.22"/>
    <col customWidth="1" min="13" max="13" width="33.44"/>
    <col customWidth="1" min="14" max="15" width="5.67"/>
    <col customWidth="1" min="16" max="16" width="2.89"/>
  </cols>
  <sheetData>
    <row r="1" ht="56.25" customHeight="1">
      <c r="A1" s="42"/>
      <c r="B1" s="42" t="s">
        <v>193</v>
      </c>
      <c r="C1" s="43" t="s">
        <v>194</v>
      </c>
      <c r="D1" s="43" t="s">
        <v>195</v>
      </c>
      <c r="E1" s="44"/>
      <c r="F1" s="42" t="s">
        <v>196</v>
      </c>
      <c r="G1" s="42" t="s">
        <v>197</v>
      </c>
      <c r="H1" s="43"/>
      <c r="I1" s="42" t="s">
        <v>197</v>
      </c>
      <c r="J1" s="42" t="s">
        <v>196</v>
      </c>
      <c r="K1" s="43" t="s">
        <v>198</v>
      </c>
      <c r="L1" s="43" t="s">
        <v>199</v>
      </c>
      <c r="M1" s="45"/>
      <c r="N1" s="43" t="s">
        <v>194</v>
      </c>
      <c r="O1" s="43" t="s">
        <v>193</v>
      </c>
      <c r="P1" s="46"/>
    </row>
    <row r="2" ht="37.5" customHeight="1">
      <c r="A2" s="47"/>
      <c r="B2" s="48">
        <v>1.0</v>
      </c>
      <c r="C2" s="48" t="s">
        <v>200</v>
      </c>
      <c r="D2" s="49">
        <v>1.0</v>
      </c>
      <c r="E2" s="50" t="str">
        <f>IFERROR(__xludf.DUMMYFUNCTION("IF(COUNTIF(WEEKLY_TEAMS!$C$3:$C$53, F2) &gt; 0, ""GOALS: "" &amp; TEXTJOIN(""; "", TRUE, IFERROR(FILTER(WEEKLY_TEAMS!B3:B53 &amp; "" [ "" &amp; WEEKLY_TEAMS!$J$3:$J$53 &amp; "" ]"", WEEKLY_TEAMS!$C$3:$C$53 = F2, WEEKLY_TEAMS!$J$3:$J$53 &gt; 0), """")) &amp; CHAR(10) &amp; CHAR(10) &amp;
"&amp;"""CLEAN SHEETS: "" &amp; TEXTJOIN(""; "", TRUE, IFERROR(FILTER(WEEKLY_TEAMS!$B$3:$B$53 &amp; "" [ "" &amp; WEEKLY_TEAMS!$L$3:$L$53 &amp; "" ]"", WEEKLY_TEAMS!$C$3:$C$53 = F2, WEEKLY_TEAMS!$L$3:$L$53 &gt; 0), """")), """")
"),"GOALS: 🥉 Andres [ 1 ]; Gerardo [ 1 ]; Valverde [ 1 ]
CLEAN SHEETS: ")</f>
        <v>GOALS: 🥉 Andres [ 1 ]; Gerardo [ 1 ]; Valverde [ 1 ]
CLEAN SHEETS: </v>
      </c>
      <c r="F2" s="51" t="s">
        <v>139</v>
      </c>
      <c r="G2" s="52">
        <v>2.0</v>
      </c>
      <c r="H2" s="53" t="s">
        <v>201</v>
      </c>
      <c r="I2" s="52">
        <v>1.0</v>
      </c>
      <c r="J2" s="51" t="s">
        <v>140</v>
      </c>
      <c r="K2" s="54" t="str">
        <f t="shared" ref="K2:K33" si="1">IF(OR(G2="",I2=""),"",IF(G2&gt;I2,F2,IF(G2&lt;I2,J2,"Draw")))</f>
        <v>BLUE</v>
      </c>
      <c r="L2" s="55">
        <f t="shared" ref="L2:L33" si="2">IF(K2="", 0, IF(K2="Draw", 1, IF(K2=F2, 2, IF(K2=J2, 2, 0))))</f>
        <v>2</v>
      </c>
      <c r="M2" s="56" t="str">
        <f>IFERROR(__xludf.DUMMYFUNCTION("IF(COUNTIF(WEEKLY_TEAMS!$C$3:$C$53, J2) &gt; 0, ""GOALS: "" &amp; TEXTJOIN(""; "", TRUE, IFERROR(FILTER(WEEKLY_TEAMS!B3:B53 &amp; "" [ "" &amp; WEEKLY_TEAMS!$J$3:$J$53 &amp; "" ]"", WEEKLY_TEAMS!$C$3:$C$53 = J2, WEEKLY_TEAMS!$J$3:$J$53 &gt; 0), """")) &amp; CHAR(10) &amp; CHAR(10) &amp;
"&amp;"""CLEAN SHEETS: "" &amp; TEXTJOIN(""; "", TRUE, IFERROR(FILTER(WEEKLY_TEAMS!$B$3:$B$53 &amp; "" [ "" &amp; WEEKLY_TEAMS!$L$3:$L$53 &amp; "" ]"", WEEKLY_TEAMS!$C$3:$C$53 = J2, WEEKLY_TEAMS!$L$3:$L$53 &gt; 0), """")), """")
"),"GOALS: Eder [ 1 ]; Gus [ 4 ]
CLEAN SHEETS: ")</f>
        <v>GOALS: Eder [ 1 ]; Gus [ 4 ]
CLEAN SHEETS: </v>
      </c>
      <c r="N2" s="57" t="s">
        <v>200</v>
      </c>
      <c r="O2" s="57">
        <v>1.0</v>
      </c>
      <c r="P2" s="46"/>
    </row>
    <row r="3" ht="37.5" customHeight="1">
      <c r="A3" s="47"/>
      <c r="C3" s="58"/>
      <c r="D3" s="59">
        <v>2.0</v>
      </c>
      <c r="E3" s="60" t="str">
        <f>IFERROR(__xludf.DUMMYFUNCTION("IF(COUNTIF(WEEKLY_TEAMS!$C$3:$C$53, F3) &gt; 0, ""GOALS: "" &amp; TEXTJOIN(""; "", TRUE, IFERROR(FILTER(WEEKLY_TEAMS!B3:B53 &amp; "" [ "" &amp; WEEKLY_TEAMS!$J$3:$J$53 &amp; "" ]"", WEEKLY_TEAMS!$C$3:$C$53 = F3, WEEKLY_TEAMS!$J$3:$J$53 &gt; 0), """")) &amp; CHAR(10) &amp; CHAR(10) &amp;
"&amp;"""CLEAN SHEETS: "" &amp; TEXTJOIN(""; "", TRUE, IFERROR(FILTER(WEEKLY_TEAMS!$B$3:$B$53 &amp; "" [ "" &amp; WEEKLY_TEAMS!$L$3:$L$53 &amp; "" ]"", WEEKLY_TEAMS!$C$3:$C$53 = F3, WEEKLY_TEAMS!$L$3:$L$53 &gt; 0), """")), """")
"),"GOALS: 🥈 Carlos S. [ 1 ]; Jose Blanco [ 1 ]; Christian [ 1 ]
CLEAN SHEETS: ")</f>
        <v>GOALS: 🥈 Carlos S. [ 1 ]; Jose Blanco [ 1 ]; Christian [ 1 ]
CLEAN SHEETS: </v>
      </c>
      <c r="F3" s="61" t="s">
        <v>142</v>
      </c>
      <c r="G3" s="62">
        <v>1.0</v>
      </c>
      <c r="H3" s="63" t="s">
        <v>201</v>
      </c>
      <c r="I3" s="62">
        <v>3.0</v>
      </c>
      <c r="J3" s="61" t="s">
        <v>141</v>
      </c>
      <c r="K3" s="59" t="str">
        <f t="shared" si="1"/>
        <v>ORANGE</v>
      </c>
      <c r="L3" s="64">
        <f t="shared" si="2"/>
        <v>2</v>
      </c>
      <c r="M3" s="65" t="str">
        <f>IFERROR(__xludf.DUMMYFUNCTION("IF(COUNTIF(WEEKLY_TEAMS!$C$3:$C$53, J3) &gt; 0, ""GOALS: "" &amp; TEXTJOIN(""; "", TRUE, IFERROR(FILTER(WEEKLY_TEAMS!B3:B53 &amp; "" [ "" &amp; WEEKLY_TEAMS!$J$3:$J$53 &amp; "" ]"", WEEKLY_TEAMS!$C$3:$C$53 = J3, WEEKLY_TEAMS!$J$3:$J$53 &gt; 0), """")) &amp; CHAR(10) &amp; CHAR(10) &amp;
"&amp;"""CLEAN SHEETS: "" &amp; TEXTJOIN(""; "", TRUE, IFERROR(FILTER(WEEKLY_TEAMS!$B$3:$B$53 &amp; "" [ "" &amp; WEEKLY_TEAMS!$L$3:$L$53 &amp; "" ]"", WEEKLY_TEAMS!$C$3:$C$53 = J3, WEEKLY_TEAMS!$L$3:$L$53 &gt; 0), """")), """")
"),"GOALS: Valencia [ 1 ]; Guille 👨🏻‍🤝‍👨🏾 Mike [ 1 ]
CLEAN SHEETS: ")</f>
        <v>GOALS: Valencia [ 1 ]; Guille 👨🏻‍🤝‍👨🏾 Mike [ 1 ]
CLEAN SHEETS: </v>
      </c>
      <c r="N3" s="58"/>
      <c r="P3" s="46"/>
    </row>
    <row r="4" ht="37.5" customHeight="1">
      <c r="A4" s="47"/>
      <c r="C4" s="48" t="s">
        <v>202</v>
      </c>
      <c r="D4" s="49">
        <v>1.0</v>
      </c>
      <c r="E4" s="50" t="str">
        <f>IFERROR(__xludf.DUMMYFUNCTION("IF(COUNTIF(WEEKLY_TEAMS!$C$3:$C$53, F4) &gt; 0, ""GOALS: "" &amp; TEXTJOIN(""; "", TRUE, IFERROR(FILTER(WEEKLY_TEAMS!B3:B53 &amp; "" [ "" &amp; #REF! &amp; "" ]"", WEEKLY_TEAMS!$C$3:$C$53 = F4, #REF! &gt; 0), """")) &amp; CHAR(10) &amp; CHAR(10) &amp;
""CLEAN SHEETS: "" &amp; TEXTJOIN(""; "","&amp;" TRUE, IFERROR(FILTER(WEEKLY_TEAMS!$B$3:$B$53 &amp; "" [ "" &amp; #REF! &amp; "" ]"", WEEKLY_TEAMS!$C$3:$C$53 = F4, #REF! &gt; 0), """")), """")
"),"GOALS: 
CLEAN SHEETS: ")</f>
        <v>GOALS: 
CLEAN SHEETS: </v>
      </c>
      <c r="F4" s="51" t="s">
        <v>141</v>
      </c>
      <c r="G4" s="52">
        <v>1.0</v>
      </c>
      <c r="H4" s="53" t="s">
        <v>201</v>
      </c>
      <c r="I4" s="52">
        <v>2.0</v>
      </c>
      <c r="J4" s="51" t="s">
        <v>139</v>
      </c>
      <c r="K4" s="54" t="str">
        <f t="shared" si="1"/>
        <v>BLUE</v>
      </c>
      <c r="L4" s="55">
        <f t="shared" si="2"/>
        <v>2</v>
      </c>
      <c r="M4" s="56" t="str">
        <f>IFERROR(__xludf.DUMMYFUNCTION("IF(COUNTIF(WEEKLY_TEAMS!$C$3:$C$53, J4) &gt; 0, ""GOALS: "" &amp; TEXTJOIN(""; "", TRUE, IFERROR(FILTER(WEEKLY_TEAMS!B3:B53 &amp; "" [ "" &amp; #REF! &amp; "" ]"", WEEKLY_TEAMS!$C$3:$C$53 = J4, #REF! &gt; 0), """")) &amp; CHAR(10) &amp; CHAR(10) &amp;
""CLEAN SHEETS: "" &amp; TEXTJOIN(""; "","&amp;" TRUE, IFERROR(FILTER(WEEKLY_TEAMS!$B$3:$B$53 &amp; "" [ "" &amp; #REF! &amp; "" ]"", WEEKLY_TEAMS!$C$3:$C$53 = J4, #REF! &gt; 0), """")), """")
"),"GOALS: 
CLEAN SHEETS: ")</f>
        <v>GOALS: 
CLEAN SHEETS: </v>
      </c>
      <c r="N4" s="57" t="s">
        <v>202</v>
      </c>
      <c r="P4" s="46"/>
    </row>
    <row r="5" ht="37.5" customHeight="1">
      <c r="A5" s="66"/>
      <c r="B5" s="58"/>
      <c r="C5" s="58"/>
      <c r="D5" s="59">
        <v>2.0</v>
      </c>
      <c r="E5" s="60" t="str">
        <f>IFERROR(__xludf.DUMMYFUNCTION("IF(COUNTIF(WEEKLY_TEAMS!$C$3:$C$53, F5) &gt; 0, ""GOALS: "" &amp; TEXTJOIN(""; "", TRUE, IFERROR(FILTER(WEEKLY_TEAMS!B3:B53 &amp; "" [ "" &amp; #REF! &amp; "" ]"", WEEKLY_TEAMS!$C$3:$C$53 = F5, #REF! &gt; 0), """")) &amp; CHAR(10) &amp; CHAR(10) &amp;
""CLEAN SHEETS: "" &amp; TEXTJOIN(""; "","&amp;" TRUE, IFERROR(FILTER(WEEKLY_TEAMS!$B$3:$B$53 &amp; "" [ "" &amp; #REF! &amp; "" ]"", WEEKLY_TEAMS!$C$3:$C$53 = F5, #REF! &gt; 0), """")), """")
"),"GOALS: 
CLEAN SHEETS: ")</f>
        <v>GOALS: 
CLEAN SHEETS: </v>
      </c>
      <c r="F5" s="61" t="s">
        <v>140</v>
      </c>
      <c r="G5" s="62">
        <v>4.0</v>
      </c>
      <c r="H5" s="53" t="s">
        <v>201</v>
      </c>
      <c r="I5" s="62">
        <v>2.0</v>
      </c>
      <c r="J5" s="61" t="s">
        <v>142</v>
      </c>
      <c r="K5" s="59" t="str">
        <f t="shared" si="1"/>
        <v>MAGENTA</v>
      </c>
      <c r="L5" s="64">
        <f t="shared" si="2"/>
        <v>2</v>
      </c>
      <c r="M5" s="65" t="str">
        <f>IFERROR(__xludf.DUMMYFUNCTION("IF(COUNTIF(WEEKLY_TEAMS!$C$3:$C$53, J5) &gt; 0, ""GOALS: "" &amp; TEXTJOIN(""; "", TRUE, IFERROR(FILTER(WEEKLY_TEAMS!B3:B53 &amp; "" [ "" &amp; #REF! &amp; "" ]"", WEEKLY_TEAMS!$C$3:$C$53 = J5, #REF! &gt; 0), """")) &amp; CHAR(10) &amp; CHAR(10) &amp;
""CLEAN SHEETS: "" &amp; TEXTJOIN(""; "","&amp;" TRUE, IFERROR(FILTER(WEEKLY_TEAMS!$B$3:$B$53 &amp; "" [ "" &amp; #REF! &amp; "" ]"", WEEKLY_TEAMS!$C$3:$C$53 = J5, #REF! &gt; 0), """")), """")
"),"GOALS: 
CLEAN SHEETS: ")</f>
        <v>GOALS: 
CLEAN SHEETS: </v>
      </c>
      <c r="N5" s="58"/>
      <c r="O5" s="58"/>
      <c r="P5" s="46"/>
    </row>
    <row r="6" ht="37.5" customHeight="1">
      <c r="A6" s="47"/>
      <c r="B6" s="48">
        <v>2.0</v>
      </c>
      <c r="C6" s="48" t="s">
        <v>203</v>
      </c>
      <c r="D6" s="67">
        <v>1.0</v>
      </c>
      <c r="E6" s="50" t="str">
        <f>IFERROR(__xludf.DUMMYFUNCTION("IF(COUNTIF(WEEKLY_TEAMS!$O$3:$O$53, F6) &gt; 0, ""GOALS: "" &amp; TEXTJOIN(""; "", TRUE, IFERROR(FILTER(WEEKLY_TEAMS!B3:B53 &amp; "" [ "" &amp; WEEKLY_TEAMS!$V$3:$V$53 &amp; "" ]"", WEEKLY_TEAMS!$O$3:$O$53 = F6, WEEKLY_TEAMS!$V$3:$V$53 &gt; 0), """")) &amp; CHAR(10) &amp; CHAR(10) &amp;
"&amp;"""CLEAN SHEETS: "" &amp; TEXTJOIN(""; "", TRUE, IFERROR(FILTER(WEEKLY_TEAMS!$B$3:$B$53 &amp; "" [ "" &amp; WEEKLY_TEAMS!$X$3:$X$53 &amp; "" ]"", WEEKLY_TEAMS!$O$3:$O$53 = F6, WEEKLY_TEAMS!$X$3:$X$53 &gt; 0), """")), """")
"),"GOALS: Jose Blanco [ 1 ]; Valencia [ 1 ]; Efra [ 1 ]; Nicky [ 1 ]
CLEAN SHEETS: ")</f>
        <v>GOALS: Jose Blanco [ 1 ]; Valencia [ 1 ]; Efra [ 1 ]; Nicky [ 1 ]
CLEAN SHEETS: </v>
      </c>
      <c r="F6" s="68" t="s">
        <v>139</v>
      </c>
      <c r="G6" s="69">
        <v>1.0</v>
      </c>
      <c r="H6" s="53" t="s">
        <v>201</v>
      </c>
      <c r="I6" s="69">
        <v>1.0</v>
      </c>
      <c r="J6" s="68" t="s">
        <v>140</v>
      </c>
      <c r="K6" s="70" t="str">
        <f t="shared" si="1"/>
        <v>Draw</v>
      </c>
      <c r="L6" s="70">
        <f t="shared" si="2"/>
        <v>1</v>
      </c>
      <c r="M6" s="56" t="str">
        <f>IFERROR(__xludf.DUMMYFUNCTION("IF(COUNTIF(WEEKLY_TEAMS!$O$3:$O$53, J6) &gt; 0, ""GOALS: "" &amp; TEXTJOIN(""; "", TRUE, IFERROR(FILTER(WEEKLY_TEAMS!B3:B53 &amp; "" [ "" &amp; WEEKLY_TEAMS!$V$3:$V$53 &amp; "" ]"", WEEKLY_TEAMS!$O$3:$O$53 = J6, WEEKLY_TEAMS!$V$3:$V$53 &gt; 0), """")) &amp; CHAR(10) &amp; CHAR(10) &amp;
"&amp;"""CLEAN SHEETS: "" &amp; TEXTJOIN(""; "", TRUE, IFERROR(FILTER(WEEKLY_TEAMS!$B$3:$B$53 &amp; "" [ "" &amp; WEEKLY_TEAMS!$X$3:$X$53 &amp; "" ]"", WEEKLY_TEAMS!$O$3:$O$53 = J6, WEEKLY_TEAMS!$X$3:$X$53 &gt; 0), """")), """")
"),"GOALS: Eder [ 1 ]
CLEAN SHEETS: ")</f>
        <v>GOALS: Eder [ 1 ]
CLEAN SHEETS: </v>
      </c>
      <c r="N6" s="57" t="s">
        <v>203</v>
      </c>
      <c r="O6" s="57">
        <v>2.0</v>
      </c>
      <c r="P6" s="46"/>
    </row>
    <row r="7" ht="37.5" customHeight="1">
      <c r="A7" s="47"/>
      <c r="C7" s="58"/>
      <c r="D7" s="71">
        <v>2.0</v>
      </c>
      <c r="E7" s="60" t="str">
        <f>IFERROR(__xludf.DUMMYFUNCTION("IF(COUNTIF(WEEKLY_TEAMS!$O$3:$O$53, F7) &gt; 0, ""GOALS: "" &amp; TEXTJOIN(""; "", TRUE, IFERROR(FILTER(WEEKLY_TEAMS!B3:B53 &amp; "" [ "" &amp; WEEKLY_TEAMS!$V$3:$V$53 &amp; "" ]"", WEEKLY_TEAMS!$O$3:$O$53 = F7, WEEKLY_TEAMS!$V$3:$V$53 &gt; 0), """")) &amp; CHAR(10) &amp; CHAR(10) &amp;
"&amp;"""CLEAN SHEETS: "" &amp; TEXTJOIN(""; "", TRUE, IFERROR(FILTER(WEEKLY_TEAMS!$B$3:$B$53 &amp; "" [ "" &amp; WEEKLY_TEAMS!$X$3:$X$53 &amp; "" ]"", WEEKLY_TEAMS!$O$3:$O$53 = F7, WEEKLY_TEAMS!$X$3:$X$53 &gt; 0), """")), """")
"),"GOALS: Ruben [ 2 ]; Gus [ 2 ]
CLEAN SHEETS: Fer [ 1 ]")</f>
        <v>GOALS: Ruben [ 2 ]; Gus [ 2 ]
CLEAN SHEETS: Fer [ 1 ]</v>
      </c>
      <c r="F7" s="72" t="s">
        <v>142</v>
      </c>
      <c r="G7" s="73">
        <v>3.0</v>
      </c>
      <c r="H7" s="53" t="s">
        <v>201</v>
      </c>
      <c r="I7" s="73">
        <v>2.0</v>
      </c>
      <c r="J7" s="72" t="s">
        <v>141</v>
      </c>
      <c r="K7" s="71" t="str">
        <f t="shared" si="1"/>
        <v>GREEN</v>
      </c>
      <c r="L7" s="71">
        <f t="shared" si="2"/>
        <v>2</v>
      </c>
      <c r="M7" s="65" t="str">
        <f>IFERROR(__xludf.DUMMYFUNCTION("IF(COUNTIF(WEEKLY_TEAMS!$O$3:$O$53, J7) &gt; 0, ""GOALS: "" &amp; TEXTJOIN(""; "", TRUE, IFERROR(FILTER(WEEKLY_TEAMS!B3:B53 &amp; "" [ "" &amp; WEEKLY_TEAMS!$V$3:$V$53 &amp; "" ]"", WEEKLY_TEAMS!$O$3:$O$53 = J7, WEEKLY_TEAMS!$V$3:$V$53 &gt; 0), """")) &amp; CHAR(10) &amp; CHAR(10) &amp;
"&amp;"""CLEAN SHEETS: "" &amp; TEXTJOIN(""; "", TRUE, IFERROR(FILTER(WEEKLY_TEAMS!$B$3:$B$53 &amp; "" [ "" &amp; WEEKLY_TEAMS!$X$3:$X$53 &amp; "" ]"", WEEKLY_TEAMS!$O$3:$O$53 = J7, WEEKLY_TEAMS!$X$3:$X$53 &gt; 0), """")), """")
"),"GOALS: Gerardo [ 1 ]; Valverde [ 1 ]
CLEAN SHEETS: ")</f>
        <v>GOALS: Gerardo [ 1 ]; Valverde [ 1 ]
CLEAN SHEETS: </v>
      </c>
      <c r="N7" s="58"/>
      <c r="P7" s="46"/>
    </row>
    <row r="8" ht="37.5" customHeight="1">
      <c r="A8" s="47"/>
      <c r="C8" s="48" t="s">
        <v>204</v>
      </c>
      <c r="D8" s="67">
        <v>1.0</v>
      </c>
      <c r="E8" s="50" t="str">
        <f>IFERROR(__xludf.DUMMYFUNCTION("IF(COUNTIF(WEEKLY_TEAMS!$O$3:$O$53, F8) &gt; 0, ""GOALS: "" &amp; TEXTJOIN(""; "", TRUE, IFERROR(FILTER(WEEKLY_TEAMS!B3:B53 &amp; "" [ "" &amp; #REF! &amp; "" ]"", WEEKLY_TEAMS!$O$3:$O$53 = F8, #REF! &gt; 0), """")) &amp; CHAR(10) &amp; CHAR(10) &amp;
""CLEAN SHEETS: "" &amp; TEXTJOIN(""; "","&amp;" TRUE, IFERROR(FILTER(WEEKLY_TEAMS!$B$3:$B$53 &amp; "" [ "" &amp; #REF! &amp; "" ]"", WEEKLY_TEAMS!$O$3:$O$53 = F8, #REF! &gt; 0), """")), """")
"),"GOALS: 
CLEAN SHEETS: ")</f>
        <v>GOALS: 
CLEAN SHEETS: </v>
      </c>
      <c r="F8" s="68" t="s">
        <v>140</v>
      </c>
      <c r="G8" s="69">
        <v>0.0</v>
      </c>
      <c r="H8" s="53" t="s">
        <v>201</v>
      </c>
      <c r="I8" s="69">
        <v>2.0</v>
      </c>
      <c r="J8" s="68" t="s">
        <v>142</v>
      </c>
      <c r="K8" s="70" t="str">
        <f t="shared" si="1"/>
        <v>GREEN</v>
      </c>
      <c r="L8" s="70">
        <f t="shared" si="2"/>
        <v>2</v>
      </c>
      <c r="M8" s="56" t="str">
        <f>IFERROR(__xludf.DUMMYFUNCTION("IF(COUNTIF(WEEKLY_TEAMS!$O$3:$O$53, J8) &gt; 0, ""GOALS: "" &amp; TEXTJOIN(""; "", TRUE, IFERROR(FILTER(WEEKLY_TEAMS!B3:B53 &amp; "" [ "" &amp; #REF! &amp; "" ]"", WEEKLY_TEAMS!$O$3:$O$53 = J8, #REF! &gt; 0), """")) &amp; CHAR(10) &amp; CHAR(10) &amp;
""CLEAN SHEETS: "" &amp; TEXTJOIN(""; "","&amp;" TRUE, IFERROR(FILTER(WEEKLY_TEAMS!$B$3:$B$53 &amp; "" [ "" &amp; #REF! &amp; "" ]"", WEEKLY_TEAMS!$O$3:$O$53 = J8, #REF! &gt; 0), """")), """")
"),"GOALS: 
CLEAN SHEETS: ")</f>
        <v>GOALS: 
CLEAN SHEETS: </v>
      </c>
      <c r="N8" s="57" t="s">
        <v>204</v>
      </c>
      <c r="P8" s="46"/>
    </row>
    <row r="9" ht="37.5" customHeight="1">
      <c r="A9" s="66"/>
      <c r="B9" s="58"/>
      <c r="C9" s="58"/>
      <c r="D9" s="71">
        <v>2.0</v>
      </c>
      <c r="E9" s="60" t="str">
        <f>IFERROR(__xludf.DUMMYFUNCTION("IF(COUNTIF(WEEKLY_TEAMS!$O$3:$O$53, F9) &gt; 0, ""GOALS: "" &amp; TEXTJOIN(""; "", TRUE, IFERROR(FILTER(WEEKLY_TEAMS!B3:B53 &amp; "" [ "" &amp; #REF! &amp; "" ]"", WEEKLY_TEAMS!$O$3:$O$53 = F9, #REF! &gt; 0), """")) &amp; CHAR(10) &amp; CHAR(10) &amp;
""CLEAN SHEETS: "" &amp; TEXTJOIN(""; "","&amp;" TRUE, IFERROR(FILTER(WEEKLY_TEAMS!$B$3:$B$53 &amp; "" [ "" &amp; #REF! &amp; "" ]"", WEEKLY_TEAMS!$O$3:$O$53 = F9, #REF! &gt; 0), """")), """")
"),"GOALS: 
CLEAN SHEETS: ")</f>
        <v>GOALS: 
CLEAN SHEETS: </v>
      </c>
      <c r="F9" s="72" t="s">
        <v>139</v>
      </c>
      <c r="G9" s="73">
        <v>3.0</v>
      </c>
      <c r="H9" s="53" t="s">
        <v>201</v>
      </c>
      <c r="I9" s="73">
        <v>1.0</v>
      </c>
      <c r="J9" s="72" t="s">
        <v>141</v>
      </c>
      <c r="K9" s="71" t="str">
        <f t="shared" si="1"/>
        <v>BLUE</v>
      </c>
      <c r="L9" s="71">
        <f t="shared" si="2"/>
        <v>2</v>
      </c>
      <c r="M9" s="65" t="str">
        <f>IFERROR(__xludf.DUMMYFUNCTION("IF(COUNTIF(WEEKLY_TEAMS!$O$3:$O$53, J9) &gt; 0, ""GOALS: "" &amp; TEXTJOIN(""; "", TRUE, IFERROR(FILTER(WEEKLY_TEAMS!B3:B53 &amp; "" [ "" &amp; #REF! &amp; "" ]"", WEEKLY_TEAMS!$O$3:$O$53 = J9, #REF! &gt; 0), """")) &amp; CHAR(10) &amp; CHAR(10) &amp;
""CLEAN SHEETS: "" &amp; TEXTJOIN(""; "","&amp;" TRUE, IFERROR(FILTER(WEEKLY_TEAMS!$B$3:$B$53 &amp; "" [ "" &amp; #REF! &amp; "" ]"", WEEKLY_TEAMS!$O$3:$O$53 = J9, #REF! &gt; 0), """")), """")
"),"GOALS: 
CLEAN SHEETS: ")</f>
        <v>GOALS: 
CLEAN SHEETS: </v>
      </c>
      <c r="N9" s="58"/>
      <c r="O9" s="58"/>
      <c r="P9" s="46"/>
    </row>
    <row r="10" ht="37.5" customHeight="1">
      <c r="A10" s="47"/>
      <c r="B10" s="74">
        <v>3.0</v>
      </c>
      <c r="C10" s="48" t="s">
        <v>205</v>
      </c>
      <c r="D10" s="49">
        <v>1.0</v>
      </c>
      <c r="E10" s="50" t="str">
        <f>IFERROR(__xludf.DUMMYFUNCTION("IF(COUNTIF(WEEKLY_TEAMS!$AA$3:$AA$53, F10) &gt; 0, ""GOALS: "" &amp; TEXTJOIN(""; "", TRUE, IFERROR(FILTER(WEEKLY_TEAMS!B3:B53 &amp; "" [ "" &amp; WEEKLY_TEAMS!$AH$3:$AH$53 &amp; "" ]"", WEEKLY_TEAMS!$AA$3:$AA$53 = F10, WEEKLY_TEAMS!$AH$3:$AH$53 &gt; 0), """")) &amp; CHAR(10) &amp; CH"&amp;"AR(10) &amp;
""CLEAN SHEETS: "" &amp; TEXTJOIN(""; "", TRUE, IFERROR(FILTER(WEEKLY_TEAMS!$B$3:$B$53 &amp; "" [ "" &amp; WEEKLY_TEAMS!$AJ$3:$AJ$53 &amp; "" ]"", WEEKLY_TEAMS!$AA$3:$AA$53 = F10, WEEKLY_TEAMS!$AJ$3:$AJ$53 &gt; 0), """")), """")
"),"GOALS: 🏆 Asdruval [ 1 ]; Javier [ 2 ]
CLEAN SHEETS: ")</f>
        <v>GOALS: 🏆 Asdruval [ 1 ]; Javier [ 2 ]
CLEAN SHEETS: </v>
      </c>
      <c r="F10" s="51" t="s">
        <v>139</v>
      </c>
      <c r="G10" s="52">
        <v>1.0</v>
      </c>
      <c r="H10" s="53" t="s">
        <v>201</v>
      </c>
      <c r="I10" s="52">
        <v>1.0</v>
      </c>
      <c r="J10" s="51" t="s">
        <v>140</v>
      </c>
      <c r="K10" s="54" t="str">
        <f t="shared" si="1"/>
        <v>Draw</v>
      </c>
      <c r="L10" s="54">
        <f t="shared" si="2"/>
        <v>1</v>
      </c>
      <c r="M10" s="56" t="str">
        <f>IFERROR(__xludf.DUMMYFUNCTION("IF(COUNTIF(WEEKLY_TEAMS!$AA$3:$AA$53, J10) &gt; 0, ""GOALS: "" &amp; TEXTJOIN(""; "", TRUE, IFERROR(FILTER(WEEKLY_TEAMS!B3:B53 &amp; "" [ "" &amp; WEEKLY_TEAMS!$AH$3:$AH$53 &amp; "" ]"", WEEKLY_TEAMS!$AA$3:$AA$53 = J10, WEEKLY_TEAMS!$AH$3:$AH$53 &gt; 0), """")) &amp; CHAR(10) &amp; CH"&amp;"AR(10) &amp;
""CLEAN SHEETS: "" &amp; TEXTJOIN(""; "", TRUE, IFERROR(FILTER(WEEKLY_TEAMS!$B$3:$B$53 &amp; "" [ "" &amp; WEEKLY_TEAMS!$AJ$3:$AJ$53 &amp; "" ]"", WEEKLY_TEAMS!$AA$3:$AA$53 = J10, WEEKLY_TEAMS!$AJ$3:$AJ$53 &gt; 0), """")), """")
"),"GOALS: 🥉 Andres [ 1 ]
CLEAN SHEETS: ")</f>
        <v>GOALS: 🥉 Andres [ 1 ]
CLEAN SHEETS: </v>
      </c>
      <c r="N10" s="57" t="s">
        <v>205</v>
      </c>
      <c r="O10" s="75">
        <v>3.0</v>
      </c>
      <c r="P10" s="46"/>
    </row>
    <row r="11" ht="37.5" customHeight="1">
      <c r="A11" s="47"/>
      <c r="C11" s="58"/>
      <c r="D11" s="59">
        <v>2.0</v>
      </c>
      <c r="E11" s="60" t="str">
        <f>IFERROR(__xludf.DUMMYFUNCTION("IF(COUNTIF(WEEKLY_TEAMS!$AA$3:$AA$53, F11) &gt; 0, ""GOALS: "" &amp; TEXTJOIN(""; "", TRUE, IFERROR(FILTER(WEEKLY_TEAMS!B3:B53 &amp; "" [ "" &amp; WEEKLY_TEAMS!$AH$3:$AH$53 &amp; "" ]"", WEEKLY_TEAMS!$AA$3:$AA$53 = F11, WEEKLY_TEAMS!$AH$3:$AH$53 &gt; 0), """")) &amp; CHAR(10) &amp; CH"&amp;"AR(10) &amp;
""CLEAN SHEETS: "" &amp; TEXTJOIN(""; "", TRUE, IFERROR(FILTER(WEEKLY_TEAMS!$B$3:$B$53 &amp; "" [ "" &amp; WEEKLY_TEAMS!$AJ$3:$AJ$53 &amp; "" ]"", WEEKLY_TEAMS!$AA$3:$AA$53 = F11, WEEKLY_TEAMS!$AJ$3:$AJ$53 &gt; 0), """")), """")
"),"GOALS: 🥈 Carlos S. [ 1 ]; Jose Blanco [ 2 ]; Ruben [ 1 ]
CLEAN SHEETS: ")</f>
        <v>GOALS: 🥈 Carlos S. [ 1 ]; Jose Blanco [ 2 ]; Ruben [ 1 ]
CLEAN SHEETS: </v>
      </c>
      <c r="F11" s="61" t="s">
        <v>141</v>
      </c>
      <c r="G11" s="62">
        <v>1.0</v>
      </c>
      <c r="H11" s="53" t="s">
        <v>201</v>
      </c>
      <c r="I11" s="62">
        <v>1.0</v>
      </c>
      <c r="J11" s="61" t="s">
        <v>142</v>
      </c>
      <c r="K11" s="59" t="str">
        <f t="shared" si="1"/>
        <v>Draw</v>
      </c>
      <c r="L11" s="59">
        <f t="shared" si="2"/>
        <v>1</v>
      </c>
      <c r="M11" s="65" t="str">
        <f>IFERROR(__xludf.DUMMYFUNCTION("IF(COUNTIF(WEEKLY_TEAMS!$AA$3:$AA$53, J11) &gt; 0, ""GOALS: "" &amp; TEXTJOIN(""; "", TRUE, IFERROR(FILTER(WEEKLY_TEAMS!B3:B53 &amp; "" [ "" &amp; WEEKLY_TEAMS!$AH$3:$AH$53 &amp; "" ]"", WEEKLY_TEAMS!$AA$3:$AA$53 = J11, WEEKLY_TEAMS!$AH$3:$AH$53 &gt; 0), """")) &amp; CHAR(10) &amp; CH"&amp;"AR(10) &amp;
""CLEAN SHEETS: "" &amp; TEXTJOIN(""; "", TRUE, IFERROR(FILTER(WEEKLY_TEAMS!$B$3:$B$53 &amp; "" [ "" &amp; WEEKLY_TEAMS!$AJ$3:$AJ$53 &amp; "" ]"", WEEKLY_TEAMS!$AA$3:$AA$53 = J11, WEEKLY_TEAMS!$AJ$3:$AJ$53 &gt; 0), """")), """")
"),"GOALS: Valencia [ 2 ]; Eder [ 1 ]
CLEAN SHEETS: ")</f>
        <v>GOALS: Valencia [ 2 ]; Eder [ 1 ]
CLEAN SHEETS: </v>
      </c>
      <c r="N11" s="58"/>
      <c r="P11" s="46"/>
    </row>
    <row r="12" ht="37.5" customHeight="1">
      <c r="A12" s="47"/>
      <c r="C12" s="48" t="s">
        <v>206</v>
      </c>
      <c r="D12" s="49">
        <v>1.0</v>
      </c>
      <c r="E12" s="50" t="str">
        <f>IFERROR(__xludf.DUMMYFUNCTION("IF(COUNTIF(WEEKLY_TEAMS!$AA$3:$AA$53, F12) &gt; 0, ""GOALS: "" &amp; TEXTJOIN(""; "", TRUE, IFERROR(FILTER(WEEKLY_TEAMS!B3:B53 &amp; "" [ "" &amp; #REF! &amp; "" ]"", WEEKLY_TEAMS!$AA$3:$AA$53 = F12, #REF! &gt; 0), """")) &amp; CHAR(10) &amp; CHAR(10) &amp;
""CLEAN SHEETS: "" &amp; TEXTJOIN("&amp;"""; "", TRUE, IFERROR(FILTER(WEEKLY_TEAMS!$B$3:$B$53 &amp; "" [ "" &amp; #REF! &amp; "" ]"", WEEKLY_TEAMS!$AA$3:$AA$53 = F12, #REF! &gt; 0), """")), """")
"),"GOALS: 
CLEAN SHEETS: ")</f>
        <v>GOALS: 
CLEAN SHEETS: </v>
      </c>
      <c r="F12" s="51" t="s">
        <v>142</v>
      </c>
      <c r="G12" s="52">
        <v>2.0</v>
      </c>
      <c r="H12" s="53" t="s">
        <v>201</v>
      </c>
      <c r="I12" s="52">
        <v>2.0</v>
      </c>
      <c r="J12" s="51" t="s">
        <v>139</v>
      </c>
      <c r="K12" s="54" t="str">
        <f t="shared" si="1"/>
        <v>Draw</v>
      </c>
      <c r="L12" s="54">
        <f t="shared" si="2"/>
        <v>1</v>
      </c>
      <c r="M12" s="56" t="str">
        <f>IFERROR(__xludf.DUMMYFUNCTION("IF(COUNTIF(WEEKLY_TEAMS!$AA$3:$AA$53, J12) &gt; 0, ""GOALS: "" &amp; TEXTJOIN(""; "", TRUE, IFERROR(FILTER(WEEKLY_TEAMS!B3:B53 &amp; "" [ "" &amp; #REF! &amp; "" ]"", WEEKLY_TEAMS!$AA$3:$AA$53 = J12, #REF! &gt; 0), """")) &amp; CHAR(10) &amp; CHAR(10) &amp;
""CLEAN SHEETS: "" &amp; TEXTJOIN("&amp;"""; "", TRUE, IFERROR(FILTER(WEEKLY_TEAMS!$B$3:$B$53 &amp; "" [ "" &amp; #REF! &amp; "" ]"", WEEKLY_TEAMS!$AA$3:$AA$53 = J12, #REF! &gt; 0), """")), """")
"),"GOALS: 
CLEAN SHEETS: ")</f>
        <v>GOALS: 
CLEAN SHEETS: </v>
      </c>
      <c r="N12" s="57" t="s">
        <v>206</v>
      </c>
      <c r="P12" s="46"/>
    </row>
    <row r="13" ht="37.5" customHeight="1">
      <c r="A13" s="66"/>
      <c r="B13" s="58"/>
      <c r="C13" s="58"/>
      <c r="D13" s="59">
        <v>2.0</v>
      </c>
      <c r="E13" s="60" t="str">
        <f>IFERROR(__xludf.DUMMYFUNCTION("IF(COUNTIF(WEEKLY_TEAMS!$AA$3:$AA$53, F13) &gt; 0, ""GOALS: "" &amp; TEXTJOIN(""; "", TRUE, IFERROR(FILTER(WEEKLY_TEAMS!B3:B53 &amp; "" [ "" &amp; #REF! &amp; "" ]"", WEEKLY_TEAMS!$AA$3:$AA$53 = F13, #REF! &gt; 0), """")) &amp; CHAR(10) &amp; CHAR(10) &amp;
""CLEAN SHEETS: "" &amp; TEXTJOIN("&amp;"""; "", TRUE, IFERROR(FILTER(WEEKLY_TEAMS!$B$3:$B$53 &amp; "" [ "" &amp; #REF! &amp; "" ]"", WEEKLY_TEAMS!$AA$3:$AA$53 = F13, #REF! &gt; 0), """")), """")
"),"GOALS: 
CLEAN SHEETS: ")</f>
        <v>GOALS: 
CLEAN SHEETS: </v>
      </c>
      <c r="F13" s="61" t="s">
        <v>140</v>
      </c>
      <c r="G13" s="62">
        <v>1.0</v>
      </c>
      <c r="H13" s="53" t="s">
        <v>201</v>
      </c>
      <c r="I13" s="62">
        <v>3.0</v>
      </c>
      <c r="J13" s="61" t="s">
        <v>141</v>
      </c>
      <c r="K13" s="59" t="str">
        <f t="shared" si="1"/>
        <v>ORANGE</v>
      </c>
      <c r="L13" s="59">
        <f t="shared" si="2"/>
        <v>2</v>
      </c>
      <c r="M13" s="65" t="str">
        <f>IFERROR(__xludf.DUMMYFUNCTION("IF(COUNTIF(WEEKLY_TEAMS!$AA$3:$AA$53, J13) &gt; 0, ""GOALS: "" &amp; TEXTJOIN(""; "", TRUE, IFERROR(FILTER(WEEKLY_TEAMS!B3:B53 &amp; "" [ "" &amp; #REF! &amp; "" ]"", WEEKLY_TEAMS!$AA$3:$AA$53 = J13, #REF! &gt; 0), """")) &amp; CHAR(10) &amp; CHAR(10) &amp;
""CLEAN SHEETS: "" &amp; TEXTJOIN("&amp;"""; "", TRUE, IFERROR(FILTER(WEEKLY_TEAMS!$B$3:$B$53 &amp; "" [ "" &amp; #REF! &amp; "" ]"", WEEKLY_TEAMS!$AA$3:$AA$53 = J13, #REF! &gt; 0), """")), """")
"),"GOALS: 
CLEAN SHEETS: ")</f>
        <v>GOALS: 
CLEAN SHEETS: </v>
      </c>
      <c r="N13" s="58"/>
      <c r="O13" s="58"/>
      <c r="P13" s="46"/>
    </row>
    <row r="14" ht="37.5" customHeight="1">
      <c r="A14" s="47"/>
      <c r="B14" s="48">
        <v>4.0</v>
      </c>
      <c r="C14" s="48" t="s">
        <v>207</v>
      </c>
      <c r="D14" s="67">
        <v>1.0</v>
      </c>
      <c r="E14" s="50" t="str">
        <f>IFERROR(__xludf.DUMMYFUNCTION("IF(COUNTIF(WEEKLY_TEAMS!$AM$3:$AM$53, F14) &gt; 0, ""GOALS: "" &amp; TEXTJOIN(""; "", TRUE, IFERROR(FILTER(WEEKLY_TEAMS!B3:B53 &amp; "" [ "" &amp; WEEKLY_TEAMS!$AT$3:$AT$53 &amp; "" ]"", WEEKLY_TEAMS!$AM$3:$AM$53 = F14, WEEKLY_TEAMS!$AT$3:$AT$53 &gt; 0), """")) &amp; CHAR(10) &amp; CH"&amp;"AR(10) &amp;
""CLEAN SHEETS: "" &amp; TEXTJOIN(""; "", TRUE, IFERROR(FILTER(WEEKLY_TEAMS!$B$3:$B$53 &amp; "" [ "" &amp; WEEKLY_TEAMS!$AV$3:$AV$53 &amp; "" ]"", WEEKLY_TEAMS!$AM$3:$AM$53 = F14, WEEKLY_TEAMS!$AV$3:$AV$53 &gt; 0), """")), """")
"),"GOALS: Gabriel [ 1 ]; (Jhony S) [ 1 ]
CLEAN SHEETS: ")</f>
        <v>GOALS: Gabriel [ 1 ]; (Jhony S) [ 1 ]
CLEAN SHEETS: </v>
      </c>
      <c r="F14" s="68" t="s">
        <v>139</v>
      </c>
      <c r="G14" s="69">
        <v>1.0</v>
      </c>
      <c r="H14" s="53" t="s">
        <v>201</v>
      </c>
      <c r="I14" s="69">
        <v>4.0</v>
      </c>
      <c r="J14" s="68" t="s">
        <v>140</v>
      </c>
      <c r="K14" s="70" t="str">
        <f t="shared" si="1"/>
        <v>MAGENTA</v>
      </c>
      <c r="L14" s="70">
        <f t="shared" si="2"/>
        <v>2</v>
      </c>
      <c r="M14" s="56" t="str">
        <f>IFERROR(__xludf.DUMMYFUNCTION("IF(COUNTIF(WEEKLY_TEAMS!$AM$3:$AM$53, J14) &gt; 0, ""GOALS: "" &amp; TEXTJOIN(""; "", TRUE, IFERROR(FILTER(WEEKLY_TEAMS!B3:B53 &amp; "" [ "" &amp; WEEKLY_TEAMS!$AT$3:$AT$53 &amp; "" ]"", WEEKLY_TEAMS!$AM$3:$AM$53 = J14, WEEKLY_TEAMS!$AT$3:$AT$53 &gt; 0), """")) &amp; CHAR(10) &amp; CH"&amp;"AR(10) &amp;
""CLEAN SHEETS: "" &amp; TEXTJOIN(""; "", TRUE, IFERROR(FILTER(WEEKLY_TEAMS!$B$3:$B$53 &amp; "" [ "" &amp; WEEKLY_TEAMS!$AV$3:$AV$53 &amp; "" ]"", WEEKLY_TEAMS!$AM$3:$AM$53 = J14, WEEKLY_TEAMS!$AV$3:$AV$53 &gt; 0), """")), """")
"),"GOALS: Ruben [ 1 ]; Gerardo [ 1 ]; Alex [ 1 ]; David [ 2 ]
CLEAN SHEETS: ")</f>
        <v>GOALS: Ruben [ 1 ]; Gerardo [ 1 ]; Alex [ 1 ]; David [ 2 ]
CLEAN SHEETS: </v>
      </c>
      <c r="N14" s="57" t="s">
        <v>207</v>
      </c>
      <c r="O14" s="57">
        <v>4.0</v>
      </c>
      <c r="P14" s="46"/>
    </row>
    <row r="15" ht="37.5" customHeight="1">
      <c r="A15" s="47"/>
      <c r="C15" s="58"/>
      <c r="D15" s="71">
        <v>2.0</v>
      </c>
      <c r="E15" s="60" t="str">
        <f>IFERROR(__xludf.DUMMYFUNCTION("IF(COUNTIF(WEEKLY_TEAMS!$AM$3:$AM$53, F15) &gt; 0, ""GOALS: "" &amp; TEXTJOIN(""; "", TRUE, IFERROR(FILTER(WEEKLY_TEAMS!B3:B53 &amp; "" [ "" &amp; WEEKLY_TEAMS!$AT$3:$AT$53 &amp; "" ]"", WEEKLY_TEAMS!$AM$3:$AM$53 = F15, WEEKLY_TEAMS!$AT$3:$AT$53 &gt; 0), """")) &amp; CHAR(10) &amp; CH"&amp;"AR(10) &amp;
""CLEAN SHEETS: "" &amp; TEXTJOIN(""; "", TRUE, IFERROR(FILTER(WEEKLY_TEAMS!$B$3:$B$53 &amp; "" [ "" &amp; WEEKLY_TEAMS!$AV$3:$AV$53 &amp; "" ]"", WEEKLY_TEAMS!$AM$3:$AM$53 = F15, WEEKLY_TEAMS!$AV$3:$AV$53 &gt; 0), """")), """")
"),"GOALS: Valverde [ 2 ]; Guille 👨🏻‍🤝‍👨🏾 Mike [ 1 ]
CLEAN SHEETS: ")</f>
        <v>GOALS: Valverde [ 2 ]; Guille 👨🏻‍🤝‍👨🏾 Mike [ 1 ]
CLEAN SHEETS: </v>
      </c>
      <c r="F15" s="72" t="s">
        <v>142</v>
      </c>
      <c r="G15" s="73">
        <v>2.0</v>
      </c>
      <c r="H15" s="53" t="s">
        <v>201</v>
      </c>
      <c r="I15" s="73">
        <v>2.0</v>
      </c>
      <c r="J15" s="72" t="s">
        <v>141</v>
      </c>
      <c r="K15" s="71" t="str">
        <f t="shared" si="1"/>
        <v>Draw</v>
      </c>
      <c r="L15" s="71">
        <f t="shared" si="2"/>
        <v>1</v>
      </c>
      <c r="M15" s="65" t="str">
        <f>IFERROR(__xludf.DUMMYFUNCTION("IF(COUNTIF(WEEKLY_TEAMS!$AM$3:$AM$53, J15) &gt; 0, ""GOALS: "" &amp; TEXTJOIN(""; "", TRUE, IFERROR(FILTER(WEEKLY_TEAMS!B3:B53 &amp; "" [ "" &amp; WEEKLY_TEAMS!$AT$3:$AT$53 &amp; "" ]"", WEEKLY_TEAMS!$AM$3:$AM$53 = J15, WEEKLY_TEAMS!$AT$3:$AT$53 &gt; 0), """")) &amp; CHAR(10) &amp; CH"&amp;"AR(10) &amp;
""CLEAN SHEETS: "" &amp; TEXTJOIN(""; "", TRUE, IFERROR(FILTER(WEEKLY_TEAMS!$B$3:$B$53 &amp; "" [ "" &amp; WEEKLY_TEAMS!$AV$3:$AV$53 &amp; "" ]"", WEEKLY_TEAMS!$AM$3:$AM$53 = J15, WEEKLY_TEAMS!$AV$3:$AV$53 &gt; 0), """")), """")
"),"GOALS: 
CLEAN SHEETS: ")</f>
        <v>GOALS: 
CLEAN SHEETS: </v>
      </c>
      <c r="N15" s="58"/>
      <c r="P15" s="46"/>
    </row>
    <row r="16" ht="37.5" customHeight="1">
      <c r="A16" s="47"/>
      <c r="C16" s="48" t="s">
        <v>208</v>
      </c>
      <c r="D16" s="67">
        <v>1.0</v>
      </c>
      <c r="E16" s="50" t="str">
        <f>IFERROR(__xludf.DUMMYFUNCTION("IF(COUNTIF(WEEKLY_TEAMS!$AM$3:$AM$53, F16) &gt; 0, ""GOALS: "" &amp; TEXTJOIN(""; "", TRUE, IFERROR(FILTER(WEEKLY_TEAMS!B3:B53 &amp; "" [ "" &amp; #REF! &amp; "" ]"", WEEKLY_TEAMS!$AM$3:$AM$53 = F16, #REF! &gt; 0), """")) &amp; CHAR(10) &amp; CHAR(10) &amp;
""CLEAN SHEETS: "" &amp; TEXTJOIN("&amp;"""; "", TRUE, IFERROR(FILTER(WEEKLY_TEAMS!$B$3:$B$53 &amp; "" [ "" &amp; #REF! &amp; "" ]"", WEEKLY_TEAMS!$AM$3:$AM$53 = F16, #REF! &gt; 0), """")), """")
"),"GOALS: 
CLEAN SHEETS: ")</f>
        <v>GOALS: 
CLEAN SHEETS: </v>
      </c>
      <c r="F16" s="68" t="s">
        <v>139</v>
      </c>
      <c r="G16" s="69">
        <v>1.0</v>
      </c>
      <c r="H16" s="53" t="s">
        <v>201</v>
      </c>
      <c r="I16" s="69">
        <v>1.0</v>
      </c>
      <c r="J16" s="68" t="s">
        <v>141</v>
      </c>
      <c r="K16" s="70" t="str">
        <f t="shared" si="1"/>
        <v>Draw</v>
      </c>
      <c r="L16" s="70">
        <f t="shared" si="2"/>
        <v>1</v>
      </c>
      <c r="M16" s="56" t="str">
        <f>IFERROR(__xludf.DUMMYFUNCTION("IF(COUNTIF(WEEKLY_TEAMS!$AM$3:$AM$53, J16) &gt; 0, ""GOALS: "" &amp; TEXTJOIN(""; "", TRUE, IFERROR(FILTER(WEEKLY_TEAMS!B3:B53 &amp; "" [ "" &amp; #REF! &amp; "" ]"", WEEKLY_TEAMS!$AM$3:$AM$53 = J16, #REF! &gt; 0), """")) &amp; CHAR(10) &amp; CHAR(10) &amp;
""CLEAN SHEETS: "" &amp; TEXTJOIN("&amp;"""; "", TRUE, IFERROR(FILTER(WEEKLY_TEAMS!$B$3:$B$53 &amp; "" [ "" &amp; #REF! &amp; "" ]"", WEEKLY_TEAMS!$AM$3:$AM$53 = J16, #REF! &gt; 0), """")), """")
"),"GOALS: 
CLEAN SHEETS: ")</f>
        <v>GOALS: 
CLEAN SHEETS: </v>
      </c>
      <c r="N16" s="57" t="s">
        <v>208</v>
      </c>
      <c r="P16" s="46"/>
    </row>
    <row r="17" ht="37.5" customHeight="1">
      <c r="A17" s="66"/>
      <c r="B17" s="58"/>
      <c r="C17" s="58"/>
      <c r="D17" s="71">
        <v>2.0</v>
      </c>
      <c r="E17" s="60" t="str">
        <f>IFERROR(__xludf.DUMMYFUNCTION("IF(COUNTIF(WEEKLY_TEAMS!$AM$3:$AM$53, F17) &gt; 0, ""GOALS: "" &amp; TEXTJOIN(""; "", TRUE, IFERROR(FILTER(WEEKLY_TEAMS!B3:B53 &amp; "" [ "" &amp; #REF! &amp; "" ]"", WEEKLY_TEAMS!$AM$3:$AM$53 = F17, #REF! &gt; 0), """")) &amp; CHAR(10) &amp; CHAR(10) &amp;
""CLEAN SHEETS: "" &amp; TEXTJOIN("&amp;"""; "", TRUE, IFERROR(FILTER(WEEKLY_TEAMS!$B$3:$B$53 &amp; "" [ "" &amp; #REF! &amp; "" ]"", WEEKLY_TEAMS!$AM$3:$AM$53 = F17, #REF! &gt; 0), """")), """")
"),"GOALS: 
CLEAN SHEETS: ")</f>
        <v>GOALS: 
CLEAN SHEETS: </v>
      </c>
      <c r="F17" s="72" t="s">
        <v>140</v>
      </c>
      <c r="G17" s="73">
        <v>3.0</v>
      </c>
      <c r="H17" s="53" t="s">
        <v>201</v>
      </c>
      <c r="I17" s="73">
        <v>0.0</v>
      </c>
      <c r="J17" s="72" t="s">
        <v>142</v>
      </c>
      <c r="K17" s="71" t="str">
        <f t="shared" si="1"/>
        <v>MAGENTA</v>
      </c>
      <c r="L17" s="71">
        <f t="shared" si="2"/>
        <v>2</v>
      </c>
      <c r="M17" s="65" t="str">
        <f>IFERROR(__xludf.DUMMYFUNCTION("IF(COUNTIF(WEEKLY_TEAMS!$AM$3:$AM$53, J17) &gt; 0, ""GOALS: "" &amp; TEXTJOIN(""; "", TRUE, IFERROR(FILTER(WEEKLY_TEAMS!B3:B53 &amp; "" [ "" &amp; #REF! &amp; "" ]"", WEEKLY_TEAMS!$AM$3:$AM$53 = J17, #REF! &gt; 0), """")) &amp; CHAR(10) &amp; CHAR(10) &amp;
""CLEAN SHEETS: "" &amp; TEXTJOIN("&amp;"""; "", TRUE, IFERROR(FILTER(WEEKLY_TEAMS!$B$3:$B$53 &amp; "" [ "" &amp; #REF! &amp; "" ]"", WEEKLY_TEAMS!$AM$3:$AM$53 = J17, #REF! &gt; 0), """")), """")
"),"GOALS: 
CLEAN SHEETS: ")</f>
        <v>GOALS: 
CLEAN SHEETS: </v>
      </c>
      <c r="N17" s="58"/>
      <c r="O17" s="58"/>
      <c r="P17" s="46"/>
    </row>
    <row r="18" ht="37.5" customHeight="1">
      <c r="A18" s="47"/>
      <c r="B18" s="48">
        <v>5.0</v>
      </c>
      <c r="C18" s="48" t="s">
        <v>209</v>
      </c>
      <c r="D18" s="49">
        <v>1.0</v>
      </c>
      <c r="E18" s="50" t="str">
        <f>IFERROR(__xludf.DUMMYFUNCTION("IF(COUNTIF(WEEKLY_TEAMS!$AY$3:$AY$53, F18) &gt; 0, ""GOALS: "" &amp; TEXTJOIN(""; "", TRUE, IFERROR(FILTER(WEEKLY_TEAMS!B3:B53 &amp; "" [ "" &amp; WEEKLY_TEAMS!$BF$3:$BF$53 &amp; "" ]"", WEEKLY_TEAMS!$AY$3:$AY$53 = F18, WEEKLY_TEAMS!$BF$3:$BF$53 &gt; 0), """")) &amp; CHAR(10) &amp; CH"&amp;"AR(10) &amp;
""CLEAN SHEETS: "" &amp; TEXTJOIN(""; "", TRUE, IFERROR(FILTER(WEEKLY_TEAMS!$B$3:$B$53 &amp; "" [ "" &amp; WEEKLY_TEAMS!$BH$3:$BH$53 &amp; "" ]"", WEEKLY_TEAMS!$AY$3:$AY$53 = F18, WEEKLY_TEAMS!$BH$3:$BH$53 &gt; 0), """")), """")
"),"GOALS: Javier [ 1 ]; Ruben [ 1 ]; Eder [ 1 ]
CLEAN SHEETS: ")</f>
        <v>GOALS: Javier [ 1 ]; Ruben [ 1 ]; Eder [ 1 ]
CLEAN SHEETS: </v>
      </c>
      <c r="F18" s="51" t="s">
        <v>139</v>
      </c>
      <c r="G18" s="52">
        <v>3.0</v>
      </c>
      <c r="H18" s="53" t="s">
        <v>201</v>
      </c>
      <c r="I18" s="52">
        <v>3.0</v>
      </c>
      <c r="J18" s="51" t="s">
        <v>140</v>
      </c>
      <c r="K18" s="54" t="str">
        <f t="shared" si="1"/>
        <v>Draw</v>
      </c>
      <c r="L18" s="54">
        <f t="shared" si="2"/>
        <v>1</v>
      </c>
      <c r="M18" s="56" t="str">
        <f>IFERROR(__xludf.DUMMYFUNCTION("IF(COUNTIF(WEEKLY_TEAMS!$AY$3:$AY$53, J18) &gt; 0, ""GOALS: "" &amp; TEXTJOIN(""; "", TRUE, IFERROR(FILTER(WEEKLY_TEAMS!B3:B53 &amp; "" [ "" &amp; WEEKLY_TEAMS!$BF$3:$BF$53 &amp; "" ]"", WEEKLY_TEAMS!$AY$3:$AY$53 = J18, WEEKLY_TEAMS!$BF$3:$BF$53 &gt; 0), """")) &amp; CHAR(10) &amp; CH"&amp;"AR(10) &amp;
""CLEAN SHEETS: "" &amp; TEXTJOIN(""; "", TRUE, IFERROR(FILTER(WEEKLY_TEAMS!$B$3:$B$53 &amp; "" [ "" &amp; WEEKLY_TEAMS!$BH$3:$BH$53 &amp; "" ]"", WEEKLY_TEAMS!$AY$3:$AY$53 = J18, WEEKLY_TEAMS!$BH$3:$BH$53 &gt; 0), """")), """")
"),"GOALS: Jose Blanco [ 1 ]; Valverde [ 1 ]
CLEAN SHEETS: ")</f>
        <v>GOALS: Jose Blanco [ 1 ]; Valverde [ 1 ]
CLEAN SHEETS: </v>
      </c>
      <c r="N18" s="57" t="s">
        <v>209</v>
      </c>
      <c r="O18" s="57">
        <v>5.0</v>
      </c>
      <c r="P18" s="46"/>
    </row>
    <row r="19" ht="37.5" customHeight="1">
      <c r="A19" s="47"/>
      <c r="C19" s="58"/>
      <c r="D19" s="59">
        <v>2.0</v>
      </c>
      <c r="E19" s="60" t="str">
        <f>IFERROR(__xludf.DUMMYFUNCTION("IF(COUNTIF(WEEKLY_TEAMS!$AY$3:$AY$53, F19) &gt; 0, ""GOALS: "" &amp; TEXTJOIN(""; "", TRUE, IFERROR(FILTER(WEEKLY_TEAMS!B3:B53 &amp; "" [ "" &amp; WEEKLY_TEAMS!$BF$3:$BF$53 &amp; "" ]"", WEEKLY_TEAMS!$AY$3:$AY$53 = F19, WEEKLY_TEAMS!$BF$3:$BF$53 &gt; 0), """")) &amp; CHAR(10) &amp; CH"&amp;"AR(10) &amp;
""CLEAN SHEETS: "" &amp; TEXTJOIN(""; "", TRUE, IFERROR(FILTER(WEEKLY_TEAMS!$B$3:$B$53 &amp; "" [ "" &amp; WEEKLY_TEAMS!$BH$3:$BH$53 &amp; "" ]"", WEEKLY_TEAMS!$AY$3:$AY$53 = F19, WEEKLY_TEAMS!$BH$3:$BH$53 &gt; 0), """")), """")
"),"GOALS: Gerardo [ 1 ]; Nicky [ 1 ]; Jordan [ 1 ]
CLEAN SHEETS: ")</f>
        <v>GOALS: Gerardo [ 1 ]; Nicky [ 1 ]; Jordan [ 1 ]
CLEAN SHEETS: </v>
      </c>
      <c r="F19" s="61" t="s">
        <v>142</v>
      </c>
      <c r="G19" s="62">
        <v>1.0</v>
      </c>
      <c r="H19" s="53" t="s">
        <v>201</v>
      </c>
      <c r="I19" s="62">
        <v>2.0</v>
      </c>
      <c r="J19" s="61" t="s">
        <v>141</v>
      </c>
      <c r="K19" s="59" t="str">
        <f t="shared" si="1"/>
        <v>ORANGE</v>
      </c>
      <c r="L19" s="59">
        <f t="shared" si="2"/>
        <v>2</v>
      </c>
      <c r="M19" s="65" t="str">
        <f>IFERROR(__xludf.DUMMYFUNCTION("IF(COUNTIF(WEEKLY_TEAMS!$AY$3:$AY$53, J19) &gt; 0, ""GOALS: "" &amp; TEXTJOIN(""; "", TRUE, IFERROR(FILTER(WEEKLY_TEAMS!B3:B53 &amp; "" [ "" &amp; WEEKLY_TEAMS!$BF$3:$BF$53 &amp; "" ]"", WEEKLY_TEAMS!$AY$3:$AY$53 = J19, WEEKLY_TEAMS!$BF$3:$BF$53 &gt; 0), """")) &amp; CHAR(10) &amp; CH"&amp;"AR(10) &amp;
""CLEAN SHEETS: "" &amp; TEXTJOIN(""; "", TRUE, IFERROR(FILTER(WEEKLY_TEAMS!$B$3:$B$53 &amp; "" [ "" &amp; WEEKLY_TEAMS!$BH$3:$BH$53 &amp; "" ]"", WEEKLY_TEAMS!$AY$3:$AY$53 = J19, WEEKLY_TEAMS!$BH$3:$BH$53 &gt; 0), """")), """")
"),"GOALS: Valencia [ 1 ]; Chato [ 2 ]
CLEAN SHEETS: 🥉 Andres [ 1 ]")</f>
        <v>GOALS: Valencia [ 1 ]; Chato [ 2 ]
CLEAN SHEETS: 🥉 Andres [ 1 ]</v>
      </c>
      <c r="N19" s="58"/>
      <c r="P19" s="46"/>
    </row>
    <row r="20" ht="37.5" customHeight="1">
      <c r="A20" s="47"/>
      <c r="C20" s="48" t="s">
        <v>210</v>
      </c>
      <c r="D20" s="49">
        <v>1.0</v>
      </c>
      <c r="E20" s="50" t="str">
        <f>IFERROR(__xludf.DUMMYFUNCTION("IF(COUNTIF(WEEKLY_TEAMS!$AY$3:$AY$53, F20) &gt; 0, ""GOALS: "" &amp; TEXTJOIN(""; "", TRUE, IFERROR(FILTER(WEEKLY_TEAMS!B3:B53 &amp; "" [ "" &amp; #REF! &amp; "" ]"", WEEKLY_TEAMS!$AY$3:$AY$53 = F20, #REF! &gt; 0), """")) &amp; CHAR(10) &amp; CHAR(10) &amp;
""CLEAN SHEETS: "" &amp; TEXTJOIN("&amp;"""; "", TRUE, IFERROR(FILTER(WEEKLY_TEAMS!$B3:$B$53 &amp; "" [ "" &amp; #REF! &amp; "" ]"", WEEKLY_TEAMS!$AY$3:$AY$53 = F20, #REF! &gt; 0), """")), """")
"),"GOALS: 
CLEAN SHEETS: ")</f>
        <v>GOALS: 
CLEAN SHEETS: </v>
      </c>
      <c r="F20" s="51" t="s">
        <v>139</v>
      </c>
      <c r="G20" s="52">
        <v>1.0</v>
      </c>
      <c r="H20" s="53" t="s">
        <v>201</v>
      </c>
      <c r="I20" s="52">
        <v>2.0</v>
      </c>
      <c r="J20" s="51" t="s">
        <v>142</v>
      </c>
      <c r="K20" s="54" t="str">
        <f t="shared" si="1"/>
        <v>GREEN</v>
      </c>
      <c r="L20" s="54">
        <f t="shared" si="2"/>
        <v>2</v>
      </c>
      <c r="M20" s="56" t="str">
        <f>IFERROR(__xludf.DUMMYFUNCTION("IF(COUNTIF(WEEKLY_TEAMS!$AY$3:$AY$53, J20) &gt; 0, ""GOALS: "" &amp; TEXTJOIN(""; "", TRUE, IFERROR(FILTER(WEEKLY_TEAMS!B3:B53 &amp; "" [ "" &amp; #REF! &amp; "" ]"", WEEKLY_TEAMS!$AY$3:$AY$53 = J20, #REF! &gt; 0), """")) &amp; CHAR(10) &amp; CHAR(10) &amp;
""CLEAN SHEETS: "" &amp; TEXTJOIN("&amp;"""; "", TRUE, IFERROR(FILTER(WEEKLY_TEAMS!$B3:$B$53 &amp; "" [ "" &amp; #REF! &amp; "" ]"", WEEKLY_TEAMS!$AY$3:$AY$53 = J20, #REF! &gt; 0), """")), """")
"),"GOALS: 
CLEAN SHEETS: ")</f>
        <v>GOALS: 
CLEAN SHEETS: </v>
      </c>
      <c r="N20" s="57" t="s">
        <v>210</v>
      </c>
      <c r="P20" s="46"/>
    </row>
    <row r="21" ht="37.5" customHeight="1">
      <c r="A21" s="66"/>
      <c r="B21" s="58"/>
      <c r="C21" s="58"/>
      <c r="D21" s="59">
        <v>2.0</v>
      </c>
      <c r="E21" s="60" t="str">
        <f>IFERROR(__xludf.DUMMYFUNCTION("IF(COUNTIF(WEEKLY_TEAMS!$AY$3:$AY$53, F21) &gt; 0, ""GOALS: "" &amp; TEXTJOIN(""; "", TRUE, IFERROR(FILTER(WEEKLY_TEAMS!B3:B53 &amp; "" [ "" &amp; #REF! &amp; "" ]"", WEEKLY_TEAMS!$AY$3:$AY$53 = F21, #REF! &gt; 0), """")) &amp; CHAR(10) &amp; CHAR(10) &amp;
""CLEAN SHEETS: "" &amp; TEXTJOIN("&amp;"""; "", TRUE, IFERROR(FILTER(WEEKLY_TEAMS!$B3:$B$53 &amp; "" [ "" &amp; #REF! &amp; "" ]"", WEEKLY_TEAMS!$AY$3:$AY$53 = F21, #REF! &gt; 0), """")), """")
"),"GOALS: 
CLEAN SHEETS: ")</f>
        <v>GOALS: 
CLEAN SHEETS: </v>
      </c>
      <c r="F21" s="61" t="s">
        <v>140</v>
      </c>
      <c r="G21" s="62">
        <v>0.0</v>
      </c>
      <c r="H21" s="53" t="s">
        <v>201</v>
      </c>
      <c r="I21" s="62">
        <v>4.0</v>
      </c>
      <c r="J21" s="61" t="s">
        <v>141</v>
      </c>
      <c r="K21" s="59" t="str">
        <f t="shared" si="1"/>
        <v>ORANGE</v>
      </c>
      <c r="L21" s="59">
        <f t="shared" si="2"/>
        <v>2</v>
      </c>
      <c r="M21" s="65" t="str">
        <f>IFERROR(__xludf.DUMMYFUNCTION("IF(COUNTIF(WEEKLY_TEAMS!$AY$3:$AY$53, J21) &gt; 0, ""GOALS: "" &amp; TEXTJOIN(""; "", TRUE, IFERROR(FILTER(WEEKLY_TEAMS!B3:B53 &amp; "" [ "" &amp; #REF! &amp; "" ]"", WEEKLY_TEAMS!$AY$3:$AY$53 = J21, #REF! &gt; 0), """")) &amp; CHAR(10) &amp; CHAR(10) &amp;
""CLEAN SHEETS: "" &amp; TEXTJOIN("&amp;"""; "", TRUE, IFERROR(FILTER(WEEKLY_TEAMS!$B3:$B$53 &amp; "" [ "" &amp; #REF! &amp; "" ]"", WEEKLY_TEAMS!$AY$3:$AY$53 = J21, #REF! &gt; 0), """")), """")
"),"GOALS: 
CLEAN SHEETS: ")</f>
        <v>GOALS: 
CLEAN SHEETS: </v>
      </c>
      <c r="N21" s="58"/>
      <c r="O21" s="58"/>
      <c r="P21" s="46"/>
    </row>
    <row r="22" ht="37.5" customHeight="1">
      <c r="A22" s="47"/>
      <c r="B22" s="48">
        <v>6.0</v>
      </c>
      <c r="C22" s="48" t="s">
        <v>211</v>
      </c>
      <c r="D22" s="67">
        <v>1.0</v>
      </c>
      <c r="E22" s="50" t="str">
        <f>IFERROR(__xludf.DUMMYFUNCTION("IF(COUNTIF(WEEKLY_TEAMS!$BK$3:$BK$53, F22) &gt; 0, ""GOALS: "" &amp; TEXTJOIN(""; "", TRUE, IFERROR(FILTER(WEEKLY_TEAMS!B3:B53 &amp; "" [ "" &amp; WEEKLY_TEAMS!$BR$3:$BR$53 &amp; "" ]"", WEEKLY_TEAMS!$BK$3:$BK$53 = F22, WEEKLY_TEAMS!$BR$3:$BR$53 &gt; 0), """")) &amp; CHAR(10) &amp; CH"&amp;"AR(10) &amp;
""CLEAN SHEETS: "" &amp; TEXTJOIN(""; "", TRUE, IFERROR(FILTER(WEEKLY_TEAMS!$B$3:$B$53 &amp; "" [ "" &amp; WEEKLY_TEAMS!$BT$3:$BT$53 &amp; "" ]"", WEEKLY_TEAMS!$BK$3:$BK$53 = F22, WEEKLY_TEAMS!$BT$3:$BT$53 &gt; 0), """")), """")
"),"GOALS: Nicky [ 2 ]
CLEAN SHEETS: ")</f>
        <v>GOALS: Nicky [ 2 ]
CLEAN SHEETS: </v>
      </c>
      <c r="F22" s="68" t="s">
        <v>139</v>
      </c>
      <c r="G22" s="69">
        <v>1.0</v>
      </c>
      <c r="H22" s="53" t="s">
        <v>201</v>
      </c>
      <c r="I22" s="69">
        <v>1.0</v>
      </c>
      <c r="J22" s="68" t="s">
        <v>140</v>
      </c>
      <c r="K22" s="70" t="str">
        <f t="shared" si="1"/>
        <v>Draw</v>
      </c>
      <c r="L22" s="70">
        <f t="shared" si="2"/>
        <v>1</v>
      </c>
      <c r="M22" s="56" t="str">
        <f>IFERROR(__xludf.DUMMYFUNCTION("IF(COUNTIF(WEEKLY_TEAMS!$BK$3:$BK$53, J22) &gt; 0, ""GOALS: "" &amp; TEXTJOIN(""; "", TRUE, IFERROR(FILTER(WEEKLY_TEAMS!B3:B53 &amp; "" [ "" &amp; WEEKLY_TEAMS!$BR$3:$BR$53 &amp; "" ]"", WEEKLY_TEAMS!$BK$3:$BK$53 = J22, WEEKLY_TEAMS!$BR$3:$BR$53 &gt; 0), """")) &amp; CHAR(10) &amp; CH"&amp;"AR(10) &amp;
""CLEAN SHEETS: "" &amp; TEXTJOIN(""; "", TRUE, IFERROR(FILTER(WEEKLY_TEAMS!$B$3:$B$53 &amp; "" [ "" &amp; WEEKLY_TEAMS!$BT$3:$BT$53 &amp; "" ]"", WEEKLY_TEAMS!$BK$3:$BK$53 = J22, WEEKLY_TEAMS!$BT$3:$BT$53 &gt; 0), """")), """")
"),"GOALS: Cuñis 👨🏽‍🤝‍👨🏼 Karter [ 1 ]; Kevin [ 1 ]
CLEAN SHEETS: ")</f>
        <v>GOALS: Cuñis 👨🏽‍🤝‍👨🏼 Karter [ 1 ]; Kevin [ 1 ]
CLEAN SHEETS: </v>
      </c>
      <c r="N22" s="57" t="s">
        <v>211</v>
      </c>
      <c r="O22" s="57">
        <v>6.0</v>
      </c>
      <c r="P22" s="46"/>
    </row>
    <row r="23" ht="37.5" customHeight="1">
      <c r="A23" s="47"/>
      <c r="C23" s="58"/>
      <c r="D23" s="71">
        <v>2.0</v>
      </c>
      <c r="E23" s="60" t="str">
        <f>IFERROR(__xludf.DUMMYFUNCTION("IF(COUNTIF(WEEKLY_TEAMS!$BK$3:$BK$53, F23) &gt; 0, ""GOALS: "" &amp; TEXTJOIN(""; "", TRUE, IFERROR(FILTER(WEEKLY_TEAMS!B3:B53 &amp; "" [ "" &amp; WEEKLY_TEAMS!$BR$3:$BR$53 &amp; "" ]"", WEEKLY_TEAMS!$BK$3:$BK$53 = F23, WEEKLY_TEAMS!$BR$3:$BR$53 &gt; 0), """")) &amp; CHAR(10) &amp; CH"&amp;"AR(10) &amp;
""CLEAN SHEETS: "" &amp; TEXTJOIN(""; "", TRUE, IFERROR(FILTER(WEEKLY_TEAMS!$B$3:$B$53 &amp; "" [ "" &amp; WEEKLY_TEAMS!$BT$3:$BT$53 &amp; "" ]"", WEEKLY_TEAMS!$BK$3:$BK$53 = F23, WEEKLY_TEAMS!$BT$3:$BT$53 &gt; 0), """")), """")
"),"GOALS: Valverde [ 1 ]; Chato [ 1 ]
CLEAN SHEETS: Fer [ 1 ]")</f>
        <v>GOALS: Valverde [ 1 ]; Chato [ 1 ]
CLEAN SHEETS: Fer [ 1 ]</v>
      </c>
      <c r="F23" s="72" t="s">
        <v>142</v>
      </c>
      <c r="G23" s="73">
        <v>1.0</v>
      </c>
      <c r="H23" s="53" t="s">
        <v>201</v>
      </c>
      <c r="I23" s="73">
        <v>0.0</v>
      </c>
      <c r="J23" s="72" t="s">
        <v>141</v>
      </c>
      <c r="K23" s="71" t="str">
        <f t="shared" si="1"/>
        <v>GREEN</v>
      </c>
      <c r="L23" s="71">
        <f t="shared" si="2"/>
        <v>2</v>
      </c>
      <c r="M23" s="65" t="str">
        <f>IFERROR(__xludf.DUMMYFUNCTION("IF(COUNTIF(WEEKLY_TEAMS!$BK$3:$BK$53, J23) &gt; 0, ""GOALS: "" &amp; TEXTJOIN(""; "", TRUE, IFERROR(FILTER(WEEKLY_TEAMS!B3:B53 &amp; "" [ "" &amp; WEEKLY_TEAMS!$BR$3:$BR$53 &amp; "" ]"", WEEKLY_TEAMS!$BK$3:$BK$53 = J23, WEEKLY_TEAMS!$BR$3:$BR$53 &gt; 0), """")) &amp; CHAR(10) &amp; CH"&amp;"AR(10) &amp;
""CLEAN SHEETS: "" &amp; TEXTJOIN(""; "", TRUE, IFERROR(FILTER(WEEKLY_TEAMS!$B$3:$B$53 &amp; "" [ "" &amp; WEEKLY_TEAMS!$BT$3:$BT$53 &amp; "" ]"", WEEKLY_TEAMS!$BK$3:$BK$53 = J23, WEEKLY_TEAMS!$BT$3:$BT$53 &gt; 0), """")), """")
"),"GOALS: 
CLEAN SHEETS: ")</f>
        <v>GOALS: 
CLEAN SHEETS: </v>
      </c>
      <c r="N23" s="58"/>
      <c r="P23" s="46"/>
    </row>
    <row r="24" ht="37.5" customHeight="1">
      <c r="A24" s="47"/>
      <c r="C24" s="48" t="s">
        <v>212</v>
      </c>
      <c r="D24" s="67">
        <v>1.0</v>
      </c>
      <c r="E24" s="50" t="str">
        <f>IFERROR(__xludf.DUMMYFUNCTION("IF(COUNTIF(WEEKLY_TEAMS!$BK$3:$BK$53, F24) &gt; 0, ""GOALS: "" &amp; TEXTJOIN(""; "", TRUE, IFERROR(FILTER(WEEKLY_TEAMS!B3:B53 &amp; "" [ "" &amp; #REF! &amp; "" ]"", WEEKLY_TEAMS!$BK$3:$BK$53 = F24, #REF! &gt; 0), """")) &amp; CHAR(10) &amp; CHAR(10) &amp;
""CLEAN SHEETS: "" &amp; TEXTJOIN("&amp;"""; "", TRUE, IFERROR(FILTER(WEEKLY_TEAMS!$B$3:$B$53 &amp; "" [ "" &amp; #REF! &amp; "" ]"", WEEKLY_TEAMS!$BK$3:$BK$53 = F24, #REF! &gt; 0), """")), """")
"),"GOALS: 
CLEAN SHEETS: ")</f>
        <v>GOALS: 
CLEAN SHEETS: </v>
      </c>
      <c r="F24" s="68" t="s">
        <v>140</v>
      </c>
      <c r="G24" s="69">
        <v>1.0</v>
      </c>
      <c r="H24" s="53" t="s">
        <v>201</v>
      </c>
      <c r="I24" s="69">
        <v>1.0</v>
      </c>
      <c r="J24" s="68" t="s">
        <v>142</v>
      </c>
      <c r="K24" s="70" t="str">
        <f t="shared" si="1"/>
        <v>Draw</v>
      </c>
      <c r="L24" s="70">
        <f t="shared" si="2"/>
        <v>1</v>
      </c>
      <c r="M24" s="56" t="str">
        <f>IFERROR(__xludf.DUMMYFUNCTION("IF(COUNTIF(WEEKLY_TEAMS!$BK$3:$BK$53, J24) &gt; 0, ""GOALS: "" &amp; TEXTJOIN(""; "", TRUE, IFERROR(FILTER(WEEKLY_TEAMS!B3:B53 &amp; "" [ "" &amp; #REF! &amp; "" ]"", WEEKLY_TEAMS!$BK$3:$BK$53 = J24, #REF! &gt; 0), """")) &amp; CHAR(10) &amp; CHAR(10) &amp;
""CLEAN SHEETS: "" &amp; TEXTJOIN("&amp;"""; "", TRUE, IFERROR(FILTER(WEEKLY_TEAMS!$B$3:$B$53 &amp; "" [ "" &amp; #REF! &amp; "" ]"", WEEKLY_TEAMS!$BK$3:$BK$53 = J24, #REF! &gt; 0), """")), """")
"),"GOALS: 
CLEAN SHEETS: ")</f>
        <v>GOALS: 
CLEAN SHEETS: </v>
      </c>
      <c r="N24" s="57" t="s">
        <v>212</v>
      </c>
      <c r="P24" s="46"/>
    </row>
    <row r="25" ht="37.5" customHeight="1">
      <c r="A25" s="66"/>
      <c r="B25" s="58"/>
      <c r="C25" s="58"/>
      <c r="D25" s="71">
        <v>2.0</v>
      </c>
      <c r="E25" s="60" t="str">
        <f>IFERROR(__xludf.DUMMYFUNCTION("IF(COUNTIF(WEEKLY_TEAMS!$BK$3:$BK$53, F25) &gt; 0, ""GOALS: "" &amp; TEXTJOIN(""; "", TRUE, IFERROR(FILTER(WEEKLY_TEAMS!B3:B53 &amp; "" [ "" &amp; #REF! &amp; "" ]"", WEEKLY_TEAMS!$BK$3:$BK$53 = F25, #REF! &gt; 0), """")) &amp; CHAR(10) &amp; CHAR(10) &amp;
""CLEAN SHEETS: "" &amp; TEXTJOIN("&amp;"""; "", TRUE, IFERROR(FILTER(WEEKLY_TEAMS!$B$3:$B$53 &amp; "" [ "" &amp; #REF! &amp; "" ]"", WEEKLY_TEAMS!$BK$3:$BK$53 = F25, #REF! &gt; 0), """")), """")
"),"GOALS: 
CLEAN SHEETS: ")</f>
        <v>GOALS: 
CLEAN SHEETS: </v>
      </c>
      <c r="F25" s="72" t="s">
        <v>139</v>
      </c>
      <c r="G25" s="73">
        <v>2.0</v>
      </c>
      <c r="H25" s="53" t="s">
        <v>201</v>
      </c>
      <c r="I25" s="73">
        <v>0.0</v>
      </c>
      <c r="J25" s="72" t="s">
        <v>141</v>
      </c>
      <c r="K25" s="71" t="str">
        <f t="shared" si="1"/>
        <v>BLUE</v>
      </c>
      <c r="L25" s="71">
        <f t="shared" si="2"/>
        <v>2</v>
      </c>
      <c r="M25" s="65" t="str">
        <f>IFERROR(__xludf.DUMMYFUNCTION("IF(COUNTIF(WEEKLY_TEAMS!$BK$3:$BK$53, J25) &gt; 0, ""GOALS: "" &amp; TEXTJOIN(""; "", TRUE, IFERROR(FILTER(WEEKLY_TEAMS!B3:B53 &amp; "" [ "" &amp; #REF! &amp; "" ]"", WEEKLY_TEAMS!$BK$3:$BK$53 = J25, #REF! &gt; 0), """")) &amp; CHAR(10) &amp; CHAR(10) &amp;
""CLEAN SHEETS: "" &amp; TEXTJOIN("&amp;"""; "", TRUE, IFERROR(FILTER(WEEKLY_TEAMS!$B$3:$B$53 &amp; "" [ "" &amp; #REF! &amp; "" ]"", WEEKLY_TEAMS!$BK$3:$BK$53 = J25, #REF! &gt; 0), """")), """")
"),"GOALS: 
CLEAN SHEETS: ")</f>
        <v>GOALS: 
CLEAN SHEETS: </v>
      </c>
      <c r="N25" s="58"/>
      <c r="O25" s="58"/>
      <c r="P25" s="46"/>
    </row>
    <row r="26" ht="37.5" customHeight="1">
      <c r="A26" s="47"/>
      <c r="B26" s="48">
        <v>7.0</v>
      </c>
      <c r="C26" s="48" t="s">
        <v>213</v>
      </c>
      <c r="D26" s="49">
        <v>1.0</v>
      </c>
      <c r="E26" s="50" t="str">
        <f>IFERROR(__xludf.DUMMYFUNCTION("IF(COUNTIF(WEEKLY_TEAMS!$BW$3:$BW$53, F26) &gt; 0, ""GOALS: "" &amp; TEXTJOIN(""; "", TRUE, IFERROR(FILTER(WEEKLY_TEAMS!B3:B53 &amp; "" [ "" &amp; WEEKLY_TEAMS!$CD$3:$CD$53 &amp; "" ]"", WEEKLY_TEAMS!$BW$3:$BW$53 = F26, WEEKLY_TEAMS!$CD$3:$CD$53 &gt; 0), """")) &amp; CHAR(10) &amp; CH"&amp;"AR(10) &amp;
""CLEAN SHEETS: "" &amp; TEXTJOIN(""; "", TRUE, IFERROR(FILTER(WEEKLY_TEAMS!$B$3:$B$53 &amp; "" [ "" &amp; WEEKLY_TEAMS!$CF$3:$CF$53 &amp; "" ]"", WEEKLY_TEAMS!$BW$3:$BW$53 = F26, WEEKLY_TEAMS!$CF$3:$CF$53 &gt; 0), """")), """")
"),"GOALS: 🥈 Carlos S. [ 1 ]; Valencia [ 1 ]; Eder [ 1 ]
CLEAN SHEETS: ")</f>
        <v>GOALS: 🥈 Carlos S. [ 1 ]; Valencia [ 1 ]; Eder [ 1 ]
CLEAN SHEETS: </v>
      </c>
      <c r="F26" s="51" t="s">
        <v>139</v>
      </c>
      <c r="G26" s="76">
        <v>2.0</v>
      </c>
      <c r="H26" s="53" t="s">
        <v>201</v>
      </c>
      <c r="I26" s="76">
        <v>1.0</v>
      </c>
      <c r="J26" s="51" t="s">
        <v>140</v>
      </c>
      <c r="K26" s="54" t="str">
        <f t="shared" si="1"/>
        <v>BLUE</v>
      </c>
      <c r="L26" s="54">
        <f t="shared" si="2"/>
        <v>2</v>
      </c>
      <c r="M26" s="56" t="str">
        <f>IFERROR(__xludf.DUMMYFUNCTION("IF(COUNTIF(WEEKLY_TEAMS!$BW$3:$BW$53, J26) &gt; 0, ""GOALS: "" &amp; TEXTJOIN(""; "", TRUE, IFERROR(FILTER(WEEKLY_TEAMS!B3:B53 &amp; "" [ "" &amp; WEEKLY_TEAMS!$CD$3:$CD$53 &amp; "" ]"", WEEKLY_TEAMS!$BW$3:$BW$53 = J26, WEEKLY_TEAMS!$CD$3:$CD$53 &gt; 0), """")) &amp; CHAR(10) &amp; CH"&amp;"AR(10) &amp;
""CLEAN SHEETS: "" &amp; TEXTJOIN(""; "", TRUE, IFERROR(FILTER(WEEKLY_TEAMS!$B$3:$B$53 &amp; "" [ "" &amp; WEEKLY_TEAMS!$CF$3:$CF$53 &amp; "" ]"", WEEKLY_TEAMS!$BW$3:$BW$53 = J26, WEEKLY_TEAMS!$CF$3:$CF$53 &gt; 0), """")), """")
"),"GOALS: Chilas 👨🏻‍🤝‍👨🏾 Netto [ 1 ]; (Cuñis) [ 1 ]
CLEAN SHEETS: ")</f>
        <v>GOALS: Chilas 👨🏻‍🤝‍👨🏾 Netto [ 1 ]; (Cuñis) [ 1 ]
CLEAN SHEETS: </v>
      </c>
      <c r="N26" s="57" t="s">
        <v>213</v>
      </c>
      <c r="O26" s="57">
        <v>7.0</v>
      </c>
      <c r="P26" s="46"/>
    </row>
    <row r="27" ht="37.5" customHeight="1">
      <c r="A27" s="47"/>
      <c r="C27" s="58"/>
      <c r="D27" s="59">
        <v>2.0</v>
      </c>
      <c r="E27" s="60" t="str">
        <f>IFERROR(__xludf.DUMMYFUNCTION("IF(COUNTIF(WEEKLY_TEAMS!$BW$3:$BW$53, F27) &gt; 0, ""GOALS: "" &amp; TEXTJOIN(""; "", TRUE, IFERROR(FILTER(WEEKLY_TEAMS!B3:B53 &amp; "" [ "" &amp; WEEKLY_TEAMS!$CD$3:$CD$53 &amp; "" ]"", WEEKLY_TEAMS!$BW$3:$BW$53 = F27, WEEKLY_TEAMS!$CD$3:$CD$53 &gt; 0), """")) &amp; CHAR(10) &amp; CH"&amp;"AR(10) &amp;
""CLEAN SHEETS: "" &amp; TEXTJOIN(""; "", TRUE, IFERROR(FILTER(WEEKLY_TEAMS!$B$3:$B$53 &amp; "" [ "" &amp; WEEKLY_TEAMS!$CF$3:$CF$53 &amp; "" ]"", WEEKLY_TEAMS!$BW$3:$BW$53 = F27, WEEKLY_TEAMS!$CF$3:$CF$53 &gt; 0), """")), """")
"),"GOALS: Gus [ 1 ]
CLEAN SHEETS: Rodolfo [ 1 ]")</f>
        <v>GOALS: Gus [ 1 ]
CLEAN SHEETS: Rodolfo [ 1 ]</v>
      </c>
      <c r="F27" s="61" t="s">
        <v>142</v>
      </c>
      <c r="G27" s="77">
        <v>0.0</v>
      </c>
      <c r="H27" s="53" t="s">
        <v>201</v>
      </c>
      <c r="I27" s="77">
        <v>0.0</v>
      </c>
      <c r="J27" s="61" t="s">
        <v>141</v>
      </c>
      <c r="K27" s="59" t="str">
        <f t="shared" si="1"/>
        <v>Draw</v>
      </c>
      <c r="L27" s="59">
        <f t="shared" si="2"/>
        <v>1</v>
      </c>
      <c r="M27" s="65" t="str">
        <f>IFERROR(__xludf.DUMMYFUNCTION("IF(COUNTIF(WEEKLY_TEAMS!$BW$3:$BW$53, J27) &gt; 0, ""GOALS: "" &amp; TEXTJOIN(""; "", TRUE, IFERROR(FILTER(WEEKLY_TEAMS!B3:B53 &amp; "" [ "" &amp; WEEKLY_TEAMS!$CD$3:$CD$53 &amp; "" ]"", WEEKLY_TEAMS!$BW$3:$BW$53 = J27, WEEKLY_TEAMS!$CD$3:$CD$53 &gt; 0), """")) &amp; CHAR(10) &amp; CH"&amp;"AR(10) &amp;
""CLEAN SHEETS: "" &amp; TEXTJOIN(""; "", TRUE, IFERROR(FILTER(WEEKLY_TEAMS!$B$3:$B$53 &amp; "" [ "" &amp; WEEKLY_TEAMS!$CF$3:$CF$53 &amp; "" ]"", WEEKLY_TEAMS!$BW$3:$BW$53 = J27, WEEKLY_TEAMS!$CF$3:$CF$53 &gt; 0), """")), """")
"),"GOALS: Jose Blanco [ 1 ]; Gerardo [ 1 ]; Alex [ 1 ]; (Saul) [ 1 ]
CLEAN SHEETS: ")</f>
        <v>GOALS: Jose Blanco [ 1 ]; Gerardo [ 1 ]; Alex [ 1 ]; (Saul) [ 1 ]
CLEAN SHEETS: </v>
      </c>
      <c r="N27" s="58"/>
      <c r="P27" s="46"/>
    </row>
    <row r="28" ht="37.5" customHeight="1">
      <c r="A28" s="47"/>
      <c r="C28" s="48" t="s">
        <v>214</v>
      </c>
      <c r="D28" s="49">
        <v>1.0</v>
      </c>
      <c r="E28" s="50" t="str">
        <f>IFERROR(__xludf.DUMMYFUNCTION("IF(COUNTIF(WEEKLY_TEAMS!$BW$3:$BW$53, F28) &gt; 0, ""GOALS: "" &amp; TEXTJOIN(""; "", TRUE, IFERROR(FILTER(WEEKLY_TEAMS!B3:B53 &amp; "" [ "" &amp; #REF! &amp; "" ]"", WEEKLY_TEAMS!$BW$3:$BW$53 = F28, #REF! &gt; 0), """")) &amp; CHAR(10) &amp; CHAR(10) &amp;
""CLEAN SHEETS: "" &amp; TEXTJOIN("&amp;"""; "", TRUE, IFERROR(FILTER(WEEKLY_TEAMS!$B$3:$B$53 &amp; "" [ "" &amp; #REF! &amp; "" ]"", WEEKLY_TEAMS!$BW$3:$BW$53 = F28, #REF! &gt; 0), """")), """")
"),"GOALS: 
CLEAN SHEETS: ")</f>
        <v>GOALS: 
CLEAN SHEETS: </v>
      </c>
      <c r="F28" s="51" t="s">
        <v>141</v>
      </c>
      <c r="G28" s="76">
        <v>4.0</v>
      </c>
      <c r="H28" s="53" t="s">
        <v>201</v>
      </c>
      <c r="I28" s="76">
        <v>1.0</v>
      </c>
      <c r="J28" s="51" t="s">
        <v>139</v>
      </c>
      <c r="K28" s="54" t="str">
        <f t="shared" si="1"/>
        <v>ORANGE</v>
      </c>
      <c r="L28" s="54">
        <f t="shared" si="2"/>
        <v>2</v>
      </c>
      <c r="M28" s="56" t="str">
        <f>IFERROR(__xludf.DUMMYFUNCTION("IF(COUNTIF(WEEKLY_TEAMS!$BW$3:$BW$53, J28) &gt; 0, ""GOALS: "" &amp; TEXTJOIN(""; "", TRUE, IFERROR(FILTER(WEEKLY_TEAMS!B3:B53 &amp; "" [ "" &amp; #REF! &amp; "" ]"", WEEKLY_TEAMS!$BW$3:$BW$53 = J28, #REF! &gt; 0), """")) &amp; CHAR(10) &amp; CHAR(10) &amp;
""CLEAN SHEETS: "" &amp; TEXTJOIN("&amp;"""; "", TRUE, IFERROR(FILTER(WEEKLY_TEAMS!$B$3:$B$53 &amp; "" [ "" &amp; #REF! &amp; "" ]"", WEEKLY_TEAMS!$BW$3:$BW$53 = J28, #REF! &gt; 0), """")), """")
"),"GOALS: 
CLEAN SHEETS: ")</f>
        <v>GOALS: 
CLEAN SHEETS: </v>
      </c>
      <c r="N28" s="57" t="s">
        <v>214</v>
      </c>
      <c r="P28" s="46"/>
    </row>
    <row r="29" ht="37.5" customHeight="1">
      <c r="A29" s="66"/>
      <c r="B29" s="58"/>
      <c r="C29" s="58"/>
      <c r="D29" s="59">
        <v>2.0</v>
      </c>
      <c r="E29" s="60" t="str">
        <f>IFERROR(__xludf.DUMMYFUNCTION("IF(COUNTIF(WEEKLY_TEAMS!$BW$3:$BW$53, F29) &gt; 0, ""GOALS: "" &amp; TEXTJOIN(""; "", TRUE, IFERROR(FILTER(WEEKLY_TEAMS!B3:B53 &amp; "" [ "" &amp; #REF! &amp; "" ]"", WEEKLY_TEAMS!$BW$3:$BW$53 = F29, #REF! &gt; 0), """")) &amp; CHAR(10) &amp; CHAR(10) &amp;
""CLEAN SHEETS: "" &amp; TEXTJOIN("&amp;"""; "", TRUE, IFERROR(FILTER(WEEKLY_TEAMS!$B$3:$B$53 &amp; "" [ "" &amp; #REF! &amp; "" ]"", WEEKLY_TEAMS!$BW$3:$BW$53 = F29, #REF! &gt; 0), """")), """")
"),"GOALS: 
CLEAN SHEETS: ")</f>
        <v>GOALS: 
CLEAN SHEETS: </v>
      </c>
      <c r="F29" s="61" t="s">
        <v>140</v>
      </c>
      <c r="G29" s="77">
        <v>1.0</v>
      </c>
      <c r="H29" s="53" t="s">
        <v>201</v>
      </c>
      <c r="I29" s="77">
        <v>1.0</v>
      </c>
      <c r="J29" s="61" t="s">
        <v>142</v>
      </c>
      <c r="K29" s="59" t="str">
        <f t="shared" si="1"/>
        <v>Draw</v>
      </c>
      <c r="L29" s="59">
        <f t="shared" si="2"/>
        <v>1</v>
      </c>
      <c r="M29" s="65" t="str">
        <f>IFERROR(__xludf.DUMMYFUNCTION("IF(COUNTIF(WEEKLY_TEAMS!$BW$3:$BW$53, J29) &gt; 0, ""GOALS: "" &amp; TEXTJOIN(""; "", TRUE, IFERROR(FILTER(WEEKLY_TEAMS!B3:B53 &amp; "" [ "" &amp; #REF! &amp; "" ]"", WEEKLY_TEAMS!$BW$3:$BW$53 = J29, #REF! &gt; 0), """")) &amp; CHAR(10) &amp; CHAR(10) &amp;
""CLEAN SHEETS: "" &amp; TEXTJOIN("&amp;"""; "", TRUE, IFERROR(FILTER(WEEKLY_TEAMS!$B$3:$B$53 &amp; "" [ "" &amp; #REF! &amp; "" ]"", WEEKLY_TEAMS!$BW$3:$BW$53 = J29, #REF! &gt; 0), """")), """")
"),"GOALS: 
CLEAN SHEETS: ")</f>
        <v>GOALS: 
CLEAN SHEETS: </v>
      </c>
      <c r="N29" s="58"/>
      <c r="O29" s="58"/>
      <c r="P29" s="46"/>
    </row>
    <row r="30" ht="37.5" customHeight="1">
      <c r="A30" s="47"/>
      <c r="B30" s="78">
        <v>8.0</v>
      </c>
      <c r="C30" s="48" t="s">
        <v>215</v>
      </c>
      <c r="D30" s="67">
        <v>1.0</v>
      </c>
      <c r="E30" s="50" t="str">
        <f>IFERROR(__xludf.DUMMYFUNCTION("IF(COUNTIF(WEEKLY_TEAMS!$CI$3:$CI$53, F30) &gt; 0, ""GOALS: "" &amp; TEXTJOIN(""; "", TRUE, IFERROR(FILTER(WEEKLY_TEAMS!B3:B53 &amp; "" [ "" &amp; WEEKLY_TEAMS!$CP$3:$CP$53 &amp; "" ]"", WEEKLY_TEAMS!$CI$3:$CI$53 = F30, WEEKLY_TEAMS!$CP$3:$CP$53 &gt; 0), """")) &amp; CHAR(10) &amp; CH"&amp;"AR(10) &amp;
""CLEAN SHEETS: "" &amp; TEXTJOIN(""; "", TRUE, IFERROR(FILTER(WEEKLY_TEAMS!$B$3:$B$53 &amp; "" [ "" &amp; WEEKLY_TEAMS!$CR$3:$CR$53 &amp; "" ]"", WEEKLY_TEAMS!$CI$3:$CI$53 = F30, WEEKLY_TEAMS!$CR$3:$CR$53 &gt; 0), """")), """")
"),"GOALS: 
CLEAN SHEETS: ")</f>
        <v>GOALS: 
CLEAN SHEETS: </v>
      </c>
      <c r="F30" s="68" t="s">
        <v>139</v>
      </c>
      <c r="G30" s="79">
        <v>1.0</v>
      </c>
      <c r="H30" s="53" t="s">
        <v>201</v>
      </c>
      <c r="I30" s="79">
        <v>1.0</v>
      </c>
      <c r="J30" s="68" t="s">
        <v>140</v>
      </c>
      <c r="K30" s="70" t="str">
        <f t="shared" si="1"/>
        <v>Draw</v>
      </c>
      <c r="L30" s="70">
        <f t="shared" si="2"/>
        <v>1</v>
      </c>
      <c r="M30" s="56" t="str">
        <f>IFERROR(__xludf.DUMMYFUNCTION("IF(COUNTIF(WEEKLY_TEAMS!$CI$3:$CI$53, J30) &gt; 0, ""GOALS: "" &amp; TEXTJOIN(""; "", TRUE, IFERROR(FILTER(WEEKLY_TEAMS!B3:B53 &amp; "" [ "" &amp; WEEKLY_TEAMS!$CP$3:$CP$53 &amp; "" ]"", WEEKLY_TEAMS!$CI$3:$CI$53 = J30, WEEKLY_TEAMS!$CP$3:$CP$53 &gt; 0), """")) &amp; CHAR(10) &amp; CH"&amp;"AR(10) &amp;
""CLEAN SHEETS: "" &amp; TEXTJOIN(""; "", TRUE, IFERROR(FILTER(WEEKLY_TEAMS!$B$3:$B$53 &amp; "" [ "" &amp; WEEKLY_TEAMS!$CR$3:$CR$53 &amp; "" ]"", WEEKLY_TEAMS!$CI$3:$CI$53 = J30, WEEKLY_TEAMS!$CR$3:$CR$53 &gt; 0), """")), """")
"),"GOALS: Christian [ 1 ]
CLEAN SHEETS: ")</f>
        <v>GOALS: Christian [ 1 ]
CLEAN SHEETS: </v>
      </c>
      <c r="N30" s="57" t="s">
        <v>215</v>
      </c>
      <c r="O30" s="80">
        <v>8.0</v>
      </c>
      <c r="P30" s="46"/>
    </row>
    <row r="31" ht="37.5" customHeight="1">
      <c r="A31" s="47"/>
      <c r="C31" s="58"/>
      <c r="D31" s="71">
        <v>2.0</v>
      </c>
      <c r="E31" s="60" t="str">
        <f>IFERROR(__xludf.DUMMYFUNCTION("IF(COUNTIF(WEEKLY_TEAMS!$CI$3:$CI$53, F31) &gt; 0, ""GOALS: "" &amp; TEXTJOIN(""; "", TRUE, IFERROR(FILTER(WEEKLY_TEAMS!B3:B53 &amp; "" [ "" &amp; WEEKLY_TEAMS!$CP$3:$CP$53 &amp; "" ]"", WEEKLY_TEAMS!$CI$3:$CI$53 = F31, WEEKLY_TEAMS!$CP$3:$CP$53 &gt; 0), """")) &amp; CHAR(10) &amp; CH"&amp;"AR(10) &amp;
""CLEAN SHEETS: "" &amp; TEXTJOIN(""; "", TRUE, IFERROR(FILTER(WEEKLY_TEAMS!$B$3:$B$53 &amp; "" [ "" &amp; WEEKLY_TEAMS!$CR$3:$CR$53 &amp; "" ]"", WEEKLY_TEAMS!$CI$3:$CI$53 = F31, WEEKLY_TEAMS!$CR$3:$CR$53 &gt; 0), """")), """")
"),"GOALS: Valverde [ 1 ]
CLEAN SHEETS: (Enerson) [ 1 ]")</f>
        <v>GOALS: Valverde [ 1 ]
CLEAN SHEETS: (Enerson) [ 1 ]</v>
      </c>
      <c r="F31" s="72" t="s">
        <v>142</v>
      </c>
      <c r="G31" s="81">
        <v>0.0</v>
      </c>
      <c r="H31" s="53" t="s">
        <v>201</v>
      </c>
      <c r="I31" s="81">
        <v>1.0</v>
      </c>
      <c r="J31" s="72" t="s">
        <v>141</v>
      </c>
      <c r="K31" s="71" t="str">
        <f t="shared" si="1"/>
        <v>ORANGE</v>
      </c>
      <c r="L31" s="71">
        <f t="shared" si="2"/>
        <v>2</v>
      </c>
      <c r="M31" s="65" t="str">
        <f>IFERROR(__xludf.DUMMYFUNCTION("IF(COUNTIF(WEEKLY_TEAMS!$CI$3:$CI$53, J31) &gt; 0, ""GOALS: "" &amp; TEXTJOIN(""; "", TRUE, IFERROR(FILTER(WEEKLY_TEAMS!B3:B53 &amp; "" [ "" &amp; WEEKLY_TEAMS!$CP$3:$CP$53 &amp; "" ]"", WEEKLY_TEAMS!$CI$3:$CI$53 = J31, WEEKLY_TEAMS!$CP$3:$CP$53 &gt; 0), """")) &amp; CHAR(10) &amp; CH"&amp;"AR(10) &amp;
""CLEAN SHEETS: "" &amp; TEXTJOIN(""; "", TRUE, IFERROR(FILTER(WEEKLY_TEAMS!$B$3:$B$53 &amp; "" [ "" &amp; WEEKLY_TEAMS!$CR$3:$CR$53 &amp; "" ]"", WEEKLY_TEAMS!$CI$3:$CI$53 = J31, WEEKLY_TEAMS!$CR$3:$CR$53 &gt; 0), """")), """")
"),"GOALS: Ruben [ 1 ]; (Jhonatan A) [ 1 ]
CLEAN SHEETS: Guille 👨🏻‍🤝‍👨🏾 Mike [ 2 ]")</f>
        <v>GOALS: Ruben [ 1 ]; (Jhonatan A) [ 1 ]
CLEAN SHEETS: Guille 👨🏻‍🤝‍👨🏾 Mike [ 2 ]</v>
      </c>
      <c r="N31" s="58"/>
      <c r="P31" s="46"/>
    </row>
    <row r="32" ht="37.5" customHeight="1">
      <c r="A32" s="47"/>
      <c r="C32" s="48" t="s">
        <v>216</v>
      </c>
      <c r="D32" s="67">
        <v>1.0</v>
      </c>
      <c r="E32" s="50" t="str">
        <f>IFERROR(__xludf.DUMMYFUNCTION("IF(COUNTIF(WEEKLY_TEAMS!$CI$3:$CI$53, F32) &gt; 0, ""GOALS: "" &amp; TEXTJOIN(""; "", TRUE, IFERROR(FILTER(WEEKLY_TEAMS!B3:B53 &amp; "" [ "" &amp; #REF! &amp; "" ]"", WEEKLY_TEAMS!$CI$3:$CI$53 = F32, #REF! &gt; 0), """")) &amp; CHAR(10) &amp; CHAR(10) &amp;
""CLEAN SHEETS: "" &amp; TEXTJOIN("&amp;"""; "", TRUE, IFERROR(FILTER(WEEKLY_TEAMS!$B$3:$B$53 &amp; "" [ "" &amp; #REF! &amp; "" ]"", WEEKLY_TEAMS!$CI$3:$CI$53 = F32, #REF! &gt; 0), """")), """")
"),"GOALS: 
CLEAN SHEETS: ")</f>
        <v>GOALS: 
CLEAN SHEETS: </v>
      </c>
      <c r="F32" s="68" t="s">
        <v>140</v>
      </c>
      <c r="G32" s="79">
        <v>0.0</v>
      </c>
      <c r="H32" s="53" t="s">
        <v>201</v>
      </c>
      <c r="I32" s="79">
        <v>2.0</v>
      </c>
      <c r="J32" s="68" t="s">
        <v>142</v>
      </c>
      <c r="K32" s="70" t="str">
        <f t="shared" si="1"/>
        <v>GREEN</v>
      </c>
      <c r="L32" s="70">
        <f t="shared" si="2"/>
        <v>2</v>
      </c>
      <c r="M32" s="56" t="str">
        <f>IFERROR(__xludf.DUMMYFUNCTION("IF(COUNTIF(WEEKLY_TEAMS!$CI$3:$CI$53, J32) &gt; 0, ""GOALS: "" &amp; TEXTJOIN(""; "", TRUE, IFERROR(FILTER(WEEKLY_TEAMS!B3:B53 &amp; "" [ "" &amp; #REF! &amp; "" ]"", WEEKLY_TEAMS!$CI$3:$CI$53 = J32, #REF! &gt; 0), """")) &amp; CHAR(10) &amp; CHAR(10) &amp;
""CLEAN SHEETS: "" &amp; TEXTJOIN("&amp;"""; "", TRUE, IFERROR(FILTER(WEEKLY_TEAMS!$B$3:$B$53 &amp; "" [ "" &amp; #REF! &amp; "" ]"", WEEKLY_TEAMS!$CI$3:$CI$53 = J32, #REF! &gt; 0), """")), """")
"),"GOALS: 
CLEAN SHEETS: ")</f>
        <v>GOALS: 
CLEAN SHEETS: </v>
      </c>
      <c r="N32" s="57" t="s">
        <v>216</v>
      </c>
      <c r="P32" s="46"/>
    </row>
    <row r="33" ht="37.5" customHeight="1">
      <c r="A33" s="66"/>
      <c r="B33" s="58"/>
      <c r="C33" s="58"/>
      <c r="D33" s="71">
        <v>2.0</v>
      </c>
      <c r="E33" s="60" t="str">
        <f>IFERROR(__xludf.DUMMYFUNCTION("IF(COUNTIF(WEEKLY_TEAMS!$CI$3:$CI$53, F33) &gt; 0, ""GOALS: "" &amp; TEXTJOIN(""; "", TRUE, IFERROR(FILTER(WEEKLY_TEAMS!B3:B53 &amp; "" [ "" &amp; #REF! &amp; "" ]"", WEEKLY_TEAMS!$CI$3:$CI$53 = F33, #REF! &gt; 0), """")) &amp; CHAR(10) &amp; CHAR(10) &amp;
""CLEAN SHEETS: "" &amp; TEXTJOIN("&amp;"""; "", TRUE, IFERROR(FILTER(WEEKLY_TEAMS!$B$3:$B$53 &amp; "" [ "" &amp; #REF! &amp; "" ]"", WEEKLY_TEAMS!$CI$3:$CI$53 = F33, #REF! &gt; 0), """")), """")
"),"GOALS: 
CLEAN SHEETS: ")</f>
        <v>GOALS: 
CLEAN SHEETS: </v>
      </c>
      <c r="F33" s="72" t="s">
        <v>141</v>
      </c>
      <c r="G33" s="81">
        <v>2.0</v>
      </c>
      <c r="H33" s="53" t="s">
        <v>201</v>
      </c>
      <c r="I33" s="81">
        <v>0.0</v>
      </c>
      <c r="J33" s="72" t="s">
        <v>139</v>
      </c>
      <c r="K33" s="71" t="str">
        <f t="shared" si="1"/>
        <v>ORANGE</v>
      </c>
      <c r="L33" s="71">
        <f t="shared" si="2"/>
        <v>2</v>
      </c>
      <c r="M33" s="65" t="str">
        <f>IFERROR(__xludf.DUMMYFUNCTION("IF(COUNTIF(WEEKLY_TEAMS!$CI$3:$CI$53, J33) &gt; 0, ""GOALS: "" &amp; TEXTJOIN(""; "", TRUE, IFERROR(FILTER(WEEKLY_TEAMS!B3:B53 &amp; "" [ "" &amp; #REF! &amp; "" ]"", WEEKLY_TEAMS!$CI$3:$CI$53 = J33, #REF! &gt; 0), """")) &amp; CHAR(10) &amp; CHAR(10) &amp;
""CLEAN SHEETS: "" &amp; TEXTJOIN("&amp;"""; "", TRUE, IFERROR(FILTER(WEEKLY_TEAMS!$B$3:$B$53 &amp; "" [ "" &amp; #REF! &amp; "" ]"", WEEKLY_TEAMS!$CI$3:$CI$53 = J33, #REF! &gt; 0), """")), """")
"),"GOALS: 
CLEAN SHEETS: ")</f>
        <v>GOALS: 
CLEAN SHEETS: </v>
      </c>
      <c r="N33" s="58"/>
      <c r="O33" s="58"/>
      <c r="P33" s="46"/>
    </row>
  </sheetData>
  <mergeCells count="48">
    <mergeCell ref="O30:O33"/>
    <mergeCell ref="N32:N33"/>
    <mergeCell ref="O18:O21"/>
    <mergeCell ref="N20:N21"/>
    <mergeCell ref="N22:N23"/>
    <mergeCell ref="O22:O25"/>
    <mergeCell ref="N24:N25"/>
    <mergeCell ref="N26:N27"/>
    <mergeCell ref="O26:O29"/>
    <mergeCell ref="B2:B5"/>
    <mergeCell ref="C2:C3"/>
    <mergeCell ref="N2:N3"/>
    <mergeCell ref="O2:O5"/>
    <mergeCell ref="C4:C5"/>
    <mergeCell ref="B6:B9"/>
    <mergeCell ref="O6:O9"/>
    <mergeCell ref="N8:N9"/>
    <mergeCell ref="B14:B17"/>
    <mergeCell ref="B18:B21"/>
    <mergeCell ref="B22:B25"/>
    <mergeCell ref="B26:B29"/>
    <mergeCell ref="B30:B33"/>
    <mergeCell ref="N16:N17"/>
    <mergeCell ref="N18:N19"/>
    <mergeCell ref="C18:C19"/>
    <mergeCell ref="C20:C21"/>
    <mergeCell ref="C22:C23"/>
    <mergeCell ref="C24:C25"/>
    <mergeCell ref="C26:C27"/>
    <mergeCell ref="C28:C29"/>
    <mergeCell ref="C30:C31"/>
    <mergeCell ref="C32:C33"/>
    <mergeCell ref="C6:C7"/>
    <mergeCell ref="C8:C9"/>
    <mergeCell ref="B10:B13"/>
    <mergeCell ref="C10:C11"/>
    <mergeCell ref="C12:C13"/>
    <mergeCell ref="C14:C15"/>
    <mergeCell ref="C16:C17"/>
    <mergeCell ref="N4:N5"/>
    <mergeCell ref="N6:N7"/>
    <mergeCell ref="N10:N11"/>
    <mergeCell ref="O10:O13"/>
    <mergeCell ref="N12:N13"/>
    <mergeCell ref="N14:N15"/>
    <mergeCell ref="O14:O17"/>
    <mergeCell ref="N28:N29"/>
    <mergeCell ref="N30:N31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82" t="s">
        <v>217</v>
      </c>
      <c r="B1" s="83" t="s">
        <v>218</v>
      </c>
      <c r="D1" s="84"/>
      <c r="I1" s="85"/>
      <c r="J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ht="7.5" customHeight="1">
      <c r="A2" s="82" t="s">
        <v>219</v>
      </c>
      <c r="B2" s="87" t="s">
        <v>220</v>
      </c>
      <c r="I2" s="85" t="s">
        <v>221</v>
      </c>
      <c r="J2" s="88" t="s">
        <v>222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ht="7.5" customHeight="1">
      <c r="A3" s="82" t="s">
        <v>223</v>
      </c>
      <c r="B3" s="87" t="s">
        <v>224</v>
      </c>
      <c r="I3" s="89" t="s">
        <v>225</v>
      </c>
      <c r="J3" s="88" t="s">
        <v>226</v>
      </c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</row>
    <row r="4" ht="7.5" customHeight="1">
      <c r="A4" s="82" t="s">
        <v>227</v>
      </c>
      <c r="B4" s="87" t="s">
        <v>228</v>
      </c>
      <c r="I4" s="90" t="str">
        <f>IFERROR(__xludf.DUMMYFUNCTION("IFERROR(
  INDEX(
    'MATCH DATES'!B1:B9,
    MATCH(
      MAX(
        FILTER(
          'MATCH DATES'!A1:A9 + TIME(22, 0, 0),
          ('MATCH DATES'!A1:A9 + TIME(22, 0, 0)) &lt;= NOW()
        )
      ),
      'MATCH DATES'!A1:A9 + TIME(22, 0, 0),
     "&amp;" 0
    )
  ),
  """"
)
"),"MATCH DAY 8")</f>
        <v>MATCH DAY 8</v>
      </c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ht="7.5" customHeight="1">
      <c r="A5" s="82" t="s">
        <v>229</v>
      </c>
      <c r="B5" s="87" t="s">
        <v>230</v>
      </c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ht="7.5" customHeight="1">
      <c r="A6" s="82" t="s">
        <v>231</v>
      </c>
      <c r="B6" s="87" t="s">
        <v>232</v>
      </c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ht="7.5" customHeight="1">
      <c r="A7" s="82" t="s">
        <v>233</v>
      </c>
      <c r="B7" s="87" t="s">
        <v>234</v>
      </c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ht="7.5" customHeight="1">
      <c r="A8" s="82" t="s">
        <v>235</v>
      </c>
      <c r="B8" s="87" t="s">
        <v>236</v>
      </c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</row>
    <row r="9" ht="15.75" customHeight="1">
      <c r="A9" s="91"/>
      <c r="B9" s="92" t="s">
        <v>237</v>
      </c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</row>
    <row r="10" ht="15.75" customHeight="1">
      <c r="A10" s="94"/>
      <c r="B10" s="87" t="s">
        <v>238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</row>
    <row r="11" ht="15.75" customHeight="1">
      <c r="A11" s="95"/>
      <c r="B11" s="87" t="s">
        <v>239</v>
      </c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</row>
    <row r="12" ht="15.75" customHeight="1">
      <c r="A12" s="97" t="s">
        <v>240</v>
      </c>
      <c r="B12" s="97" t="s">
        <v>241</v>
      </c>
      <c r="C12" s="98"/>
      <c r="D12" s="99" t="s">
        <v>28</v>
      </c>
      <c r="E12" s="99" t="s">
        <v>219</v>
      </c>
      <c r="F12" s="99" t="s">
        <v>217</v>
      </c>
      <c r="G12" s="99" t="s">
        <v>223</v>
      </c>
      <c r="H12" s="99" t="s">
        <v>227</v>
      </c>
      <c r="I12" s="99" t="s">
        <v>229</v>
      </c>
      <c r="J12" s="99" t="s">
        <v>242</v>
      </c>
      <c r="K12" s="99" t="s">
        <v>243</v>
      </c>
      <c r="L12" s="99" t="s">
        <v>244</v>
      </c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</row>
    <row r="13" ht="15.75" customHeight="1">
      <c r="A13" s="100" t="str">
        <f t="array" ref="A13">INDEX(FORM!$B$2:$J$99, MATCH(D13, FORM!$A$2:$A$99, 0), MATCH($I$4, FORM!$B$1:$J$1, 0))</f>
        <v>#N/A</v>
      </c>
      <c r="B13" s="101">
        <v>1.0</v>
      </c>
      <c r="C13" s="101" t="str">
        <f t="array" ref="C13">SORT(
  {
    WEEKLY_TEAMS!CV3:CV53,
    IF(WEEKLY_TEAMS!CW3:CW53="", 0, WEEKLY_TEAMS!CW3:CW53),
    IF(WEEKLY_TEAMS!CX3:CX53="", 0, WEEKLY_TEAMS!CX3:CX53),
    IF(WEEKLY_TEAMS!CY3:CY53="", 0, WEEKLY_TEAMS!CY3:CY53),
    IF(WEEKLY_TEAMS!CZ3:CZ53="", 0, WEEKLY_TEAMS!CZ3:CZ53),
    IF(WEEKLY_TEAMS!DA3:DA53="", 0, WEEKLY_TEAMS!DA3:DA53),
    IF(WEEKLY_TEAMS!DB3:DB53="", 0, WEEKLY_TEAMS!DB3:DB53),
    IF(WEEKLY_TEAMS!DD3:DD53="", 0, WEEKLY_TEAMS!DD3:DD53),
    IF(#REF!="", 0, #REF!),
    IF(WEEKLY_TEAMS!DF3:DF53="", 0, WEEKLY_TEAMS!DF3:DF53)
  },
  1, TRUE,
  3, FALSE,
  4, FALSE,
  5, FALSE,
  6, FALSE,
  9, FALSE,
  8, FALSE,
  10, FALSE
)
</f>
        <v>#REF!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</row>
    <row r="14" ht="15.75" customHeight="1">
      <c r="A14" s="100" t="str">
        <f t="array" ref="A14">INDEX(FORM!$B$2:$J$99, MATCH(D14, FORM!$A$2:$A$99, 0), MATCH($I$4, FORM!$B$1:$J$1, 0))</f>
        <v>#N/A</v>
      </c>
      <c r="B14" s="102">
        <v>2.0</v>
      </c>
      <c r="C14" s="103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</row>
    <row r="15" ht="15.75" customHeight="1">
      <c r="A15" s="100" t="str">
        <f t="array" ref="A15">INDEX(FORM!$B$2:$J$99, MATCH(D15, FORM!$A$2:$A$99, 0), MATCH($I$4, FORM!$B$1:$J$1, 0))</f>
        <v>#N/A</v>
      </c>
      <c r="B15" s="101">
        <v>3.0</v>
      </c>
      <c r="C15" s="103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</row>
    <row r="16" ht="15.75" customHeight="1">
      <c r="A16" s="100" t="str">
        <f t="array" ref="A16">INDEX(FORM!$B$2:$J$99, MATCH(D16, FORM!$A$2:$A$99, 0), MATCH($I$4, FORM!$B$1:$J$1, 0))</f>
        <v>#N/A</v>
      </c>
      <c r="B16" s="102">
        <v>4.0</v>
      </c>
      <c r="C16" s="103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</row>
    <row r="17" ht="15.75" customHeight="1">
      <c r="A17" s="100" t="str">
        <f t="array" ref="A17">INDEX(FORM!$B$2:$J$99, MATCH(D17, FORM!$A$2:$A$99, 0), MATCH($I$4, FORM!$B$1:$J$1, 0))</f>
        <v>#N/A</v>
      </c>
      <c r="B17" s="101">
        <v>5.0</v>
      </c>
      <c r="C17" s="103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</row>
    <row r="18" ht="15.75" customHeight="1">
      <c r="A18" s="100" t="str">
        <f t="array" ref="A18">INDEX(FORM!$B$2:$J$99, MATCH(D18, FORM!$A$2:$A$99, 0), MATCH($I$4, FORM!$B$1:$J$1, 0))</f>
        <v>#N/A</v>
      </c>
      <c r="B18" s="102">
        <v>6.0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</row>
    <row r="19" ht="15.75" customHeight="1">
      <c r="A19" s="100" t="str">
        <f t="array" ref="A19">INDEX(FORM!$B$2:$J$99, MATCH(D19, FORM!$A$2:$A$99, 0), MATCH($I$4, FORM!$B$1:$J$1, 0))</f>
        <v>#N/A</v>
      </c>
      <c r="B19" s="101">
        <v>7.0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</row>
    <row r="20" ht="15.75" customHeight="1">
      <c r="A20" s="100" t="str">
        <f t="array" ref="A20">INDEX(FORM!$B$2:$J$99, MATCH(D20, FORM!$A$2:$A$99, 0), MATCH($I$4, FORM!$B$1:$J$1, 0))</f>
        <v>#N/A</v>
      </c>
      <c r="B20" s="102">
        <v>8.0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</row>
    <row r="21" ht="15.75" customHeight="1">
      <c r="A21" s="100" t="str">
        <f t="array" ref="A21">INDEX(FORM!$B$2:$J$99, MATCH(D21, FORM!$A$2:$A$99, 0), MATCH($I$4, FORM!$B$1:$J$1, 0))</f>
        <v>#N/A</v>
      </c>
      <c r="B21" s="101">
        <v>9.0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</row>
    <row r="22" ht="15.75" customHeight="1">
      <c r="A22" s="100" t="str">
        <f t="array" ref="A22">INDEX(FORM!$B$2:$J$99, MATCH(D22, FORM!$A$2:$A$99, 0), MATCH($I$4, FORM!$B$1:$J$1, 0))</f>
        <v>#N/A</v>
      </c>
      <c r="B22" s="102">
        <v>10.0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</row>
    <row r="23" ht="15.75" customHeight="1">
      <c r="A23" s="100" t="str">
        <f t="array" ref="A23">INDEX(FORM!$B$2:$J$99, MATCH(D23, FORM!$A$2:$A$99, 0), MATCH($I$4, FORM!$B$1:$J$1, 0))</f>
        <v>#N/A</v>
      </c>
      <c r="B23" s="101">
        <v>11.0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</row>
    <row r="24" ht="15.75" customHeight="1">
      <c r="A24" s="100" t="str">
        <f t="array" ref="A24">INDEX(FORM!$B$2:$J$99, MATCH(D24, FORM!$A$2:$A$99, 0), MATCH($I$4, FORM!$B$1:$J$1, 0))</f>
        <v>#N/A</v>
      </c>
      <c r="B24" s="102">
        <v>12.0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</row>
    <row r="25" ht="15.75" customHeight="1">
      <c r="A25" s="100" t="str">
        <f t="array" ref="A25">INDEX(FORM!$B$2:$J$99, MATCH(D25, FORM!$A$2:$A$99, 0), MATCH($I$4, FORM!$B$1:$J$1, 0))</f>
        <v>#N/A</v>
      </c>
      <c r="B25" s="101">
        <v>13.0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</row>
    <row r="26" ht="15.75" customHeight="1">
      <c r="A26" s="100" t="str">
        <f t="array" ref="A26">INDEX(FORM!$B$2:$J$99, MATCH(D26, FORM!$A$2:$A$99, 0), MATCH($I$4, FORM!$B$1:$J$1, 0))</f>
        <v>#N/A</v>
      </c>
      <c r="B26" s="102">
        <v>14.0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</row>
    <row r="27" ht="15.75" customHeight="1">
      <c r="A27" s="100" t="str">
        <f t="array" ref="A27">INDEX(FORM!$B$2:$J$99, MATCH(D27, FORM!$A$2:$A$99, 0), MATCH($I$4, FORM!$B$1:$J$1, 0))</f>
        <v>#N/A</v>
      </c>
      <c r="B27" s="101">
        <v>15.0</v>
      </c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</row>
    <row r="28" ht="15.75" customHeight="1">
      <c r="A28" s="100" t="str">
        <f t="array" ref="A28">INDEX(FORM!$B$2:$J$99, MATCH(D28, FORM!$A$2:$A$99, 0), MATCH($I$4, FORM!$B$1:$J$1, 0))</f>
        <v>#N/A</v>
      </c>
      <c r="B28" s="102">
        <v>16.0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</row>
    <row r="29" ht="15.75" customHeight="1">
      <c r="A29" s="100" t="str">
        <f t="array" ref="A29">INDEX(FORM!$B$2:$J$99, MATCH(D29, FORM!$A$2:$A$99, 0), MATCH($I$4, FORM!$B$1:$J$1, 0))</f>
        <v>#N/A</v>
      </c>
      <c r="B29" s="101">
        <v>17.0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</row>
    <row r="30" ht="15.75" customHeight="1">
      <c r="A30" s="100" t="str">
        <f t="array" ref="A30">INDEX(FORM!$B$2:$J$99, MATCH(D30, FORM!$A$2:$A$99, 0), MATCH($I$4, FORM!$B$1:$J$1, 0))</f>
        <v>#N/A</v>
      </c>
      <c r="B30" s="102">
        <v>18.0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</row>
    <row r="31" ht="15.75" customHeight="1">
      <c r="A31" s="100" t="str">
        <f t="array" ref="A31">INDEX(FORM!$B$2:$J$99, MATCH(D31, FORM!$A$2:$A$99, 0), MATCH($I$4, FORM!$B$1:$J$1, 0))</f>
        <v>#N/A</v>
      </c>
      <c r="B31" s="101">
        <v>19.0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</row>
    <row r="32" ht="15.75" customHeight="1">
      <c r="A32" s="100" t="str">
        <f t="array" ref="A32">INDEX(FORM!$B$2:$J$99, MATCH(D32, FORM!$A$2:$A$99, 0), MATCH($I$4, FORM!$B$1:$J$1, 0))</f>
        <v>#N/A</v>
      </c>
      <c r="B32" s="102">
        <v>20.0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</row>
    <row r="33" ht="15.75" customHeight="1">
      <c r="A33" s="100" t="str">
        <f t="array" ref="A33">INDEX(FORM!$B$2:$J$99, MATCH(D33, FORM!$A$2:$A$99, 0), MATCH($I$4, FORM!$B$1:$J$1, 0))</f>
        <v>#N/A</v>
      </c>
      <c r="B33" s="101">
        <v>21.0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</row>
    <row r="34" ht="15.75" customHeight="1">
      <c r="A34" s="100" t="str">
        <f t="array" ref="A34">INDEX(FORM!$B$2:$J$99, MATCH(D34, FORM!$A$2:$A$99, 0), MATCH($I$4, FORM!$B$1:$J$1, 0))</f>
        <v>#N/A</v>
      </c>
      <c r="B34" s="102">
        <v>22.0</v>
      </c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</row>
    <row r="35" ht="15.75" customHeight="1">
      <c r="A35" s="100" t="str">
        <f t="array" ref="A35">INDEX(FORM!$B$2:$J$99, MATCH(D35, FORM!$A$2:$A$99, 0), MATCH($I$4, FORM!$B$1:$J$1, 0))</f>
        <v>#N/A</v>
      </c>
      <c r="B35" s="101">
        <v>23.0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</row>
    <row r="36" ht="15.75" customHeight="1">
      <c r="A36" s="100" t="str">
        <f t="array" ref="A36">INDEX(FORM!$B$2:$J$99, MATCH(D36, FORM!$A$2:$A$99, 0), MATCH($I$4, FORM!$B$1:$J$1, 0))</f>
        <v>#N/A</v>
      </c>
      <c r="B36" s="102">
        <v>24.0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</row>
    <row r="37" ht="15.75" customHeight="1">
      <c r="A37" s="100" t="str">
        <f t="array" ref="A37">INDEX(FORM!$B$2:$J$99, MATCH(D37, FORM!$A$2:$A$99, 0), MATCH($I$4, FORM!$B$1:$J$1, 0))</f>
        <v>#N/A</v>
      </c>
      <c r="B37" s="101">
        <v>25.0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</row>
    <row r="38" ht="15.75" customHeight="1">
      <c r="A38" s="100" t="str">
        <f t="array" ref="A38">INDEX(FORM!$B$2:$J$99, MATCH(D38, FORM!$A$2:$A$99, 0), MATCH($I$4, FORM!$B$1:$J$1, 0))</f>
        <v>#N/A</v>
      </c>
      <c r="B38" s="102">
        <v>26.0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</row>
    <row r="39" ht="15.75" customHeight="1">
      <c r="A39" s="100" t="str">
        <f t="array" ref="A39">INDEX(FORM!$B$2:$J$99, MATCH(D39, FORM!$A$2:$A$99, 0), MATCH($I$4, FORM!$B$1:$J$1, 0))</f>
        <v>#N/A</v>
      </c>
      <c r="B39" s="101">
        <v>27.0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</row>
    <row r="40" ht="15.75" customHeight="1">
      <c r="A40" s="100" t="str">
        <f t="array" ref="A40">INDEX(FORM!$B$2:$J$99, MATCH(D40, FORM!$A$2:$A$99, 0), MATCH($I$4, FORM!$B$1:$J$1, 0))</f>
        <v>#N/A</v>
      </c>
      <c r="B40" s="102">
        <v>28.0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</row>
    <row r="41" ht="15.75" customHeight="1">
      <c r="A41" s="100" t="str">
        <f t="array" ref="A41">INDEX(FORM!$B$2:$J$99, MATCH(D41, FORM!$A$2:$A$99, 0), MATCH($I$4, FORM!$B$1:$J$1, 0))</f>
        <v>#N/A</v>
      </c>
      <c r="B41" s="101">
        <v>29.0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</row>
    <row r="42" ht="15.75" customHeight="1">
      <c r="A42" s="100" t="str">
        <f t="array" ref="A42">INDEX(FORM!$B$2:$J$99, MATCH(D42, FORM!$A$2:$A$99, 0), MATCH($I$4, FORM!$B$1:$J$1, 0))</f>
        <v>#N/A</v>
      </c>
      <c r="B42" s="102">
        <v>30.0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</row>
    <row r="43" ht="15.75" customHeight="1">
      <c r="A43" s="100" t="str">
        <f t="array" ref="A43">INDEX(FORM!$B$2:$J$99, MATCH(D43, FORM!$A$2:$A$99, 0), MATCH($I$4, FORM!$B$1:$J$1, 0))</f>
        <v>#N/A</v>
      </c>
      <c r="B43" s="101">
        <v>31.0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</row>
    <row r="44" ht="15.75" customHeight="1">
      <c r="A44" s="100" t="str">
        <f t="array" ref="A44">INDEX(FORM!$B$2:$J$99, MATCH(D44, FORM!$A$2:$A$99, 0), MATCH($I$4, FORM!$B$1:$J$1, 0))</f>
        <v>#N/A</v>
      </c>
      <c r="B44" s="102">
        <v>32.0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</row>
    <row r="45" ht="15.75" customHeight="1">
      <c r="A45" s="100" t="str">
        <f t="array" ref="A45">INDEX(FORM!$B$2:$J$99, MATCH(D45, FORM!$A$2:$A$99, 0), MATCH($I$4, FORM!$B$1:$J$1, 0))</f>
        <v>#N/A</v>
      </c>
      <c r="B45" s="101">
        <v>33.0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</row>
    <row r="46" ht="15.75" customHeight="1">
      <c r="A46" s="100" t="str">
        <f t="array" ref="A46">INDEX(FORM!$B$2:$J$99, MATCH(D46, FORM!$A$2:$A$99, 0), MATCH($I$4, FORM!$B$1:$J$1, 0))</f>
        <v>#N/A</v>
      </c>
      <c r="B46" s="94">
        <v>34.0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</row>
    <row r="47" ht="15.75" customHeight="1">
      <c r="A47" s="100" t="str">
        <f t="array" ref="A47">INDEX(FORM!$B$2:$J$99, MATCH(D47, FORM!$A$2:$A$99, 0), MATCH($I$4, FORM!$B$1:$J$1, 0))</f>
        <v>#N/A</v>
      </c>
      <c r="B47" s="101">
        <v>35.0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</row>
    <row r="48" ht="15.75" customHeight="1">
      <c r="A48" s="100" t="str">
        <f t="array" ref="A48">INDEX(FORM!$B$2:$J$99, MATCH(D48, FORM!$A$2:$A$99, 0), MATCH($I$4, FORM!$B$1:$J$1, 0))</f>
        <v>#N/A</v>
      </c>
      <c r="B48" s="102">
        <v>36.0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</row>
    <row r="49" ht="15.75" customHeight="1">
      <c r="A49" s="100" t="str">
        <f t="array" ref="A49">INDEX(FORM!$B$2:$J$99, MATCH(D49, FORM!$A$2:$A$99, 0), MATCH($I$4, FORM!$B$1:$J$1, 0))</f>
        <v>#N/A</v>
      </c>
      <c r="B49" s="101">
        <v>1.0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</row>
    <row r="50" ht="15.75" customHeight="1">
      <c r="A50" s="100" t="str">
        <f t="array" ref="A50">INDEX(FORM!$B$2:$J$99, MATCH(D50, FORM!$A$2:$A$99, 0), MATCH($I$4, FORM!$B$1:$J$1, 0))</f>
        <v>#N/A</v>
      </c>
      <c r="B50" s="101">
        <v>2.0</v>
      </c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</row>
    <row r="51" ht="15.75" customHeight="1">
      <c r="A51" s="100" t="str">
        <f t="array" ref="A51">INDEX(FORM!$B$2:$J$99, MATCH(D51, FORM!$A$2:$A$99, 0), MATCH($I$4, FORM!$B$1:$J$1, 0))</f>
        <v>#N/A</v>
      </c>
      <c r="B51" s="105">
        <v>3.0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</row>
    <row r="52" ht="15.75" customHeight="1">
      <c r="A52" s="100" t="str">
        <f t="array" ref="A52">INDEX(FORM!$B$2:$J$99, MATCH(D52, FORM!$A$2:$A$99, 0), MATCH($I$4, FORM!$B$1:$J$1, 0))</f>
        <v>#N/A</v>
      </c>
      <c r="B52" s="101">
        <v>4.0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</row>
    <row r="53" ht="15.75" customHeight="1">
      <c r="A53" s="100" t="str">
        <f t="array" ref="A53">INDEX(FORM!$B$2:$J$99, MATCH(D53, FORM!$A$2:$A$99, 0), MATCH($I$4, FORM!$B$1:$J$1, 0))</f>
        <v>#N/A</v>
      </c>
      <c r="B53" s="101">
        <v>5.0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</row>
    <row r="54" ht="15.75" customHeight="1">
      <c r="A54" s="100" t="str">
        <f t="array" ref="A54">INDEX(FORM!$B$2:$J$99, MATCH(D54, FORM!$A$2:$A$99, 0), MATCH($I$4, FORM!$B$1:$J$1, 0))</f>
        <v>#N/A</v>
      </c>
      <c r="B54" s="101">
        <v>6.0</v>
      </c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</row>
    <row r="55" ht="15.75" customHeight="1">
      <c r="A55" s="100" t="str">
        <f t="array" ref="A55">INDEX(FORM!$B$2:$J$99, MATCH(D55, FORM!$A$2:$A$99, 0), MATCH($I$4, FORM!$B$1:$J$1, 0))</f>
        <v>#N/A</v>
      </c>
      <c r="B55" s="101">
        <v>7.0</v>
      </c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</row>
    <row r="56" ht="15.75" customHeight="1">
      <c r="A56" s="100" t="str">
        <f t="array" ref="A56">INDEX(FORM!$B$2:$J$99, MATCH(D56, FORM!$A$2:$A$99, 0), MATCH($I$4, FORM!$B$1:$J$1, 0))</f>
        <v>#N/A</v>
      </c>
      <c r="B56" s="101">
        <v>8.0</v>
      </c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</row>
    <row r="57" ht="15.75" customHeight="1">
      <c r="A57" s="100" t="str">
        <f t="array" ref="A57">INDEX(FORM!$B$2:$J$99, MATCH(D57, FORM!$A$2:$A$99, 0), MATCH($I$4, FORM!$B$1:$J$1, 0))</f>
        <v>#N/A</v>
      </c>
      <c r="B57" s="101">
        <v>9.0</v>
      </c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</row>
    <row r="58" ht="15.75" customHeight="1">
      <c r="A58" s="100" t="str">
        <f t="array" ref="A58">INDEX(FORM!$B$2:$J$99, MATCH(D58, FORM!$A$2:$A$99, 0), MATCH($I$4, FORM!$B$1:$J$1, 0))</f>
        <v>#N/A</v>
      </c>
      <c r="B58" s="101">
        <v>10.0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</row>
    <row r="59" ht="15.75" customHeight="1">
      <c r="A59" s="100" t="str">
        <f t="array" ref="A59">INDEX(FORM!$B$2:$J$99, MATCH(D59, FORM!$A$2:$A$99, 0), MATCH($I$4, FORM!$B$1:$J$1, 0))</f>
        <v>#N/A</v>
      </c>
      <c r="B59" s="101">
        <v>11.0</v>
      </c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</row>
    <row r="60" ht="15.75" customHeight="1">
      <c r="A60" s="100" t="str">
        <f t="array" ref="A60">INDEX(FORM!$B$2:$J$99, MATCH(D60, FORM!$A$2:$A$99, 0), MATCH($I$4, FORM!$B$1:$J$1, 0))</f>
        <v>#N/A</v>
      </c>
      <c r="B60" s="101">
        <v>12.0</v>
      </c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</row>
    <row r="61" ht="15.75" customHeight="1">
      <c r="A61" s="100" t="str">
        <f t="array" ref="A61">INDEX(FORM!$B$2:$J$99, MATCH(D61, FORM!$A$2:$A$99, 0), MATCH($I$4, FORM!$B$1:$J$1, 0))</f>
        <v>#N/A</v>
      </c>
      <c r="B61" s="101">
        <v>13.0</v>
      </c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</row>
    <row r="62" ht="15.75" customHeight="1">
      <c r="A62" s="100" t="str">
        <f t="array" ref="A62">INDEX(FORM!$B$2:$J$99, MATCH(D62, FORM!$A$2:$A$99, 0), MATCH($I$4, FORM!$B$1:$J$1, 0))</f>
        <v>#N/A</v>
      </c>
      <c r="B62" s="101">
        <v>14.0</v>
      </c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</row>
    <row r="63" ht="15.75" customHeight="1">
      <c r="A63" s="100" t="str">
        <f t="array" ref="A63">INDEX(FORM!$B$2:$J$99, MATCH(D63, FORM!$A$2:$A$99, 0), MATCH($I$4, FORM!$B$1:$J$1, 0))</f>
        <v>#N/A</v>
      </c>
      <c r="B63" s="101">
        <v>15.0</v>
      </c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</row>
    <row r="64" ht="15.75" customHeight="1">
      <c r="A64" s="100" t="str">
        <f t="array" ref="A64">INDEX(FORM!$B$2:$J$99, MATCH(D64, FORM!$A$2:$A$99, 0), MATCH($I$4, FORM!$B$1:$J$1, 0))</f>
        <v>#N/A</v>
      </c>
      <c r="B64" s="101">
        <v>16.0</v>
      </c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</row>
    <row r="65" ht="15.75" customHeight="1">
      <c r="A65" s="100" t="str">
        <f t="array" ref="A65">INDEX(FORM!$B$2:$J$99, MATCH(D65, FORM!$A$2:$A$99, 0), MATCH($I$4, FORM!$B$1:$J$1, 0))</f>
        <v>#N/A</v>
      </c>
      <c r="B65" s="101">
        <v>17.0</v>
      </c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</row>
    <row r="66" ht="15.75" customHeight="1">
      <c r="A66" s="100" t="str">
        <f t="array" ref="A66">INDEX(FORM!$B$2:$J$99, MATCH(D66, FORM!$A$2:$A$99, 0), MATCH($I$4, FORM!$B$1:$J$1, 0))</f>
        <v>#N/A</v>
      </c>
      <c r="B66" s="101">
        <v>18.0</v>
      </c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</row>
    <row r="67" ht="15.75" customHeight="1">
      <c r="A67" s="100" t="str">
        <f t="array" ref="A67">INDEX(FORM!$B$2:$J$99, MATCH(D67, FORM!$A$2:$A$99, 0), MATCH($I$4, FORM!$B$1:$J$1, 0))</f>
        <v>#N/A</v>
      </c>
      <c r="B67" s="101">
        <v>19.0</v>
      </c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</row>
    <row r="68" ht="15.75" customHeight="1">
      <c r="A68" s="100" t="str">
        <f t="array" ref="A68">INDEX(FORM!$B$2:$J$99, MATCH(D68, FORM!$A$2:$A$99, 0), MATCH($I$4, FORM!$B$1:$J$1, 0))</f>
        <v>#N/A</v>
      </c>
      <c r="B68" s="101">
        <v>20.0</v>
      </c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</row>
    <row r="69" ht="15.75" customHeight="1">
      <c r="A69" s="100" t="str">
        <f t="array" ref="A69">INDEX(FORM!$B$2:$J$99, MATCH(D69, FORM!$A$2:$A$99, 0), MATCH($I$4, FORM!$B$1:$J$1, 0))</f>
        <v>#N/A</v>
      </c>
      <c r="B69" s="101">
        <v>21.0</v>
      </c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</row>
    <row r="70" ht="15.75" customHeight="1">
      <c r="A70" s="100" t="str">
        <f t="array" ref="A70">INDEX(FORM!$B$2:$J$99, MATCH(D70, FORM!$A$2:$A$99, 0), MATCH($I$4, FORM!$B$1:$J$1, 0))</f>
        <v>#N/A</v>
      </c>
      <c r="B70" s="101">
        <v>22.0</v>
      </c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</row>
    <row r="71" ht="15.75" customHeight="1">
      <c r="A71" s="100" t="str">
        <f t="array" ref="A71">INDEX(FORM!$B$2:$J$99, MATCH(D71, FORM!$A$2:$A$99, 0), MATCH($I$4, FORM!$B$1:$J$1, 0))</f>
        <v>#N/A</v>
      </c>
      <c r="B71" s="101">
        <v>23.0</v>
      </c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</row>
    <row r="72" ht="15.75" customHeight="1">
      <c r="A72" s="100" t="str">
        <f t="array" ref="A72">INDEX(FORM!$B$2:$J$99, MATCH(D72, FORM!$A$2:$A$99, 0), MATCH($I$4, FORM!$B$1:$J$1, 0))</f>
        <v>#N/A</v>
      </c>
      <c r="B72" s="101">
        <v>24.0</v>
      </c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</row>
    <row r="73" ht="15.75" customHeight="1">
      <c r="A73" s="100" t="str">
        <f t="array" ref="A73">INDEX(FORM!$B$2:$J$99, MATCH(D73, FORM!$A$2:$A$99, 0), MATCH($I$4, FORM!$B$1:$J$1, 0))</f>
        <v>#N/A</v>
      </c>
      <c r="B73" s="101">
        <v>25.0</v>
      </c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</row>
    <row r="74" ht="15.75" customHeight="1">
      <c r="A74" s="100" t="str">
        <f t="array" ref="A74">INDEX(FORM!$B$2:$J$99, MATCH(D74, FORM!$A$2:$A$99, 0), MATCH($I$4, FORM!$B$1:$J$1, 0))</f>
        <v>#N/A</v>
      </c>
      <c r="B74" s="101">
        <v>26.0</v>
      </c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</row>
    <row r="75" ht="15.75" customHeight="1">
      <c r="A75" s="100" t="str">
        <f t="array" ref="A75">INDEX(FORM!$B$2:$J$99, MATCH(D75, FORM!$A$2:$A$99, 0), MATCH($I$4, FORM!$B$1:$J$1, 0))</f>
        <v>#N/A</v>
      </c>
      <c r="B75" s="101">
        <v>27.0</v>
      </c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</row>
    <row r="76" ht="15.75" customHeight="1">
      <c r="A76" s="100" t="str">
        <f t="array" ref="A76">INDEX(FORM!$B$2:$J$99, MATCH(D76, FORM!$A$2:$A$99, 0), MATCH($I$4, FORM!$B$1:$J$1, 0))</f>
        <v>#N/A</v>
      </c>
      <c r="B76" s="101">
        <v>28.0</v>
      </c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</row>
    <row r="77" ht="15.75" customHeight="1">
      <c r="A77" s="100" t="str">
        <f t="array" ref="A77">INDEX(FORM!$B$2:$J$99, MATCH(D77, FORM!$A$2:$A$99, 0), MATCH($I$4, FORM!$B$1:$J$1, 0))</f>
        <v>#N/A</v>
      </c>
      <c r="B77" s="101">
        <v>29.0</v>
      </c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</row>
    <row r="78" ht="15.75" customHeight="1">
      <c r="A78" s="100" t="str">
        <f t="array" ref="A78">INDEX(FORM!$B$2:$J$99, MATCH(D78, FORM!$A$2:$A$99, 0), MATCH($I$4, FORM!$B$1:$J$1, 0))</f>
        <v>#N/A</v>
      </c>
      <c r="B78" s="101">
        <v>30.0</v>
      </c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</row>
    <row r="79" ht="15.75" customHeight="1">
      <c r="A79" s="100" t="str">
        <f t="array" ref="A79">INDEX(FORM!$B$2:$J$99, MATCH(D79, FORM!$A$2:$A$99, 0), MATCH($I$4, FORM!$B$1:$J$1, 0))</f>
        <v>#N/A</v>
      </c>
      <c r="B79" s="101">
        <v>31.0</v>
      </c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</row>
    <row r="80" ht="15.75" customHeight="1">
      <c r="A80" s="100" t="str">
        <f t="array" ref="A80">INDEX(FORM!$B$2:$J$99, MATCH(D80, FORM!$A$2:$A$99, 0), MATCH($I$4, FORM!$B$1:$J$1, 0))</f>
        <v>#N/A</v>
      </c>
      <c r="B80" s="101">
        <v>32.0</v>
      </c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</row>
    <row r="81" ht="15.75" customHeight="1">
      <c r="A81" s="100" t="str">
        <f t="array" ref="A81">INDEX(FORM!$B$2:$J$99, MATCH(D81, FORM!$A$2:$A$99, 0), MATCH($I$4, FORM!$B$1:$J$1, 0))</f>
        <v>#N/A</v>
      </c>
      <c r="B81" s="101">
        <v>33.0</v>
      </c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</row>
    <row r="82" ht="15.75" customHeight="1">
      <c r="A82" s="100" t="str">
        <f t="array" ref="A82">INDEX(FORM!$B$2:$J$99, MATCH(D82, FORM!$A$2:$A$99, 0), MATCH($I$4, FORM!$B$1:$J$1, 0))</f>
        <v>#N/A</v>
      </c>
      <c r="B82" s="101">
        <v>34.0</v>
      </c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</row>
    <row r="83" ht="15.75" customHeight="1">
      <c r="A83" s="100" t="str">
        <f t="array" ref="A83">INDEX(FORM!$B$2:$J$99, MATCH(D83, FORM!$A$2:$A$99, 0), MATCH($I$4, FORM!$B$1:$J$1, 0))</f>
        <v>#N/A</v>
      </c>
      <c r="B83" s="101">
        <v>35.0</v>
      </c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</row>
    <row r="84" ht="15.75" customHeight="1">
      <c r="A84" s="100" t="str">
        <f t="array" ref="A84">INDEX(FORM!$B$2:$J$99, MATCH(D84, FORM!$A$2:$A$99, 0), MATCH($I$4, FORM!$B$1:$J$1, 0))</f>
        <v>#N/A</v>
      </c>
      <c r="B84" s="101">
        <v>36.0</v>
      </c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</row>
    <row r="85" ht="15.75" customHeight="1">
      <c r="A85" s="100" t="str">
        <f t="array" ref="A85">INDEX(FORM!$B$2:$J$99, MATCH(D85, FORM!$A$2:$A$99, 0), MATCH($I$4, FORM!$B$1:$J$1, 0))</f>
        <v>#N/A</v>
      </c>
      <c r="B85" s="101">
        <v>37.0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</row>
    <row r="86" ht="15.75" customHeight="1">
      <c r="A86" s="100" t="str">
        <f t="array" ref="A86">INDEX(FORM!$B$2:$J$99, MATCH(D86, FORM!$A$2:$A$99, 0), MATCH($I$4, FORM!$B$1:$J$1, 0))</f>
        <v>#N/A</v>
      </c>
      <c r="B86" s="101">
        <v>38.0</v>
      </c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</row>
    <row r="87" ht="15.75" customHeight="1">
      <c r="A87" s="100" t="str">
        <f t="array" ref="A87">INDEX(FORM!$B$2:$J$99, MATCH(D87, FORM!$A$2:$A$99, 0), MATCH($I$4, FORM!$B$1:$J$1, 0))</f>
        <v>#N/A</v>
      </c>
      <c r="B87" s="101">
        <v>39.0</v>
      </c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</row>
    <row r="88" ht="15.75" customHeight="1">
      <c r="A88" s="100" t="str">
        <f t="array" ref="A88">INDEX(FORM!$B$2:$J$99, MATCH(D88, FORM!$A$2:$A$99, 0), MATCH($I$4, FORM!$B$1:$J$1, 0))</f>
        <v>#N/A</v>
      </c>
      <c r="B88" s="101">
        <v>40.0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</row>
    <row r="89" ht="15.75" customHeight="1">
      <c r="A89" s="100" t="str">
        <f t="array" ref="A89">INDEX(FORM!$B$2:$J$99, MATCH(D89, FORM!$A$2:$A$99, 0), MATCH($I$4, FORM!$B$1:$J$1, 0))</f>
        <v>#N/A</v>
      </c>
      <c r="B89" s="101">
        <v>41.0</v>
      </c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</row>
    <row r="90" ht="15.75" customHeight="1">
      <c r="A90" s="100" t="str">
        <f t="array" ref="A90">INDEX(FORM!$B$2:$J$99, MATCH(D90, FORM!$A$2:$A$99, 0), MATCH($I$4, FORM!$B$1:$J$1, 0))</f>
        <v>#N/A</v>
      </c>
      <c r="B90" s="101">
        <v>42.0</v>
      </c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</row>
    <row r="91" ht="15.75" customHeight="1">
      <c r="A91" s="100" t="str">
        <f t="array" ref="A91">INDEX(FORM!$B$2:$J$99, MATCH(D91, FORM!$A$2:$A$99, 0), MATCH($I$4, FORM!$B$1:$J$1, 0))</f>
        <v>#N/A</v>
      </c>
      <c r="B91" s="101">
        <v>43.0</v>
      </c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</row>
    <row r="92" ht="15.75" customHeight="1">
      <c r="A92" s="100" t="str">
        <f t="array" ref="A92">INDEX(FORM!$B$2:$J$99, MATCH(D92, FORM!$A$2:$A$99, 0), MATCH($I$4, FORM!$B$1:$J$1, 0))</f>
        <v>#N/A</v>
      </c>
      <c r="B92" s="101">
        <v>44.0</v>
      </c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</row>
    <row r="93" ht="15.75" customHeight="1">
      <c r="A93" s="100" t="str">
        <f t="array" ref="A93">INDEX(FORM!$B$2:$J$99, MATCH(D93, FORM!$A$2:$A$99, 0), MATCH($I$4, FORM!$B$1:$J$1, 0))</f>
        <v>#N/A</v>
      </c>
      <c r="B93" s="101">
        <v>45.0</v>
      </c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</row>
    <row r="94" ht="15.75" customHeight="1">
      <c r="A94" s="100" t="str">
        <f t="array" ref="A94">INDEX(FORM!$B$2:$J$99, MATCH(D94, FORM!$A$2:$A$99, 0), MATCH($I$4, FORM!$B$1:$J$1, 0))</f>
        <v>#N/A</v>
      </c>
      <c r="B94" s="101">
        <v>46.0</v>
      </c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</row>
    <row r="95" ht="15.75" customHeight="1">
      <c r="A95" s="100" t="str">
        <f t="array" ref="A95">INDEX(FORM!$B$2:$J$99, MATCH(D95, FORM!$A$2:$A$99, 0), MATCH($I$4, FORM!$B$1:$J$1, 0))</f>
        <v>#N/A</v>
      </c>
      <c r="B95" s="101">
        <v>47.0</v>
      </c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</row>
    <row r="96" ht="15.75" customHeight="1">
      <c r="A96" s="100" t="str">
        <f t="array" ref="A96">INDEX(FORM!$B$2:$J$99, MATCH(D96, FORM!$A$2:$A$99, 0), MATCH($I$4, FORM!$B$1:$J$1, 0))</f>
        <v>#N/A</v>
      </c>
      <c r="B96" s="101">
        <v>48.0</v>
      </c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</row>
    <row r="97" ht="15.75" customHeight="1">
      <c r="A97" s="100" t="str">
        <f t="array" ref="A97">INDEX(FORM!$B$2:$J$99, MATCH(D97, FORM!$A$2:$A$99, 0), MATCH($I$4, FORM!$B$1:$J$1, 0))</f>
        <v>#N/A</v>
      </c>
      <c r="B97" s="101">
        <v>49.0</v>
      </c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</row>
    <row r="98" ht="15.75" customHeight="1">
      <c r="A98" s="100" t="str">
        <f t="array" ref="A98">INDEX(FORM!$B$2:$J$99, MATCH(D98, FORM!$A$2:$A$99, 0), MATCH($I$4, FORM!$B$1:$J$1, 0))</f>
        <v>#N/A</v>
      </c>
      <c r="B98" s="101">
        <v>50.0</v>
      </c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</row>
    <row r="99" ht="15.75" customHeight="1">
      <c r="A99" s="100" t="str">
        <f t="array" ref="A99">INDEX(FORM!$B$2:$J$99, MATCH(D99, FORM!$A$2:$A$99, 0), MATCH($I$4, FORM!$B$1:$J$1, 0))</f>
        <v>#N/A</v>
      </c>
      <c r="B99" s="101">
        <v>51.0</v>
      </c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</row>
    <row r="100" ht="15.75" customHeight="1">
      <c r="A100" s="100" t="str">
        <f t="array" ref="A100">INDEX(FORM!$B$2:$J$99, MATCH(D100, FORM!$A$2:$A$99, 0), MATCH($I$4, FORM!$B$1:$J$1, 0))</f>
        <v>#N/A</v>
      </c>
      <c r="B100" s="101">
        <v>52.0</v>
      </c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</row>
    <row r="101" ht="15.75" customHeight="1">
      <c r="A101" s="100" t="str">
        <f t="array" ref="A101">INDEX(FORM!$B$2:$J$99, MATCH(D101, FORM!$A$2:$A$99, 0), MATCH($I$4, FORM!$B$1:$J$1, 0))</f>
        <v>#N/A</v>
      </c>
      <c r="B101" s="101">
        <v>53.0</v>
      </c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</row>
    <row r="102" ht="15.75" customHeight="1">
      <c r="A102" s="100" t="str">
        <f t="array" ref="A102">INDEX(FORM!$B$2:$J$99, MATCH(D102, FORM!$A$2:$A$99, 0), MATCH($I$4, FORM!$B$1:$J$1, 0))</f>
        <v>#N/A</v>
      </c>
      <c r="B102" s="101">
        <v>54.0</v>
      </c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</row>
    <row r="103" ht="15.75" customHeight="1">
      <c r="A103" s="100" t="str">
        <f t="array" ref="A103">INDEX(FORM!$B$2:$J$99, MATCH(D103, FORM!$A$2:$A$99, 0), MATCH($I$4, FORM!$B$1:$J$1, 0))</f>
        <v>#N/A</v>
      </c>
      <c r="B103" s="101">
        <v>55.0</v>
      </c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</row>
    <row r="104" ht="15.75" customHeight="1">
      <c r="A104" s="100" t="str">
        <f t="array" ref="A104">INDEX(FORM!$B$2:$J$99, MATCH(D104, FORM!$A$2:$A$99, 0), MATCH($I$4, FORM!$B$1:$J$1, 0))</f>
        <v>#N/A</v>
      </c>
      <c r="B104" s="101">
        <v>56.0</v>
      </c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</row>
    <row r="105" ht="15.75" customHeight="1">
      <c r="A105" s="100" t="str">
        <f t="array" ref="A105">INDEX(FORM!$B$2:$J$99, MATCH(D105, FORM!$A$2:$A$99, 0), MATCH($I$4, FORM!$B$1:$J$1, 0))</f>
        <v>#N/A</v>
      </c>
      <c r="B105" s="101">
        <v>57.0</v>
      </c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</row>
    <row r="106" ht="15.75" customHeight="1">
      <c r="A106" s="100" t="str">
        <f t="array" ref="A106">INDEX(FORM!$B$2:$J$99, MATCH(D106, FORM!$A$2:$A$99, 0), MATCH($I$4, FORM!$B$1:$J$1, 0))</f>
        <v>#N/A</v>
      </c>
      <c r="B106" s="101">
        <v>58.0</v>
      </c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</row>
    <row r="107" ht="15.75" customHeight="1">
      <c r="A107" s="100" t="str">
        <f t="array" ref="A107">INDEX(FORM!$B$2:$J$99, MATCH(D107, FORM!$A$2:$A$99, 0), MATCH($I$4, FORM!$B$1:$J$1, 0))</f>
        <v>#N/A</v>
      </c>
      <c r="B107" s="101">
        <v>59.0</v>
      </c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</row>
    <row r="108" ht="15.75" customHeight="1">
      <c r="A108" s="100" t="str">
        <f t="array" ref="A108">INDEX(FORM!$B$2:$J$99, MATCH(D108, FORM!$A$2:$A$99, 0), MATCH($I$4, FORM!$B$1:$J$1, 0))</f>
        <v>#N/A</v>
      </c>
      <c r="B108" s="101">
        <v>60.0</v>
      </c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</row>
    <row r="109" ht="15.75" customHeight="1">
      <c r="A109" s="100" t="str">
        <f t="array" ref="A109">INDEX(FORM!$B$2:$J$99, MATCH(D109, FORM!$A$2:$A$99, 0), MATCH($I$4, FORM!$B$1:$J$1, 0))</f>
        <v>#N/A</v>
      </c>
      <c r="B109" s="101">
        <v>61.0</v>
      </c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</row>
    <row r="110" ht="15.75" customHeight="1">
      <c r="A110" s="100" t="str">
        <f t="array" ref="A110">INDEX(FORM!$B$2:$J$99, MATCH(D110, FORM!$A$2:$A$99, 0), MATCH($I$4, FORM!$B$1:$J$1, 0))</f>
        <v>#N/A</v>
      </c>
      <c r="B110" s="101">
        <v>62.0</v>
      </c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</row>
    <row r="111" ht="15.75" customHeight="1">
      <c r="A111" s="100"/>
      <c r="B111" s="101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</row>
    <row r="112" ht="15.75" customHeight="1">
      <c r="A112" s="100"/>
      <c r="B112" s="101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</row>
    <row r="113" ht="15.75" customHeight="1">
      <c r="A113" s="100"/>
      <c r="B113" s="101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</row>
    <row r="114" ht="15.75" customHeight="1">
      <c r="A114" s="100"/>
      <c r="B114" s="101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</row>
    <row r="115" ht="15.75" customHeight="1">
      <c r="A115" s="100"/>
      <c r="B115" s="101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</row>
    <row r="116" ht="15.75" customHeight="1">
      <c r="A116" s="100"/>
      <c r="B116" s="101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</row>
    <row r="117" ht="15.75" customHeight="1">
      <c r="A117" s="100"/>
      <c r="B117" s="101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</row>
    <row r="118" ht="15.75" customHeight="1">
      <c r="A118" s="100"/>
      <c r="B118" s="101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</row>
    <row r="119" ht="15.75" customHeight="1">
      <c r="A119" s="100"/>
      <c r="B119" s="101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</row>
    <row r="120" ht="15.75" customHeight="1">
      <c r="A120" s="100"/>
      <c r="B120" s="101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</row>
    <row r="121" ht="15.75" customHeight="1">
      <c r="A121" s="100"/>
      <c r="B121" s="101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</row>
    <row r="122" ht="15.75" customHeight="1">
      <c r="A122" s="100"/>
      <c r="B122" s="101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</row>
    <row r="123" ht="15.75" customHeight="1">
      <c r="A123" s="100"/>
      <c r="B123" s="101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</row>
    <row r="124" ht="15.75" customHeight="1">
      <c r="A124" s="100"/>
      <c r="B124" s="101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</row>
    <row r="125" ht="15.75" customHeight="1">
      <c r="A125" s="100"/>
      <c r="B125" s="101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</row>
    <row r="126" ht="15.75" customHeight="1">
      <c r="A126" s="100"/>
      <c r="B126" s="101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</row>
    <row r="127" ht="15.75" customHeight="1">
      <c r="A127" s="100"/>
      <c r="B127" s="101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</row>
    <row r="128" ht="15.75" customHeight="1">
      <c r="A128" s="100"/>
      <c r="B128" s="101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</row>
    <row r="129" ht="15.75" customHeight="1">
      <c r="A129" s="100"/>
      <c r="B129" s="101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</row>
    <row r="130" ht="15.75" customHeight="1">
      <c r="A130" s="100"/>
      <c r="B130" s="101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</row>
    <row r="131" ht="15.75" customHeight="1">
      <c r="A131" s="100"/>
      <c r="B131" s="101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</row>
    <row r="132" ht="15.75" customHeight="1">
      <c r="A132" s="100"/>
      <c r="B132" s="101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</row>
    <row r="133" ht="15.75" customHeight="1">
      <c r="A133" s="100"/>
      <c r="B133" s="101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</row>
    <row r="134" ht="15.75" customHeight="1">
      <c r="A134" s="100"/>
      <c r="B134" s="10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</row>
    <row r="135" ht="15.75" customHeight="1">
      <c r="A135" s="100"/>
      <c r="B135" s="101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</row>
    <row r="136" ht="15.75" customHeight="1">
      <c r="A136" s="100"/>
      <c r="B136" s="101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</row>
    <row r="137" ht="15.75" customHeight="1">
      <c r="A137" s="100"/>
      <c r="B137" s="101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</row>
    <row r="138" ht="15.75" customHeight="1">
      <c r="A138" s="100"/>
      <c r="B138" s="101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</row>
    <row r="139" ht="15.75" customHeight="1">
      <c r="A139" s="100"/>
      <c r="B139" s="101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</row>
    <row r="140" ht="15.75" customHeight="1">
      <c r="A140" s="100"/>
      <c r="B140" s="101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</row>
    <row r="141" ht="15.75" customHeight="1">
      <c r="A141" s="100"/>
      <c r="B141" s="101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</row>
    <row r="142" ht="15.75" customHeight="1">
      <c r="A142" s="100"/>
      <c r="B142" s="101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</row>
    <row r="143" ht="15.75" customHeight="1">
      <c r="A143" s="100"/>
      <c r="B143" s="101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</row>
    <row r="144" ht="15.75" customHeight="1">
      <c r="A144" s="100"/>
      <c r="B144" s="101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</row>
    <row r="145" ht="15.75" customHeight="1">
      <c r="A145" s="100"/>
      <c r="B145" s="101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</row>
    <row r="146" ht="15.75" customHeight="1">
      <c r="A146" s="100"/>
      <c r="B146" s="101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</row>
    <row r="147" ht="15.75" customHeight="1">
      <c r="A147" s="100"/>
      <c r="B147" s="101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</row>
    <row r="148" ht="15.75" customHeight="1">
      <c r="A148" s="100"/>
      <c r="B148" s="101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</row>
    <row r="149" ht="15.75" customHeight="1">
      <c r="A149" s="100"/>
      <c r="B149" s="101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</row>
    <row r="150" ht="15.75" customHeight="1">
      <c r="A150" s="100"/>
      <c r="B150" s="101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</row>
    <row r="151" ht="15.75" customHeight="1">
      <c r="A151" s="100"/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</row>
    <row r="152" ht="15.75" customHeight="1">
      <c r="A152" s="100"/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</row>
    <row r="153" ht="15.75" customHeight="1">
      <c r="A153" s="100"/>
      <c r="B153" s="101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</row>
    <row r="154" ht="15.75" customHeight="1">
      <c r="A154" s="100"/>
      <c r="B154" s="101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</row>
    <row r="155" ht="15.75" customHeight="1">
      <c r="A155" s="100"/>
      <c r="B155" s="101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</row>
    <row r="156" ht="15.75" customHeight="1">
      <c r="A156" s="100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</row>
    <row r="157" ht="15.75" customHeight="1">
      <c r="A157" s="100"/>
      <c r="B157" s="101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</row>
    <row r="158" ht="15.75" customHeight="1">
      <c r="A158" s="100"/>
      <c r="B158" s="101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</row>
    <row r="159" ht="15.75" customHeight="1">
      <c r="A159" s="100"/>
      <c r="B159" s="101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</row>
    <row r="160" ht="15.75" customHeight="1">
      <c r="A160" s="100"/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</row>
    <row r="161" ht="15.75" customHeight="1">
      <c r="A161" s="100"/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</row>
    <row r="162" ht="15.75" customHeight="1">
      <c r="A162" s="100"/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</row>
    <row r="163" ht="15.75" customHeight="1">
      <c r="A163" s="100"/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</row>
    <row r="164" ht="15.75" customHeight="1">
      <c r="A164" s="100"/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</row>
    <row r="165" ht="15.75" customHeight="1">
      <c r="A165" s="100"/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</row>
    <row r="166" ht="15.75" customHeight="1">
      <c r="A166" s="100"/>
      <c r="B166" s="101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</row>
    <row r="167" ht="15.75" customHeight="1">
      <c r="A167" s="100"/>
      <c r="B167" s="101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</row>
    <row r="168" ht="15.75" customHeight="1">
      <c r="A168" s="100"/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</row>
    <row r="169" ht="15.75" customHeight="1">
      <c r="A169" s="100"/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</row>
    <row r="170" ht="15.75" customHeight="1">
      <c r="A170" s="100"/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</row>
    <row r="171" ht="15.75" customHeight="1">
      <c r="A171" s="100"/>
      <c r="B171" s="101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</row>
    <row r="172" ht="15.75" customHeight="1">
      <c r="A172" s="100"/>
      <c r="B172" s="101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</row>
    <row r="173" ht="15.75" customHeight="1">
      <c r="A173" s="100"/>
      <c r="B173" s="101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</row>
    <row r="174" ht="15.75" customHeight="1">
      <c r="A174" s="100"/>
      <c r="B174" s="101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</row>
    <row r="175" ht="15.75" customHeight="1">
      <c r="A175" s="100"/>
      <c r="B175" s="101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</row>
    <row r="176" ht="15.75" customHeight="1">
      <c r="A176" s="100"/>
      <c r="B176" s="101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</row>
    <row r="177" ht="15.75" customHeight="1">
      <c r="A177" s="100"/>
      <c r="B177" s="101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</row>
    <row r="178" ht="15.75" customHeight="1">
      <c r="A178" s="100"/>
      <c r="B178" s="101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</row>
    <row r="179" ht="15.75" customHeight="1">
      <c r="A179" s="100"/>
      <c r="B179" s="101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</row>
    <row r="180" ht="15.75" customHeight="1">
      <c r="A180" s="100"/>
      <c r="B180" s="101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</row>
    <row r="181" ht="15.75" customHeight="1">
      <c r="A181" s="100"/>
      <c r="B181" s="101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</row>
    <row r="182" ht="15.75" customHeight="1">
      <c r="A182" s="100"/>
      <c r="B182" s="101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</row>
    <row r="183" ht="15.75" customHeight="1">
      <c r="A183" s="100"/>
      <c r="B183" s="101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</row>
    <row r="184" ht="15.75" customHeight="1">
      <c r="A184" s="100"/>
      <c r="B184" s="101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</row>
    <row r="185" ht="15.75" customHeight="1">
      <c r="A185" s="100"/>
      <c r="B185" s="101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</row>
    <row r="186" ht="15.75" customHeight="1">
      <c r="A186" s="100"/>
      <c r="B186" s="101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</row>
    <row r="187" ht="15.75" customHeight="1">
      <c r="A187" s="100"/>
      <c r="B187" s="101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</row>
    <row r="188" ht="15.75" customHeight="1">
      <c r="A188" s="100"/>
      <c r="B188" s="101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</row>
    <row r="189" ht="15.75" customHeight="1">
      <c r="A189" s="100"/>
      <c r="B189" s="101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</row>
    <row r="190" ht="15.75" customHeight="1">
      <c r="A190" s="100"/>
      <c r="B190" s="101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</row>
    <row r="191" ht="15.75" customHeight="1">
      <c r="A191" s="100"/>
      <c r="B191" s="101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</row>
    <row r="192" ht="15.75" customHeight="1">
      <c r="A192" s="100"/>
      <c r="B192" s="101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</row>
    <row r="193" ht="15.75" customHeight="1">
      <c r="A193" s="100"/>
      <c r="B193" s="101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</row>
    <row r="194" ht="15.75" customHeight="1">
      <c r="A194" s="100"/>
      <c r="B194" s="101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</row>
    <row r="195" ht="15.75" customHeight="1">
      <c r="A195" s="100"/>
      <c r="B195" s="101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</row>
    <row r="196" ht="15.75" customHeight="1">
      <c r="A196" s="100"/>
      <c r="B196" s="101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</row>
    <row r="197" ht="15.75" customHeight="1">
      <c r="A197" s="100"/>
      <c r="B197" s="101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</row>
    <row r="198" ht="15.75" customHeight="1">
      <c r="A198" s="100"/>
      <c r="B198" s="101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</row>
    <row r="199" ht="15.75" customHeight="1">
      <c r="A199" s="100"/>
      <c r="B199" s="101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</row>
    <row r="200" ht="15.75" customHeight="1">
      <c r="A200" s="100"/>
      <c r="B200" s="101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</row>
    <row r="201" ht="15.75" customHeight="1">
      <c r="A201" s="100"/>
      <c r="B201" s="101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</row>
    <row r="202" ht="15.75" customHeight="1">
      <c r="A202" s="100"/>
      <c r="B202" s="101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</row>
    <row r="203" ht="15.75" customHeight="1">
      <c r="A203" s="100"/>
      <c r="B203" s="101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</row>
    <row r="204" ht="15.75" customHeight="1">
      <c r="A204" s="100"/>
      <c r="B204" s="101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</row>
    <row r="205" ht="15.75" customHeight="1">
      <c r="A205" s="100"/>
      <c r="B205" s="101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</row>
    <row r="206" ht="15.75" customHeight="1">
      <c r="A206" s="100"/>
      <c r="B206" s="101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</row>
    <row r="207" ht="15.75" customHeight="1">
      <c r="A207" s="100"/>
      <c r="B207" s="101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</row>
    <row r="208" ht="15.75" customHeight="1">
      <c r="A208" s="100"/>
      <c r="B208" s="101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</row>
    <row r="209" ht="15.75" customHeight="1">
      <c r="A209" s="100"/>
      <c r="B209" s="101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</row>
    <row r="210" ht="15.75" customHeight="1">
      <c r="A210" s="100"/>
      <c r="B210" s="101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</row>
    <row r="211" ht="15.75" customHeight="1">
      <c r="A211" s="100"/>
      <c r="B211" s="101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</row>
    <row r="212" ht="15.75" customHeight="1">
      <c r="A212" s="100"/>
      <c r="B212" s="101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</row>
    <row r="213" ht="15.75" customHeight="1">
      <c r="A213" s="100"/>
      <c r="B213" s="101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</row>
    <row r="214" ht="15.75" customHeight="1">
      <c r="A214" s="100"/>
      <c r="B214" s="101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</row>
    <row r="215" ht="15.75" customHeight="1">
      <c r="A215" s="100"/>
      <c r="B215" s="101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</row>
    <row r="216" ht="15.75" customHeight="1">
      <c r="A216" s="100"/>
      <c r="B216" s="101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</row>
    <row r="217" ht="15.75" customHeight="1">
      <c r="A217" s="100"/>
      <c r="B217" s="101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</row>
    <row r="218" ht="15.75" customHeight="1">
      <c r="A218" s="100"/>
      <c r="B218" s="101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</row>
    <row r="219" ht="15.75" customHeight="1">
      <c r="A219" s="100"/>
      <c r="B219" s="101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</row>
    <row r="220" ht="15.75" customHeight="1">
      <c r="A220" s="100"/>
      <c r="B220" s="101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</row>
    <row r="221" ht="15.75" customHeight="1">
      <c r="A221" s="100"/>
      <c r="B221" s="101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</row>
    <row r="222" ht="15.75" customHeight="1">
      <c r="A222" s="100"/>
      <c r="B222" s="101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</row>
    <row r="223" ht="15.75" customHeight="1">
      <c r="A223" s="100"/>
      <c r="B223" s="101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</row>
    <row r="224" ht="15.75" customHeight="1">
      <c r="A224" s="100"/>
      <c r="B224" s="101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</row>
    <row r="225" ht="15.75" customHeight="1">
      <c r="A225" s="100"/>
      <c r="B225" s="101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</row>
    <row r="226" ht="15.75" customHeight="1">
      <c r="A226" s="100"/>
      <c r="B226" s="101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</row>
    <row r="227" ht="15.75" customHeight="1">
      <c r="A227" s="100"/>
      <c r="B227" s="101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</row>
    <row r="228" ht="15.75" customHeight="1">
      <c r="A228" s="100"/>
      <c r="B228" s="101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</row>
    <row r="229" ht="15.75" customHeight="1">
      <c r="A229" s="100"/>
      <c r="B229" s="101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</row>
    <row r="230" ht="15.75" customHeight="1">
      <c r="A230" s="100"/>
      <c r="B230" s="101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</row>
    <row r="231" ht="15.75" customHeight="1">
      <c r="A231" s="100"/>
      <c r="B231" s="101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</row>
    <row r="232" ht="15.75" customHeight="1">
      <c r="A232" s="100"/>
      <c r="B232" s="101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</row>
    <row r="233" ht="15.75" customHeight="1">
      <c r="A233" s="100"/>
      <c r="B233" s="101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</row>
    <row r="234" ht="15.75" customHeight="1">
      <c r="A234" s="100"/>
      <c r="B234" s="101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</row>
    <row r="235" ht="15.75" customHeight="1">
      <c r="A235" s="100"/>
      <c r="B235" s="101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</row>
    <row r="236" ht="15.75" customHeight="1">
      <c r="A236" s="100"/>
      <c r="B236" s="101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</row>
    <row r="237" ht="15.75" customHeight="1">
      <c r="A237" s="100"/>
      <c r="B237" s="101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</row>
    <row r="238" ht="15.75" customHeight="1">
      <c r="A238" s="100"/>
      <c r="B238" s="101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</row>
    <row r="239" ht="15.75" customHeight="1">
      <c r="A239" s="100"/>
      <c r="B239" s="101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</row>
    <row r="240" ht="15.75" customHeight="1">
      <c r="A240" s="100"/>
      <c r="B240" s="101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</row>
    <row r="241" ht="15.75" customHeight="1">
      <c r="A241" s="100"/>
      <c r="B241" s="101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</row>
    <row r="242" ht="15.75" customHeight="1">
      <c r="A242" s="100"/>
      <c r="B242" s="101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</row>
    <row r="243" ht="15.75" customHeight="1">
      <c r="A243" s="100"/>
      <c r="B243" s="101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</row>
    <row r="244" ht="15.75" customHeight="1">
      <c r="A244" s="100"/>
      <c r="B244" s="101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</row>
    <row r="245" ht="15.75" customHeight="1">
      <c r="A245" s="100"/>
      <c r="B245" s="101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</row>
    <row r="246" ht="15.75" customHeight="1">
      <c r="A246" s="100"/>
      <c r="B246" s="101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</row>
    <row r="247" ht="15.75" customHeight="1">
      <c r="A247" s="100"/>
      <c r="B247" s="101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</row>
    <row r="248" ht="15.75" customHeight="1">
      <c r="A248" s="100"/>
      <c r="B248" s="101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</row>
    <row r="249" ht="15.75" customHeight="1">
      <c r="A249" s="100"/>
      <c r="B249" s="101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</row>
    <row r="250" ht="15.75" customHeight="1">
      <c r="A250" s="100"/>
      <c r="B250" s="101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</row>
    <row r="251" ht="15.75" customHeight="1">
      <c r="A251" s="100"/>
      <c r="B251" s="101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</row>
    <row r="252" ht="15.75" customHeight="1">
      <c r="A252" s="100"/>
      <c r="B252" s="101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</row>
    <row r="253" ht="15.75" customHeight="1">
      <c r="A253" s="100"/>
      <c r="B253" s="101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</row>
    <row r="254" ht="15.75" customHeight="1">
      <c r="A254" s="100"/>
      <c r="B254" s="101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</row>
    <row r="255" ht="15.75" customHeight="1">
      <c r="A255" s="100"/>
      <c r="B255" s="101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</row>
    <row r="256" ht="15.75" customHeight="1">
      <c r="A256" s="100"/>
      <c r="B256" s="101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</row>
    <row r="257" ht="15.75" customHeight="1">
      <c r="A257" s="100"/>
      <c r="B257" s="101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</row>
    <row r="258" ht="15.75" customHeight="1">
      <c r="A258" s="100"/>
      <c r="B258" s="101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</row>
    <row r="259" ht="15.75" customHeight="1">
      <c r="A259" s="100"/>
      <c r="B259" s="101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</row>
    <row r="260" ht="15.75" customHeight="1">
      <c r="A260" s="100"/>
      <c r="B260" s="101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</row>
    <row r="261" ht="15.75" customHeight="1">
      <c r="A261" s="100"/>
      <c r="B261" s="101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</row>
    <row r="262" ht="15.75" customHeight="1">
      <c r="A262" s="100"/>
      <c r="B262" s="101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</row>
    <row r="263" ht="15.75" customHeight="1">
      <c r="A263" s="100"/>
      <c r="B263" s="101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</row>
    <row r="264" ht="15.75" customHeight="1">
      <c r="A264" s="100"/>
      <c r="B264" s="101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</row>
    <row r="265" ht="15.75" customHeight="1">
      <c r="A265" s="100"/>
      <c r="B265" s="101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</row>
    <row r="266" ht="15.75" customHeight="1">
      <c r="A266" s="100"/>
      <c r="B266" s="101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</row>
    <row r="267" ht="15.75" customHeight="1">
      <c r="A267" s="100"/>
      <c r="B267" s="101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</row>
    <row r="268" ht="15.75" customHeight="1">
      <c r="A268" s="100"/>
      <c r="B268" s="101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</row>
    <row r="269" ht="15.75" customHeight="1">
      <c r="A269" s="100"/>
      <c r="B269" s="101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</row>
    <row r="270" ht="15.75" customHeight="1">
      <c r="A270" s="100"/>
      <c r="B270" s="101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</row>
    <row r="271" ht="15.75" customHeight="1">
      <c r="A271" s="100"/>
      <c r="B271" s="101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</row>
    <row r="272" ht="15.75" customHeight="1">
      <c r="A272" s="100"/>
      <c r="B272" s="101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</row>
    <row r="273" ht="15.75" customHeight="1">
      <c r="A273" s="100"/>
      <c r="B273" s="101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</row>
    <row r="274" ht="15.75" customHeight="1">
      <c r="A274" s="100"/>
      <c r="B274" s="101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</row>
    <row r="275" ht="15.75" customHeight="1">
      <c r="A275" s="100"/>
      <c r="B275" s="101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</row>
    <row r="276" ht="15.75" customHeight="1">
      <c r="A276" s="100"/>
      <c r="B276" s="101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</row>
    <row r="277" ht="15.75" customHeight="1">
      <c r="A277" s="100"/>
      <c r="B277" s="101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</row>
    <row r="278" ht="15.75" customHeight="1">
      <c r="A278" s="100"/>
      <c r="B278" s="101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</row>
    <row r="279" ht="15.75" customHeight="1">
      <c r="A279" s="100"/>
      <c r="B279" s="101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</row>
    <row r="280" ht="15.75" customHeight="1">
      <c r="A280" s="100"/>
      <c r="B280" s="101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</row>
    <row r="281" ht="15.75" customHeight="1">
      <c r="A281" s="100"/>
      <c r="B281" s="101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</row>
    <row r="282" ht="15.75" customHeight="1">
      <c r="A282" s="100"/>
      <c r="B282" s="101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</row>
    <row r="283" ht="15.75" customHeight="1">
      <c r="A283" s="100"/>
      <c r="B283" s="101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</row>
    <row r="284" ht="15.75" customHeight="1">
      <c r="A284" s="100"/>
      <c r="B284" s="101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</row>
    <row r="285" ht="15.75" customHeight="1">
      <c r="A285" s="100"/>
      <c r="B285" s="101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</row>
    <row r="286" ht="15.75" customHeight="1">
      <c r="A286" s="100"/>
      <c r="B286" s="101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</row>
    <row r="287" ht="15.75" customHeight="1">
      <c r="A287" s="100"/>
      <c r="B287" s="101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</row>
    <row r="288" ht="15.75" customHeight="1">
      <c r="A288" s="100"/>
      <c r="B288" s="101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</row>
    <row r="289" ht="15.75" customHeight="1">
      <c r="A289" s="100"/>
      <c r="B289" s="101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</row>
    <row r="290" ht="15.75" customHeight="1">
      <c r="A290" s="100"/>
      <c r="B290" s="101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</row>
    <row r="291" ht="15.75" customHeight="1">
      <c r="A291" s="100"/>
      <c r="B291" s="101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</row>
    <row r="292" ht="15.75" customHeight="1">
      <c r="A292" s="100"/>
      <c r="B292" s="101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</row>
    <row r="293" ht="15.75" customHeight="1">
      <c r="A293" s="100"/>
      <c r="B293" s="101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</row>
    <row r="294" ht="15.75" customHeight="1">
      <c r="A294" s="100"/>
      <c r="B294" s="101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</row>
    <row r="295" ht="15.75" customHeight="1">
      <c r="A295" s="100"/>
      <c r="B295" s="101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</row>
    <row r="296" ht="15.75" customHeight="1">
      <c r="A296" s="100"/>
      <c r="B296" s="101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</row>
    <row r="297" ht="15.75" customHeight="1">
      <c r="A297" s="100"/>
      <c r="B297" s="101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</row>
    <row r="298" ht="15.75" customHeight="1">
      <c r="A298" s="100"/>
      <c r="B298" s="101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</row>
    <row r="299" ht="15.75" customHeight="1">
      <c r="A299" s="100"/>
      <c r="B299" s="101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</row>
    <row r="300" ht="15.75" customHeight="1">
      <c r="A300" s="100"/>
      <c r="B300" s="101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</row>
    <row r="301" ht="15.75" customHeight="1">
      <c r="A301" s="100"/>
      <c r="B301" s="101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</row>
    <row r="302" ht="15.75" customHeight="1">
      <c r="A302" s="100"/>
      <c r="B302" s="101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</row>
    <row r="303" ht="15.75" customHeight="1">
      <c r="A303" s="100"/>
      <c r="B303" s="101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</row>
    <row r="304" ht="15.75" customHeight="1">
      <c r="A304" s="100"/>
      <c r="B304" s="101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</row>
    <row r="305" ht="15.75" customHeight="1">
      <c r="A305" s="100"/>
      <c r="B305" s="101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</row>
    <row r="306" ht="15.75" customHeight="1">
      <c r="A306" s="100"/>
      <c r="B306" s="101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</row>
    <row r="307" ht="15.75" customHeight="1">
      <c r="A307" s="100"/>
      <c r="B307" s="101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</row>
    <row r="308" ht="15.75" customHeight="1">
      <c r="A308" s="100"/>
      <c r="B308" s="101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</row>
    <row r="309" ht="15.75" customHeight="1">
      <c r="A309" s="100"/>
      <c r="B309" s="101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</row>
    <row r="310" ht="15.75" customHeight="1">
      <c r="A310" s="100"/>
      <c r="B310" s="101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</row>
    <row r="311" ht="15.75" customHeight="1">
      <c r="A311" s="100"/>
      <c r="B311" s="101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</row>
    <row r="312" ht="15.75" customHeight="1">
      <c r="A312" s="100"/>
      <c r="B312" s="101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</row>
    <row r="313" ht="15.75" customHeight="1">
      <c r="A313" s="100"/>
      <c r="B313" s="101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</row>
    <row r="314" ht="15.75" customHeight="1">
      <c r="A314" s="100"/>
      <c r="B314" s="101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</row>
    <row r="315" ht="15.75" customHeight="1">
      <c r="A315" s="100"/>
      <c r="B315" s="101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</row>
    <row r="316" ht="15.75" customHeight="1">
      <c r="A316" s="100"/>
      <c r="B316" s="101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</row>
    <row r="317" ht="15.75" customHeight="1">
      <c r="A317" s="100"/>
      <c r="B317" s="101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</row>
    <row r="318" ht="15.75" customHeight="1">
      <c r="A318" s="100"/>
      <c r="B318" s="101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</row>
    <row r="319" ht="15.75" customHeight="1">
      <c r="A319" s="100"/>
      <c r="B319" s="101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</row>
    <row r="320" ht="15.75" customHeight="1">
      <c r="A320" s="100"/>
      <c r="B320" s="101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</row>
    <row r="321" ht="15.75" customHeight="1">
      <c r="A321" s="100"/>
      <c r="B321" s="101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</row>
    <row r="322" ht="15.75" customHeight="1">
      <c r="A322" s="100"/>
      <c r="B322" s="101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</row>
    <row r="323" ht="15.75" customHeight="1">
      <c r="A323" s="100"/>
      <c r="B323" s="101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</row>
    <row r="324" ht="15.75" customHeight="1">
      <c r="A324" s="100"/>
      <c r="B324" s="101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</row>
    <row r="325" ht="15.75" customHeight="1">
      <c r="A325" s="100"/>
      <c r="B325" s="101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</row>
    <row r="326" ht="15.75" customHeight="1">
      <c r="A326" s="100"/>
      <c r="B326" s="101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</row>
    <row r="327" ht="15.75" customHeight="1">
      <c r="A327" s="100"/>
      <c r="B327" s="101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</row>
    <row r="328" ht="15.75" customHeight="1">
      <c r="A328" s="100"/>
      <c r="B328" s="101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</row>
    <row r="329" ht="15.75" customHeight="1">
      <c r="A329" s="100"/>
      <c r="B329" s="101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</row>
    <row r="330" ht="15.75" customHeight="1">
      <c r="A330" s="100"/>
      <c r="B330" s="101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</row>
    <row r="331" ht="15.75" customHeight="1">
      <c r="A331" s="100"/>
      <c r="B331" s="101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</row>
    <row r="332" ht="15.75" customHeight="1">
      <c r="A332" s="100"/>
      <c r="B332" s="101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</row>
    <row r="333" ht="15.75" customHeight="1">
      <c r="A333" s="100"/>
      <c r="B333" s="101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</row>
    <row r="334" ht="15.75" customHeight="1">
      <c r="A334" s="100"/>
      <c r="B334" s="101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</row>
    <row r="335" ht="15.75" customHeight="1">
      <c r="A335" s="100"/>
      <c r="B335" s="101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</row>
    <row r="336" ht="15.75" customHeight="1">
      <c r="A336" s="100"/>
      <c r="B336" s="101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</row>
    <row r="337" ht="15.75" customHeight="1">
      <c r="A337" s="100"/>
      <c r="B337" s="101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</row>
    <row r="338" ht="15.75" customHeight="1">
      <c r="A338" s="100"/>
      <c r="B338" s="101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</row>
    <row r="339" ht="15.75" customHeight="1">
      <c r="A339" s="100"/>
      <c r="B339" s="101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</row>
    <row r="340" ht="15.75" customHeight="1">
      <c r="A340" s="100"/>
      <c r="B340" s="101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</row>
    <row r="341" ht="15.75" customHeight="1">
      <c r="A341" s="100"/>
      <c r="B341" s="101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</row>
    <row r="342" ht="15.75" customHeight="1">
      <c r="A342" s="100"/>
      <c r="B342" s="101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</row>
    <row r="343" ht="15.75" customHeight="1">
      <c r="A343" s="100"/>
      <c r="B343" s="101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</row>
    <row r="344" ht="15.75" customHeight="1">
      <c r="A344" s="100"/>
      <c r="B344" s="101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</row>
    <row r="345" ht="15.75" customHeight="1">
      <c r="A345" s="100"/>
      <c r="B345" s="101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</row>
    <row r="346" ht="15.75" customHeight="1">
      <c r="A346" s="100"/>
      <c r="B346" s="101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</row>
    <row r="347" ht="15.75" customHeight="1">
      <c r="A347" s="100"/>
      <c r="B347" s="101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</row>
    <row r="348" ht="15.75" customHeight="1">
      <c r="A348" s="100"/>
      <c r="B348" s="101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</row>
    <row r="349" ht="15.75" customHeight="1">
      <c r="A349" s="100"/>
      <c r="B349" s="101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</row>
    <row r="350" ht="15.75" customHeight="1">
      <c r="A350" s="100"/>
      <c r="B350" s="101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</row>
    <row r="351" ht="15.75" customHeight="1">
      <c r="A351" s="100"/>
      <c r="B351" s="101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</row>
    <row r="352" ht="15.75" customHeight="1">
      <c r="A352" s="100"/>
      <c r="B352" s="101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</row>
    <row r="353" ht="15.75" customHeight="1">
      <c r="A353" s="100"/>
      <c r="B353" s="101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</row>
    <row r="354" ht="15.75" customHeight="1">
      <c r="A354" s="100"/>
      <c r="B354" s="101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</row>
    <row r="355" ht="15.75" customHeight="1">
      <c r="A355" s="100"/>
      <c r="B355" s="101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</row>
    <row r="356" ht="15.75" customHeight="1">
      <c r="A356" s="100"/>
      <c r="B356" s="101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</row>
    <row r="357" ht="15.75" customHeight="1">
      <c r="A357" s="100"/>
      <c r="B357" s="101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</row>
    <row r="358" ht="15.75" customHeight="1">
      <c r="A358" s="100"/>
      <c r="B358" s="101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</row>
    <row r="359" ht="15.75" customHeight="1">
      <c r="A359" s="100"/>
      <c r="B359" s="101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</row>
    <row r="360" ht="15.75" customHeight="1">
      <c r="A360" s="100"/>
      <c r="B360" s="101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</row>
    <row r="361" ht="15.75" customHeight="1">
      <c r="A361" s="100"/>
      <c r="B361" s="101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</row>
    <row r="362" ht="15.75" customHeight="1">
      <c r="A362" s="100"/>
      <c r="B362" s="101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</row>
    <row r="363" ht="15.75" customHeight="1">
      <c r="A363" s="100"/>
      <c r="B363" s="101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</row>
    <row r="364" ht="15.75" customHeight="1">
      <c r="A364" s="100"/>
      <c r="B364" s="101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</row>
    <row r="365" ht="15.75" customHeight="1">
      <c r="A365" s="100"/>
      <c r="B365" s="101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</row>
    <row r="366" ht="15.75" customHeight="1">
      <c r="A366" s="100"/>
      <c r="B366" s="101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</row>
    <row r="367" ht="15.75" customHeight="1">
      <c r="A367" s="100"/>
      <c r="B367" s="101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</row>
    <row r="368" ht="15.75" customHeight="1">
      <c r="A368" s="100"/>
      <c r="B368" s="101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</row>
    <row r="369" ht="15.75" customHeight="1">
      <c r="A369" s="100"/>
      <c r="B369" s="101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</row>
    <row r="370" ht="15.75" customHeight="1">
      <c r="A370" s="100"/>
      <c r="B370" s="101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</row>
    <row r="371" ht="15.75" customHeight="1">
      <c r="A371" s="100"/>
      <c r="B371" s="101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</row>
    <row r="372" ht="15.75" customHeight="1">
      <c r="A372" s="100"/>
      <c r="B372" s="101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</row>
    <row r="373" ht="15.75" customHeight="1">
      <c r="A373" s="100"/>
      <c r="B373" s="101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</row>
    <row r="374" ht="15.75" customHeight="1">
      <c r="A374" s="100"/>
      <c r="B374" s="101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</row>
    <row r="375" ht="15.75" customHeight="1">
      <c r="A375" s="100"/>
      <c r="B375" s="101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</row>
    <row r="376" ht="15.75" customHeight="1">
      <c r="A376" s="100"/>
      <c r="B376" s="101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</row>
    <row r="377" ht="15.75" customHeight="1">
      <c r="A377" s="100"/>
      <c r="B377" s="101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</row>
    <row r="378" ht="15.75" customHeight="1">
      <c r="A378" s="100"/>
      <c r="B378" s="101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</row>
    <row r="379" ht="15.75" customHeight="1">
      <c r="A379" s="100"/>
      <c r="B379" s="101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</row>
    <row r="380" ht="15.75" customHeight="1">
      <c r="A380" s="100"/>
      <c r="B380" s="101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</row>
    <row r="381" ht="15.75" customHeight="1">
      <c r="A381" s="100"/>
      <c r="B381" s="101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</row>
    <row r="382" ht="15.75" customHeight="1">
      <c r="A382" s="100"/>
      <c r="B382" s="101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</row>
    <row r="383" ht="15.75" customHeight="1">
      <c r="A383" s="100"/>
      <c r="B383" s="101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</row>
    <row r="384" ht="15.75" customHeight="1">
      <c r="A384" s="100"/>
      <c r="B384" s="101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</row>
    <row r="385" ht="15.75" customHeight="1">
      <c r="A385" s="100"/>
      <c r="B385" s="101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</row>
    <row r="386" ht="15.75" customHeight="1">
      <c r="A386" s="100"/>
      <c r="B386" s="101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</row>
    <row r="387" ht="15.75" customHeight="1">
      <c r="A387" s="100"/>
      <c r="B387" s="101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</row>
    <row r="388" ht="15.75" customHeight="1">
      <c r="A388" s="100"/>
      <c r="B388" s="101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</row>
    <row r="389" ht="15.75" customHeight="1">
      <c r="A389" s="100"/>
      <c r="B389" s="101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</row>
    <row r="390" ht="15.75" customHeight="1">
      <c r="A390" s="100"/>
      <c r="B390" s="101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</row>
    <row r="391" ht="15.75" customHeight="1">
      <c r="A391" s="100"/>
      <c r="B391" s="101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</row>
    <row r="392" ht="15.75" customHeight="1">
      <c r="A392" s="100"/>
      <c r="B392" s="101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</row>
    <row r="393" ht="15.75" customHeight="1">
      <c r="A393" s="100"/>
      <c r="B393" s="101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</row>
    <row r="394" ht="15.75" customHeight="1">
      <c r="A394" s="100"/>
      <c r="B394" s="101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</row>
    <row r="395" ht="15.75" customHeight="1">
      <c r="A395" s="100"/>
      <c r="B395" s="101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</row>
    <row r="396" ht="15.75" customHeight="1">
      <c r="A396" s="100"/>
      <c r="B396" s="101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</row>
    <row r="397" ht="15.75" customHeight="1">
      <c r="A397" s="100"/>
      <c r="B397" s="101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</row>
    <row r="398" ht="15.75" customHeight="1">
      <c r="A398" s="100"/>
      <c r="B398" s="101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</row>
    <row r="399" ht="15.75" customHeight="1">
      <c r="A399" s="100"/>
      <c r="B399" s="101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</row>
    <row r="400" ht="15.75" customHeight="1">
      <c r="A400" s="100"/>
      <c r="B400" s="101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</row>
    <row r="401" ht="15.75" customHeight="1">
      <c r="A401" s="100"/>
      <c r="B401" s="101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</row>
    <row r="402" ht="15.75" customHeight="1">
      <c r="A402" s="100"/>
      <c r="B402" s="101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</row>
    <row r="403" ht="15.75" customHeight="1">
      <c r="A403" s="100"/>
      <c r="B403" s="101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</row>
    <row r="404" ht="15.75" customHeight="1">
      <c r="A404" s="100"/>
      <c r="B404" s="101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</row>
    <row r="405" ht="15.75" customHeight="1">
      <c r="A405" s="100"/>
      <c r="B405" s="101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</row>
    <row r="406" ht="15.75" customHeight="1">
      <c r="A406" s="100"/>
      <c r="B406" s="101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</row>
    <row r="407" ht="15.75" customHeight="1">
      <c r="A407" s="100"/>
      <c r="B407" s="101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</row>
    <row r="408" ht="15.75" customHeight="1">
      <c r="A408" s="100"/>
      <c r="B408" s="101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</row>
    <row r="409" ht="15.75" customHeight="1">
      <c r="A409" s="100"/>
      <c r="B409" s="101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</row>
    <row r="410" ht="15.75" customHeight="1">
      <c r="A410" s="100"/>
      <c r="B410" s="101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</row>
    <row r="411" ht="15.75" customHeight="1">
      <c r="A411" s="100"/>
      <c r="B411" s="101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</row>
    <row r="412" ht="15.75" customHeight="1">
      <c r="A412" s="100"/>
      <c r="B412" s="101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</row>
    <row r="413" ht="15.75" customHeight="1">
      <c r="A413" s="100"/>
      <c r="B413" s="101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</row>
    <row r="414" ht="15.75" customHeight="1">
      <c r="A414" s="100"/>
      <c r="B414" s="101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</row>
    <row r="415" ht="15.75" customHeight="1">
      <c r="A415" s="100"/>
      <c r="B415" s="101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</row>
    <row r="416" ht="15.75" customHeight="1">
      <c r="A416" s="100"/>
      <c r="B416" s="101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</row>
    <row r="417" ht="15.75" customHeight="1">
      <c r="A417" s="100"/>
      <c r="B417" s="101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</row>
    <row r="418" ht="15.75" customHeight="1">
      <c r="A418" s="100"/>
      <c r="B418" s="101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</row>
    <row r="419" ht="15.75" customHeight="1">
      <c r="A419" s="100"/>
      <c r="B419" s="101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</row>
    <row r="420" ht="15.75" customHeight="1">
      <c r="A420" s="100"/>
      <c r="B420" s="101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</row>
    <row r="421" ht="15.75" customHeight="1">
      <c r="A421" s="100"/>
      <c r="B421" s="101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</row>
    <row r="422" ht="15.75" customHeight="1">
      <c r="A422" s="100"/>
      <c r="B422" s="101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</row>
    <row r="423" ht="15.75" customHeight="1">
      <c r="A423" s="100"/>
      <c r="B423" s="101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</row>
    <row r="424" ht="15.75" customHeight="1">
      <c r="A424" s="100"/>
      <c r="B424" s="101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</row>
    <row r="425" ht="15.75" customHeight="1">
      <c r="A425" s="100"/>
      <c r="B425" s="101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</row>
    <row r="426" ht="15.75" customHeight="1">
      <c r="A426" s="100"/>
      <c r="B426" s="101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</row>
    <row r="427" ht="15.75" customHeight="1">
      <c r="A427" s="100"/>
      <c r="B427" s="101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</row>
    <row r="428" ht="15.75" customHeight="1">
      <c r="A428" s="100"/>
      <c r="B428" s="101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</row>
    <row r="429" ht="15.75" customHeight="1">
      <c r="A429" s="100"/>
      <c r="B429" s="101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</row>
    <row r="430" ht="15.75" customHeight="1">
      <c r="A430" s="100"/>
      <c r="B430" s="101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</row>
    <row r="431" ht="15.75" customHeight="1">
      <c r="A431" s="100"/>
      <c r="B431" s="101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</row>
    <row r="432" ht="15.75" customHeight="1">
      <c r="A432" s="100"/>
      <c r="B432" s="101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</row>
    <row r="433" ht="15.75" customHeight="1">
      <c r="A433" s="100"/>
      <c r="B433" s="101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</row>
    <row r="434" ht="15.75" customHeight="1">
      <c r="A434" s="100"/>
      <c r="B434" s="101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</row>
    <row r="435" ht="15.75" customHeight="1">
      <c r="A435" s="100"/>
      <c r="B435" s="101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</row>
    <row r="436" ht="15.75" customHeight="1">
      <c r="A436" s="100"/>
      <c r="B436" s="101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</row>
    <row r="437" ht="15.75" customHeight="1">
      <c r="A437" s="100"/>
      <c r="B437" s="101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</row>
    <row r="438" ht="15.75" customHeight="1">
      <c r="A438" s="100"/>
      <c r="B438" s="101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</row>
    <row r="439" ht="15.75" customHeight="1">
      <c r="A439" s="100"/>
      <c r="B439" s="101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</row>
    <row r="440" ht="15.75" customHeight="1">
      <c r="A440" s="100"/>
      <c r="B440" s="101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</row>
    <row r="441" ht="15.75" customHeight="1">
      <c r="A441" s="100"/>
      <c r="B441" s="101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</row>
    <row r="442" ht="15.75" customHeight="1">
      <c r="A442" s="100"/>
      <c r="B442" s="101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</row>
    <row r="443" ht="15.75" customHeight="1">
      <c r="A443" s="100"/>
      <c r="B443" s="101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</row>
    <row r="444" ht="15.75" customHeight="1">
      <c r="A444" s="100"/>
      <c r="B444" s="101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</row>
    <row r="445" ht="15.75" customHeight="1">
      <c r="A445" s="100"/>
      <c r="B445" s="101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</row>
    <row r="446" ht="15.75" customHeight="1">
      <c r="A446" s="100"/>
      <c r="B446" s="101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</row>
    <row r="447" ht="15.75" customHeight="1">
      <c r="A447" s="100"/>
      <c r="B447" s="101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</row>
    <row r="448" ht="15.75" customHeight="1">
      <c r="A448" s="100"/>
      <c r="B448" s="101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</row>
    <row r="449" ht="15.75" customHeight="1">
      <c r="A449" s="100"/>
      <c r="B449" s="101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</row>
    <row r="450" ht="15.75" customHeight="1">
      <c r="A450" s="100"/>
      <c r="B450" s="101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</row>
    <row r="451" ht="15.75" customHeight="1">
      <c r="A451" s="100"/>
      <c r="B451" s="101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</row>
    <row r="452" ht="15.75" customHeight="1">
      <c r="A452" s="100"/>
      <c r="B452" s="101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</row>
    <row r="453" ht="15.75" customHeight="1">
      <c r="A453" s="100"/>
      <c r="B453" s="101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</row>
    <row r="454" ht="15.75" customHeight="1">
      <c r="A454" s="100"/>
      <c r="B454" s="101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</row>
    <row r="455" ht="15.75" customHeight="1">
      <c r="A455" s="100"/>
      <c r="B455" s="101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</row>
    <row r="456" ht="15.75" customHeight="1">
      <c r="A456" s="100"/>
      <c r="B456" s="101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</row>
    <row r="457" ht="15.75" customHeight="1">
      <c r="A457" s="100"/>
      <c r="B457" s="101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</row>
    <row r="458" ht="15.75" customHeight="1">
      <c r="A458" s="100"/>
      <c r="B458" s="101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</row>
    <row r="459" ht="15.75" customHeight="1">
      <c r="A459" s="100"/>
      <c r="B459" s="101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</row>
    <row r="460" ht="15.75" customHeight="1">
      <c r="A460" s="100"/>
      <c r="B460" s="101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</row>
    <row r="461" ht="15.75" customHeight="1">
      <c r="A461" s="100"/>
      <c r="B461" s="101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</row>
    <row r="462" ht="15.75" customHeight="1">
      <c r="A462" s="100"/>
      <c r="B462" s="101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</row>
    <row r="463" ht="15.75" customHeight="1">
      <c r="A463" s="100"/>
      <c r="B463" s="101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</row>
    <row r="464" ht="15.75" customHeight="1">
      <c r="A464" s="100"/>
      <c r="B464" s="101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</row>
    <row r="465" ht="15.75" customHeight="1">
      <c r="A465" s="100"/>
      <c r="B465" s="101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</row>
    <row r="466" ht="15.75" customHeight="1">
      <c r="A466" s="100"/>
      <c r="B466" s="101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</row>
    <row r="467" ht="15.75" customHeight="1">
      <c r="A467" s="100"/>
      <c r="B467" s="101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</row>
    <row r="468" ht="15.75" customHeight="1">
      <c r="A468" s="100"/>
      <c r="B468" s="101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</row>
    <row r="469" ht="15.75" customHeight="1">
      <c r="A469" s="100"/>
      <c r="B469" s="101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</row>
    <row r="470" ht="15.75" customHeight="1">
      <c r="A470" s="100"/>
      <c r="B470" s="101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</row>
    <row r="471" ht="15.75" customHeight="1">
      <c r="A471" s="100"/>
      <c r="B471" s="101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</row>
    <row r="472" ht="15.75" customHeight="1">
      <c r="A472" s="100"/>
      <c r="B472" s="101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</row>
    <row r="473" ht="15.75" customHeight="1">
      <c r="A473" s="100"/>
      <c r="B473" s="101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</row>
    <row r="474" ht="15.75" customHeight="1">
      <c r="A474" s="100"/>
      <c r="B474" s="101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</row>
    <row r="475" ht="15.75" customHeight="1">
      <c r="A475" s="100"/>
      <c r="B475" s="101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</row>
    <row r="476" ht="15.75" customHeight="1">
      <c r="A476" s="100"/>
      <c r="B476" s="101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</row>
    <row r="477" ht="15.75" customHeight="1">
      <c r="A477" s="100"/>
      <c r="B477" s="101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</row>
    <row r="478" ht="15.75" customHeight="1">
      <c r="A478" s="100"/>
      <c r="B478" s="101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</row>
    <row r="479" ht="15.75" customHeight="1">
      <c r="A479" s="100"/>
      <c r="B479" s="101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</row>
    <row r="480" ht="15.75" customHeight="1">
      <c r="A480" s="100"/>
      <c r="B480" s="101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</row>
    <row r="481" ht="15.75" customHeight="1">
      <c r="A481" s="100"/>
      <c r="B481" s="101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</row>
    <row r="482" ht="15.75" customHeight="1">
      <c r="A482" s="100"/>
      <c r="B482" s="101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</row>
    <row r="483" ht="15.75" customHeight="1">
      <c r="A483" s="100"/>
      <c r="B483" s="101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</row>
    <row r="484" ht="15.75" customHeight="1">
      <c r="A484" s="100"/>
      <c r="B484" s="101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</row>
    <row r="485" ht="15.75" customHeight="1">
      <c r="A485" s="100"/>
      <c r="B485" s="101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</row>
    <row r="486" ht="15.75" customHeight="1">
      <c r="A486" s="100"/>
      <c r="B486" s="101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</row>
    <row r="487" ht="15.75" customHeight="1">
      <c r="A487" s="100"/>
      <c r="B487" s="101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</row>
    <row r="488" ht="15.75" customHeight="1">
      <c r="A488" s="100"/>
      <c r="B488" s="101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</row>
    <row r="489" ht="15.75" customHeight="1">
      <c r="A489" s="100"/>
      <c r="B489" s="101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</row>
    <row r="490" ht="15.75" customHeight="1">
      <c r="A490" s="100"/>
      <c r="B490" s="101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</row>
    <row r="491" ht="15.75" customHeight="1">
      <c r="A491" s="100"/>
      <c r="B491" s="101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</row>
    <row r="492" ht="15.75" customHeight="1">
      <c r="A492" s="100"/>
      <c r="B492" s="101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</row>
    <row r="493" ht="15.75" customHeight="1">
      <c r="A493" s="100"/>
      <c r="B493" s="101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</row>
    <row r="494" ht="15.75" customHeight="1">
      <c r="A494" s="100"/>
      <c r="B494" s="101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</row>
    <row r="495" ht="15.75" customHeight="1">
      <c r="A495" s="100"/>
      <c r="B495" s="101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</row>
    <row r="496" ht="15.75" customHeight="1">
      <c r="A496" s="100"/>
      <c r="B496" s="101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</row>
    <row r="497" ht="15.75" customHeight="1">
      <c r="A497" s="100"/>
      <c r="B497" s="101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</row>
    <row r="498" ht="15.75" customHeight="1">
      <c r="A498" s="100"/>
      <c r="B498" s="101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</row>
    <row r="499" ht="15.75" customHeight="1">
      <c r="A499" s="100"/>
      <c r="B499" s="101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</row>
    <row r="500" ht="15.75" customHeight="1">
      <c r="A500" s="100"/>
      <c r="B500" s="101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</row>
    <row r="501" ht="15.75" customHeight="1">
      <c r="A501" s="100"/>
      <c r="B501" s="101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</row>
    <row r="502" ht="15.75" customHeight="1">
      <c r="A502" s="100"/>
      <c r="B502" s="101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</row>
    <row r="503" ht="15.75" customHeight="1">
      <c r="A503" s="100"/>
      <c r="B503" s="101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</row>
    <row r="504" ht="15.75" customHeight="1">
      <c r="A504" s="100"/>
      <c r="B504" s="101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</row>
    <row r="505" ht="15.75" customHeight="1">
      <c r="A505" s="100"/>
      <c r="B505" s="101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</row>
    <row r="506" ht="15.75" customHeight="1">
      <c r="A506" s="100"/>
      <c r="B506" s="101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</row>
    <row r="507" ht="15.75" customHeight="1">
      <c r="A507" s="100"/>
      <c r="B507" s="101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</row>
    <row r="508" ht="15.75" customHeight="1">
      <c r="A508" s="100"/>
      <c r="B508" s="101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</row>
    <row r="509" ht="15.75" customHeight="1">
      <c r="A509" s="100"/>
      <c r="B509" s="101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</row>
    <row r="510" ht="15.75" customHeight="1">
      <c r="A510" s="100"/>
      <c r="B510" s="101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</row>
    <row r="511" ht="15.75" customHeight="1">
      <c r="A511" s="100"/>
      <c r="B511" s="101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</row>
    <row r="512" ht="15.75" customHeight="1">
      <c r="A512" s="100"/>
      <c r="B512" s="101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</row>
    <row r="513" ht="15.75" customHeight="1">
      <c r="A513" s="100"/>
      <c r="B513" s="101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</row>
    <row r="514" ht="15.75" customHeight="1">
      <c r="A514" s="100"/>
      <c r="B514" s="101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</row>
    <row r="515" ht="15.75" customHeight="1">
      <c r="A515" s="100"/>
      <c r="B515" s="101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</row>
    <row r="516" ht="15.75" customHeight="1">
      <c r="A516" s="100"/>
      <c r="B516" s="101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</row>
    <row r="517" ht="15.75" customHeight="1">
      <c r="A517" s="100"/>
      <c r="B517" s="101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</row>
    <row r="518" ht="15.75" customHeight="1">
      <c r="A518" s="100"/>
      <c r="B518" s="101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</row>
    <row r="519" ht="15.75" customHeight="1">
      <c r="A519" s="100"/>
      <c r="B519" s="101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</row>
    <row r="520" ht="15.75" customHeight="1">
      <c r="A520" s="100"/>
      <c r="B520" s="101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</row>
    <row r="521" ht="15.75" customHeight="1">
      <c r="A521" s="100"/>
      <c r="B521" s="101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</row>
    <row r="522" ht="15.75" customHeight="1">
      <c r="A522" s="100"/>
      <c r="B522" s="101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</row>
    <row r="523" ht="15.75" customHeight="1">
      <c r="A523" s="100"/>
      <c r="B523" s="101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</row>
    <row r="524" ht="15.75" customHeight="1">
      <c r="A524" s="100"/>
      <c r="B524" s="101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</row>
    <row r="525" ht="15.75" customHeight="1">
      <c r="A525" s="100"/>
      <c r="B525" s="101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</row>
    <row r="526" ht="15.75" customHeight="1">
      <c r="A526" s="100"/>
      <c r="B526" s="101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</row>
    <row r="527" ht="15.75" customHeight="1">
      <c r="A527" s="100"/>
      <c r="B527" s="101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</row>
    <row r="528" ht="15.75" customHeight="1">
      <c r="A528" s="100"/>
      <c r="B528" s="101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</row>
    <row r="529" ht="15.75" customHeight="1">
      <c r="A529" s="100"/>
      <c r="B529" s="101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</row>
    <row r="530" ht="15.75" customHeight="1">
      <c r="A530" s="100"/>
      <c r="B530" s="101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</row>
    <row r="531" ht="15.75" customHeight="1">
      <c r="A531" s="100"/>
      <c r="B531" s="101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</row>
    <row r="532" ht="15.75" customHeight="1">
      <c r="A532" s="100"/>
      <c r="B532" s="101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</row>
    <row r="533" ht="15.75" customHeight="1">
      <c r="A533" s="100"/>
      <c r="B533" s="101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</row>
    <row r="534" ht="15.75" customHeight="1">
      <c r="A534" s="100"/>
      <c r="B534" s="101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</row>
    <row r="535" ht="15.75" customHeight="1">
      <c r="A535" s="100"/>
      <c r="B535" s="101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</row>
    <row r="536" ht="15.75" customHeight="1">
      <c r="A536" s="100"/>
      <c r="B536" s="101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</row>
    <row r="537" ht="15.75" customHeight="1">
      <c r="A537" s="100"/>
      <c r="B537" s="101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</row>
    <row r="538" ht="15.75" customHeight="1">
      <c r="A538" s="100"/>
      <c r="B538" s="101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</row>
    <row r="539" ht="15.75" customHeight="1">
      <c r="A539" s="100"/>
      <c r="B539" s="101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</row>
    <row r="540" ht="15.75" customHeight="1">
      <c r="A540" s="100"/>
      <c r="B540" s="101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</row>
    <row r="541" ht="15.75" customHeight="1">
      <c r="A541" s="100"/>
      <c r="B541" s="101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</row>
    <row r="542" ht="15.75" customHeight="1">
      <c r="A542" s="100"/>
      <c r="B542" s="101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</row>
    <row r="543" ht="15.75" customHeight="1">
      <c r="A543" s="100"/>
      <c r="B543" s="101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</row>
    <row r="544" ht="15.75" customHeight="1">
      <c r="A544" s="100"/>
      <c r="B544" s="101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</row>
    <row r="545" ht="15.75" customHeight="1">
      <c r="A545" s="100"/>
      <c r="B545" s="101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</row>
    <row r="546" ht="15.75" customHeight="1">
      <c r="A546" s="100"/>
      <c r="B546" s="101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</row>
    <row r="547" ht="15.75" customHeight="1">
      <c r="A547" s="100"/>
      <c r="B547" s="101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</row>
    <row r="548" ht="15.75" customHeight="1">
      <c r="A548" s="100"/>
      <c r="B548" s="101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</row>
    <row r="549" ht="15.75" customHeight="1">
      <c r="A549" s="100"/>
      <c r="B549" s="101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</row>
    <row r="550" ht="15.75" customHeight="1">
      <c r="A550" s="100"/>
      <c r="B550" s="101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</row>
    <row r="551" ht="15.75" customHeight="1">
      <c r="A551" s="100"/>
      <c r="B551" s="101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</row>
    <row r="552" ht="15.75" customHeight="1">
      <c r="A552" s="100"/>
      <c r="B552" s="101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</row>
    <row r="553" ht="15.75" customHeight="1">
      <c r="A553" s="100"/>
      <c r="B553" s="101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</row>
    <row r="554" ht="15.75" customHeight="1">
      <c r="A554" s="100"/>
      <c r="B554" s="101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</row>
    <row r="555" ht="15.75" customHeight="1">
      <c r="A555" s="100"/>
      <c r="B555" s="101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</row>
    <row r="556" ht="15.75" customHeight="1">
      <c r="A556" s="100"/>
      <c r="B556" s="101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</row>
    <row r="557" ht="15.75" customHeight="1">
      <c r="A557" s="100"/>
      <c r="B557" s="101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</row>
    <row r="558" ht="15.75" customHeight="1">
      <c r="A558" s="100"/>
      <c r="B558" s="101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</row>
    <row r="559" ht="15.75" customHeight="1">
      <c r="A559" s="100"/>
      <c r="B559" s="101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</row>
    <row r="560" ht="15.75" customHeight="1">
      <c r="A560" s="100"/>
      <c r="B560" s="101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</row>
    <row r="561" ht="15.75" customHeight="1">
      <c r="A561" s="100"/>
      <c r="B561" s="101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</row>
    <row r="562" ht="15.75" customHeight="1">
      <c r="A562" s="100"/>
      <c r="B562" s="101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</row>
    <row r="563" ht="15.75" customHeight="1">
      <c r="A563" s="100"/>
      <c r="B563" s="101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</row>
    <row r="564" ht="15.75" customHeight="1">
      <c r="A564" s="100"/>
      <c r="B564" s="101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</row>
    <row r="565" ht="15.75" customHeight="1">
      <c r="A565" s="100"/>
      <c r="B565" s="101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</row>
    <row r="566" ht="15.75" customHeight="1">
      <c r="A566" s="100"/>
      <c r="B566" s="101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</row>
    <row r="567" ht="15.75" customHeight="1">
      <c r="A567" s="100"/>
      <c r="B567" s="101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</row>
    <row r="568" ht="15.75" customHeight="1">
      <c r="A568" s="100"/>
      <c r="B568" s="101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</row>
    <row r="569" ht="15.75" customHeight="1">
      <c r="A569" s="100"/>
      <c r="B569" s="101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</row>
    <row r="570" ht="15.75" customHeight="1">
      <c r="A570" s="100"/>
      <c r="B570" s="101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</row>
    <row r="571" ht="15.75" customHeight="1">
      <c r="A571" s="100"/>
      <c r="B571" s="101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</row>
    <row r="572" ht="15.75" customHeight="1">
      <c r="A572" s="100"/>
      <c r="B572" s="101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</row>
    <row r="573" ht="15.75" customHeight="1">
      <c r="A573" s="100"/>
      <c r="B573" s="101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</row>
    <row r="574" ht="15.75" customHeight="1">
      <c r="A574" s="100"/>
      <c r="B574" s="101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</row>
    <row r="575" ht="15.75" customHeight="1">
      <c r="A575" s="100"/>
      <c r="B575" s="101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</row>
    <row r="576" ht="15.75" customHeight="1">
      <c r="A576" s="100"/>
      <c r="B576" s="101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</row>
    <row r="577" ht="15.75" customHeight="1">
      <c r="A577" s="100"/>
      <c r="B577" s="101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</row>
    <row r="578" ht="15.75" customHeight="1">
      <c r="A578" s="100"/>
      <c r="B578" s="101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</row>
    <row r="579" ht="15.75" customHeight="1">
      <c r="A579" s="100"/>
      <c r="B579" s="101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</row>
    <row r="580" ht="15.75" customHeight="1">
      <c r="A580" s="100"/>
      <c r="B580" s="101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</row>
    <row r="581" ht="15.75" customHeight="1">
      <c r="A581" s="100"/>
      <c r="B581" s="101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</row>
    <row r="582" ht="15.75" customHeight="1">
      <c r="A582" s="100"/>
      <c r="B582" s="101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</row>
    <row r="583" ht="15.75" customHeight="1">
      <c r="A583" s="100"/>
      <c r="B583" s="101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</row>
    <row r="584" ht="15.75" customHeight="1">
      <c r="A584" s="100"/>
      <c r="B584" s="101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</row>
    <row r="585" ht="15.75" customHeight="1">
      <c r="A585" s="100"/>
      <c r="B585" s="101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</row>
    <row r="586" ht="15.75" customHeight="1">
      <c r="A586" s="100"/>
      <c r="B586" s="101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</row>
    <row r="587" ht="15.75" customHeight="1">
      <c r="A587" s="100"/>
      <c r="B587" s="101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</row>
    <row r="588" ht="15.75" customHeight="1">
      <c r="A588" s="100"/>
      <c r="B588" s="101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</row>
    <row r="589" ht="15.75" customHeight="1">
      <c r="A589" s="100"/>
      <c r="B589" s="101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</row>
    <row r="590" ht="15.75" customHeight="1">
      <c r="A590" s="100"/>
      <c r="B590" s="101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</row>
    <row r="591" ht="15.75" customHeight="1">
      <c r="A591" s="100"/>
      <c r="B591" s="101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</row>
    <row r="592" ht="15.75" customHeight="1">
      <c r="A592" s="100"/>
      <c r="B592" s="101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</row>
    <row r="593" ht="15.75" customHeight="1">
      <c r="A593" s="100"/>
      <c r="B593" s="101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</row>
    <row r="594" ht="15.75" customHeight="1">
      <c r="A594" s="100"/>
      <c r="B594" s="101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</row>
    <row r="595" ht="15.75" customHeight="1">
      <c r="A595" s="100"/>
      <c r="B595" s="101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</row>
    <row r="596" ht="15.75" customHeight="1">
      <c r="A596" s="100"/>
      <c r="B596" s="101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</row>
    <row r="597" ht="15.75" customHeight="1">
      <c r="A597" s="100"/>
      <c r="B597" s="101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</row>
    <row r="598" ht="15.75" customHeight="1">
      <c r="A598" s="100"/>
      <c r="B598" s="101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</row>
    <row r="599" ht="15.75" customHeight="1">
      <c r="A599" s="100"/>
      <c r="B599" s="101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</row>
    <row r="600" ht="15.75" customHeight="1">
      <c r="A600" s="100"/>
      <c r="B600" s="101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</row>
    <row r="601" ht="15.75" customHeight="1">
      <c r="A601" s="100"/>
      <c r="B601" s="101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</row>
    <row r="602" ht="15.75" customHeight="1">
      <c r="A602" s="100"/>
      <c r="B602" s="101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</row>
    <row r="603" ht="15.75" customHeight="1">
      <c r="A603" s="100"/>
      <c r="B603" s="101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</row>
    <row r="604" ht="15.75" customHeight="1">
      <c r="A604" s="100"/>
      <c r="B604" s="101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</row>
    <row r="605" ht="15.75" customHeight="1">
      <c r="A605" s="100"/>
      <c r="B605" s="101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</row>
    <row r="606" ht="15.75" customHeight="1">
      <c r="A606" s="100"/>
      <c r="B606" s="101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</row>
    <row r="607" ht="15.75" customHeight="1">
      <c r="A607" s="100"/>
      <c r="B607" s="101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</row>
    <row r="608" ht="15.75" customHeight="1">
      <c r="A608" s="100"/>
      <c r="B608" s="101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</row>
    <row r="609" ht="15.75" customHeight="1">
      <c r="A609" s="100"/>
      <c r="B609" s="101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</row>
    <row r="610" ht="15.75" customHeight="1">
      <c r="A610" s="100"/>
      <c r="B610" s="101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</row>
    <row r="611" ht="15.75" customHeight="1">
      <c r="A611" s="100"/>
      <c r="B611" s="101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20" priority="1" operator="containsText" text="↑">
      <formula>NOT(ISERROR(SEARCH(("↑"),(A13))))</formula>
    </cfRule>
  </conditionalFormatting>
  <conditionalFormatting sqref="B13:B48 C13:W16">
    <cfRule type="expression" dxfId="21" priority="2">
      <formula>ROW()&lt;=16</formula>
    </cfRule>
  </conditionalFormatting>
  <conditionalFormatting sqref="B47:W48">
    <cfRule type="expression" dxfId="22" priority="3">
      <formula>ROW()&gt;=47</formula>
    </cfRule>
  </conditionalFormatting>
  <conditionalFormatting sqref="A13:A611">
    <cfRule type="containsText" dxfId="23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24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5" width="13.33"/>
  </cols>
  <sheetData>
    <row r="1">
      <c r="A1" s="106" t="s">
        <v>245</v>
      </c>
      <c r="B1" s="106" t="s">
        <v>246</v>
      </c>
      <c r="C1" s="106" t="s">
        <v>247</v>
      </c>
      <c r="D1" s="106" t="s">
        <v>248</v>
      </c>
      <c r="E1" s="106" t="s">
        <v>249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106">
        <v>1.0</v>
      </c>
      <c r="B2" s="108" t="str">
        <f>LEAGUE_STANDINGS!D13</f>
        <v/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6">
        <v>2.0</v>
      </c>
      <c r="B3" s="107"/>
      <c r="C3" s="109" t="str">
        <f>LEAGUE_STANDINGS!D14</f>
        <v/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06">
        <v>3.0</v>
      </c>
      <c r="B4" s="107"/>
      <c r="C4" s="107"/>
      <c r="D4" s="110" t="str">
        <f>LEAGUE_STANDINGS!D15</f>
        <v/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06">
        <v>4.0</v>
      </c>
      <c r="B5" s="107"/>
      <c r="C5" s="107"/>
      <c r="D5" s="107"/>
      <c r="E5" s="107" t="str">
        <f>LEAGUE_STANDINGS!D16</f>
        <v/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106">
        <v>5.0</v>
      </c>
      <c r="B6" s="107"/>
      <c r="C6" s="107"/>
      <c r="D6" s="107"/>
      <c r="E6" s="107" t="str">
        <f>LEAGUE_STANDINGS!D17</f>
        <v/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6">
        <v>6.0</v>
      </c>
      <c r="B7" s="107"/>
      <c r="C7" s="107"/>
      <c r="D7" s="110" t="str">
        <f>LEAGUE_STANDINGS!D18</f>
        <v/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6">
        <v>7.0</v>
      </c>
      <c r="B8" s="107"/>
      <c r="C8" s="109" t="str">
        <f>LEAGUE_STANDINGS!D19</f>
        <v/>
      </c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6">
        <v>8.0</v>
      </c>
      <c r="B9" s="108" t="str">
        <f>LEAGUE_STANDINGS!D20</f>
        <v/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6">
        <v>9.0</v>
      </c>
      <c r="B10" s="108" t="str">
        <f>LEAGUE_STANDINGS!D21</f>
        <v/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6">
        <v>10.0</v>
      </c>
      <c r="B11" s="107"/>
      <c r="C11" s="109" t="str">
        <f>LEAGUE_STANDINGS!D22</f>
        <v/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6">
        <v>11.0</v>
      </c>
      <c r="B12" s="107"/>
      <c r="C12" s="107"/>
      <c r="D12" s="110" t="str">
        <f>LEAGUE_STANDINGS!D23</f>
        <v/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6">
        <v>12.0</v>
      </c>
      <c r="B13" s="107"/>
      <c r="C13" s="107"/>
      <c r="D13" s="107"/>
      <c r="E13" s="107" t="str">
        <f>LEAGUE_STANDINGS!D24</f>
        <v/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6">
        <v>13.0</v>
      </c>
      <c r="B14" s="107"/>
      <c r="C14" s="107"/>
      <c r="D14" s="107"/>
      <c r="E14" s="107" t="str">
        <f>LEAGUE_STANDINGS!D25</f>
        <v/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6">
        <v>14.0</v>
      </c>
      <c r="B15" s="107"/>
      <c r="C15" s="107"/>
      <c r="D15" s="110" t="str">
        <f>LEAGUE_STANDINGS!D26</f>
        <v/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6">
        <v>15.0</v>
      </c>
      <c r="B16" s="107"/>
      <c r="C16" s="109" t="str">
        <f>LEAGUE_STANDINGS!D27</f>
        <v/>
      </c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6">
        <v>16.0</v>
      </c>
      <c r="B17" s="108" t="str">
        <f>LEAGUE_STANDINGS!D28</f>
        <v/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6">
        <v>17.0</v>
      </c>
      <c r="B18" s="108" t="str">
        <f>LEAGUE_STANDINGS!D29</f>
        <v/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6">
        <v>18.0</v>
      </c>
      <c r="B19" s="107"/>
      <c r="C19" s="109" t="str">
        <f>LEAGUE_STANDINGS!D30</f>
        <v/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6">
        <v>19.0</v>
      </c>
      <c r="B20" s="107"/>
      <c r="C20" s="107"/>
      <c r="D20" s="110" t="str">
        <f>LEAGUE_STANDINGS!D31</f>
        <v/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6">
        <v>20.0</v>
      </c>
      <c r="B21" s="107"/>
      <c r="C21" s="107"/>
      <c r="D21" s="107"/>
      <c r="E21" s="107" t="str">
        <f>LEAGUE_STANDINGS!D32</f>
        <v/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6">
        <v>21.0</v>
      </c>
      <c r="B22" s="107"/>
      <c r="C22" s="107"/>
      <c r="D22" s="107"/>
      <c r="E22" s="107" t="str">
        <f>LEAGUE_STANDINGS!D33</f>
        <v/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6">
        <v>22.0</v>
      </c>
      <c r="B23" s="107"/>
      <c r="C23" s="107"/>
      <c r="D23" s="110" t="str">
        <f>LEAGUE_STANDINGS!D34</f>
        <v/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6">
        <v>23.0</v>
      </c>
      <c r="B24" s="107"/>
      <c r="C24" s="109" t="str">
        <f>LEAGUE_STANDINGS!D35</f>
        <v/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6">
        <v>24.0</v>
      </c>
      <c r="B25" s="108" t="str">
        <f>LEAGUE_STANDINGS!D36</f>
        <v/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6">
        <v>25.0</v>
      </c>
      <c r="B26" s="108" t="str">
        <f>LEAGUE_STANDINGS!D37</f>
        <v/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6">
        <v>26.0</v>
      </c>
      <c r="B27" s="107"/>
      <c r="C27" s="109" t="str">
        <f>LEAGUE_STANDINGS!D38</f>
        <v/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6">
        <v>27.0</v>
      </c>
      <c r="B28" s="107"/>
      <c r="C28" s="107"/>
      <c r="D28" s="110" t="str">
        <f>LEAGUE_STANDINGS!D39</f>
        <v/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6">
        <v>28.0</v>
      </c>
      <c r="B29" s="107"/>
      <c r="C29" s="107"/>
      <c r="D29" s="107"/>
      <c r="E29" s="107" t="str">
        <f>LEAGUE_STANDINGS!D40</f>
        <v/>
      </c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6">
        <v>29.0</v>
      </c>
      <c r="B30" s="107"/>
      <c r="C30" s="107"/>
      <c r="D30" s="107"/>
      <c r="E30" s="107" t="str">
        <f>LEAGUE_STANDINGS!D41</f>
        <v/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6">
        <v>30.0</v>
      </c>
      <c r="B31" s="107"/>
      <c r="C31" s="107"/>
      <c r="D31" s="110" t="str">
        <f>LEAGUE_STANDINGS!D42</f>
        <v/>
      </c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6">
        <v>31.0</v>
      </c>
      <c r="B32" s="107"/>
      <c r="C32" s="109" t="str">
        <f>LEAGUE_STANDINGS!D43</f>
        <v/>
      </c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6">
        <v>32.0</v>
      </c>
      <c r="B33" s="108" t="str">
        <f>LEAGUE_STANDINGS!D44</f>
        <v/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6">
        <v>33.0</v>
      </c>
      <c r="B34" s="108" t="str">
        <f>LEAGUE_STANDINGS!D45</f>
        <v/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6">
        <v>34.0</v>
      </c>
      <c r="B35" s="107"/>
      <c r="C35" s="109" t="str">
        <f>LEAGUE_STANDINGS!D46</f>
        <v/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6">
        <v>35.0</v>
      </c>
      <c r="B36" s="107"/>
      <c r="C36" s="107"/>
      <c r="D36" s="110" t="str">
        <f>LEAGUE_STANDINGS!D47</f>
        <v/>
      </c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6">
        <v>36.0</v>
      </c>
      <c r="B37" s="107"/>
      <c r="C37" s="107"/>
      <c r="D37" s="107"/>
      <c r="E37" s="107" t="str">
        <f>LEAGUE_STANDINGS!D48</f>
        <v/>
      </c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</sheetData>
  <conditionalFormatting sqref="B2:B37">
    <cfRule type="notContainsBlanks" dxfId="14" priority="1">
      <formula>LEN(TRIM(B2))&gt;0</formula>
    </cfRule>
  </conditionalFormatting>
  <conditionalFormatting sqref="C2:C37">
    <cfRule type="notContainsBlanks" dxfId="25" priority="2">
      <formula>LEN(TRIM(C2))&gt;0</formula>
    </cfRule>
  </conditionalFormatting>
  <conditionalFormatting sqref="D2:D37">
    <cfRule type="notContainsBlanks" dxfId="26" priority="3">
      <formula>LEN(TRIM(D2))&gt;0</formula>
    </cfRule>
  </conditionalFormatting>
  <conditionalFormatting sqref="E2:E37">
    <cfRule type="notContainsBlanks" dxfId="27" priority="4">
      <formula>LEN(TRIM(E2))&gt;0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1.56"/>
    <col customWidth="1" min="3" max="4" width="13.67"/>
    <col customWidth="1" min="5" max="5" width="13.33"/>
    <col customWidth="1" min="6" max="6" width="10.33"/>
    <col customWidth="1" min="7" max="7" width="2.89"/>
    <col customWidth="1" min="8" max="8" width="13.44"/>
    <col customWidth="1" min="9" max="9" width="2.89"/>
  </cols>
  <sheetData>
    <row r="1" ht="18.7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ht="18.75" customHeight="1">
      <c r="A2" s="107"/>
      <c r="B2" s="111" t="s">
        <v>250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ht="18.75" customHeight="1">
      <c r="A3" s="107"/>
      <c r="B3" s="112" t="str">
        <f t="array" ref="B3">IFERROR(INDEX(LEAGUE_STANDINGS!$D$13:$D$100, ROWS($A$1:A1) * 4 - 3), "")</f>
        <v/>
      </c>
      <c r="C3" s="113" t="str">
        <f t="array" ref="C3">IFERROR(INDEX(LEAGUE_STANDINGS!$D$13:$D$100, ROWS($A$1:A1) * 4 - 2), "")</f>
        <v/>
      </c>
      <c r="D3" s="114" t="str">
        <f t="array" ref="D3">IFERROR(INDEX(LEAGUE_STANDINGS!$D$13:$D$100, ROWS($A$1:A1) * 4 - 1), "")</f>
        <v/>
      </c>
      <c r="E3" s="115" t="str">
        <f t="array" ref="E3">IFERROR(INDEX(LEAGUE_STANDINGS!$D$13:$D$100, ROWS($A$1:A1) * 4), "")</f>
        <v/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ht="18.75" customHeight="1">
      <c r="A4" s="107"/>
      <c r="B4" s="112" t="str">
        <f t="array" ref="B4">IFERROR(INDEX(LEAGUE_STANDINGS!$D$13:$D$100, ROWS($A$1:A2) * 4 - 3), "")</f>
        <v/>
      </c>
      <c r="C4" s="113" t="str">
        <f t="array" ref="C4">IFERROR(INDEX(LEAGUE_STANDINGS!$D$13:$D$100, ROWS($A$1:A2) * 4 - 2), "")</f>
        <v/>
      </c>
      <c r="D4" s="114" t="str">
        <f t="array" ref="D4">IFERROR(INDEX(LEAGUE_STANDINGS!$D$13:$D$100, ROWS($A$1:A2) * 4 - 1), "")</f>
        <v/>
      </c>
      <c r="E4" s="115" t="str">
        <f t="array" ref="E4">IFERROR(INDEX(LEAGUE_STANDINGS!$D$13:$D$100, ROWS($A$1:A2) * 4), "")</f>
        <v/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ht="18.75" customHeight="1">
      <c r="A5" s="107"/>
      <c r="B5" s="112" t="str">
        <f t="array" ref="B5">IFERROR(INDEX(LEAGUE_STANDINGS!$D$13:$D$100, ROWS($A$1:A3) * 4 - 3), "")</f>
        <v/>
      </c>
      <c r="C5" s="113" t="str">
        <f t="array" ref="C5">IFERROR(INDEX(LEAGUE_STANDINGS!$D$13:$D$100, ROWS($A$1:A3) * 4 - 2), "")</f>
        <v/>
      </c>
      <c r="D5" s="114" t="str">
        <f t="array" ref="D5">IFERROR(INDEX(LEAGUE_STANDINGS!$D$13:$D$100, ROWS($A$1:A3) * 4 - 1), "")</f>
        <v/>
      </c>
      <c r="E5" s="115" t="str">
        <f t="array" ref="E5">IFERROR(INDEX(LEAGUE_STANDINGS!$D$13:$D$100, ROWS($A$1:A3) * 4), "")</f>
        <v/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ht="18.75" customHeight="1">
      <c r="A6" s="107"/>
      <c r="B6" s="112" t="str">
        <f t="array" ref="B6">IFERROR(INDEX(LEAGUE_STANDINGS!$D$13:$D$100, ROWS($A$1:A4) * 4 - 3), "")</f>
        <v/>
      </c>
      <c r="C6" s="113" t="str">
        <f t="array" ref="C6">IFERROR(INDEX(LEAGUE_STANDINGS!$D$13:$D$100, ROWS($A$1:A4) * 4 - 2), "")</f>
        <v/>
      </c>
      <c r="D6" s="114" t="str">
        <f t="array" ref="D6">IFERROR(INDEX(LEAGUE_STANDINGS!$D$13:$D$100, ROWS($A$1:A4) * 4 - 1), "")</f>
        <v/>
      </c>
      <c r="E6" s="115" t="str">
        <f t="array" ref="E6">IFERROR(INDEX(LEAGUE_STANDINGS!$D$13:$D$100, ROWS($A$1:A4) * 4), "")</f>
        <v/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ht="18.75" customHeight="1">
      <c r="A7" s="107"/>
      <c r="B7" s="112" t="str">
        <f t="array" ref="B7">IFERROR(INDEX(LEAGUE_STANDINGS!$D$13:$D$100, ROWS($A$1:A5) * 4 - 3), "")</f>
        <v/>
      </c>
      <c r="C7" s="113" t="str">
        <f t="array" ref="C7">IFERROR(INDEX(LEAGUE_STANDINGS!$D$13:$D$100, ROWS($A$1:A5) * 4 - 2), "")</f>
        <v/>
      </c>
      <c r="D7" s="114" t="str">
        <f t="array" ref="D7">IFERROR(INDEX(LEAGUE_STANDINGS!$D$13:$D$100, ROWS($A$1:A5) * 4 - 1), "")</f>
        <v/>
      </c>
      <c r="E7" s="115" t="str">
        <f t="array" ref="E7">IFERROR(INDEX(LEAGUE_STANDINGS!$D$13:$D$100, ROWS($A$1:A5) * 4), "")</f>
        <v/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ht="18.75" customHeight="1">
      <c r="A8" s="107"/>
      <c r="B8" s="112" t="str">
        <f t="array" ref="B8">IFERROR(INDEX(LEAGUE_STANDINGS!$D$13:$D$100, ROWS($A$1:A6) * 4 - 3), "")</f>
        <v/>
      </c>
      <c r="C8" s="113" t="str">
        <f t="array" ref="C8">IFERROR(INDEX(LEAGUE_STANDINGS!$D$13:$D$100, ROWS($A$1:A6) * 4 - 2), "")</f>
        <v/>
      </c>
      <c r="D8" s="114" t="str">
        <f t="array" ref="D8">IFERROR(INDEX(LEAGUE_STANDINGS!$D$13:$D$100, ROWS($A$1:A6) * 4 - 1), "")</f>
        <v/>
      </c>
      <c r="E8" s="115" t="str">
        <f t="array" ref="E8">IFERROR(INDEX(LEAGUE_STANDINGS!$D$13:$D$100, ROWS($A$1:A6) * 4), "")</f>
        <v/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ht="18.75" customHeight="1">
      <c r="A9" s="107"/>
      <c r="B9" s="112" t="str">
        <f t="array" ref="B9">IFERROR(INDEX(LEAGUE_STANDINGS!$D$13:$D$100, ROWS($A$1:A7) * 4 - 3), "")</f>
        <v/>
      </c>
      <c r="C9" s="113" t="str">
        <f t="array" ref="C9">IFERROR(INDEX(LEAGUE_STANDINGS!$D$13:$D$100, ROWS($A$1:A7) * 4 - 2), "")</f>
        <v/>
      </c>
      <c r="D9" s="114" t="str">
        <f t="array" ref="D9">IFERROR(INDEX(LEAGUE_STANDINGS!$D$13:$D$100, ROWS($A$1:A7) * 4 - 1), "")</f>
        <v/>
      </c>
      <c r="E9" s="115" t="str">
        <f t="array" ref="E9">IFERROR(INDEX(LEAGUE_STANDINGS!$D$13:$D$100, ROWS($A$1:A7) * 4), "")</f>
        <v/>
      </c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ht="18.75" customHeight="1">
      <c r="A10" s="107"/>
      <c r="B10" s="112" t="str">
        <f t="array" ref="B10">IFERROR(INDEX(LEAGUE_STANDINGS!$D$13:$D$100, ROWS($A$1:A8) * 4 - 3), "")</f>
        <v/>
      </c>
      <c r="C10" s="113" t="str">
        <f t="array" ref="C10">IFERROR(INDEX(LEAGUE_STANDINGS!$D$13:$D$100, ROWS($A$1:A8) * 4 - 2), "")</f>
        <v/>
      </c>
      <c r="D10" s="114" t="str">
        <f t="array" ref="D10">IFERROR(INDEX(LEAGUE_STANDINGS!$D$13:$D$100, ROWS($A$1:A8) * 4 - 1), "")</f>
        <v/>
      </c>
      <c r="E10" s="115" t="str">
        <f t="array" ref="E10">IFERROR(INDEX(LEAGUE_STANDINGS!$D$13:$D$100, ROWS($A$1:A8) * 4), "")</f>
        <v/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ht="18.75" customHeight="1">
      <c r="A11" s="107"/>
      <c r="B11" s="112" t="str">
        <f t="array" ref="B11">IFERROR(INDEX(LEAGUE_STANDINGS!$D$13:$D$100, ROWS($A$1:A9) * 4 - 3), "")</f>
        <v/>
      </c>
      <c r="C11" s="113" t="str">
        <f t="array" ref="C11">IFERROR(INDEX(LEAGUE_STANDINGS!$D$13:$D$100, ROWS($A$1:A9) * 4 - 2), "")</f>
        <v/>
      </c>
      <c r="D11" s="114" t="str">
        <f t="array" ref="D11">IFERROR(INDEX(LEAGUE_STANDINGS!$D$13:$D$100, ROWS($A$1:A9) * 4 - 1), "")</f>
        <v/>
      </c>
      <c r="E11" s="115" t="str">
        <f t="array" ref="E11">IFERROR(INDEX(LEAGUE_STANDINGS!$D$13:$D$100, ROWS($A$1:A9) * 4), "")</f>
        <v/>
      </c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ht="18.7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ht="18.75" customHeight="1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ht="18.75" customHeight="1">
      <c r="A14" s="107"/>
      <c r="B14" s="111" t="s">
        <v>251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ht="18.75" customHeight="1">
      <c r="A15" s="107"/>
      <c r="B15" s="112" t="str">
        <f t="array" ref="B15">IFERROR(INDEX(LEAGUE_STANDINGS!$D$13:$D$100, (ROWS($A$1:A1)-1) * 4 + 1 + MOD(QUOTIENT(ROWS($A$1:A1)-1, 2), 2) * (3 - 2 * MOD(ROWS($A$1:A1)-1, 2))), "")
</f>
        <v/>
      </c>
      <c r="C15" s="113" t="str">
        <f t="array" ref="C15">IFERROR(INDEX(LEAGUE_STANDINGS!$D$13:$D$100, (ROWS($A$1:A1)-1) * 4 + 2 + MOD(QUOTIENT(ROWS($A$1:A1)-1, 2), 2) * (1 - 2 * MOD(ROWS($A$1:A1)-1, 2))), "")</f>
        <v/>
      </c>
      <c r="D15" s="114" t="str">
        <f t="array" ref="D15">IFERROR(INDEX(LEAGUE_STANDINGS!$D$13:$D$100, (ROWS($A$1:A1)-1) * 4 + 3 - MOD(QUOTIENT(ROWS($A$1:A1)-1, 2), 2) * (1 - 2 * MOD(ROWS($A$1:A1)-1, 2))), "")</f>
        <v/>
      </c>
      <c r="E15" s="115" t="str">
        <f t="array" ref="E15">IFERROR(INDEX(LEAGUE_STANDINGS!$D$13:$D$100, (ROWS($A$1:A1)-1) * 4 + 4 - MOD(QUOTIENT(ROWS($A$1:A1)-1, 2), 2) * (3 - 2 * MOD(ROWS($A$1:A1)-1, 2))), "")</f>
        <v/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ht="18.75" customHeight="1">
      <c r="A16" s="107"/>
      <c r="B16" s="112" t="str">
        <f t="array" ref="B16">IFERROR(INDEX(LEAGUE_STANDINGS!$D$13:$D$100, (ROWS($A$1:A2)-1) * 4 + 1 + MOD(QUOTIENT(ROWS($A$1:A2)-1, 2), 2) * (3 - 2 * MOD(ROWS($A$1:A2)-1, 2))), "")
</f>
        <v/>
      </c>
      <c r="C16" s="113" t="str">
        <f t="array" ref="C16">IFERROR(INDEX(LEAGUE_STANDINGS!$D$13:$D$100, (ROWS($A$1:A2)-1) * 4 + 2 + MOD(QUOTIENT(ROWS($A$1:A2)-1, 2), 2) * (1 - 2 * MOD(ROWS($A$1:A2)-1, 2))), "")</f>
        <v/>
      </c>
      <c r="D16" s="114" t="str">
        <f t="array" ref="D16">IFERROR(INDEX(LEAGUE_STANDINGS!$D$13:$D$100, (ROWS($A$1:A2)-1) * 4 + 3 - MOD(QUOTIENT(ROWS($A$1:A2)-1, 2), 2) * (1 - 2 * MOD(ROWS($A$1:A2)-1, 2))), "")</f>
        <v/>
      </c>
      <c r="E16" s="115" t="str">
        <f t="array" ref="E16">IFERROR(INDEX(LEAGUE_STANDINGS!$D$13:$D$100, (ROWS($A$1:A2)-1) * 4 + 4 - MOD(QUOTIENT(ROWS($A$1:A2)-1, 2), 2) * (3 - 2 * MOD(ROWS($A$1:A2)-1, 2))), "")</f>
        <v/>
      </c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ht="18.75" customHeight="1">
      <c r="A17" s="107"/>
      <c r="B17" s="112" t="str">
        <f t="array" ref="B17">IFERROR(INDEX(LEAGUE_STANDINGS!$D$13:$D$100, (ROWS($A$1:A3)-1) * 4 + 1 + MOD(QUOTIENT(ROWS($A$1:A3)-1, 2), 2) * (3 - 2 * MOD(ROWS($A$1:A3)-1, 2))), "")
</f>
        <v/>
      </c>
      <c r="C17" s="113" t="str">
        <f t="array" ref="C17">IFERROR(INDEX(LEAGUE_STANDINGS!$D$13:$D$100, (ROWS($A$1:A3)-1) * 4 + 2 + MOD(QUOTIENT(ROWS($A$1:A3)-1, 2), 2) * (1 - 2 * MOD(ROWS($A$1:A3)-1, 2))), "")</f>
        <v/>
      </c>
      <c r="D17" s="114" t="str">
        <f t="array" ref="D17">IFERROR(INDEX(LEAGUE_STANDINGS!$D$13:$D$100, (ROWS($A$1:A3)-1) * 4 + 3 - MOD(QUOTIENT(ROWS($A$1:A3)-1, 2), 2) * (1 - 2 * MOD(ROWS($A$1:A3)-1, 2))), "")</f>
        <v/>
      </c>
      <c r="E17" s="115" t="str">
        <f t="array" ref="E17">IFERROR(INDEX(LEAGUE_STANDINGS!$D$13:$D$100, (ROWS($A$1:A3)-1) * 4 + 4 - MOD(QUOTIENT(ROWS($A$1:A3)-1, 2), 2) * (3 - 2 * MOD(ROWS($A$1:A3)-1, 2))), "")</f>
        <v/>
      </c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ht="18.75" customHeight="1">
      <c r="A18" s="107"/>
      <c r="B18" s="112" t="str">
        <f t="array" ref="B18">IFERROR(INDEX(LEAGUE_STANDINGS!$D$13:$D$100, (ROWS($A$1:A4)-1) * 4 + 1 + MOD(QUOTIENT(ROWS($A$1:A4)-1, 2), 2) * (3 - 2 * MOD(ROWS($A$1:A4)-1, 2))), "")
</f>
        <v/>
      </c>
      <c r="C18" s="113" t="str">
        <f t="array" ref="C18">IFERROR(INDEX(LEAGUE_STANDINGS!$D$13:$D$100, (ROWS($A$1:A4)-1) * 4 + 2 + MOD(QUOTIENT(ROWS($A$1:A4)-1, 2), 2) * (1 - 2 * MOD(ROWS($A$1:A4)-1, 2))), "")</f>
        <v/>
      </c>
      <c r="D18" s="114" t="str">
        <f t="array" ref="D18">IFERROR(INDEX(LEAGUE_STANDINGS!$D$13:$D$100, (ROWS($A$1:A4)-1) * 4 + 3 - MOD(QUOTIENT(ROWS($A$1:A4)-1, 2), 2) * (1 - 2 * MOD(ROWS($A$1:A4)-1, 2))), "")</f>
        <v/>
      </c>
      <c r="E18" s="115" t="str">
        <f t="array" ref="E18">IFERROR(INDEX(LEAGUE_STANDINGS!$D$13:$D$100, (ROWS($A$1:A4)-1) * 4 + 4 - MOD(QUOTIENT(ROWS($A$1:A4)-1, 2), 2) * (3 - 2 * MOD(ROWS($A$1:A4)-1, 2))), "")</f>
        <v/>
      </c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ht="18.75" customHeight="1">
      <c r="A19" s="107"/>
      <c r="B19" s="112" t="str">
        <f t="array" ref="B19">IFERROR(INDEX(LEAGUE_STANDINGS!$D$13:$D$100, (ROWS($A$1:A5)-1) * 4 + 1 + MOD(QUOTIENT(ROWS($A$1:A5)-1, 2), 2) * (3 - 2 * MOD(ROWS($A$1:A5)-1, 2))), "")
</f>
        <v/>
      </c>
      <c r="C19" s="113" t="str">
        <f t="array" ref="C19">IFERROR(INDEX(LEAGUE_STANDINGS!$D$13:$D$100, (ROWS($A$1:A5)-1) * 4 + 2 + MOD(QUOTIENT(ROWS($A$1:A5)-1, 2), 2) * (1 - 2 * MOD(ROWS($A$1:A5)-1, 2))), "")</f>
        <v/>
      </c>
      <c r="D19" s="114" t="str">
        <f t="array" ref="D19">IFERROR(INDEX(LEAGUE_STANDINGS!$D$13:$D$100, (ROWS($A$1:A5)-1) * 4 + 3 - MOD(QUOTIENT(ROWS($A$1:A5)-1, 2), 2) * (1 - 2 * MOD(ROWS($A$1:A5)-1, 2))), "")</f>
        <v/>
      </c>
      <c r="E19" s="115" t="str">
        <f t="array" ref="E19">IFERROR(INDEX(LEAGUE_STANDINGS!$D$13:$D$100, (ROWS($A$1:A5)-1) * 4 + 4 - MOD(QUOTIENT(ROWS($A$1:A5)-1, 2), 2) * (3 - 2 * MOD(ROWS($A$1:A5)-1, 2))), "")</f>
        <v/>
      </c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ht="18.75" customHeight="1">
      <c r="A20" s="107"/>
      <c r="B20" s="112" t="str">
        <f t="array" ref="B20">IFERROR(INDEX(LEAGUE_STANDINGS!$D$13:$D$100, (ROWS($A$1:A6)-1) * 4 + 1 + MOD(QUOTIENT(ROWS($A$1:A6)-1, 2), 2) * (3 - 2 * MOD(ROWS($A$1:A6)-1, 2))), "")
</f>
        <v/>
      </c>
      <c r="C20" s="113" t="str">
        <f t="array" ref="C20">IFERROR(INDEX(LEAGUE_STANDINGS!$D$13:$D$100, (ROWS($A$1:A6)-1) * 4 + 2 + MOD(QUOTIENT(ROWS($A$1:A6)-1, 2), 2) * (1 - 2 * MOD(ROWS($A$1:A6)-1, 2))), "")</f>
        <v/>
      </c>
      <c r="D20" s="114" t="str">
        <f t="array" ref="D20">IFERROR(INDEX(LEAGUE_STANDINGS!$D$13:$D$100, (ROWS($A$1:A6)-1) * 4 + 3 - MOD(QUOTIENT(ROWS($A$1:A6)-1, 2), 2) * (1 - 2 * MOD(ROWS($A$1:A6)-1, 2))), "")</f>
        <v/>
      </c>
      <c r="E20" s="115" t="str">
        <f t="array" ref="E20">IFERROR(INDEX(LEAGUE_STANDINGS!$D$13:$D$100, (ROWS($A$1:A6)-1) * 4 + 4 - MOD(QUOTIENT(ROWS($A$1:A6)-1, 2), 2) * (3 - 2 * MOD(ROWS($A$1:A6)-1, 2))), "")</f>
        <v/>
      </c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ht="18.75" customHeight="1">
      <c r="A21" s="107"/>
      <c r="B21" s="112" t="str">
        <f t="array" ref="B21">IFERROR(INDEX(LEAGUE_STANDINGS!$D$13:$D$100, (ROWS($A$1:A7)-1) * 4 + 1 + MOD(QUOTIENT(ROWS($A$1:A7)-1, 2), 2) * (3 - 2 * MOD(ROWS($A$1:A7)-1, 2))), "")
</f>
        <v/>
      </c>
      <c r="C21" s="113" t="str">
        <f t="array" ref="C21">IFERROR(INDEX(LEAGUE_STANDINGS!$D$13:$D$100, (ROWS($A$1:A7)-1) * 4 + 2 + MOD(QUOTIENT(ROWS($A$1:A7)-1, 2), 2) * (1 - 2 * MOD(ROWS($A$1:A7)-1, 2))), "")</f>
        <v/>
      </c>
      <c r="D21" s="114" t="str">
        <f t="array" ref="D21">IFERROR(INDEX(LEAGUE_STANDINGS!$D$13:$D$100, (ROWS($A$1:A7)-1) * 4 + 3 - MOD(QUOTIENT(ROWS($A$1:A7)-1, 2), 2) * (1 - 2 * MOD(ROWS($A$1:A7)-1, 2))), "")</f>
        <v/>
      </c>
      <c r="E21" s="115" t="str">
        <f t="array" ref="E21">IFERROR(INDEX(LEAGUE_STANDINGS!$D$13:$D$100, (ROWS($A$1:A7)-1) * 4 + 4 - MOD(QUOTIENT(ROWS($A$1:A7)-1, 2), 2) * (3 - 2 * MOD(ROWS($A$1:A7)-1, 2))), "")</f>
        <v/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18.75" customHeight="1">
      <c r="A22" s="107"/>
      <c r="B22" s="112" t="str">
        <f t="array" ref="B22">IFERROR(INDEX(LEAGUE_STANDINGS!$D$13:$D$100, (ROWS($A$1:A8)-1) * 4 + 1 + MOD(QUOTIENT(ROWS($A$1:A8)-1, 2), 2) * (3 - 2 * MOD(ROWS($A$1:A8)-1, 2))), "")
</f>
        <v/>
      </c>
      <c r="C22" s="113" t="str">
        <f t="array" ref="C22">IFERROR(INDEX(LEAGUE_STANDINGS!$D$13:$D$100, (ROWS($A$1:A8)-1) * 4 + 2 + MOD(QUOTIENT(ROWS($A$1:A8)-1, 2), 2) * (1 - 2 * MOD(ROWS($A$1:A8)-1, 2))), "")</f>
        <v/>
      </c>
      <c r="D22" s="114" t="str">
        <f t="array" ref="D22">IFERROR(INDEX(LEAGUE_STANDINGS!$D$13:$D$100, (ROWS($A$1:A8)-1) * 4 + 3 - MOD(QUOTIENT(ROWS($A$1:A8)-1, 2), 2) * (1 - 2 * MOD(ROWS($A$1:A8)-1, 2))), "")</f>
        <v/>
      </c>
      <c r="E22" s="115" t="str">
        <f t="array" ref="E22">IFERROR(INDEX(LEAGUE_STANDINGS!$D$13:$D$100, (ROWS($A$1:A8)-1) * 4 + 4 - MOD(QUOTIENT(ROWS($A$1:A8)-1, 2), 2) * (3 - 2 * MOD(ROWS($A$1:A8)-1, 2))), "")</f>
        <v/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ht="18.75" customHeight="1">
      <c r="A23" s="107"/>
      <c r="B23" s="112" t="str">
        <f t="array" ref="B23">IFERROR(INDEX(LEAGUE_STANDINGS!$D$13:$D$100, (ROWS($A$1:A9)-1) * 4 + 1 + MOD(QUOTIENT(ROWS($A$1:A9)-1, 2), 2) * (3 - 2 * MOD(ROWS($A$1:A9)-1, 2))), "")
</f>
        <v/>
      </c>
      <c r="C23" s="113" t="str">
        <f t="array" ref="C23">IFERROR(INDEX(LEAGUE_STANDINGS!$D$13:$D$100, (ROWS($A$1:A9)-1) * 4 + 2 + MOD(QUOTIENT(ROWS($A$1:A9)-1, 2), 2) * (1 - 2 * MOD(ROWS($A$1:A9)-1, 2))), "")</f>
        <v/>
      </c>
      <c r="D23" s="114" t="str">
        <f t="array" ref="D23">IFERROR(INDEX(LEAGUE_STANDINGS!$D$13:$D$100, (ROWS($A$1:A9)-1) * 4 + 3 - MOD(QUOTIENT(ROWS($A$1:A9)-1, 2), 2) * (1 - 2 * MOD(ROWS($A$1:A9)-1, 2))), "")</f>
        <v/>
      </c>
      <c r="E23" s="115" t="str">
        <f t="array" ref="E23">IFERROR(INDEX(LEAGUE_STANDINGS!$D$13:$D$100, (ROWS($A$1:A9)-1) * 4 + 4 - MOD(QUOTIENT(ROWS($A$1:A9)-1, 2), 2) * (3 - 2 * MOD(ROWS($A$1:A9)-1, 2))), "")</f>
        <v/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18.7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7"/>
      <c r="B26" s="107" t="s">
        <v>164</v>
      </c>
      <c r="C26" s="111">
        <v>1.0</v>
      </c>
      <c r="D26" s="107" t="s">
        <v>252</v>
      </c>
      <c r="E26" s="111">
        <v>2.0</v>
      </c>
      <c r="F26" s="107" t="s">
        <v>154</v>
      </c>
      <c r="G26" s="111">
        <v>3.0</v>
      </c>
      <c r="H26" s="107" t="s">
        <v>155</v>
      </c>
      <c r="I26" s="111">
        <v>4.0</v>
      </c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7"/>
      <c r="B27" s="107"/>
      <c r="C27" s="111"/>
      <c r="D27" s="107"/>
      <c r="E27" s="111"/>
      <c r="F27" s="107"/>
      <c r="G27" s="111"/>
      <c r="H27" s="107"/>
      <c r="I27" s="111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7"/>
      <c r="B28" s="107" t="s">
        <v>253</v>
      </c>
      <c r="C28" s="111">
        <v>5.0</v>
      </c>
      <c r="D28" s="107" t="s">
        <v>169</v>
      </c>
      <c r="E28" s="111">
        <v>6.0</v>
      </c>
      <c r="F28" s="107" t="s">
        <v>148</v>
      </c>
      <c r="G28" s="111">
        <v>7.0</v>
      </c>
      <c r="H28" s="107" t="s">
        <v>152</v>
      </c>
      <c r="I28" s="111">
        <v>8.0</v>
      </c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7"/>
      <c r="B29" s="107"/>
      <c r="C29" s="111"/>
      <c r="D29" s="107"/>
      <c r="E29" s="111"/>
      <c r="F29" s="107"/>
      <c r="G29" s="111"/>
      <c r="H29" s="107"/>
      <c r="I29" s="111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7"/>
      <c r="B30" s="107" t="s">
        <v>165</v>
      </c>
      <c r="C30" s="111">
        <v>12.0</v>
      </c>
      <c r="D30" s="107" t="s">
        <v>173</v>
      </c>
      <c r="E30" s="111">
        <v>11.0</v>
      </c>
      <c r="F30" s="107" t="s">
        <v>157</v>
      </c>
      <c r="G30" s="111">
        <v>10.0</v>
      </c>
      <c r="H30" s="107" t="s">
        <v>176</v>
      </c>
      <c r="I30" s="111">
        <v>9.0</v>
      </c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7"/>
      <c r="B31" s="107"/>
      <c r="C31" s="111"/>
      <c r="D31" s="107"/>
      <c r="E31" s="111"/>
      <c r="F31" s="107"/>
      <c r="G31" s="111"/>
      <c r="H31" s="107"/>
      <c r="I31" s="111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7"/>
      <c r="B32" s="107" t="s">
        <v>149</v>
      </c>
      <c r="C32" s="111">
        <v>14.0</v>
      </c>
      <c r="D32" s="107" t="s">
        <v>160</v>
      </c>
      <c r="E32" s="111">
        <v>13.0</v>
      </c>
      <c r="F32" s="107" t="s">
        <v>254</v>
      </c>
      <c r="G32" s="111">
        <v>16.0</v>
      </c>
      <c r="H32" s="107" t="s">
        <v>255</v>
      </c>
      <c r="I32" s="111">
        <v>15.0</v>
      </c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7"/>
      <c r="B33" s="107"/>
      <c r="C33" s="111"/>
      <c r="D33" s="107"/>
      <c r="E33" s="111"/>
      <c r="F33" s="107"/>
      <c r="G33" s="111"/>
      <c r="H33" s="107"/>
      <c r="I33" s="111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7"/>
      <c r="B34" s="107" t="s">
        <v>256</v>
      </c>
      <c r="C34" s="111">
        <v>17.0</v>
      </c>
      <c r="D34" s="107" t="s">
        <v>167</v>
      </c>
      <c r="E34" s="111">
        <v>18.0</v>
      </c>
      <c r="F34" s="107" t="s">
        <v>170</v>
      </c>
      <c r="G34" s="111">
        <v>19.0</v>
      </c>
      <c r="H34" s="107" t="s">
        <v>166</v>
      </c>
      <c r="I34" s="111">
        <v>20.0</v>
      </c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7"/>
      <c r="B35" s="107"/>
      <c r="C35" s="111"/>
      <c r="D35" s="107"/>
      <c r="E35" s="111"/>
      <c r="F35" s="107"/>
      <c r="G35" s="111"/>
      <c r="H35" s="107"/>
      <c r="I35" s="111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7"/>
      <c r="B36" s="107" t="s">
        <v>151</v>
      </c>
      <c r="C36" s="111">
        <v>21.0</v>
      </c>
      <c r="D36" s="107" t="s">
        <v>163</v>
      </c>
      <c r="E36" s="111">
        <v>22.0</v>
      </c>
      <c r="F36" s="107" t="s">
        <v>175</v>
      </c>
      <c r="G36" s="111">
        <v>23.0</v>
      </c>
      <c r="H36" s="107" t="s">
        <v>145</v>
      </c>
      <c r="I36" s="111">
        <v>24.0</v>
      </c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7"/>
      <c r="B37" s="107"/>
      <c r="C37" s="111"/>
      <c r="D37" s="107"/>
      <c r="E37" s="111"/>
      <c r="F37" s="107"/>
      <c r="G37" s="111"/>
      <c r="H37" s="107"/>
      <c r="I37" s="111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7"/>
      <c r="B38" s="107" t="s">
        <v>146</v>
      </c>
      <c r="C38" s="111">
        <v>28.0</v>
      </c>
      <c r="D38" s="107" t="s">
        <v>159</v>
      </c>
      <c r="E38" s="111">
        <v>27.0</v>
      </c>
      <c r="F38" s="107" t="s">
        <v>257</v>
      </c>
      <c r="G38" s="111">
        <v>26.0</v>
      </c>
      <c r="H38" s="107" t="s">
        <v>161</v>
      </c>
      <c r="I38" s="111">
        <v>25.0</v>
      </c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7"/>
      <c r="B39" s="107"/>
      <c r="C39" s="111"/>
      <c r="D39" s="107"/>
      <c r="E39" s="111"/>
      <c r="F39" s="107"/>
      <c r="G39" s="111"/>
      <c r="H39" s="107"/>
      <c r="I39" s="111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7"/>
      <c r="B40" s="107" t="s">
        <v>156</v>
      </c>
      <c r="C40" s="111">
        <v>30.0</v>
      </c>
      <c r="D40" s="107" t="s">
        <v>168</v>
      </c>
      <c r="E40" s="111">
        <v>29.0</v>
      </c>
      <c r="F40" s="107" t="s">
        <v>174</v>
      </c>
      <c r="G40" s="111">
        <v>32.0</v>
      </c>
      <c r="H40" s="107" t="s">
        <v>171</v>
      </c>
      <c r="I40" s="111">
        <v>31.0</v>
      </c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7"/>
      <c r="B41" s="107"/>
      <c r="C41" s="111"/>
      <c r="D41" s="107"/>
      <c r="E41" s="111"/>
      <c r="F41" s="107"/>
      <c r="G41" s="111"/>
      <c r="H41" s="107"/>
      <c r="I41" s="111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107" t="s">
        <v>177</v>
      </c>
      <c r="C42" s="111">
        <v>33.0</v>
      </c>
      <c r="D42" s="107" t="s">
        <v>158</v>
      </c>
      <c r="E42" s="111">
        <v>34.0</v>
      </c>
      <c r="F42" s="107" t="s">
        <v>172</v>
      </c>
      <c r="G42" s="111">
        <v>35.0</v>
      </c>
      <c r="H42" s="107" t="s">
        <v>150</v>
      </c>
      <c r="I42" s="111">
        <v>35.0</v>
      </c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</sheetData>
  <mergeCells count="2">
    <mergeCell ref="B2:E2"/>
    <mergeCell ref="B14:E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4.0"/>
    <col customWidth="1" min="2" max="3" width="35.33"/>
    <col customWidth="1" min="4" max="4" width="39.78"/>
  </cols>
  <sheetData>
    <row r="1">
      <c r="A1" s="116" t="s">
        <v>258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idden="1">
      <c r="A2" s="118" t="s">
        <v>139</v>
      </c>
      <c r="B2" s="119" t="s">
        <v>142</v>
      </c>
      <c r="C2" s="120" t="s">
        <v>141</v>
      </c>
      <c r="D2" s="121" t="s">
        <v>140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6" t="str">
        <f>MATCH_INPUT!F2</f>
        <v>BLUE</v>
      </c>
      <c r="B3" s="122">
        <f>MATCH_INPUT!G2</f>
        <v>2</v>
      </c>
      <c r="C3" s="122">
        <f>MATCH_INPUT!I2</f>
        <v>1</v>
      </c>
      <c r="D3" s="116" t="str">
        <f>MATCH_INPUT!J2</f>
        <v>MAGENTA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tr">
        <f>MATCH_INPUT!F3</f>
        <v>GREEN</v>
      </c>
      <c r="B4" s="124">
        <f>MATCH_INPUT!G3</f>
        <v>1</v>
      </c>
      <c r="C4" s="124">
        <f>MATCH_INPUT!I3</f>
        <v>3</v>
      </c>
      <c r="D4" s="123" t="str">
        <f>MATCH_INPUT!J3</f>
        <v>ORANGE</v>
      </c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6" t="str">
        <f>MATCH_INPUT!F4</f>
        <v>ORANGE</v>
      </c>
      <c r="B5" s="125">
        <f>MATCH_INPUT!G4</f>
        <v>1</v>
      </c>
      <c r="C5" s="125">
        <f>MATCH_INPUT!I4</f>
        <v>2</v>
      </c>
      <c r="D5" s="116" t="str">
        <f>MATCH_INPUT!J4</f>
        <v>BLUE</v>
      </c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6" t="str">
        <f>MATCH_INPUT!F5</f>
        <v>MAGENTA</v>
      </c>
      <c r="B6" s="125">
        <f>MATCH_INPUT!G5</f>
        <v>4</v>
      </c>
      <c r="C6" s="125">
        <f>MATCH_INPUT!I5</f>
        <v>2</v>
      </c>
      <c r="D6" s="116" t="str">
        <f>MATCH_INPUT!J5</f>
        <v>GREEN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6" t="s">
        <v>259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(WEEKLY_TEAMS!C3:C53=""BLUE"") * 
  IF(
    SUM(NOT(ISBLANK(WEEKLY_TEAMS!J3:J53))) + SUM(WEEKLY_TEAMS!K3:K53) + SUM(NOT(ISBLANK(WEEKLY_TEAMS!L3:L53))) = 0, 
    TRUE, 
    ((WEEKLY_TEA"&amp;"MS!J3:J53&lt;&gt;"""") + (WEEKLY_TEAMS!K3:K53=1) + (WEEKLY_TEAMS!L3:L53&lt;&gt;"""") &gt; 0)
  )
)
"),"(3) 🍀  🥉 Andres - Goals: 1")</f>
        <v>(3) 🍀  🥉 Andres - Goals: 1</v>
      </c>
      <c r="B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(WEEKLY_TEAMS!C3:C53=""green"") * 
  IF(
    SUM(NOT(ISBLANK(WEEKLY_TEAMS!J3:J53))) + SUM(WEEKLY_TEAMS!K3:K53) + SUM(NOT(ISBLANK(WEEKLY_TEAMS!L3:L53))) = 0, 
    TRUE, 
    ((WEEKLY_TE"&amp;"AMS!J3:J53&lt;&gt;"""") + (WEEKLY_TEAMS!K3:K53=1) + (WEEKLY_TEAMS!L3:L53&lt;&gt;"""") &gt; 0)
  )
)
"),"(2) 🍀  🥈 Carlos S. - Goals: 1")</f>
        <v>(2) 🍀  🥈 Carlos S. - Goals: 1</v>
      </c>
      <c r="C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(WEEKLY_TEAMS!C3:C53=""orange"") * 
  IF(
    SUM(NOT(ISBLANK(WEEKLY_TEAMS!J3:J53))) + SUM(WEEKLY_TEAMS!K3:K53) + SUM(NOT(ISBLANK(WEEKLY_TEAMS!L3:L53))) = 0, 
    TRUE, 
    ((WEEKLY_T"&amp;"EAMS!J3:J53&lt;&gt;"""") + (WEEKLY_TEAMS!K3:K53=1) + (WEEKLY_TEAMS!L3:L53&lt;&gt;"""") &gt; 0)
  )
)
"),"(8) 🍀  Valencia - Goals: 1")</f>
        <v>(8) 🍀  Valencia - Goals: 1</v>
      </c>
      <c r="D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(WEEKLY_TEAMS!C3:C53=""magenta"") * 
  IF(
    SUM(NOT(ISBLANK(WEEKLY_TEAMS!J3:J53))) + SUM(WEEKLY_TEAMS!K3:K53) + SUM(NOT(ISBLANK(WEEKLY_TEAMS!L3:L53))) = 0, 
    TRUE, 
    ((WEEKLY_"&amp;"TEAMS!J3:J53&lt;&gt;"""") + (WEEKLY_TEAMS!K3:K53=1) + (WEEKLY_TEAMS!L3:L53&lt;&gt;"""") &gt; 0)
  )
)
"),"(24) 🍀  Eder - Goals: 1")</f>
        <v>(24) 🍀  Eder - Goals: 1</v>
      </c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6" t="str">
        <f>IFERROR(__xludf.DUMMYFUNCTION("""COMPUTED_VALUE"""),"(13) 🍀  Gerardo - Goals: 1")</f>
        <v>(13) 🍀  Gerardo - Goals: 1</v>
      </c>
      <c r="B9" s="117" t="str">
        <f>IFERROR(__xludf.DUMMYFUNCTION("""COMPUTED_VALUE"""),"(5) 🍀  Jose Blanco - Goals: 1")</f>
        <v>(5) 🍀  Jose Blanco - Goals: 1</v>
      </c>
      <c r="C9" s="117" t="str">
        <f>IFERROR(__xludf.DUMMYFUNCTION("""COMPUTED_VALUE"""),"(16) 🍀  Rodolfo -was goalie")</f>
        <v>(16) 🍀  Rodolfo -was goalie</v>
      </c>
      <c r="D9" s="117" t="str">
        <f>IFERROR(__xludf.DUMMYFUNCTION("""COMPUTED_VALUE"""),"(32) 🍀  Gus - Goals: 4")</f>
        <v>(32) 🍀  Gus - Goals: 4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26" t="str">
        <f>IFERROR(__xludf.DUMMYFUNCTION("""COMPUTED_VALUE"""),"(14) 🍀  Valverde - Goals: 1")</f>
        <v>(14) 🍀  Valverde - Goals: 1</v>
      </c>
      <c r="B10" s="117" t="str">
        <f>IFERROR(__xludf.DUMMYFUNCTION("""COMPUTED_VALUE"""),"(18) 🍀  Christian - Goals: 1")</f>
        <v>(18) 🍀  Christian - Goals: 1</v>
      </c>
      <c r="C10" s="117" t="str">
        <f>IFERROR(__xludf.DUMMYFUNCTION("""COMPUTED_VALUE"""),"(19) 🍀  Guille 👨🏻‍🤝‍👨🏾 Mike - Goals: 1")</f>
        <v>(19) 🍀  Guille 👨🏻‍🤝‍👨🏾 Mike - Goals: 1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26" t="str">
        <f>IFERROR(__xludf.DUMMYFUNCTION("""COMPUTED_VALUE"""),"(23) 🍀  Fabian -was goalie")</f>
        <v>(23) 🍀  Fabian -was goalie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26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26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26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2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2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27" t="s">
        <v>260</v>
      </c>
      <c r="B17" s="127" t="s">
        <v>260</v>
      </c>
      <c r="C17" s="127" t="s">
        <v>260</v>
      </c>
      <c r="D17" s="127" t="s">
        <v>260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6" t="s">
        <v>261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6" t="str">
        <f>MATCH_INPUT!F6</f>
        <v>BLUE</v>
      </c>
      <c r="B19" s="128">
        <f>MATCH_INPUT!G6</f>
        <v>1</v>
      </c>
      <c r="C19" s="128">
        <f>MATCH_INPUT!I6</f>
        <v>1</v>
      </c>
      <c r="D19" s="116" t="str">
        <f>MATCH_INPUT!J6</f>
        <v>MAGENTA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6" t="str">
        <f>MATCH_INPUT!F7</f>
        <v>GREEN</v>
      </c>
      <c r="B20" s="128">
        <f>MATCH_INPUT!G7</f>
        <v>3</v>
      </c>
      <c r="C20" s="128">
        <f>MATCH_INPUT!I7</f>
        <v>2</v>
      </c>
      <c r="D20" s="116" t="str">
        <f>MATCH_INPUT!J7</f>
        <v>ORANGE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6" t="str">
        <f>MATCH_INPUT!F8</f>
        <v>MAGENTA</v>
      </c>
      <c r="B21" s="128">
        <f>MATCH_INPUT!G8</f>
        <v>0</v>
      </c>
      <c r="C21" s="128">
        <f>MATCH_INPUT!I8</f>
        <v>2</v>
      </c>
      <c r="D21" s="116" t="str">
        <f>MATCH_INPUT!J8</f>
        <v>GREEN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6" t="str">
        <f>MATCH_INPUT!F9</f>
        <v>BLUE</v>
      </c>
      <c r="B22" s="128">
        <f>MATCH_INPUT!G9</f>
        <v>3</v>
      </c>
      <c r="C22" s="128">
        <f>MATCH_INPUT!I9</f>
        <v>1</v>
      </c>
      <c r="D22" s="116" t="str">
        <f>MATCH_INPUT!J9</f>
        <v>ORANGE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6" t="s">
        <v>259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(WEEKLY_TEAMS!O3:O53=""BLUE"") * 
  IF(
    SUM(NOT(ISBLANK(WEEKLY_TEAMS!V3:V53))) + SUM(WEEKLY_TEAMS!W3:W53) + SUM(NOT(ISBLANK(WEEKLY_TEAMS!X3:X53))) = 0, 
    TRUE, 
    ((WEEKLY_TEA"&amp;"MS!V3:V53&lt;&gt;"""") + (WEEKLY_TEAMS!W3:W53=1) + (WEEKLY_TEAMS!X3:X53&lt;&gt;"""") &gt; 0)
  )
)
"),"(5) 🍀  Jose Blanco - Goals: 1")</f>
        <v>(5) 🍀  Jose Blanco - Goals: 1</v>
      </c>
      <c r="B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(WEEKLY_TEAMS!O3:O53=""green"") * 
  IF(
    SUM(NOT(ISBLANK(WEEKLY_TEAMS!V3:V53))) + SUM(WEEKLY_TEAMS!W3:W53) + SUM(NOT(ISBLANK(WEEKLY_TEAMS!X3:X53))) = 0, 
    TRUE, 
    ((WEEKLY_TE"&amp;"AMS!V3:V53&lt;&gt;"""") + (WEEKLY_TEAMS!W3:W53=1) + (WEEKLY_TEAMS!X3:X53&lt;&gt;"""") &gt; 0)
  )
)
"),"(11) 🍀  Ruben - Goals: 2")</f>
        <v>(11) 🍀  Ruben - Goals: 2</v>
      </c>
      <c r="C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(WEEKLY_TEAMS!O3:O53=""orange"") * 
  IF(
    SUM(NOT(ISBLANK(WEEKLY_TEAMS!V3:V53))) + SUM(WEEKLY_TEAMS!W3:W53) + SUM(NOT(ISBLANK(WEEKLY_TEAMS!X3:X53))) = 0, 
    TRUE, 
    ((WEEKLY_T"&amp;"EAMS!V3:V53&lt;&gt;"""") + (WEEKLY_TEAMS!W3:W53=1) + (WEEKLY_TEAMS!X3:X53&lt;&gt;"""") &gt; 0)
  )
)
"),"(13) 🍀  Gerardo - Goals: 1")</f>
        <v>(13) 🍀  Gerardo - Goals: 1</v>
      </c>
      <c r="D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(WEEKLY_TEAMS!O3:O53=""magenta"") * 
  IF(
    SUM(NOT(ISBLANK(WEEKLY_TEAMS!V3:V53))) + SUM(WEEKLY_TEAMS!W3:W53) + SUM(NOT(ISBLANK(WEEKLY_TEAMS!X3:X53))) = 0, 
    TRUE, 
    ((WEEKLY_"&amp;"TEAMS!V3:V53&lt;&gt;"""") + (WEEKLY_TEAMS!W3:W53=1) + (WEEKLY_TEAMS!X3:X53&lt;&gt;"""") &gt; 0)
  )
)
"),"(16) 🍀  Rodolfo -was goalie")</f>
        <v>(16) 🍀  Rodolfo -was goalie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6" t="str">
        <f>IFERROR(__xludf.DUMMYFUNCTION("""COMPUTED_VALUE"""),"(8) 🍀  Valencia - Goals: 1")</f>
        <v>(8) 🍀  Valencia - Goals: 1</v>
      </c>
      <c r="B25" s="116" t="str">
        <f>IFERROR(__xludf.DUMMYFUNCTION("""COMPUTED_VALUE"""),"(12) 🍀  Fer -was goalie - Clean Sheets: 1")</f>
        <v>(12) 🍀  Fer -was goalie - Clean Sheets: 1</v>
      </c>
      <c r="C25" s="116" t="str">
        <f>IFERROR(__xludf.DUMMYFUNCTION("""COMPUTED_VALUE"""),"(14) 🍀  Valverde - Goals: 1")</f>
        <v>(14) 🍀  Valverde - Goals: 1</v>
      </c>
      <c r="D25" s="117" t="str">
        <f>IFERROR(__xludf.DUMMYFUNCTION("""COMPUTED_VALUE"""),"(23) 🍀  Fabian -was goalie")</f>
        <v>(23) 🍀  Fabian -was goalie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26" t="str">
        <f>IFERROR(__xludf.DUMMYFUNCTION("""COMPUTED_VALUE"""),"(10) 🍀  Efra - Goals: 1")</f>
        <v>(10) 🍀  Efra - Goals: 1</v>
      </c>
      <c r="B26" s="117" t="str">
        <f>IFERROR(__xludf.DUMMYFUNCTION("""COMPUTED_VALUE"""),"(32) 🍀  Gus - Goals: 2")</f>
        <v>(32) 🍀  Gus - Goals: 2</v>
      </c>
      <c r="C26" s="117"/>
      <c r="D26" s="117" t="str">
        <f>IFERROR(__xludf.DUMMYFUNCTION("""COMPUTED_VALUE"""),"(24) 🍀  Eder - Goals: 1")</f>
        <v>(24) 🍀  Eder - Goals: 1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26" t="str">
        <f>IFERROR(__xludf.DUMMYFUNCTION("""COMPUTED_VALUE"""),"(17) 🍀  Rob -was goalie")</f>
        <v>(17) 🍀  Rob -was goalie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26" t="str">
        <f>IFERROR(__xludf.DUMMYFUNCTION("""COMPUTED_VALUE"""),"(20) 🍀  Nicky - Goals: 1")</f>
        <v>(20) 🍀  Nicky - Goals: 1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2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2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2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26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27" t="s">
        <v>260</v>
      </c>
      <c r="B33" s="127" t="s">
        <v>260</v>
      </c>
      <c r="C33" s="127" t="s">
        <v>260</v>
      </c>
      <c r="D33" s="127" t="s">
        <v>260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6" t="s">
        <v>262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6" t="str">
        <f>MATCH_INPUT!F10</f>
        <v>BLUE</v>
      </c>
      <c r="B35" s="128">
        <f>MATCH_INPUT!G10</f>
        <v>1</v>
      </c>
      <c r="C35" s="128">
        <f>MATCH_INPUT!I10</f>
        <v>1</v>
      </c>
      <c r="D35" s="116" t="str">
        <f>MATCH_INPUT!J10</f>
        <v>MAGENTA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6" t="str">
        <f>MATCH_INPUT!F11</f>
        <v>ORANGE</v>
      </c>
      <c r="B36" s="128">
        <f>MATCH_INPUT!G11</f>
        <v>1</v>
      </c>
      <c r="C36" s="128">
        <f>MATCH_INPUT!I11</f>
        <v>1</v>
      </c>
      <c r="D36" s="116" t="str">
        <f>MATCH_INPUT!J11</f>
        <v>GREEN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6" t="str">
        <f>MATCH_INPUT!F12</f>
        <v>GREEN</v>
      </c>
      <c r="B37" s="128">
        <f>MATCH_INPUT!G12</f>
        <v>2</v>
      </c>
      <c r="C37" s="128">
        <f>MATCH_INPUT!I12</f>
        <v>2</v>
      </c>
      <c r="D37" s="116" t="str">
        <f>MATCH_INPUT!J12</f>
        <v>BLUE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6" t="str">
        <f>MATCH_INPUT!F13</f>
        <v>MAGENTA</v>
      </c>
      <c r="B38" s="128">
        <f>MATCH_INPUT!G13</f>
        <v>1</v>
      </c>
      <c r="C38" s="128">
        <f>MATCH_INPUT!I13</f>
        <v>3</v>
      </c>
      <c r="D38" s="116" t="str">
        <f>MATCH_INPUT!J13</f>
        <v>ORANGE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6" t="s">
        <v>259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(WEEKLY_TEAMS!AA3:AA53=""BLUE"") * 
  IF(
    SUM(NOT(ISBLANK(WEEKLY_TEAMS!AH3:AH53))) + SUM(WEEKLY_TEAMS!AI3:AI53) + SUM(NOT(ISBLANK(WEEKLY_TEAMS!AJ3:AJ53))) = 0, 
    TRUE,"&amp;" 
    ((WEEKLY_TEAMS!AH3:AH53&lt;&gt;"""") + (WEEKLY_TEAMS!AI3:AI53=1) + (WEEKLY_TEAMS!AJ3:AJ53&lt;&gt;"""") &gt; 0)
  )
)
"),"(1) 🍀  🏆 Asdruval - Goals: 1")</f>
        <v>(1) 🍀  🏆 Asdruval - Goals: 1</v>
      </c>
      <c r="B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(WEEKLY_TEAMS!AA3:AA53=""green"") * 
  IF(
    SUM(NOT(ISBLANK(WEEKLY_TEAMS!AH3:AH53))) + SUM(WEEKLY_TEAMS!AI3:AI53) + SUM(NOT(ISBLANK(WEEKLY_TEAMS!AJ3:AJ53))) = 0, 
    TRUE"&amp;", 
    ((WEEKLY_TEAMS!AH3:AH53&lt;&gt;"""") + (WEEKLY_TEAMS!AI3:AI53=1) + (WEEKLY_TEAMS!AJ3:AJ53&lt;&gt;"""") &gt; 0)
  )
)
"),"(8) 🍀  Valencia - Goals: 2")</f>
        <v>(8) 🍀  Valencia - Goals: 2</v>
      </c>
      <c r="C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(WEEKLY_TEAMS!AA3:AA53=""orange"") * 
  IF(
    SUM(NOT(ISBLANK(WEEKLY_TEAMS!AH3:AH53))) + SUM(WEEKLY_TEAMS!AI3:AI53) + SUM(NOT(ISBLANK(WEEKLY_TEAMS!AJ3:AJ53))) = 0, 
    TRU"&amp;"E, 
    ((WEEKLY_TEAMS!AH3:AH53&lt;&gt;"""") + (WEEKLY_TEAMS!AI3:AI53=1) + (WEEKLY_TEAMS!AJ3:AJ53&lt;&gt;"""") &gt; 0)
  )
)
"),"(2) 🍀  🥈 Carlos S. - Goals: 1")</f>
        <v>(2) 🍀  🥈 Carlos S. - Goals: 1</v>
      </c>
      <c r="D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(WEEKLY_TEAMS!AA3:AA53=""magenta"") * 
  IF(
    SUM(NOT(ISBLANK(WEEKLY_TEAMS!AH3:AH53))) + SUM(WEEKLY_TEAMS!AI3:AI53) + SUM(NOT(ISBLANK(WEEKLY_TEAMS!AJ3:AJ53))) = 0, 
    TR"&amp;"UE, 
    ((WEEKLY_TEAMS!AH3:AH53&lt;&gt;"""") + (WEEKLY_TEAMS!AI3:AI53=1) + (WEEKLY_TEAMS!AJ3:AJ53&lt;&gt;"""") &gt; 0)
  )
)
"),"(3) 🍀  🥉 Andres - Goals: 1")</f>
        <v>(3) 🍀  🥉 Andres - Goals: 1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6" t="str">
        <f>IFERROR(__xludf.DUMMYFUNCTION("""COMPUTED_VALUE"""),"(7) 🍀  Javier - Goals: 2")</f>
        <v>(7) 🍀  Javier - Goals: 2</v>
      </c>
      <c r="B41" s="117" t="str">
        <f>IFERROR(__xludf.DUMMYFUNCTION("""COMPUTED_VALUE"""),"(24) 🍀  Eder - Goals: 1")</f>
        <v>(24) 🍀  Eder - Goals: 1</v>
      </c>
      <c r="C41" s="117" t="str">
        <f>IFERROR(__xludf.DUMMYFUNCTION("""COMPUTED_VALUE"""),"(5) 🍀  Jose Blanco - Goals: 2")</f>
        <v>(5) 🍀  Jose Blanco - Goals: 2</v>
      </c>
      <c r="D41" s="117" t="str">
        <f>IFERROR(__xludf.DUMMYFUNCTION("""COMPUTED_VALUE"""),"(23) 🍀  Fabian -was goalie")</f>
        <v>(23) 🍀  Fabian -was goalie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26" t="str">
        <f>IFERROR(__xludf.DUMMYFUNCTION("""COMPUTED_VALUE"""),"(17) 🍀  Rob -was goalie")</f>
        <v>(17) 🍀  Rob -was goalie</v>
      </c>
      <c r="B42" s="117"/>
      <c r="C42" s="117" t="str">
        <f>IFERROR(__xludf.DUMMYFUNCTION("""COMPUTED_VALUE"""),"(11) 🍀  Ruben - Goals: 1")</f>
        <v>(11) 🍀  Ruben - Goals: 1</v>
      </c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26"/>
      <c r="B43" s="117"/>
      <c r="C43" s="117" t="str">
        <f>IFERROR(__xludf.DUMMYFUNCTION("""COMPUTED_VALUE"""),"(43) 🔁 (Cuñis) -was goalie")</f>
        <v>(43) 🔁 (Cuñis) -was goalie</v>
      </c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26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26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26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26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26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27" t="s">
        <v>260</v>
      </c>
      <c r="B49" s="127" t="s">
        <v>260</v>
      </c>
      <c r="C49" s="127" t="s">
        <v>260</v>
      </c>
      <c r="D49" s="127" t="s">
        <v>260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6" t="s">
        <v>263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6" t="str">
        <f>MATCH_INPUT!F14</f>
        <v>BLUE</v>
      </c>
      <c r="B51" s="128">
        <f>MATCH_INPUT!G14</f>
        <v>1</v>
      </c>
      <c r="C51" s="128">
        <f>MATCH_INPUT!I14</f>
        <v>4</v>
      </c>
      <c r="D51" s="116" t="str">
        <f>MATCH_INPUT!J14</f>
        <v>MAGENTA</v>
      </c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6" t="str">
        <f>MATCH_INPUT!F15</f>
        <v>GREEN</v>
      </c>
      <c r="B52" s="128">
        <f>MATCH_INPUT!G15</f>
        <v>2</v>
      </c>
      <c r="C52" s="128">
        <f>MATCH_INPUT!I15</f>
        <v>2</v>
      </c>
      <c r="D52" s="116" t="str">
        <f>MATCH_INPUT!J15</f>
        <v>ORANGE</v>
      </c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6" t="str">
        <f>MATCH_INPUT!F16</f>
        <v>BLUE</v>
      </c>
      <c r="B53" s="128">
        <f>MATCH_INPUT!G16</f>
        <v>1</v>
      </c>
      <c r="C53" s="128">
        <f>MATCH_INPUT!I16</f>
        <v>1</v>
      </c>
      <c r="D53" s="116" t="str">
        <f>MATCH_INPUT!J16</f>
        <v>ORANGE</v>
      </c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6" t="str">
        <f>MATCH_INPUT!F17</f>
        <v>MAGENTA</v>
      </c>
      <c r="B54" s="128">
        <f>MATCH_INPUT!G17</f>
        <v>3</v>
      </c>
      <c r="C54" s="128">
        <f>MATCH_INPUT!I17</f>
        <v>0</v>
      </c>
      <c r="D54" s="116" t="str">
        <f>MATCH_INPUT!J17</f>
        <v>GREEN</v>
      </c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6" t="s">
        <v>259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(WEEKLY_TEAMS!AM3:AM53=""BLUE"") * 
  IF(
    SUM(NOT(ISBLANK(WEEKLY_TEAMS!AT3:AT53))) + SUM(WEEKLY_TEAMS!AU3:AU53) + SUM(NOT(ISBLANK(WEEKLY_TEAMS!AV3:AV53))) = 0, 
    TRUE,"&amp;" 
    ((WEEKLY_TEAMS!AT3:AT53&lt;&gt;"""") + (WEEKLY_TEAMS!AU3:AU53=1) + (WEEKLY_TEAMS!AV3:AV53&lt;&gt;"""") &gt; 0)
  )
)
"),"(1) 🍀  🏆 Asdruval -was goalie")</f>
        <v>(1) 🍀  🏆 Asdruval -was goalie</v>
      </c>
      <c r="B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(WEEKLY_TEAMS!AM3:AM53=""green"") * 
  IF(
    SUM(NOT(ISBLANK(WEEKLY_TEAMS!AT3:AT53))) + SUM(WEEKLY_TEAMS!AU3:AU53) + SUM(NOT(ISBLANK(WEEKLY_TEAMS!AV3:AV53))) = 0, 
    TRUE"&amp;", 
    ((WEEKLY_TEAMS!AT3:AT53&lt;&gt;"""") + (WEEKLY_TEAMS!AU3:AU53=1) + (WEEKLY_TEAMS!AV3:AV53&lt;&gt;"""") &gt; 0)
  )
)
"),"(14) 🍀  Valverde - Goals: 2")</f>
        <v>(14) 🍀  Valverde - Goals: 2</v>
      </c>
      <c r="C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(WEEKLY_TEAMS!AM3:AM53=""orange"") * 
  IF(
    SUM(NOT(ISBLANK(WEEKLY_TEAMS!AT3:AT53))) + SUM(WEEKLY_TEAMS!AU3:AU53) + SUM(NOT(ISBLANK(WEEKLY_TEAMS!AV3:AV53))) = 0, 
    TRU"&amp;"E, 
    ((WEEKLY_TEAMS!AT3:AT53&lt;&gt;"""") + (WEEKLY_TEAMS!AU3:AU53=1) + (WEEKLY_TEAMS!AV3:AV53&lt;&gt;"""") &gt; 0)
  )
)
"),"(17) 🍀  Rob -was goalie")</f>
        <v>(17) 🍀  Rob -was goalie</v>
      </c>
      <c r="D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(WEEKLY_TEAMS!AM3:AM53=""magenta"") * 
  IF(
    SUM(NOT(ISBLANK(WEEKLY_TEAMS!AT3:AT53))) + SUM(WEEKLY_TEAMS!AU3:AU53) + SUM(NOT(ISBLANK(WEEKLY_TEAMS!AV3:AV53))) = 0, 
    TR"&amp;"UE, 
    ((WEEKLY_TEAMS!AT3:AT53&lt;&gt;"""") + (WEEKLY_TEAMS!AU3:AU53=1) + (WEEKLY_TEAMS!AV3:AV53&lt;&gt;"""") &gt; 0)
  )
)
"),"(11) 🍀  Ruben - Goals: 1")</f>
        <v>(11) 🍀  Ruben - Goals: 1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6" t="str">
        <f>IFERROR(__xludf.DUMMYFUNCTION("""COMPUTED_VALUE"""),"(10) 🍀  Efra -was goalie")</f>
        <v>(10) 🍀  Efra -was goalie</v>
      </c>
      <c r="B57" s="117" t="str">
        <f>IFERROR(__xludf.DUMMYFUNCTION("""COMPUTED_VALUE"""),"(19) 🍀  Guille 👨🏻‍🤝‍👨🏾 Mike - Goals: 1")</f>
        <v>(19) 🍀  Guille 👨🏻‍🤝‍👨🏾 Mike - Goals: 1</v>
      </c>
      <c r="C57" s="117" t="str">
        <f>IFERROR(__xludf.DUMMYFUNCTION("""COMPUTED_VALUE"""),"(36) 🍀  Pirlo -was goalie")</f>
        <v>(36) 🍀  Pirlo -was goalie</v>
      </c>
      <c r="D57" s="117" t="str">
        <f>IFERROR(__xludf.DUMMYFUNCTION("""COMPUTED_VALUE"""),"(13) 🍀  Gerardo - Goals: 1")</f>
        <v>(13) 🍀  Gerardo - Goals: 1</v>
      </c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26" t="str">
        <f>IFERROR(__xludf.DUMMYFUNCTION("""COMPUTED_VALUE"""),"(31) 🍀  Gabriel - Goals: 1")</f>
        <v>(31) 🍀  Gabriel - Goals: 1</v>
      </c>
      <c r="B58" s="117" t="str">
        <f>IFERROR(__xludf.DUMMYFUNCTION("""COMPUTED_VALUE"""),"(23) 🍀  Fabian -was goalie")</f>
        <v>(23) 🍀  Fabian -was goalie</v>
      </c>
      <c r="C58" s="117"/>
      <c r="D58" s="117" t="str">
        <f>IFERROR(__xludf.DUMMYFUNCTION("""COMPUTED_VALUE"""),"(27) 🍀  Alex - Goals: 1")</f>
        <v>(27) 🍀  Alex - Goals: 1</v>
      </c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26" t="str">
        <f>IFERROR(__xludf.DUMMYFUNCTION("""COMPUTED_VALUE"""),"(41) 🔁 (Jhony S) - Goals: 1")</f>
        <v>(41) 🔁 (Jhony S) - Goals: 1</v>
      </c>
      <c r="B59" s="117"/>
      <c r="C59" s="117"/>
      <c r="D59" s="117" t="str">
        <f>IFERROR(__xludf.DUMMYFUNCTION("""COMPUTED_VALUE"""),"(30) 🍀  Chavito -was goalie")</f>
        <v>(30) 🍀  Chavito -was goalie</v>
      </c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26"/>
      <c r="B60" s="117"/>
      <c r="C60" s="117"/>
      <c r="D60" s="117" t="str">
        <f>IFERROR(__xludf.DUMMYFUNCTION("""COMPUTED_VALUE"""),"(33) 🍀  David - Goals: 2")</f>
        <v>(33) 🍀  David - Goals: 2</v>
      </c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26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26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26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26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27" t="s">
        <v>260</v>
      </c>
      <c r="B65" s="127" t="s">
        <v>260</v>
      </c>
      <c r="C65" s="127" t="s">
        <v>260</v>
      </c>
      <c r="D65" s="127" t="s">
        <v>260</v>
      </c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6" t="s">
        <v>264</v>
      </c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6" t="str">
        <f>MATCH_INPUT!F18</f>
        <v>BLUE</v>
      </c>
      <c r="B67" s="128">
        <f>MATCH_INPUT!G18</f>
        <v>3</v>
      </c>
      <c r="C67" s="116">
        <f>MATCH_INPUT!I18</f>
        <v>3</v>
      </c>
      <c r="D67" s="116" t="str">
        <f>MATCH_INPUT!J18</f>
        <v>MAGENTA</v>
      </c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6" t="str">
        <f>MATCH_INPUT!F19</f>
        <v>GREEN</v>
      </c>
      <c r="B68" s="128">
        <f>MATCH_INPUT!G19</f>
        <v>1</v>
      </c>
      <c r="C68" s="116">
        <f>MATCH_INPUT!I19</f>
        <v>2</v>
      </c>
      <c r="D68" s="116" t="str">
        <f>MATCH_INPUT!J19</f>
        <v>ORANGE</v>
      </c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6" t="str">
        <f>MATCH_INPUT!F20</f>
        <v>BLUE</v>
      </c>
      <c r="B69" s="128">
        <f>MATCH_INPUT!G20</f>
        <v>1</v>
      </c>
      <c r="C69" s="116">
        <f>MATCH_INPUT!I20</f>
        <v>2</v>
      </c>
      <c r="D69" s="116" t="str">
        <f>MATCH_INPUT!J20</f>
        <v>GREEN</v>
      </c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6" t="str">
        <f>MATCH_INPUT!F21</f>
        <v>MAGENTA</v>
      </c>
      <c r="B70" s="128">
        <f>MATCH_INPUT!G21</f>
        <v>0</v>
      </c>
      <c r="C70" s="116">
        <f>MATCH_INPUT!I21</f>
        <v>4</v>
      </c>
      <c r="D70" s="116" t="str">
        <f>MATCH_INPUT!J21</f>
        <v>ORANGE</v>
      </c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6" t="s">
        <v>265</v>
      </c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(WEEKLY_TEAMS!AY3:AY53=""BLUE"") * 
  IF(
    SUM(NOT(ISBLANK(WEEKLY_TEAMS!BF3:BF53))) + SUM(WEEKLY_TEAMS!BG3:BG53) + SUM(NOT(ISBLANK(WEEKLY_TEAMS!BH3:BH53))) = 0, 
    TRUE"&amp;", 
    ((WEEKLY_TEAMS!BF3:BF53&lt;&gt;"""") + (WEEKLY_TEAMS!BG3:BG53=1) + (WEEKLY_TEAMS!BH3:BH53&lt;&gt;"""") &gt; 0)
  )
)
"),"(7) 🍀  Javier - Goals: 1")</f>
        <v>(7) 🍀  Javier - Goals: 1</v>
      </c>
      <c r="B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(WEEKLY_TEAMS!AY3:AY53=""green"") * 
  IF(
    SUM(NOT(ISBLANK(WEEKLY_TEAMS!BF3:BF53))) + SUM(WEEKLY_TEAMS!BG3:BG53) + SUM(NOT(ISBLANK(WEEKLY_TEAMS!BH3:BH53))) = 0, 
    TRU"&amp;"E, 
    ((WEEKLY_TEAMS!BF3:BF53&lt;&gt;"""") + (WEEKLY_TEAMS!BG3:BG53=1) + (WEEKLY_TEAMS!BH3:BH53&lt;&gt;"""") &gt; 0)
  )
)
"),"(13) 🍀  Gerardo - Goals: 1")</f>
        <v>(13) 🍀  Gerardo - Goals: 1</v>
      </c>
      <c r="C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(WEEKLY_TEAMS!AY3:AY53=""orange"") * 
  IF(
    SUM(NOT(ISBLANK(WEEKLY_TEAMS!BF3:BF53))) + SUM(WEEKLY_TEAMS!BG3:BG53) + SUM(NOT(ISBLANK(WEEKLY_TEAMS!BH3:BH53))) = 0, 
    TR"&amp;"UE, 
    ((WEEKLY_TEAMS!BF3:BF53&lt;&gt;"""") + (WEEKLY_TEAMS!BG3:BG53=1) + (WEEKLY_TEAMS!BH3:BH53&lt;&gt;"""") &gt; 0)
  )
)
"),"(1) 🍀  🏆 Asdruval - was goalie")</f>
        <v>(1) 🍀  🏆 Asdruval - was goalie</v>
      </c>
      <c r="D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(WEEKLY_TEAMS!AY3:AY53=""magenta"") * 
  IF(
    SUM(NOT(ISBLANK(WEEKLY_TEAMS!BF3:BF53))) + SUM(WEEKLY_TEAMS!BG3:BG53) + SUM(NOT(ISBLANK(WEEKLY_TEAMS!BH3:BH53))) = 0, 
    T"&amp;"RUE, 
    ((WEEKLY_TEAMS!BF3:BF53&lt;&gt;"""") + (WEEKLY_TEAMS!BG3:BG53=1) + (WEEKLY_TEAMS!BH3:BH53&lt;&gt;"""") &gt; 0)
  )
)
"),"(5) 🍀  Jose Blanco - Goals: 1")</f>
        <v>(5) 🍀  Jose Blanco - Goals: 1</v>
      </c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6" t="str">
        <f>IFERROR(__xludf.DUMMYFUNCTION("""COMPUTED_VALUE"""),"(11) 🍀  Ruben - Goals: 1")</f>
        <v>(11) 🍀  Ruben - Goals: 1</v>
      </c>
      <c r="B73" s="117" t="str">
        <f>IFERROR(__xludf.DUMMYFUNCTION("""COMPUTED_VALUE"""),"(16) 🍀  Rodolfo - was goalie")</f>
        <v>(16) 🍀  Rodolfo - was goalie</v>
      </c>
      <c r="C73" s="117" t="str">
        <f>IFERROR(__xludf.DUMMYFUNCTION("""COMPUTED_VALUE"""),"(3) 🍀  🥉 Andres - was goalie - Clean Sheets: 1")</f>
        <v>(3) 🍀  🥉 Andres - was goalie - Clean Sheets: 1</v>
      </c>
      <c r="D73" s="117" t="str">
        <f>IFERROR(__xludf.DUMMYFUNCTION("""COMPUTED_VALUE"""),"(12) 🍀  Fer - was goalie")</f>
        <v>(12) 🍀  Fer - was goalie</v>
      </c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26" t="str">
        <f>IFERROR(__xludf.DUMMYFUNCTION("""COMPUTED_VALUE"""),"(23) 🍀  Fabian - was goalie")</f>
        <v>(23) 🍀  Fabian - was goalie</v>
      </c>
      <c r="B74" s="117" t="str">
        <f>IFERROR(__xludf.DUMMYFUNCTION("""COMPUTED_VALUE"""),"(20) 🍀  Nicky - Goals: 1")</f>
        <v>(20) 🍀  Nicky - Goals: 1</v>
      </c>
      <c r="C74" s="117" t="str">
        <f>IFERROR(__xludf.DUMMYFUNCTION("""COMPUTED_VALUE"""),"(8) 🍀  Valencia - Goals: 1")</f>
        <v>(8) 🍀  Valencia - Goals: 1</v>
      </c>
      <c r="D74" s="117" t="str">
        <f>IFERROR(__xludf.DUMMYFUNCTION("""COMPUTED_VALUE"""),"(14) 🍀  Valverde - Goals: 1")</f>
        <v>(14) 🍀  Valverde - Goals: 1</v>
      </c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26" t="str">
        <f>IFERROR(__xludf.DUMMYFUNCTION("""COMPUTED_VALUE"""),"(24) 🍀  Eder - Goals: 1")</f>
        <v>(24) 🍀  Eder - Goals: 1</v>
      </c>
      <c r="B75" s="117" t="str">
        <f>IFERROR(__xludf.DUMMYFUNCTION("""COMPUTED_VALUE"""),"(21) 🍀  Jordan - Goals: 1")</f>
        <v>(21) 🍀  Jordan - Goals: 1</v>
      </c>
      <c r="C75" s="117" t="str">
        <f>IFERROR(__xludf.DUMMYFUNCTION("""COMPUTED_VALUE"""),"(15) 🍀  Chato - Goals: 2")</f>
        <v>(15) 🍀  Chato - Goals: 2</v>
      </c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26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2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26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26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26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27" t="s">
        <v>260</v>
      </c>
      <c r="B81" s="127" t="s">
        <v>260</v>
      </c>
      <c r="C81" s="127" t="s">
        <v>260</v>
      </c>
      <c r="D81" s="127" t="s">
        <v>260</v>
      </c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6" t="s">
        <v>266</v>
      </c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6" t="str">
        <f>MATCH_INPUT!F22</f>
        <v>BLUE</v>
      </c>
      <c r="B83" s="128">
        <f>MATCH_INPUT!G22</f>
        <v>1</v>
      </c>
      <c r="C83" s="116">
        <f>MATCH_INPUT!I22</f>
        <v>1</v>
      </c>
      <c r="D83" s="116" t="str">
        <f>MATCH_INPUT!J22</f>
        <v>MAGENTA</v>
      </c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6" t="str">
        <f>MATCH_INPUT!F23</f>
        <v>GREEN</v>
      </c>
      <c r="B84" s="128">
        <f>MATCH_INPUT!G23</f>
        <v>1</v>
      </c>
      <c r="C84" s="116">
        <f>MATCH_INPUT!I23</f>
        <v>0</v>
      </c>
      <c r="D84" s="116" t="str">
        <f>MATCH_INPUT!J23</f>
        <v>ORANGE</v>
      </c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6" t="str">
        <f>MATCH_INPUT!F24</f>
        <v>MAGENTA</v>
      </c>
      <c r="B85" s="128">
        <f>MATCH_INPUT!G24</f>
        <v>1</v>
      </c>
      <c r="C85" s="116">
        <f>MATCH_INPUT!I24</f>
        <v>1</v>
      </c>
      <c r="D85" s="116" t="str">
        <f>MATCH_INPUT!J24</f>
        <v>GREEN</v>
      </c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6" t="str">
        <f>MATCH_INPUT!F25</f>
        <v>BLUE</v>
      </c>
      <c r="B86" s="128">
        <f>MATCH_INPUT!G25</f>
        <v>2</v>
      </c>
      <c r="C86" s="116">
        <f>MATCH_INPUT!I25</f>
        <v>0</v>
      </c>
      <c r="D86" s="116" t="str">
        <f>MATCH_INPUT!J25</f>
        <v>ORANGE</v>
      </c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6" t="s">
        <v>265</v>
      </c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(WEEKLY_TEAMS!BK3:BK53=""BLUE"") * 
  IF(
    SUM(NOT(ISBLANK(WEEKLY_TEAMS!BR3:BR53))) + SUM(WEEKLY_TEAMS!BS3:BS53) + SUM(NOT(ISBLANK(WEEKLY_TEAMS!BT3:BT53))) = 0, 
    TRUE,"&amp;" 
    ((WEEKLY_TEAMS!BR3:BR53&lt;&gt;"""") + (WEEKLY_TEAMS!BS3:BS53=1) + (WEEKLY_TEAMS!BT3:BT53&lt;&gt;"""") &gt; 0)
  )
)
"),"(17) 🍀  Rob -was goalie")</f>
        <v>(17) 🍀  Rob -was goalie</v>
      </c>
      <c r="B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(WEEKLY_TEAMS!BK3:BK53=""green"") * 
  IF(
    SUM(NOT(ISBLANK(WEEKLY_TEAMS!BR3:BR53))) + SUM(WEEKLY_TEAMS!BS3:BS53) + SUM(NOT(ISBLANK(WEEKLY_TEAMS!BT3:BT53))) = 0, 
    TRUE"&amp;", 
    ((WEEKLY_TEAMS!BR3:BR53&lt;&gt;"""") + (WEEKLY_TEAMS!BS3:BS53=1) + (WEEKLY_TEAMS!BT3:BT53&lt;&gt;"""") &gt; 0)
  )
)
"),"(12) 🍀  Fer -was goalie - Clean Sheets: 1")</f>
        <v>(12) 🍀  Fer -was goalie - Clean Sheets: 1</v>
      </c>
      <c r="C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(WEEKLY_TEAMS!BK3:BK53=""orange"") * 
  IF(
    SUM(NOT(ISBLANK(WEEKLY_TEAMS!BR3:BR53))) + SUM(WEEKLY_TEAMS!BS3:BS53) + SUM(NOT(ISBLANK(WEEKLY_TEAMS!BT3:BT53))) = 0, 
    TRU"&amp;"E, 
    ((WEEKLY_TEAMS!BR3:BR53&lt;&gt;"""") + (WEEKLY_TEAMS!BS3:BS53=1) + (WEEKLY_TEAMS!BT3:BT53&lt;&gt;"""") &gt; 0)
  )
)
"),"#N/A")</f>
        <v>#N/A</v>
      </c>
      <c r="D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(WEEKLY_TEAMS!BK3:BK53=""magenta"") * 
  IF(
    SUM(NOT(ISBLANK(WEEKLY_TEAMS!BR3:BR53))) + SUM(WEEKLY_TEAMS!BS3:BS53) + SUM(NOT(ISBLANK(WEEKLY_TEAMS!BT3:BT53))) = 0, 
    TR"&amp;"UE, 
    ((WEEKLY_TEAMS!BR3:BR53&lt;&gt;"""") + (WEEKLY_TEAMS!BS3:BS53=1) + (WEEKLY_TEAMS!BT3:BT53&lt;&gt;"""") &gt; 0)
  )
)
"),"(25) 🍀  Cuñis 👨🏽‍🤝‍👨🏼 Karter - Goals: 1")</f>
        <v>(25) 🍀  Cuñis 👨🏽‍🤝‍👨🏼 Karter - Goals: 1</v>
      </c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6" t="str">
        <f>IFERROR(__xludf.DUMMYFUNCTION("""COMPUTED_VALUE"""),"(20) 🍀  Nicky - Goals: 2")</f>
        <v>(20) 🍀  Nicky - Goals: 2</v>
      </c>
      <c r="B89" s="117" t="str">
        <f>IFERROR(__xludf.DUMMYFUNCTION("""COMPUTED_VALUE"""),"(14) 🍀  Valverde - Goals: 1")</f>
        <v>(14) 🍀  Valverde - Goals: 1</v>
      </c>
      <c r="C89" s="117"/>
      <c r="D89" s="117" t="str">
        <f>IFERROR(__xludf.DUMMYFUNCTION("""COMPUTED_VALUE"""),"(34) 🍀  Kevin - Goals: 1")</f>
        <v>(34) 🍀  Kevin - Goals: 1</v>
      </c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26"/>
      <c r="B90" s="117" t="str">
        <f>IFERROR(__xludf.DUMMYFUNCTION("""COMPUTED_VALUE"""),"(15) 🍀  Chato - Goals: 1")</f>
        <v>(15) 🍀  Chato - Goals: 1</v>
      </c>
      <c r="C90" s="117"/>
      <c r="D90" s="117" t="str">
        <f>IFERROR(__xludf.DUMMYFUNCTION("""COMPUTED_VALUE"""),"(39) 🔁 (Jeff) -was goalie")</f>
        <v>(39) 🔁 (Jeff) -was goalie</v>
      </c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26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26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26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26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26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26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27" t="s">
        <v>260</v>
      </c>
      <c r="B97" s="127" t="s">
        <v>260</v>
      </c>
      <c r="C97" s="127" t="s">
        <v>260</v>
      </c>
      <c r="D97" s="127" t="s">
        <v>260</v>
      </c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6" t="s">
        <v>267</v>
      </c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6" t="str">
        <f>MATCH_INPUT!F26</f>
        <v>BLUE</v>
      </c>
      <c r="B99" s="128">
        <f>MATCH_INPUT!G26</f>
        <v>2</v>
      </c>
      <c r="C99" s="116">
        <f>MATCH_INPUT!I26</f>
        <v>1</v>
      </c>
      <c r="D99" s="116" t="str">
        <f>MATCH_INPUT!J26</f>
        <v>MAGENTA</v>
      </c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6" t="str">
        <f>MATCH_INPUT!F27</f>
        <v>GREEN</v>
      </c>
      <c r="B100" s="128">
        <f>MATCH_INPUT!G27</f>
        <v>0</v>
      </c>
      <c r="C100" s="116">
        <f>MATCH_INPUT!I27</f>
        <v>0</v>
      </c>
      <c r="D100" s="116" t="str">
        <f>MATCH_INPUT!J27</f>
        <v>ORANGE</v>
      </c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6" t="str">
        <f>MATCH_INPUT!F28</f>
        <v>ORANGE</v>
      </c>
      <c r="B101" s="128">
        <f>MATCH_INPUT!G28</f>
        <v>4</v>
      </c>
      <c r="C101" s="116">
        <f>MATCH_INPUT!I28</f>
        <v>1</v>
      </c>
      <c r="D101" s="116" t="str">
        <f>MATCH_INPUT!J28</f>
        <v>BLUE</v>
      </c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6" t="str">
        <f>MATCH_INPUT!F29</f>
        <v>MAGENTA</v>
      </c>
      <c r="B102" s="128">
        <f>MATCH_INPUT!G29</f>
        <v>1</v>
      </c>
      <c r="C102" s="116">
        <f>MATCH_INPUT!I29</f>
        <v>1</v>
      </c>
      <c r="D102" s="116" t="str">
        <f>MATCH_INPUT!J29</f>
        <v>GREEN</v>
      </c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6" t="s">
        <v>265</v>
      </c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(WEEKLY_TEAMS!BW3:BW53=""BLUE"") * 
  IF(
    SUM(NOT(ISBLANK(WEEKLY_TEAMS!CD3:CD53))) + SUM(WEEKLY_TEAMS!CE3:CE53) + SUM(NOT(ISBLANK(WEEKLY_TEAMS!CF3:CF53))) = 0, 
    TRUE,"&amp;" 
    ((WEEKLY_TEAMS!CD3:CD53&lt;&gt;"""") + (WEEKLY_TEAMS!CE3:CE53=1) + (WEEKLY_TEAMS!CF3:CF53&lt;&gt;"""") &gt; 0)
  )
)
"),"(2) 🍀  🥈 Carlos S. - Goals: 1")</f>
        <v>(2) 🍀  🥈 Carlos S. - Goals: 1</v>
      </c>
      <c r="B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(WEEKLY_TEAMS!BW3:BW53=""green"") * 
  IF(
    SUM(NOT(ISBLANK(WEEKLY_TEAMS!CD3:CD53))) + SUM(WEEKLY_TEAMS!CE3:CE53) + SUM(NOT(ISBLANK(WEEKLY_TEAMS!CF3:CF53))) = 0, 
    TRUE"&amp;", 
    ((WEEKLY_TEAMS!CD3:CD53&lt;&gt;"""") + (WEEKLY_TEAMS!CE3:CE53=1) + (WEEKLY_TEAMS!CF3:CF53&lt;&gt;"""") &gt; 0)
  )
)
"),"(16) 🍀  Rodolfo -was goalie - Clean Sheets: 1")</f>
        <v>(16) 🍀  Rodolfo -was goalie - Clean Sheets: 1</v>
      </c>
      <c r="C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(WEEKLY_TEAMS!BW3:BW53=""orange"") * 
  IF(
    SUM(NOT(ISBLANK(WEEKLY_TEAMS!CD3:CD53))) + SUM(WEEKLY_TEAMS!CE3:CE53) + SUM(NOT(ISBLANK(WEEKLY_TEAMS!CF3:CF53))) = 0, 
    TRU"&amp;"E, 
    ((WEEKLY_TEAMS!CD3:CD53&lt;&gt;"""") + (WEEKLY_TEAMS!CE3:CE53=1) + (WEEKLY_TEAMS!CF3:CF53&lt;&gt;"""") &gt; 0)
  )
)
"),"(5) 🍀  Jose Blanco - Goals: 1")</f>
        <v>(5) 🍀  Jose Blanco - Goals: 1</v>
      </c>
      <c r="D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(WEEKLY_TEAMS!BW3:BW53=""Magenta"") * 
  IF(
    SUM(NOT(ISBLANK(WEEKLY_TEAMS!CD3:CD53))) + SUM(WEEKLY_TEAMS!CE3:CE53) + SUM(NOT(ISBLANK(WEEKLY_TEAMS!CF3:CF53))) = 0, 
    TR"&amp;"UE, 
    ((WEEKLY_TEAMS!CD3:CD53&lt;&gt;"""") + (WEEKLY_TEAMS!CE3:CE53=1) + (WEEKLY_TEAMS!CF3:CF53&lt;&gt;"""") &gt; 0)
  )
)
"),"(28) 🍀  Chilas 👨🏻‍🤝‍👨🏾 Netto - Goals: 1")</f>
        <v>(28) 🍀  Chilas 👨🏻‍🤝‍👨🏾 Netto - Goals: 1</v>
      </c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6" t="str">
        <f>IFERROR(__xludf.DUMMYFUNCTION("""COMPUTED_VALUE"""),"(8) 🍀  Valencia - Goals: 1")</f>
        <v>(8) 🍀  Valencia - Goals: 1</v>
      </c>
      <c r="B105" s="117" t="str">
        <f>IFERROR(__xludf.DUMMYFUNCTION("""COMPUTED_VALUE"""),"(32) 🍀  Gus - Goals: 1")</f>
        <v>(32) 🍀  Gus - Goals: 1</v>
      </c>
      <c r="C105" s="117" t="str">
        <f>IFERROR(__xludf.DUMMYFUNCTION("""COMPUTED_VALUE"""),"(13) 🍀  Gerardo - Goals: 1")</f>
        <v>(13) 🍀  Gerardo - Goals: 1</v>
      </c>
      <c r="D105" s="117" t="str">
        <f>IFERROR(__xludf.DUMMYFUNCTION("""COMPUTED_VALUE"""),"(39) 🔁 (Jeff) -was goalie")</f>
        <v>(39) 🔁 (Jeff) -was goalie</v>
      </c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26" t="str">
        <f>IFERROR(__xludf.DUMMYFUNCTION("""COMPUTED_VALUE"""),"(12) 🍀  Fer -was goalie")</f>
        <v>(12) 🍀  Fer -was goalie</v>
      </c>
      <c r="B106" s="117"/>
      <c r="C106" s="117" t="str">
        <f>IFERROR(__xludf.DUMMYFUNCTION("""COMPUTED_VALUE"""),"(27) 🍀  Alex - Goals: 1")</f>
        <v>(27) 🍀  Alex - Goals: 1</v>
      </c>
      <c r="D106" s="117" t="str">
        <f>IFERROR(__xludf.DUMMYFUNCTION("""COMPUTED_VALUE"""),"(43) 🔁 (Cuñis) - Goals: 1")</f>
        <v>(43) 🔁 (Cuñis) - Goals: 1</v>
      </c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26" t="str">
        <f>IFERROR(__xludf.DUMMYFUNCTION("""COMPUTED_VALUE"""),"(24) 🍀  Eder - Goals: 1")</f>
        <v>(24) 🍀  Eder - Goals: 1</v>
      </c>
      <c r="B107" s="117"/>
      <c r="C107" s="117" t="str">
        <f>IFERROR(__xludf.DUMMYFUNCTION("""COMPUTED_VALUE"""),"(42) 🔁 (Saul) - Goals: 1")</f>
        <v>(42) 🔁 (Saul) - Goals: 1</v>
      </c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26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26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26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26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26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27" t="s">
        <v>260</v>
      </c>
      <c r="B113" s="127" t="s">
        <v>260</v>
      </c>
      <c r="C113" s="127" t="s">
        <v>260</v>
      </c>
      <c r="D113" s="127" t="s">
        <v>260</v>
      </c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6" t="s">
        <v>268</v>
      </c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6" t="str">
        <f>MATCH_INPUT!F30</f>
        <v>BLUE</v>
      </c>
      <c r="B115" s="128">
        <f>MATCH_INPUT!G30</f>
        <v>1</v>
      </c>
      <c r="C115" s="116">
        <f>MATCH_INPUT!I30</f>
        <v>1</v>
      </c>
      <c r="D115" s="116" t="str">
        <f>MATCH_INPUT!J30</f>
        <v>MAGENTA</v>
      </c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6" t="str">
        <f>MATCH_INPUT!F31</f>
        <v>GREEN</v>
      </c>
      <c r="B116" s="128">
        <f>MATCH_INPUT!G31</f>
        <v>0</v>
      </c>
      <c r="C116" s="116">
        <f>MATCH_INPUT!I31</f>
        <v>1</v>
      </c>
      <c r="D116" s="116" t="str">
        <f>MATCH_INPUT!J31</f>
        <v>ORANGE</v>
      </c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6" t="str">
        <f>MATCH_INPUT!F32</f>
        <v>MAGENTA</v>
      </c>
      <c r="B117" s="128">
        <f>MATCH_INPUT!G32</f>
        <v>0</v>
      </c>
      <c r="C117" s="116">
        <f>MATCH_INPUT!I32</f>
        <v>2</v>
      </c>
      <c r="D117" s="116" t="str">
        <f>MATCH_INPUT!J32</f>
        <v>GREEN</v>
      </c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6" t="str">
        <f>MATCH_INPUT!F33</f>
        <v>ORANGE</v>
      </c>
      <c r="B118" s="128">
        <f>MATCH_INPUT!G33</f>
        <v>2</v>
      </c>
      <c r="C118" s="116">
        <f>MATCH_INPUT!I33</f>
        <v>0</v>
      </c>
      <c r="D118" s="116" t="str">
        <f>MATCH_INPUT!J33</f>
        <v>BLUE</v>
      </c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6" t="s">
        <v>265</v>
      </c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(WEEKLY_TEAMS!CI3:CI53=""BLUE"") * 
  IF(
    SUM(NOT(ISBLANK(WEEKLY_TEAMS!CP3:CP53))) + SUM(WEEKLY_TEAMS!CQ3:CQ53) + SUM(NOT(ISBLANK(WEEKLY_TEAMS!CR3:CR53))) = 0, 
    TRUE,"&amp;" 
    ((WEEKLY_TEAMS!CP3:CP53&lt;&gt;"""") + (WEEKLY_TEAMS!CQ3:CQ53=1) + (WEEKLY_TEAMS!CR3:CR53&lt;&gt;"""") &gt; 0)
  )
)
"),"#N/A")</f>
        <v>#N/A</v>
      </c>
      <c r="B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(WEEKLY_TEAMS!CI3:CI53=""GREEN"") * 
  IF(
    SUM(NOT(ISBLANK(WEEKLY_TEAMS!CP3:CP53))) + SUM(WEEKLY_TEAMS!CQ3:CQ53) + SUM(NOT(ISBLANK(WEEKLY_TEAMS!CR3:CR53))) = 0, 
    TRUE"&amp;", 
    ((WEEKLY_TEAMS!CP3:CP53&lt;&gt;"""") + (WEEKLY_TEAMS!CQ3:CQ53=1) + (WEEKLY_TEAMS!CR3:CR53&lt;&gt;"""") &gt; 0)
  )
)
"),"(14) 🍀  Valverde - Goals: 1")</f>
        <v>(14) 🍀  Valverde - Goals: 1</v>
      </c>
      <c r="C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(WEEKLY_TEAMS!CI3:CI53=""ORANGE"") * 
  IF(
    SUM(NOT(ISBLANK(WEEKLY_TEAMS!CP3:CP53))) + SUM(WEEKLY_TEAMS!CQ3:CQ53) + SUM(NOT(ISBLANK(WEEKLY_TEAMS!CR3:CR53))) = 0, 
    TRU"&amp;"E, 
    ((WEEKLY_TEAMS!CP3:CP53&lt;&gt;"""") + (WEEKLY_TEAMS!CQ3:CQ53=1) + (WEEKLY_TEAMS!CR3:CR53&lt;&gt;"""") &gt; 0)
  )
)
"),"(11) 🍀  Ruben - Goals: 1")</f>
        <v>(11) 🍀  Ruben - Goals: 1</v>
      </c>
      <c r="D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(WEEKLY_TEAMS!CI3:CI53=""MAGENTA"") * 
  IF(
    SUM(NOT(ISBLANK(WEEKLY_TEAMS!CP3:CP53))) + SUM(WEEKLY_TEAMS!CQ3:CQ53) + SUM(NOT(ISBLANK(WEEKLY_TEAMS!CR3:CR53))) = 0, 
    TR"&amp;"UE, 
    ((WEEKLY_TEAMS!CP3:CP53&lt;&gt;"""") + (WEEKLY_TEAMS!CQ3:CQ53=1) + (WEEKLY_TEAMS!CR3:CR53&lt;&gt;"""") &gt; 0)
  )
)
"),"(18) 🍀  Christian - Goals: 1")</f>
        <v>(18) 🍀  Christian - Goals: 1</v>
      </c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6"/>
      <c r="B121" s="117" t="str">
        <f>IFERROR(__xludf.DUMMYFUNCTION("""COMPUTED_VALUE"""),"(38) 🔁 (Enerson) -was goalie - Clean Sheets: 1")</f>
        <v>(38) 🔁 (Enerson) -was goalie - Clean Sheets: 1</v>
      </c>
      <c r="C121" s="117" t="str">
        <f>IFERROR(__xludf.DUMMYFUNCTION("""COMPUTED_VALUE"""),"(19) 🍀  Guille 👨🏻‍🤝‍👨🏾 Mike -was goalie - Clean Sheets: 2")</f>
        <v>(19) 🍀  Guille 👨🏻‍🤝‍👨🏾 Mike -was goalie - Clean Sheets: 2</v>
      </c>
      <c r="D121" s="117" t="str">
        <f>IFERROR(__xludf.DUMMYFUNCTION("""COMPUTED_VALUE"""),"(40) 🔁 (Nicolas) -was goalie")</f>
        <v>(40) 🔁 (Nicolas) -was goalie</v>
      </c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26"/>
      <c r="B122" s="117"/>
      <c r="C122" s="117" t="str">
        <f>IFERROR(__xludf.DUMMYFUNCTION("""COMPUTED_VALUE"""),"(46) 🔁 (Jhonatan A) - Goals: 1")</f>
        <v>(46) 🔁 (Jhonatan A) - Goals: 1</v>
      </c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26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26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26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26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26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26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27" t="s">
        <v>260</v>
      </c>
      <c r="B129" s="127" t="s">
        <v>260</v>
      </c>
      <c r="C129" s="127" t="s">
        <v>260</v>
      </c>
      <c r="D129" s="127" t="s">
        <v>260</v>
      </c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  <row r="100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</row>
    <row r="1002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</row>
    <row r="1003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</row>
    <row r="1004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</row>
    <row r="1005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</row>
    <row r="1006">
      <c r="A1006" s="117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</row>
    <row r="1007">
      <c r="A1007" s="117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</row>
    <row r="1008">
      <c r="A1008" s="117"/>
      <c r="B1008" s="117"/>
      <c r="C1008" s="117"/>
      <c r="D1008" s="117"/>
      <c r="E1008" s="117"/>
      <c r="F1008" s="117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</row>
    <row r="1009">
      <c r="A1009" s="117"/>
      <c r="B1009" s="117"/>
      <c r="C1009" s="117"/>
      <c r="D1009" s="117"/>
      <c r="E1009" s="117"/>
      <c r="F1009" s="117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</row>
    <row r="1010">
      <c r="A1010" s="117"/>
      <c r="B1010" s="117"/>
      <c r="C1010" s="117"/>
      <c r="D1010" s="117"/>
      <c r="E1010" s="117"/>
      <c r="F1010" s="117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</row>
    <row r="1011">
      <c r="A1011" s="117"/>
      <c r="B1011" s="117"/>
      <c r="C1011" s="117"/>
      <c r="D1011" s="117"/>
      <c r="E1011" s="117"/>
      <c r="F1011" s="117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</row>
    <row r="1012">
      <c r="A1012" s="117"/>
      <c r="B1012" s="117"/>
      <c r="C1012" s="117"/>
      <c r="D1012" s="117"/>
      <c r="E1012" s="117"/>
      <c r="F1012" s="117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</row>
    <row r="1013">
      <c r="A1013" s="117"/>
      <c r="B1013" s="117"/>
      <c r="C1013" s="117"/>
      <c r="D1013" s="117"/>
      <c r="E1013" s="117"/>
      <c r="F1013" s="117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</row>
    <row r="1014">
      <c r="A1014" s="117"/>
      <c r="B1014" s="117"/>
      <c r="C1014" s="117"/>
      <c r="D1014" s="117"/>
      <c r="E1014" s="117"/>
      <c r="F1014" s="117"/>
      <c r="G1014" s="117"/>
      <c r="H1014" s="117"/>
      <c r="I1014" s="117"/>
      <c r="J1014" s="117"/>
      <c r="K1014" s="117"/>
      <c r="L1014" s="117"/>
      <c r="M1014" s="117"/>
      <c r="N1014" s="117"/>
      <c r="O1014" s="117"/>
      <c r="P1014" s="117"/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</row>
    <row r="1015">
      <c r="A1015" s="117"/>
      <c r="B1015" s="117"/>
      <c r="C1015" s="117"/>
      <c r="D1015" s="117"/>
      <c r="E1015" s="117"/>
      <c r="F1015" s="117"/>
      <c r="G1015" s="117"/>
      <c r="H1015" s="117"/>
      <c r="I1015" s="117"/>
      <c r="J1015" s="117"/>
      <c r="K1015" s="117"/>
      <c r="L1015" s="117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</row>
    <row r="1016">
      <c r="A1016" s="117"/>
      <c r="B1016" s="117"/>
      <c r="C1016" s="117"/>
      <c r="D1016" s="117"/>
      <c r="E1016" s="117"/>
      <c r="F1016" s="117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</row>
    <row r="1017">
      <c r="A1017" s="117"/>
      <c r="B1017" s="117"/>
      <c r="C1017" s="117"/>
      <c r="D1017" s="117"/>
      <c r="E1017" s="117"/>
      <c r="F1017" s="117"/>
      <c r="G1017" s="117"/>
      <c r="H1017" s="117"/>
      <c r="I1017" s="117"/>
      <c r="J1017" s="117"/>
      <c r="K1017" s="117"/>
      <c r="L1017" s="117"/>
      <c r="M1017" s="117"/>
      <c r="N1017" s="117"/>
      <c r="O1017" s="117"/>
      <c r="P1017" s="117"/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</row>
    <row r="1018">
      <c r="A1018" s="117"/>
      <c r="B1018" s="117"/>
      <c r="C1018" s="117"/>
      <c r="D1018" s="117"/>
      <c r="E1018" s="117"/>
      <c r="F1018" s="117"/>
      <c r="G1018" s="117"/>
      <c r="H1018" s="117"/>
      <c r="I1018" s="117"/>
      <c r="J1018" s="117"/>
      <c r="K1018" s="117"/>
      <c r="L1018" s="117"/>
      <c r="M1018" s="117"/>
      <c r="N1018" s="117"/>
      <c r="O1018" s="117"/>
      <c r="P1018" s="117"/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</row>
    <row r="1019">
      <c r="A1019" s="117"/>
      <c r="B1019" s="117"/>
      <c r="C1019" s="117"/>
      <c r="D1019" s="117"/>
      <c r="E1019" s="117"/>
      <c r="F1019" s="117"/>
      <c r="G1019" s="117"/>
      <c r="H1019" s="117"/>
      <c r="I1019" s="117"/>
      <c r="J1019" s="117"/>
      <c r="K1019" s="117"/>
      <c r="L1019" s="117"/>
      <c r="M1019" s="117"/>
      <c r="N1019" s="117"/>
      <c r="O1019" s="117"/>
      <c r="P1019" s="117"/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</row>
    <row r="1020">
      <c r="A1020" s="117"/>
      <c r="B1020" s="117"/>
      <c r="C1020" s="117"/>
      <c r="D1020" s="117"/>
      <c r="E1020" s="117"/>
      <c r="F1020" s="117"/>
      <c r="G1020" s="117"/>
      <c r="H1020" s="117"/>
      <c r="I1020" s="117"/>
      <c r="J1020" s="117"/>
      <c r="K1020" s="117"/>
      <c r="L1020" s="117"/>
      <c r="M1020" s="117"/>
      <c r="N1020" s="117"/>
      <c r="O1020" s="117"/>
      <c r="P1020" s="117"/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</row>
    <row r="1021">
      <c r="A1021" s="117"/>
      <c r="B1021" s="117"/>
      <c r="C1021" s="117"/>
      <c r="D1021" s="117"/>
      <c r="E1021" s="117"/>
      <c r="F1021" s="117"/>
      <c r="G1021" s="117"/>
      <c r="H1021" s="117"/>
      <c r="I1021" s="117"/>
      <c r="J1021" s="117"/>
      <c r="K1021" s="117"/>
      <c r="L1021" s="117"/>
      <c r="M1021" s="117"/>
      <c r="N1021" s="117"/>
      <c r="O1021" s="117"/>
      <c r="P1021" s="117"/>
      <c r="Q1021" s="117"/>
      <c r="R1021" s="117"/>
      <c r="S1021" s="117"/>
      <c r="T1021" s="117"/>
      <c r="U1021" s="117"/>
      <c r="V1021" s="117"/>
      <c r="W1021" s="117"/>
      <c r="X1021" s="117"/>
      <c r="Y1021" s="117"/>
      <c r="Z1021" s="117"/>
    </row>
    <row r="1022">
      <c r="A1022" s="117"/>
      <c r="B1022" s="117"/>
      <c r="C1022" s="117"/>
      <c r="D1022" s="117"/>
      <c r="E1022" s="117"/>
      <c r="F1022" s="117"/>
      <c r="G1022" s="117"/>
      <c r="H1022" s="117"/>
      <c r="I1022" s="117"/>
      <c r="J1022" s="117"/>
      <c r="K1022" s="117"/>
      <c r="L1022" s="117"/>
      <c r="M1022" s="117"/>
      <c r="N1022" s="117"/>
      <c r="O1022" s="117"/>
      <c r="P1022" s="117"/>
      <c r="Q1022" s="117"/>
      <c r="R1022" s="117"/>
      <c r="S1022" s="117"/>
      <c r="T1022" s="117"/>
      <c r="U1022" s="117"/>
      <c r="V1022" s="117"/>
      <c r="W1022" s="117"/>
      <c r="X1022" s="117"/>
      <c r="Y1022" s="117"/>
      <c r="Z1022" s="117"/>
    </row>
    <row r="1023">
      <c r="A1023" s="117"/>
      <c r="B1023" s="117"/>
      <c r="C1023" s="117"/>
      <c r="D1023" s="117"/>
      <c r="E1023" s="117"/>
      <c r="F1023" s="117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7"/>
      <c r="Q1023" s="117"/>
      <c r="R1023" s="117"/>
      <c r="S1023" s="117"/>
      <c r="T1023" s="117"/>
      <c r="U1023" s="117"/>
      <c r="V1023" s="117"/>
      <c r="W1023" s="117"/>
      <c r="X1023" s="117"/>
      <c r="Y1023" s="117"/>
      <c r="Z1023" s="117"/>
    </row>
    <row r="1024">
      <c r="A1024" s="117"/>
      <c r="B1024" s="117"/>
      <c r="C1024" s="117"/>
      <c r="D1024" s="117"/>
      <c r="E1024" s="117"/>
      <c r="F1024" s="117"/>
      <c r="G1024" s="117"/>
      <c r="H1024" s="117"/>
      <c r="I1024" s="117"/>
      <c r="J1024" s="117"/>
      <c r="K1024" s="117"/>
      <c r="L1024" s="117"/>
      <c r="M1024" s="117"/>
      <c r="N1024" s="117"/>
      <c r="O1024" s="117"/>
      <c r="P1024" s="117"/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</row>
    <row r="1025">
      <c r="A1025" s="117"/>
      <c r="B1025" s="117"/>
      <c r="C1025" s="117"/>
      <c r="D1025" s="117"/>
      <c r="E1025" s="117"/>
      <c r="F1025" s="117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7"/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</row>
    <row r="1026">
      <c r="A1026" s="117"/>
      <c r="B1026" s="117"/>
      <c r="C1026" s="117"/>
      <c r="D1026" s="117"/>
      <c r="E1026" s="117"/>
      <c r="F1026" s="117"/>
      <c r="G1026" s="117"/>
      <c r="H1026" s="117"/>
      <c r="I1026" s="117"/>
      <c r="J1026" s="117"/>
      <c r="K1026" s="117"/>
      <c r="L1026" s="117"/>
      <c r="M1026" s="117"/>
      <c r="N1026" s="117"/>
      <c r="O1026" s="117"/>
      <c r="P1026" s="117"/>
      <c r="Q1026" s="117"/>
      <c r="R1026" s="117"/>
      <c r="S1026" s="117"/>
      <c r="T1026" s="117"/>
      <c r="U1026" s="117"/>
      <c r="V1026" s="117"/>
      <c r="W1026" s="117"/>
      <c r="X1026" s="117"/>
      <c r="Y1026" s="117"/>
      <c r="Z1026" s="117"/>
    </row>
    <row r="1027">
      <c r="A1027" s="117"/>
      <c r="B1027" s="117"/>
      <c r="C1027" s="117"/>
      <c r="D1027" s="117"/>
      <c r="E1027" s="117"/>
      <c r="F1027" s="117"/>
      <c r="G1027" s="117"/>
      <c r="H1027" s="117"/>
      <c r="I1027" s="117"/>
      <c r="J1027" s="117"/>
      <c r="K1027" s="117"/>
      <c r="L1027" s="117"/>
      <c r="M1027" s="117"/>
      <c r="N1027" s="117"/>
      <c r="O1027" s="117"/>
      <c r="P1027" s="117"/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</row>
    <row r="1028">
      <c r="A1028" s="117"/>
      <c r="B1028" s="117"/>
      <c r="C1028" s="117"/>
      <c r="D1028" s="117"/>
      <c r="E1028" s="117"/>
      <c r="F1028" s="117"/>
      <c r="G1028" s="117"/>
      <c r="H1028" s="117"/>
      <c r="I1028" s="117"/>
      <c r="J1028" s="117"/>
      <c r="K1028" s="117"/>
      <c r="L1028" s="117"/>
      <c r="M1028" s="117"/>
      <c r="N1028" s="117"/>
      <c r="O1028" s="117"/>
      <c r="P1028" s="117"/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</row>
    <row r="1029">
      <c r="A1029" s="117"/>
      <c r="B1029" s="117"/>
      <c r="C1029" s="117"/>
      <c r="D1029" s="117"/>
      <c r="E1029" s="117"/>
      <c r="F1029" s="117"/>
      <c r="G1029" s="117"/>
      <c r="H1029" s="117"/>
      <c r="I1029" s="117"/>
      <c r="J1029" s="117"/>
      <c r="K1029" s="117"/>
      <c r="L1029" s="117"/>
      <c r="M1029" s="117"/>
      <c r="N1029" s="117"/>
      <c r="O1029" s="117"/>
      <c r="P1029" s="117"/>
      <c r="Q1029" s="117"/>
      <c r="R1029" s="117"/>
      <c r="S1029" s="117"/>
      <c r="T1029" s="117"/>
      <c r="U1029" s="117"/>
      <c r="V1029" s="117"/>
      <c r="W1029" s="117"/>
      <c r="X1029" s="117"/>
      <c r="Y1029" s="117"/>
      <c r="Z1029" s="117"/>
    </row>
    <row r="1030">
      <c r="A1030" s="117"/>
      <c r="B1030" s="117"/>
      <c r="C1030" s="117"/>
      <c r="D1030" s="117"/>
      <c r="E1030" s="117"/>
      <c r="F1030" s="117"/>
      <c r="G1030" s="117"/>
      <c r="H1030" s="117"/>
      <c r="I1030" s="117"/>
      <c r="J1030" s="117"/>
      <c r="K1030" s="117"/>
      <c r="L1030" s="117"/>
      <c r="M1030" s="117"/>
      <c r="N1030" s="117"/>
      <c r="O1030" s="117"/>
      <c r="P1030" s="117"/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</row>
    <row r="1031">
      <c r="A1031" s="117"/>
      <c r="B1031" s="117"/>
      <c r="C1031" s="117"/>
      <c r="D1031" s="117"/>
      <c r="E1031" s="117"/>
      <c r="F1031" s="117"/>
      <c r="G1031" s="117"/>
      <c r="H1031" s="117"/>
      <c r="I1031" s="117"/>
      <c r="J1031" s="117"/>
      <c r="K1031" s="117"/>
      <c r="L1031" s="117"/>
      <c r="M1031" s="117"/>
      <c r="N1031" s="117"/>
      <c r="O1031" s="117"/>
      <c r="P1031" s="117"/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</row>
    <row r="1032">
      <c r="A1032" s="117"/>
      <c r="B1032" s="117"/>
      <c r="C1032" s="117"/>
      <c r="D1032" s="117"/>
      <c r="E1032" s="117"/>
      <c r="F1032" s="117"/>
      <c r="G1032" s="117"/>
      <c r="H1032" s="117"/>
      <c r="I1032" s="117"/>
      <c r="J1032" s="117"/>
      <c r="K1032" s="117"/>
      <c r="L1032" s="117"/>
      <c r="M1032" s="117"/>
      <c r="N1032" s="117"/>
      <c r="O1032" s="117"/>
      <c r="P1032" s="117"/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</row>
    <row r="1033">
      <c r="A1033" s="117"/>
      <c r="B1033" s="117"/>
      <c r="C1033" s="117"/>
      <c r="D1033" s="117"/>
      <c r="E1033" s="117"/>
      <c r="F1033" s="117"/>
      <c r="G1033" s="117"/>
      <c r="H1033" s="117"/>
      <c r="I1033" s="117"/>
      <c r="J1033" s="117"/>
      <c r="K1033" s="117"/>
      <c r="L1033" s="117"/>
      <c r="M1033" s="117"/>
      <c r="N1033" s="117"/>
      <c r="O1033" s="117"/>
      <c r="P1033" s="117"/>
      <c r="Q1033" s="117"/>
      <c r="R1033" s="117"/>
      <c r="S1033" s="117"/>
      <c r="T1033" s="117"/>
      <c r="U1033" s="117"/>
      <c r="V1033" s="117"/>
      <c r="W1033" s="117"/>
      <c r="X1033" s="117"/>
      <c r="Y1033" s="117"/>
      <c r="Z1033" s="117"/>
    </row>
    <row r="1034">
      <c r="A1034" s="117"/>
      <c r="B1034" s="117"/>
      <c r="C1034" s="117"/>
      <c r="D1034" s="117"/>
      <c r="E1034" s="117"/>
      <c r="F1034" s="117"/>
      <c r="G1034" s="117"/>
      <c r="H1034" s="117"/>
      <c r="I1034" s="117"/>
      <c r="J1034" s="117"/>
      <c r="K1034" s="117"/>
      <c r="L1034" s="117"/>
      <c r="M1034" s="117"/>
      <c r="N1034" s="117"/>
      <c r="O1034" s="117"/>
      <c r="P1034" s="117"/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</row>
    <row r="1035">
      <c r="A1035" s="117"/>
      <c r="B1035" s="117"/>
      <c r="C1035" s="117"/>
      <c r="D1035" s="117"/>
      <c r="E1035" s="117"/>
      <c r="F1035" s="117"/>
      <c r="G1035" s="117"/>
      <c r="H1035" s="117"/>
      <c r="I1035" s="117"/>
      <c r="J1035" s="117"/>
      <c r="K1035" s="117"/>
      <c r="L1035" s="117"/>
      <c r="M1035" s="117"/>
      <c r="N1035" s="117"/>
      <c r="O1035" s="117"/>
      <c r="P1035" s="117"/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</row>
    <row r="1036">
      <c r="A1036" s="117"/>
      <c r="B1036" s="117"/>
      <c r="C1036" s="117"/>
      <c r="D1036" s="117"/>
      <c r="E1036" s="117"/>
      <c r="F1036" s="117"/>
      <c r="G1036" s="117"/>
      <c r="H1036" s="117"/>
      <c r="I1036" s="117"/>
      <c r="J1036" s="117"/>
      <c r="K1036" s="117"/>
      <c r="L1036" s="117"/>
      <c r="M1036" s="117"/>
      <c r="N1036" s="117"/>
      <c r="O1036" s="117"/>
      <c r="P1036" s="117"/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</row>
    <row r="1037">
      <c r="A1037" s="117"/>
      <c r="B1037" s="117"/>
      <c r="C1037" s="117"/>
      <c r="D1037" s="117"/>
      <c r="E1037" s="117"/>
      <c r="F1037" s="117"/>
      <c r="G1037" s="117"/>
      <c r="H1037" s="117"/>
      <c r="I1037" s="117"/>
      <c r="J1037" s="117"/>
      <c r="K1037" s="117"/>
      <c r="L1037" s="117"/>
      <c r="M1037" s="117"/>
      <c r="N1037" s="117"/>
      <c r="O1037" s="117"/>
      <c r="P1037" s="117"/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</row>
    <row r="1038">
      <c r="A1038" s="117"/>
      <c r="B1038" s="117"/>
      <c r="C1038" s="117"/>
      <c r="D1038" s="117"/>
      <c r="E1038" s="117"/>
      <c r="F1038" s="117"/>
      <c r="G1038" s="117"/>
      <c r="H1038" s="117"/>
      <c r="I1038" s="117"/>
      <c r="J1038" s="117"/>
      <c r="K1038" s="117"/>
      <c r="L1038" s="117"/>
      <c r="M1038" s="117"/>
      <c r="N1038" s="117"/>
      <c r="O1038" s="117"/>
      <c r="P1038" s="117"/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</row>
    <row r="1039">
      <c r="A1039" s="117"/>
      <c r="B1039" s="117"/>
      <c r="C1039" s="117"/>
      <c r="D1039" s="117"/>
      <c r="E1039" s="117"/>
      <c r="F1039" s="117"/>
      <c r="G1039" s="117"/>
      <c r="H1039" s="117"/>
      <c r="I1039" s="117"/>
      <c r="J1039" s="117"/>
      <c r="K1039" s="117"/>
      <c r="L1039" s="117"/>
      <c r="M1039" s="117"/>
      <c r="N1039" s="117"/>
      <c r="O1039" s="117"/>
      <c r="P1039" s="117"/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</row>
    <row r="1040">
      <c r="A1040" s="117"/>
      <c r="B1040" s="117"/>
      <c r="C1040" s="117"/>
      <c r="D1040" s="117"/>
      <c r="E1040" s="117"/>
      <c r="F1040" s="117"/>
      <c r="G1040" s="117"/>
      <c r="H1040" s="117"/>
      <c r="I1040" s="117"/>
      <c r="J1040" s="117"/>
      <c r="K1040" s="117"/>
      <c r="L1040" s="117"/>
      <c r="M1040" s="117"/>
      <c r="N1040" s="117"/>
      <c r="O1040" s="117"/>
      <c r="P1040" s="117"/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</row>
    <row r="1041">
      <c r="A1041" s="117"/>
      <c r="B1041" s="117"/>
      <c r="C1041" s="117"/>
      <c r="D1041" s="117"/>
      <c r="E1041" s="117"/>
      <c r="F1041" s="117"/>
      <c r="G1041" s="117"/>
      <c r="H1041" s="117"/>
      <c r="I1041" s="117"/>
      <c r="J1041" s="117"/>
      <c r="K1041" s="117"/>
      <c r="L1041" s="117"/>
      <c r="M1041" s="117"/>
      <c r="N1041" s="117"/>
      <c r="O1041" s="117"/>
      <c r="P1041" s="117"/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</row>
    <row r="1042">
      <c r="A1042" s="117"/>
      <c r="B1042" s="117"/>
      <c r="C1042" s="117"/>
      <c r="D1042" s="117"/>
      <c r="E1042" s="117"/>
      <c r="F1042" s="117"/>
      <c r="G1042" s="117"/>
      <c r="H1042" s="117"/>
      <c r="I1042" s="117"/>
      <c r="J1042" s="117"/>
      <c r="K1042" s="117"/>
      <c r="L1042" s="117"/>
      <c r="M1042" s="117"/>
      <c r="N1042" s="117"/>
      <c r="O1042" s="117"/>
      <c r="P1042" s="117"/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</row>
    <row r="1043">
      <c r="A1043" s="117"/>
      <c r="B1043" s="117"/>
      <c r="C1043" s="117"/>
      <c r="D1043" s="117"/>
      <c r="E1043" s="117"/>
      <c r="F1043" s="117"/>
      <c r="G1043" s="117"/>
      <c r="H1043" s="117"/>
      <c r="I1043" s="117"/>
      <c r="J1043" s="117"/>
      <c r="K1043" s="117"/>
      <c r="L1043" s="117"/>
      <c r="M1043" s="117"/>
      <c r="N1043" s="117"/>
      <c r="O1043" s="117"/>
      <c r="P1043" s="117"/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</row>
    <row r="1044">
      <c r="A1044" s="117"/>
      <c r="B1044" s="117"/>
      <c r="C1044" s="117"/>
      <c r="D1044" s="117"/>
      <c r="E1044" s="117"/>
      <c r="F1044" s="117"/>
      <c r="G1044" s="117"/>
      <c r="H1044" s="117"/>
      <c r="I1044" s="117"/>
      <c r="J1044" s="117"/>
      <c r="K1044" s="117"/>
      <c r="L1044" s="117"/>
      <c r="M1044" s="117"/>
      <c r="N1044" s="117"/>
      <c r="O1044" s="117"/>
      <c r="P1044" s="117"/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</row>
    <row r="1045">
      <c r="A1045" s="117"/>
      <c r="B1045" s="117"/>
      <c r="C1045" s="117"/>
      <c r="D1045" s="117"/>
      <c r="E1045" s="117"/>
      <c r="F1045" s="117"/>
      <c r="G1045" s="117"/>
      <c r="H1045" s="117"/>
      <c r="I1045" s="117"/>
      <c r="J1045" s="117"/>
      <c r="K1045" s="117"/>
      <c r="L1045" s="117"/>
      <c r="M1045" s="117"/>
      <c r="N1045" s="117"/>
      <c r="O1045" s="117"/>
      <c r="P1045" s="117"/>
      <c r="Q1045" s="117"/>
      <c r="R1045" s="117"/>
      <c r="S1045" s="117"/>
      <c r="T1045" s="117"/>
      <c r="U1045" s="117"/>
      <c r="V1045" s="117"/>
      <c r="W1045" s="117"/>
      <c r="X1045" s="117"/>
      <c r="Y1045" s="117"/>
      <c r="Z1045" s="117"/>
    </row>
    <row r="1046">
      <c r="A1046" s="117"/>
      <c r="B1046" s="117"/>
      <c r="C1046" s="117"/>
      <c r="D1046" s="117"/>
      <c r="E1046" s="117"/>
      <c r="F1046" s="117"/>
      <c r="G1046" s="117"/>
      <c r="H1046" s="117"/>
      <c r="I1046" s="117"/>
      <c r="J1046" s="117"/>
      <c r="K1046" s="117"/>
      <c r="L1046" s="117"/>
      <c r="M1046" s="117"/>
      <c r="N1046" s="117"/>
      <c r="O1046" s="117"/>
      <c r="P1046" s="117"/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</row>
    <row r="1047">
      <c r="A1047" s="117"/>
      <c r="B1047" s="117"/>
      <c r="C1047" s="117"/>
      <c r="D1047" s="117"/>
      <c r="E1047" s="117"/>
      <c r="F1047" s="117"/>
      <c r="G1047" s="117"/>
      <c r="H1047" s="117"/>
      <c r="I1047" s="117"/>
      <c r="J1047" s="117"/>
      <c r="K1047" s="117"/>
      <c r="L1047" s="117"/>
      <c r="M1047" s="117"/>
      <c r="N1047" s="117"/>
      <c r="O1047" s="117"/>
      <c r="P1047" s="117"/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</row>
    <row r="1048">
      <c r="A1048" s="117"/>
      <c r="B1048" s="117"/>
      <c r="C1048" s="117"/>
      <c r="D1048" s="117"/>
      <c r="E1048" s="117"/>
      <c r="F1048" s="117"/>
      <c r="G1048" s="117"/>
      <c r="H1048" s="117"/>
      <c r="I1048" s="117"/>
      <c r="J1048" s="117"/>
      <c r="K1048" s="117"/>
      <c r="L1048" s="117"/>
      <c r="M1048" s="117"/>
      <c r="N1048" s="117"/>
      <c r="O1048" s="117"/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</row>
    <row r="1049">
      <c r="A1049" s="117"/>
      <c r="B1049" s="117"/>
      <c r="C1049" s="117"/>
      <c r="D1049" s="117"/>
      <c r="E1049" s="117"/>
      <c r="F1049" s="117"/>
      <c r="G1049" s="117"/>
      <c r="H1049" s="117"/>
      <c r="I1049" s="117"/>
      <c r="J1049" s="117"/>
      <c r="K1049" s="117"/>
      <c r="L1049" s="117"/>
      <c r="M1049" s="117"/>
      <c r="N1049" s="117"/>
      <c r="O1049" s="117"/>
      <c r="P1049" s="117"/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</row>
    <row r="1050">
      <c r="A1050" s="117"/>
      <c r="B1050" s="117"/>
      <c r="C1050" s="117"/>
      <c r="D1050" s="117"/>
      <c r="E1050" s="117"/>
      <c r="F1050" s="117"/>
      <c r="G1050" s="117"/>
      <c r="H1050" s="117"/>
      <c r="I1050" s="117"/>
      <c r="J1050" s="117"/>
      <c r="K1050" s="117"/>
      <c r="L1050" s="117"/>
      <c r="M1050" s="117"/>
      <c r="N1050" s="117"/>
      <c r="O1050" s="117"/>
      <c r="P1050" s="117"/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</row>
    <row r="1051">
      <c r="A1051" s="117"/>
      <c r="B1051" s="117"/>
      <c r="C1051" s="117"/>
      <c r="D1051" s="117"/>
      <c r="E1051" s="117"/>
      <c r="F1051" s="117"/>
      <c r="G1051" s="117"/>
      <c r="H1051" s="117"/>
      <c r="I1051" s="117"/>
      <c r="J1051" s="117"/>
      <c r="K1051" s="117"/>
      <c r="L1051" s="117"/>
      <c r="M1051" s="117"/>
      <c r="N1051" s="117"/>
      <c r="O1051" s="117"/>
      <c r="P1051" s="117"/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</row>
    <row r="1052">
      <c r="A1052" s="117"/>
      <c r="B1052" s="117"/>
      <c r="C1052" s="117"/>
      <c r="D1052" s="117"/>
      <c r="E1052" s="117"/>
      <c r="F1052" s="117"/>
      <c r="G1052" s="117"/>
      <c r="H1052" s="117"/>
      <c r="I1052" s="117"/>
      <c r="J1052" s="117"/>
      <c r="K1052" s="117"/>
      <c r="L1052" s="117"/>
      <c r="M1052" s="117"/>
      <c r="N1052" s="117"/>
      <c r="O1052" s="117"/>
      <c r="P1052" s="117"/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</row>
    <row r="1053">
      <c r="A1053" s="117"/>
      <c r="B1053" s="117"/>
      <c r="C1053" s="117"/>
      <c r="D1053" s="117"/>
      <c r="E1053" s="117"/>
      <c r="F1053" s="117"/>
      <c r="G1053" s="117"/>
      <c r="H1053" s="117"/>
      <c r="I1053" s="117"/>
      <c r="J1053" s="117"/>
      <c r="K1053" s="117"/>
      <c r="L1053" s="117"/>
      <c r="M1053" s="117"/>
      <c r="N1053" s="117"/>
      <c r="O1053" s="117"/>
      <c r="P1053" s="117"/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</row>
    <row r="1054">
      <c r="A1054" s="117"/>
      <c r="B1054" s="117"/>
      <c r="C1054" s="117"/>
      <c r="D1054" s="117"/>
      <c r="E1054" s="117"/>
      <c r="F1054" s="117"/>
      <c r="G1054" s="117"/>
      <c r="H1054" s="117"/>
      <c r="I1054" s="117"/>
      <c r="J1054" s="117"/>
      <c r="K1054" s="117"/>
      <c r="L1054" s="117"/>
      <c r="M1054" s="117"/>
      <c r="N1054" s="117"/>
      <c r="O1054" s="117"/>
      <c r="P1054" s="117"/>
      <c r="Q1054" s="117"/>
      <c r="R1054" s="117"/>
      <c r="S1054" s="117"/>
      <c r="T1054" s="117"/>
      <c r="U1054" s="117"/>
      <c r="V1054" s="117"/>
      <c r="W1054" s="117"/>
      <c r="X1054" s="117"/>
      <c r="Y1054" s="117"/>
      <c r="Z1054" s="117"/>
    </row>
    <row r="1055">
      <c r="A1055" s="117"/>
      <c r="B1055" s="117"/>
      <c r="C1055" s="117"/>
      <c r="D1055" s="117"/>
      <c r="E1055" s="117"/>
      <c r="F1055" s="117"/>
      <c r="G1055" s="117"/>
      <c r="H1055" s="117"/>
      <c r="I1055" s="117"/>
      <c r="J1055" s="117"/>
      <c r="K1055" s="117"/>
      <c r="L1055" s="117"/>
      <c r="M1055" s="117"/>
      <c r="N1055" s="117"/>
      <c r="O1055" s="117"/>
      <c r="P1055" s="117"/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</row>
    <row r="1056">
      <c r="A1056" s="117"/>
      <c r="B1056" s="117"/>
      <c r="C1056" s="117"/>
      <c r="D1056" s="117"/>
      <c r="E1056" s="117"/>
      <c r="F1056" s="117"/>
      <c r="G1056" s="117"/>
      <c r="H1056" s="117"/>
      <c r="I1056" s="117"/>
      <c r="J1056" s="117"/>
      <c r="K1056" s="117"/>
      <c r="L1056" s="117"/>
      <c r="M1056" s="117"/>
      <c r="N1056" s="117"/>
      <c r="O1056" s="117"/>
      <c r="P1056" s="117"/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</row>
    <row r="1057">
      <c r="A1057" s="117"/>
      <c r="B1057" s="117"/>
      <c r="C1057" s="117"/>
      <c r="D1057" s="117"/>
      <c r="E1057" s="117"/>
      <c r="F1057" s="117"/>
      <c r="G1057" s="117"/>
      <c r="H1057" s="117"/>
      <c r="I1057" s="117"/>
      <c r="J1057" s="117"/>
      <c r="K1057" s="117"/>
      <c r="L1057" s="117"/>
      <c r="M1057" s="117"/>
      <c r="N1057" s="117"/>
      <c r="O1057" s="117"/>
      <c r="P1057" s="117"/>
      <c r="Q1057" s="117"/>
      <c r="R1057" s="117"/>
      <c r="S1057" s="117"/>
      <c r="T1057" s="117"/>
      <c r="U1057" s="117"/>
      <c r="V1057" s="117"/>
      <c r="W1057" s="117"/>
      <c r="X1057" s="117"/>
      <c r="Y1057" s="117"/>
      <c r="Z1057" s="117"/>
    </row>
    <row r="1058">
      <c r="A1058" s="117"/>
      <c r="B1058" s="117"/>
      <c r="C1058" s="117"/>
      <c r="D1058" s="117"/>
      <c r="E1058" s="117"/>
      <c r="F1058" s="117"/>
      <c r="G1058" s="117"/>
      <c r="H1058" s="117"/>
      <c r="I1058" s="117"/>
      <c r="J1058" s="117"/>
      <c r="K1058" s="117"/>
      <c r="L1058" s="117"/>
      <c r="M1058" s="117"/>
      <c r="N1058" s="117"/>
      <c r="O1058" s="117"/>
      <c r="P1058" s="117"/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</row>
    <row r="1059">
      <c r="A1059" s="117"/>
      <c r="B1059" s="117"/>
      <c r="C1059" s="117"/>
      <c r="D1059" s="117"/>
      <c r="E1059" s="117"/>
      <c r="F1059" s="117"/>
      <c r="G1059" s="117"/>
      <c r="H1059" s="117"/>
      <c r="I1059" s="117"/>
      <c r="J1059" s="117"/>
      <c r="K1059" s="117"/>
      <c r="L1059" s="117"/>
      <c r="M1059" s="117"/>
      <c r="N1059" s="117"/>
      <c r="O1059" s="117"/>
      <c r="P1059" s="117"/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</row>
    <row r="1060">
      <c r="A1060" s="117"/>
      <c r="B1060" s="117"/>
      <c r="C1060" s="117"/>
      <c r="D1060" s="117"/>
      <c r="E1060" s="117"/>
      <c r="F1060" s="117"/>
      <c r="G1060" s="117"/>
      <c r="H1060" s="117"/>
      <c r="I1060" s="117"/>
      <c r="J1060" s="117"/>
      <c r="K1060" s="117"/>
      <c r="L1060" s="117"/>
      <c r="M1060" s="117"/>
      <c r="N1060" s="117"/>
      <c r="O1060" s="117"/>
      <c r="P1060" s="117"/>
      <c r="Q1060" s="117"/>
      <c r="R1060" s="117"/>
      <c r="S1060" s="117"/>
      <c r="T1060" s="117"/>
      <c r="U1060" s="117"/>
      <c r="V1060" s="117"/>
      <c r="W1060" s="117"/>
      <c r="X1060" s="117"/>
      <c r="Y1060" s="117"/>
      <c r="Z1060" s="117"/>
    </row>
    <row r="1061">
      <c r="A1061" s="117"/>
      <c r="B1061" s="117"/>
      <c r="C1061" s="117"/>
      <c r="D1061" s="117"/>
      <c r="E1061" s="117"/>
      <c r="F1061" s="117"/>
      <c r="G1061" s="117"/>
      <c r="H1061" s="117"/>
      <c r="I1061" s="117"/>
      <c r="J1061" s="117"/>
      <c r="K1061" s="117"/>
      <c r="L1061" s="117"/>
      <c r="M1061" s="117"/>
      <c r="N1061" s="117"/>
      <c r="O1061" s="117"/>
      <c r="P1061" s="117"/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</row>
    <row r="1062">
      <c r="A1062" s="117"/>
      <c r="B1062" s="117"/>
      <c r="C1062" s="117"/>
      <c r="D1062" s="117"/>
      <c r="E1062" s="117"/>
      <c r="F1062" s="117"/>
      <c r="G1062" s="117"/>
      <c r="H1062" s="117"/>
      <c r="I1062" s="117"/>
      <c r="J1062" s="117"/>
      <c r="K1062" s="117"/>
      <c r="L1062" s="117"/>
      <c r="M1062" s="117"/>
      <c r="N1062" s="117"/>
      <c r="O1062" s="117"/>
      <c r="P1062" s="117"/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</row>
    <row r="1063">
      <c r="A1063" s="117"/>
      <c r="B1063" s="117"/>
      <c r="C1063" s="117"/>
      <c r="D1063" s="117"/>
      <c r="E1063" s="117"/>
      <c r="F1063" s="117"/>
      <c r="G1063" s="117"/>
      <c r="H1063" s="117"/>
      <c r="I1063" s="117"/>
      <c r="J1063" s="117"/>
      <c r="K1063" s="117"/>
      <c r="L1063" s="117"/>
      <c r="M1063" s="117"/>
      <c r="N1063" s="117"/>
      <c r="O1063" s="117"/>
      <c r="P1063" s="117"/>
      <c r="Q1063" s="117"/>
      <c r="R1063" s="117"/>
      <c r="S1063" s="117"/>
      <c r="T1063" s="117"/>
      <c r="U1063" s="117"/>
      <c r="V1063" s="117"/>
      <c r="W1063" s="117"/>
      <c r="X1063" s="117"/>
      <c r="Y1063" s="117"/>
      <c r="Z1063" s="117"/>
    </row>
    <row r="1064">
      <c r="A1064" s="117"/>
      <c r="B1064" s="117"/>
      <c r="C1064" s="117"/>
      <c r="D1064" s="117"/>
      <c r="E1064" s="117"/>
      <c r="F1064" s="117"/>
      <c r="G1064" s="117"/>
      <c r="H1064" s="117"/>
      <c r="I1064" s="117"/>
      <c r="J1064" s="117"/>
      <c r="K1064" s="117"/>
      <c r="L1064" s="117"/>
      <c r="M1064" s="117"/>
      <c r="N1064" s="117"/>
      <c r="O1064" s="117"/>
      <c r="P1064" s="117"/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</row>
    <row r="1065">
      <c r="A1065" s="117"/>
      <c r="B1065" s="117"/>
      <c r="C1065" s="117"/>
      <c r="D1065" s="117"/>
      <c r="E1065" s="117"/>
      <c r="F1065" s="117"/>
      <c r="G1065" s="117"/>
      <c r="H1065" s="117"/>
      <c r="I1065" s="117"/>
      <c r="J1065" s="117"/>
      <c r="K1065" s="117"/>
      <c r="L1065" s="117"/>
      <c r="M1065" s="117"/>
      <c r="N1065" s="117"/>
      <c r="O1065" s="117"/>
      <c r="P1065" s="117"/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</row>
    <row r="1066">
      <c r="A1066" s="117"/>
      <c r="B1066" s="117"/>
      <c r="C1066" s="117"/>
      <c r="D1066" s="117"/>
      <c r="E1066" s="117"/>
      <c r="F1066" s="117"/>
      <c r="G1066" s="117"/>
      <c r="H1066" s="117"/>
      <c r="I1066" s="117"/>
      <c r="J1066" s="117"/>
      <c r="K1066" s="117"/>
      <c r="L1066" s="117"/>
      <c r="M1066" s="117"/>
      <c r="N1066" s="117"/>
      <c r="O1066" s="117"/>
      <c r="P1066" s="117"/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</row>
    <row r="1067">
      <c r="A1067" s="117"/>
      <c r="B1067" s="117"/>
      <c r="C1067" s="117"/>
      <c r="D1067" s="117"/>
      <c r="E1067" s="117"/>
      <c r="F1067" s="117"/>
      <c r="G1067" s="117"/>
      <c r="H1067" s="117"/>
      <c r="I1067" s="117"/>
      <c r="J1067" s="117"/>
      <c r="K1067" s="117"/>
      <c r="L1067" s="117"/>
      <c r="M1067" s="117"/>
      <c r="N1067" s="117"/>
      <c r="O1067" s="117"/>
      <c r="P1067" s="117"/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8" priority="2">
      <formula>$B$2="GREEN"</formula>
    </cfRule>
  </conditionalFormatting>
  <conditionalFormatting sqref="C8:C16 C24:C32 C40:C48 C56:C64 C72:C80 C88:C96 C104:C112 C120:C128">
    <cfRule type="expression" dxfId="29" priority="3">
      <formula>$C$2="ORANGE"</formula>
    </cfRule>
  </conditionalFormatting>
  <conditionalFormatting sqref="D8:D16 D24:D32 D40:D48 D56:D64 D72:D80 D88:D96 D104:D112 D120:D128">
    <cfRule type="expression" dxfId="25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30" priority="9">
      <formula>A3="blue"</formula>
    </cfRule>
  </conditionalFormatting>
  <conditionalFormatting sqref="B3:B6 B19:C22 B35:C38 B51:C54 B67:B70 B83:B86 B99:B102 B115:B118">
    <cfRule type="expression" dxfId="31" priority="10">
      <formula>A3="orange"</formula>
    </cfRule>
  </conditionalFormatting>
  <conditionalFormatting sqref="B3:B6 B19:C22 B35:C38 B51:C54 B67:B70 B83:B86 B99:B102 B115:B118">
    <cfRule type="expression" dxfId="32" priority="11">
      <formula>A3="green"</formula>
    </cfRule>
  </conditionalFormatting>
  <conditionalFormatting sqref="B3:B6 B19:C22 B35:C38 B51:C54 B67:B70 B83:B86 B99:B102 B115:B118">
    <cfRule type="expression" dxfId="33" priority="12">
      <formula>A3="magenta"</formula>
    </cfRule>
  </conditionalFormatting>
  <conditionalFormatting sqref="C3:C6 C19:D22 C35:D38 C51:D54 C67:D70 C83:D86 C99:D102 C115:D118">
    <cfRule type="expression" dxfId="34" priority="13">
      <formula>D3="magenta"</formula>
    </cfRule>
  </conditionalFormatting>
  <conditionalFormatting sqref="C3:C6 C19:D22 C35:D38 C51:D54 C67:D70 C83:D86 C99:D102 C115:D118">
    <cfRule type="expression" dxfId="35" priority="14">
      <formula>D3="blue"</formula>
    </cfRule>
  </conditionalFormatting>
  <conditionalFormatting sqref="C3:C6 C19:D22 C35:D38 C51:D54 C67:D70 C83:D86 C99:D102 C115:D118">
    <cfRule type="expression" dxfId="36" priority="15">
      <formula>D3="orange"</formula>
    </cfRule>
  </conditionalFormatting>
  <conditionalFormatting sqref="C3:C6 C19:D22 C35:D38 C51:D54 C67:D70 C83:D86 C99:D102 C115:D118">
    <cfRule type="expression" dxfId="37" priority="16">
      <formula>D3="green"</formula>
    </cfRule>
  </conditionalFormatting>
  <conditionalFormatting sqref="A19:A22 D19:D22">
    <cfRule type="cellIs" dxfId="38" priority="17" operator="equal">
      <formula>"BLUE"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29" t="s">
        <v>28</v>
      </c>
      <c r="B1" s="116" t="s">
        <v>269</v>
      </c>
      <c r="C1" s="116" t="s">
        <v>1</v>
      </c>
      <c r="D1" s="116" t="s">
        <v>2</v>
      </c>
      <c r="E1" s="116" t="s">
        <v>3</v>
      </c>
      <c r="F1" s="116" t="s">
        <v>4</v>
      </c>
      <c r="G1" s="116" t="s">
        <v>5</v>
      </c>
      <c r="H1" s="116" t="s">
        <v>6</v>
      </c>
      <c r="I1" s="116" t="s">
        <v>7</v>
      </c>
      <c r="J1" s="116" t="s">
        <v>8</v>
      </c>
    </row>
    <row r="2">
      <c r="A2" s="130" t="str">
        <f>WEEKLY_TEAMS!B3</f>
        <v>🏆 Asdruval</v>
      </c>
      <c r="B2" s="131" t="s">
        <v>270</v>
      </c>
      <c r="C2" s="130" t="str">
        <f>VLOOKUP($A2,WEEKLY_TEAMS!$B$3:$CMF53,13,0)</f>
        <v>↓</v>
      </c>
      <c r="D2" s="130" t="str">
        <f>VLOOKUP($A2,WEEKLY_TEAMS!$B$3:$CMF53,25,0)</f>
        <v>↓</v>
      </c>
      <c r="E2" s="130" t="str">
        <f>VLOOKUP($A2,WEEKLY_TEAMS!$B$3:$CMF53,37,0)</f>
        <v>↑</v>
      </c>
      <c r="F2" s="130" t="str">
        <f>VLOOKUP($A2,WEEKLY_TEAMS!$B$3:$CMF53,49,0)</f>
        <v>=</v>
      </c>
      <c r="G2" s="130" t="str">
        <f>VLOOKUP($A2,WEEKLY_TEAMS!$B$3:$CMF53,61,0)</f>
        <v>↑</v>
      </c>
      <c r="H2" s="130" t="str">
        <f>VLOOKUP($A2,WEEKLY_TEAMS!$B$3:$CMF53,73,0)</f>
        <v>↑</v>
      </c>
      <c r="I2" s="130" t="str">
        <f>VLOOKUP($A2,WEEKLY_TEAMS!$B$3:$CMF53,85,0)</f>
        <v>↓</v>
      </c>
      <c r="J2" s="130" t="str">
        <f>VLOOKUP($A2,WEEKLY_TEAMS!$B$3:$CMF53,97,0)</f>
        <v>↑</v>
      </c>
    </row>
    <row r="3">
      <c r="A3" s="130" t="str">
        <f>WEEKLY_TEAMS!B4</f>
        <v>🥈 Carlos S.</v>
      </c>
      <c r="B3" s="131" t="s">
        <v>270</v>
      </c>
      <c r="C3" s="130" t="str">
        <f>VLOOKUP($A3,WEEKLY_TEAMS!$B$3:$CMF54,13,0)</f>
        <v>↓</v>
      </c>
      <c r="D3" s="130" t="str">
        <f>VLOOKUP($A3,WEEKLY_TEAMS!$B$3:$CMF54,25,0)</f>
        <v>↓</v>
      </c>
      <c r="E3" s="130" t="str">
        <f>VLOOKUP($A3,WEEKLY_TEAMS!$B$3:$CMF54,37,0)</f>
        <v>↑</v>
      </c>
      <c r="F3" s="130" t="str">
        <f>VLOOKUP($A3,WEEKLY_TEAMS!$B$3:$CMF54,49,0)</f>
        <v>↑</v>
      </c>
      <c r="G3" s="130" t="str">
        <f>VLOOKUP($A3,WEEKLY_TEAMS!$B$3:$CMF54,61,0)</f>
        <v>↑</v>
      </c>
      <c r="H3" s="130" t="str">
        <f>VLOOKUP($A3,WEEKLY_TEAMS!$B$3:$CMF54,73,0)</f>
        <v>↑</v>
      </c>
      <c r="I3" s="130" t="str">
        <f>VLOOKUP($A3,WEEKLY_TEAMS!$B$3:$CMF54,85,0)</f>
        <v>=</v>
      </c>
      <c r="J3" s="130" t="str">
        <f>VLOOKUP($A3,WEEKLY_TEAMS!$B$3:$CMF54,97,0)</f>
        <v>↑</v>
      </c>
    </row>
    <row r="4">
      <c r="A4" s="130" t="str">
        <f>WEEKLY_TEAMS!B5</f>
        <v>🥉 Andres</v>
      </c>
      <c r="B4" s="131" t="s">
        <v>270</v>
      </c>
      <c r="C4" s="130" t="str">
        <f>VLOOKUP($A4,WEEKLY_TEAMS!$B$3:$CMF55,13,0)</f>
        <v>↓</v>
      </c>
      <c r="D4" s="130" t="str">
        <f>VLOOKUP($A4,WEEKLY_TEAMS!$B$3:$CMF55,25,0)</f>
        <v>↑</v>
      </c>
      <c r="E4" s="130" t="str">
        <f>VLOOKUP($A4,WEEKLY_TEAMS!$B$3:$CMF55,37,0)</f>
        <v>↓</v>
      </c>
      <c r="F4" s="130" t="str">
        <f>VLOOKUP($A4,WEEKLY_TEAMS!$B$3:$CMF55,49,0)</f>
        <v>↓</v>
      </c>
      <c r="G4" s="130" t="str">
        <f>VLOOKUP($A4,WEEKLY_TEAMS!$B$3:$CMF55,61,0)</f>
        <v>↑</v>
      </c>
      <c r="H4" s="130" t="str">
        <f>VLOOKUP($A4,WEEKLY_TEAMS!$B$3:$CMF55,73,0)</f>
        <v>=</v>
      </c>
      <c r="I4" s="130" t="str">
        <f>VLOOKUP($A4,WEEKLY_TEAMS!$B$3:$CMF55,85,0)</f>
        <v>↓</v>
      </c>
      <c r="J4" s="130" t="str">
        <f>VLOOKUP($A4,WEEKLY_TEAMS!$B$3:$CMF55,97,0)</f>
        <v>↓</v>
      </c>
    </row>
    <row r="5">
      <c r="A5" s="130" t="str">
        <f>WEEKLY_TEAMS!B6</f>
        <v>Mikey</v>
      </c>
      <c r="B5" s="131" t="s">
        <v>270</v>
      </c>
      <c r="C5" s="130" t="str">
        <f>VLOOKUP($A5,WEEKLY_TEAMS!$B$3:$CMF56,13,0)</f>
        <v>↓</v>
      </c>
      <c r="D5" s="130" t="str">
        <f>VLOOKUP($A5,WEEKLY_TEAMS!$B$3:$CMF56,25,0)</f>
        <v>↑</v>
      </c>
      <c r="E5" s="130" t="str">
        <f>VLOOKUP($A5,WEEKLY_TEAMS!$B$3:$CMF56,37,0)</f>
        <v>↑</v>
      </c>
      <c r="F5" s="130" t="str">
        <f>VLOOKUP($A5,WEEKLY_TEAMS!$B$3:$CMF56,49,0)</f>
        <v>↓</v>
      </c>
      <c r="G5" s="130" t="str">
        <f>VLOOKUP($A5,WEEKLY_TEAMS!$B$3:$CMF56,61,0)</f>
        <v>↑</v>
      </c>
      <c r="H5" s="130" t="str">
        <f>VLOOKUP($A5,WEEKLY_TEAMS!$B$3:$CMF56,73,0)</f>
        <v>↑</v>
      </c>
      <c r="I5" s="130" t="str">
        <f>VLOOKUP($A5,WEEKLY_TEAMS!$B$3:$CMF56,85,0)</f>
        <v>↑</v>
      </c>
      <c r="J5" s="130" t="str">
        <f>VLOOKUP($A5,WEEKLY_TEAMS!$B$3:$CMF56,97,0)</f>
        <v>↓</v>
      </c>
    </row>
    <row r="6">
      <c r="A6" s="130" t="str">
        <f>WEEKLY_TEAMS!B7</f>
        <v>Jose Blanco</v>
      </c>
      <c r="B6" s="131" t="s">
        <v>270</v>
      </c>
      <c r="C6" s="130" t="str">
        <f>VLOOKUP($A6,WEEKLY_TEAMS!$B$3:$CMF57,13,0)</f>
        <v>↓</v>
      </c>
      <c r="D6" s="130" t="str">
        <f>VLOOKUP($A6,WEEKLY_TEAMS!$B$3:$CMF57,25,0)</f>
        <v>↑</v>
      </c>
      <c r="E6" s="130" t="str">
        <f>VLOOKUP($A6,WEEKLY_TEAMS!$B$3:$CMF57,37,0)</f>
        <v>↑</v>
      </c>
      <c r="F6" s="130" t="str">
        <f>VLOOKUP($A6,WEEKLY_TEAMS!$B$3:$CMF57,49,0)</f>
        <v>↓</v>
      </c>
      <c r="G6" s="130" t="str">
        <f>VLOOKUP($A6,WEEKLY_TEAMS!$B$3:$CMF57,61,0)</f>
        <v>↓</v>
      </c>
      <c r="H6" s="130" t="str">
        <f>VLOOKUP($A6,WEEKLY_TEAMS!$B$3:$CMF57,73,0)</f>
        <v>↑</v>
      </c>
      <c r="I6" s="130" t="str">
        <f>VLOOKUP($A6,WEEKLY_TEAMS!$B$3:$CMF57,85,0)</f>
        <v>↑</v>
      </c>
      <c r="J6" s="130" t="str">
        <f>VLOOKUP($A6,WEEKLY_TEAMS!$B$3:$CMF57,97,0)</f>
        <v>↑</v>
      </c>
    </row>
    <row r="7">
      <c r="A7" s="130" t="str">
        <f>WEEKLY_TEAMS!B8</f>
        <v>Rodrigo</v>
      </c>
      <c r="B7" s="131" t="s">
        <v>270</v>
      </c>
      <c r="C7" s="130" t="str">
        <f>VLOOKUP($A7,WEEKLY_TEAMS!$B$3:$CMF58,13,0)</f>
        <v>↓</v>
      </c>
      <c r="D7" s="130" t="str">
        <f>VLOOKUP($A7,WEEKLY_TEAMS!$B$3:$CMF58,25,0)</f>
        <v>↓</v>
      </c>
      <c r="E7" s="130" t="str">
        <f>VLOOKUP($A7,WEEKLY_TEAMS!$B$3:$CMF58,37,0)</f>
        <v>↑</v>
      </c>
      <c r="F7" s="130" t="str">
        <f>VLOOKUP($A7,WEEKLY_TEAMS!$B$3:$CMF58,49,0)</f>
        <v>↓</v>
      </c>
      <c r="G7" s="130" t="str">
        <f>VLOOKUP($A7,WEEKLY_TEAMS!$B$3:$CMF58,61,0)</f>
        <v>↑</v>
      </c>
      <c r="H7" s="130" t="str">
        <f>VLOOKUP($A7,WEEKLY_TEAMS!$B$3:$CMF58,73,0)</f>
        <v>↑</v>
      </c>
      <c r="I7" s="130" t="str">
        <f>VLOOKUP($A7,WEEKLY_TEAMS!$B$3:$CMF58,85,0)</f>
        <v>↓</v>
      </c>
      <c r="J7" s="130" t="str">
        <f>VLOOKUP($A7,WEEKLY_TEAMS!$B$3:$CMF58,97,0)</f>
        <v>↑</v>
      </c>
    </row>
    <row r="8">
      <c r="A8" s="130" t="str">
        <f>WEEKLY_TEAMS!B9</f>
        <v>Javier</v>
      </c>
      <c r="B8" s="131" t="s">
        <v>270</v>
      </c>
      <c r="C8" s="130" t="str">
        <f>VLOOKUP($A8,WEEKLY_TEAMS!$B$3:$CMF59,13,0)</f>
        <v>↓</v>
      </c>
      <c r="D8" s="130" t="str">
        <f>VLOOKUP($A8,WEEKLY_TEAMS!$B$3:$CMF59,25,0)</f>
        <v>↓</v>
      </c>
      <c r="E8" s="130" t="str">
        <f>VLOOKUP($A8,WEEKLY_TEAMS!$B$3:$CMF59,37,0)</f>
        <v>↑</v>
      </c>
      <c r="F8" s="130" t="str">
        <f>VLOOKUP($A8,WEEKLY_TEAMS!$B$3:$CMF59,49,0)</f>
        <v>=</v>
      </c>
      <c r="G8" s="130" t="str">
        <f>VLOOKUP($A8,WEEKLY_TEAMS!$B$3:$CMF59,61,0)</f>
        <v>↓</v>
      </c>
      <c r="H8" s="130" t="str">
        <f>VLOOKUP($A8,WEEKLY_TEAMS!$B$3:$CMF59,73,0)</f>
        <v>↑</v>
      </c>
      <c r="I8" s="130" t="str">
        <f>VLOOKUP($A8,WEEKLY_TEAMS!$B$3:$CMF59,85,0)</f>
        <v>↓</v>
      </c>
      <c r="J8" s="130" t="str">
        <f>VLOOKUP($A8,WEEKLY_TEAMS!$B$3:$CMF59,97,0)</f>
        <v>↑</v>
      </c>
    </row>
    <row r="9">
      <c r="A9" s="130" t="str">
        <f>WEEKLY_TEAMS!B10</f>
        <v>Valencia</v>
      </c>
      <c r="B9" s="131" t="s">
        <v>270</v>
      </c>
      <c r="C9" s="130" t="str">
        <f>VLOOKUP($A9,WEEKLY_TEAMS!$B$3:$CMF60,13,0)</f>
        <v>↓</v>
      </c>
      <c r="D9" s="130" t="str">
        <f>VLOOKUP($A9,WEEKLY_TEAMS!$B$3:$CMF60,25,0)</f>
        <v>↑</v>
      </c>
      <c r="E9" s="130" t="str">
        <f>VLOOKUP($A9,WEEKLY_TEAMS!$B$3:$CMF60,37,0)</f>
        <v>↑</v>
      </c>
      <c r="F9" s="130" t="str">
        <f>VLOOKUP($A9,WEEKLY_TEAMS!$B$3:$CMF60,49,0)</f>
        <v>↓</v>
      </c>
      <c r="G9" s="130" t="str">
        <f>VLOOKUP($A9,WEEKLY_TEAMS!$B$3:$CMF60,61,0)</f>
        <v>↑</v>
      </c>
      <c r="H9" s="130" t="str">
        <f>VLOOKUP($A9,WEEKLY_TEAMS!$B$3:$CMF60,73,0)</f>
        <v>=</v>
      </c>
      <c r="I9" s="130" t="str">
        <f>VLOOKUP($A9,WEEKLY_TEAMS!$B$3:$CMF60,85,0)</f>
        <v>↑</v>
      </c>
      <c r="J9" s="130" t="str">
        <f>VLOOKUP($A9,WEEKLY_TEAMS!$B$3:$CMF60,97,0)</f>
        <v>↓</v>
      </c>
    </row>
    <row r="10">
      <c r="A10" s="130" t="str">
        <f>WEEKLY_TEAMS!B11</f>
        <v>Osmin</v>
      </c>
      <c r="B10" s="131" t="s">
        <v>270</v>
      </c>
      <c r="C10" s="130" t="str">
        <f>VLOOKUP($A10,WEEKLY_TEAMS!$B$3:$CMF61,13,0)</f>
        <v>↓</v>
      </c>
      <c r="D10" s="130" t="str">
        <f>VLOOKUP($A10,WEEKLY_TEAMS!$B$3:$CMF61,25,0)</f>
        <v>↓</v>
      </c>
      <c r="E10" s="130" t="str">
        <f>VLOOKUP($A10,WEEKLY_TEAMS!$B$3:$CMF61,37,0)</f>
        <v>=</v>
      </c>
      <c r="F10" s="130" t="str">
        <f>VLOOKUP($A10,WEEKLY_TEAMS!$B$3:$CMF61,49,0)</f>
        <v>↑</v>
      </c>
      <c r="G10" s="130" t="str">
        <f>VLOOKUP($A10,WEEKLY_TEAMS!$B$3:$CMF61,61,0)</f>
        <v>↑</v>
      </c>
      <c r="H10" s="130" t="str">
        <f>VLOOKUP($A10,WEEKLY_TEAMS!$B$3:$CMF61,73,0)</f>
        <v>↑</v>
      </c>
      <c r="I10" s="130" t="str">
        <f>VLOOKUP($A10,WEEKLY_TEAMS!$B$3:$CMF61,85,0)</f>
        <v>↑</v>
      </c>
      <c r="J10" s="130" t="str">
        <f>VLOOKUP($A10,WEEKLY_TEAMS!$B$3:$CMF61,97,0)</f>
        <v>=</v>
      </c>
    </row>
    <row r="11">
      <c r="A11" s="130" t="str">
        <f>WEEKLY_TEAMS!B12</f>
        <v>Efra</v>
      </c>
      <c r="B11" s="131" t="s">
        <v>270</v>
      </c>
      <c r="C11" s="130" t="str">
        <f>VLOOKUP($A11,WEEKLY_TEAMS!$B$3:$CMF62,13,0)</f>
        <v>↓</v>
      </c>
      <c r="D11" s="130" t="str">
        <f>VLOOKUP($A11,WEEKLY_TEAMS!$B$3:$CMF62,25,0)</f>
        <v>↑</v>
      </c>
      <c r="E11" s="130" t="str">
        <f>VLOOKUP($A11,WEEKLY_TEAMS!$B$3:$CMF62,37,0)</f>
        <v>↑</v>
      </c>
      <c r="F11" s="130" t="str">
        <f>VLOOKUP($A11,WEEKLY_TEAMS!$B$3:$CMF62,49,0)</f>
        <v>=</v>
      </c>
      <c r="G11" s="130" t="str">
        <f>VLOOKUP($A11,WEEKLY_TEAMS!$B$3:$CMF62,61,0)</f>
        <v>↓</v>
      </c>
      <c r="H11" s="130" t="str">
        <f>VLOOKUP($A11,WEEKLY_TEAMS!$B$3:$CMF62,73,0)</f>
        <v>↑</v>
      </c>
      <c r="I11" s="130" t="str">
        <f>VLOOKUP($A11,WEEKLY_TEAMS!$B$3:$CMF62,85,0)</f>
        <v>↓</v>
      </c>
      <c r="J11" s="130" t="str">
        <f>VLOOKUP($A11,WEEKLY_TEAMS!$B$3:$CMF62,97,0)</f>
        <v>↑</v>
      </c>
    </row>
    <row r="12">
      <c r="A12" s="130" t="str">
        <f>WEEKLY_TEAMS!B13</f>
        <v>Ruben</v>
      </c>
      <c r="B12" s="131" t="s">
        <v>270</v>
      </c>
      <c r="C12" s="130" t="str">
        <f>VLOOKUP($A12,WEEKLY_TEAMS!$B$3:$CMF63,13,0)</f>
        <v>↓</v>
      </c>
      <c r="D12" s="130" t="str">
        <f>VLOOKUP($A12,WEEKLY_TEAMS!$B$3:$CMF63,25,0)</f>
        <v>↑</v>
      </c>
      <c r="E12" s="130" t="str">
        <f>VLOOKUP($A12,WEEKLY_TEAMS!$B$3:$CMF63,37,0)</f>
        <v>=</v>
      </c>
      <c r="F12" s="130" t="str">
        <f>VLOOKUP($A12,WEEKLY_TEAMS!$B$3:$CMF63,49,0)</f>
        <v>=</v>
      </c>
      <c r="G12" s="130" t="str">
        <f>VLOOKUP($A12,WEEKLY_TEAMS!$B$3:$CMF63,61,0)</f>
        <v>↓</v>
      </c>
      <c r="H12" s="130" t="str">
        <f>VLOOKUP($A12,WEEKLY_TEAMS!$B$3:$CMF63,73,0)</f>
        <v>↓</v>
      </c>
      <c r="I12" s="130" t="str">
        <f>VLOOKUP($A12,WEEKLY_TEAMS!$B$3:$CMF63,85,0)</f>
        <v>↓</v>
      </c>
      <c r="J12" s="130" t="str">
        <f>VLOOKUP($A12,WEEKLY_TEAMS!$B$3:$CMF63,97,0)</f>
        <v>↑</v>
      </c>
    </row>
    <row r="13">
      <c r="A13" s="130" t="str">
        <f>WEEKLY_TEAMS!B14</f>
        <v>Fer</v>
      </c>
      <c r="B13" s="131" t="s">
        <v>270</v>
      </c>
      <c r="C13" s="130" t="str">
        <f>VLOOKUP($A13,WEEKLY_TEAMS!$B$3:$CMF64,13,0)</f>
        <v>↓</v>
      </c>
      <c r="D13" s="130" t="str">
        <f>VLOOKUP($A13,WEEKLY_TEAMS!$B$3:$CMF64,25,0)</f>
        <v>↑</v>
      </c>
      <c r="E13" s="130" t="str">
        <f>VLOOKUP($A13,WEEKLY_TEAMS!$B$3:$CMF64,37,0)</f>
        <v>↓</v>
      </c>
      <c r="F13" s="130" t="str">
        <f>VLOOKUP($A13,WEEKLY_TEAMS!$B$3:$CMF64,49,0)</f>
        <v>↓</v>
      </c>
      <c r="G13" s="130" t="str">
        <f>VLOOKUP($A13,WEEKLY_TEAMS!$B$3:$CMF64,61,0)</f>
        <v>↑</v>
      </c>
      <c r="H13" s="130" t="str">
        <f>VLOOKUP($A13,WEEKLY_TEAMS!$B$3:$CMF64,73,0)</f>
        <v>↑</v>
      </c>
      <c r="I13" s="130" t="str">
        <f>VLOOKUP($A13,WEEKLY_TEAMS!$B$3:$CMF64,85,0)</f>
        <v>↑</v>
      </c>
      <c r="J13" s="130" t="str">
        <f>VLOOKUP($A13,WEEKLY_TEAMS!$B$3:$CMF64,97,0)</f>
        <v>↓</v>
      </c>
    </row>
    <row r="14">
      <c r="A14" s="130" t="str">
        <f>WEEKLY_TEAMS!B15</f>
        <v>Gerardo</v>
      </c>
      <c r="B14" s="131" t="s">
        <v>270</v>
      </c>
      <c r="C14" s="130" t="str">
        <f>VLOOKUP($A14,WEEKLY_TEAMS!$B$3:$CMF65,13,0)</f>
        <v>↓</v>
      </c>
      <c r="D14" s="130" t="str">
        <f>VLOOKUP($A14,WEEKLY_TEAMS!$B$3:$CMF65,25,0)</f>
        <v>↓</v>
      </c>
      <c r="E14" s="130" t="str">
        <f>VLOOKUP($A14,WEEKLY_TEAMS!$B$3:$CMF65,37,0)</f>
        <v>=</v>
      </c>
      <c r="F14" s="130" t="str">
        <f>VLOOKUP($A14,WEEKLY_TEAMS!$B$3:$CMF65,49,0)</f>
        <v>↑</v>
      </c>
      <c r="G14" s="130" t="str">
        <f>VLOOKUP($A14,WEEKLY_TEAMS!$B$3:$CMF65,61,0)</f>
        <v>↓</v>
      </c>
      <c r="H14" s="130" t="str">
        <f>VLOOKUP($A14,WEEKLY_TEAMS!$B$3:$CMF65,73,0)</f>
        <v>↓</v>
      </c>
      <c r="I14" s="130" t="str">
        <f>VLOOKUP($A14,WEEKLY_TEAMS!$B$3:$CMF65,85,0)</f>
        <v>↑</v>
      </c>
      <c r="J14" s="130" t="str">
        <f>VLOOKUP($A14,WEEKLY_TEAMS!$B$3:$CMF65,97,0)</f>
        <v>↓</v>
      </c>
    </row>
    <row r="15">
      <c r="A15" s="130" t="str">
        <f>WEEKLY_TEAMS!B16</f>
        <v>Valverde</v>
      </c>
      <c r="B15" s="131" t="s">
        <v>270</v>
      </c>
      <c r="C15" s="130" t="str">
        <f>VLOOKUP($A15,WEEKLY_TEAMS!$B$3:$CMF66,13,0)</f>
        <v>↓</v>
      </c>
      <c r="D15" s="130" t="str">
        <f>VLOOKUP($A15,WEEKLY_TEAMS!$B$3:$CMF66,25,0)</f>
        <v>↓</v>
      </c>
      <c r="E15" s="130" t="str">
        <f>VLOOKUP($A15,WEEKLY_TEAMS!$B$3:$CMF66,37,0)</f>
        <v>=</v>
      </c>
      <c r="F15" s="130" t="str">
        <f>VLOOKUP($A15,WEEKLY_TEAMS!$B$3:$CMF66,49,0)</f>
        <v>↓</v>
      </c>
      <c r="G15" s="130" t="str">
        <f>VLOOKUP($A15,WEEKLY_TEAMS!$B$3:$CMF66,61,0)</f>
        <v>↓</v>
      </c>
      <c r="H15" s="130" t="str">
        <f>VLOOKUP($A15,WEEKLY_TEAMS!$B$3:$CMF66,73,0)</f>
        <v>↑</v>
      </c>
      <c r="I15" s="130" t="str">
        <f>VLOOKUP($A15,WEEKLY_TEAMS!$B$3:$CMF66,85,0)</f>
        <v>↓</v>
      </c>
      <c r="J15" s="130" t="str">
        <f>VLOOKUP($A15,WEEKLY_TEAMS!$B$3:$CMF66,97,0)</f>
        <v>↑</v>
      </c>
    </row>
    <row r="16">
      <c r="A16" s="130" t="str">
        <f>WEEKLY_TEAMS!B17</f>
        <v>Chato</v>
      </c>
      <c r="B16" s="131" t="s">
        <v>270</v>
      </c>
      <c r="C16" s="130" t="str">
        <f>VLOOKUP($A16,WEEKLY_TEAMS!$B$3:$CMF67,13,0)</f>
        <v>↓</v>
      </c>
      <c r="D16" s="130" t="str">
        <f>VLOOKUP($A16,WEEKLY_TEAMS!$B$3:$CMF67,25,0)</f>
        <v>↓</v>
      </c>
      <c r="E16" s="130" t="str">
        <f>VLOOKUP($A16,WEEKLY_TEAMS!$B$3:$CMF67,37,0)</f>
        <v>=</v>
      </c>
      <c r="F16" s="130" t="str">
        <f>VLOOKUP($A16,WEEKLY_TEAMS!$B$3:$CMF67,49,0)</f>
        <v>=</v>
      </c>
      <c r="G16" s="130" t="str">
        <f>VLOOKUP($A16,WEEKLY_TEAMS!$B$3:$CMF67,61,0)</f>
        <v>↑</v>
      </c>
      <c r="H16" s="130" t="str">
        <f>VLOOKUP($A16,WEEKLY_TEAMS!$B$3:$CMF67,73,0)</f>
        <v>↑</v>
      </c>
      <c r="I16" s="130" t="str">
        <f>VLOOKUP($A16,WEEKLY_TEAMS!$B$3:$CMF67,85,0)</f>
        <v>↓</v>
      </c>
      <c r="J16" s="130" t="str">
        <f>VLOOKUP($A16,WEEKLY_TEAMS!$B$3:$CMF67,97,0)</f>
        <v>↓</v>
      </c>
    </row>
    <row r="17">
      <c r="A17" s="130" t="str">
        <f>WEEKLY_TEAMS!B18</f>
        <v>Rodolfo</v>
      </c>
      <c r="B17" s="131" t="s">
        <v>270</v>
      </c>
      <c r="C17" s="130" t="str">
        <f>VLOOKUP($A17,WEEKLY_TEAMS!$B$3:$CMF68,13,0)</f>
        <v>↓</v>
      </c>
      <c r="D17" s="130" t="str">
        <f>VLOOKUP($A17,WEEKLY_TEAMS!$B$3:$CMF68,25,0)</f>
        <v>=</v>
      </c>
      <c r="E17" s="130" t="str">
        <f>VLOOKUP($A17,WEEKLY_TEAMS!$B$3:$CMF68,37,0)</f>
        <v>↑</v>
      </c>
      <c r="F17" s="130" t="str">
        <f>VLOOKUP($A17,WEEKLY_TEAMS!$B$3:$CMF68,49,0)</f>
        <v>↓</v>
      </c>
      <c r="G17" s="130" t="str">
        <f>VLOOKUP($A17,WEEKLY_TEAMS!$B$3:$CMF68,61,0)</f>
        <v>↑</v>
      </c>
      <c r="H17" s="130" t="str">
        <f>VLOOKUP($A17,WEEKLY_TEAMS!$B$3:$CMF68,73,0)</f>
        <v>↑</v>
      </c>
      <c r="I17" s="130" t="str">
        <f>VLOOKUP($A17,WEEKLY_TEAMS!$B$3:$CMF68,85,0)</f>
        <v>↓</v>
      </c>
      <c r="J17" s="130" t="str">
        <f>VLOOKUP($A17,WEEKLY_TEAMS!$B$3:$CMF68,97,0)</f>
        <v>=</v>
      </c>
    </row>
    <row r="18">
      <c r="A18" s="130" t="str">
        <f>WEEKLY_TEAMS!B19</f>
        <v>Rob</v>
      </c>
      <c r="B18" s="131" t="s">
        <v>270</v>
      </c>
      <c r="C18" s="130" t="str">
        <f>VLOOKUP($A18,WEEKLY_TEAMS!$B$3:$CMF69,13,0)</f>
        <v>↓</v>
      </c>
      <c r="D18" s="130" t="str">
        <f>VLOOKUP($A18,WEEKLY_TEAMS!$B$3:$CMF69,25,0)</f>
        <v>↑</v>
      </c>
      <c r="E18" s="130" t="str">
        <f>VLOOKUP($A18,WEEKLY_TEAMS!$B$3:$CMF69,37,0)</f>
        <v>↑</v>
      </c>
      <c r="F18" s="130" t="str">
        <f>VLOOKUP($A18,WEEKLY_TEAMS!$B$3:$CMF69,49,0)</f>
        <v>↑</v>
      </c>
      <c r="G18" s="130" t="str">
        <f>VLOOKUP($A18,WEEKLY_TEAMS!$B$3:$CMF69,61,0)</f>
        <v>↓</v>
      </c>
      <c r="H18" s="130" t="str">
        <f>VLOOKUP($A18,WEEKLY_TEAMS!$B$3:$CMF69,73,0)</f>
        <v>↑</v>
      </c>
      <c r="I18" s="130" t="str">
        <f>VLOOKUP($A18,WEEKLY_TEAMS!$B$3:$CMF69,85,0)</f>
        <v>↑</v>
      </c>
      <c r="J18" s="130" t="str">
        <f>VLOOKUP($A18,WEEKLY_TEAMS!$B$3:$CMF69,97,0)</f>
        <v>=</v>
      </c>
    </row>
    <row r="19">
      <c r="A19" s="130" t="str">
        <f>WEEKLY_TEAMS!B20</f>
        <v>Christian</v>
      </c>
      <c r="B19" s="131" t="s">
        <v>270</v>
      </c>
      <c r="C19" s="130" t="str">
        <f>VLOOKUP($A19,WEEKLY_TEAMS!$B$3:$CMF70,13,0)</f>
        <v>↓</v>
      </c>
      <c r="D19" s="130" t="str">
        <f>VLOOKUP($A19,WEEKLY_TEAMS!$B$3:$CMF70,25,0)</f>
        <v>↓</v>
      </c>
      <c r="E19" s="130" t="str">
        <f>VLOOKUP($A19,WEEKLY_TEAMS!$B$3:$CMF70,37,0)</f>
        <v>↑</v>
      </c>
      <c r="F19" s="130" t="str">
        <f>VLOOKUP($A19,WEEKLY_TEAMS!$B$3:$CMF70,49,0)</f>
        <v>=</v>
      </c>
      <c r="G19" s="130" t="str">
        <f>VLOOKUP($A19,WEEKLY_TEAMS!$B$3:$CMF70,61,0)</f>
        <v>↑</v>
      </c>
      <c r="H19" s="130" t="str">
        <f>VLOOKUP($A19,WEEKLY_TEAMS!$B$3:$CMF70,73,0)</f>
        <v>↑</v>
      </c>
      <c r="I19" s="130" t="str">
        <f>VLOOKUP($A19,WEEKLY_TEAMS!$B$3:$CMF70,85,0)</f>
        <v>↑</v>
      </c>
      <c r="J19" s="130" t="str">
        <f>VLOOKUP($A19,WEEKLY_TEAMS!$B$3:$CMF70,97,0)</f>
        <v>=</v>
      </c>
    </row>
    <row r="20">
      <c r="A20" s="130" t="str">
        <f>WEEKLY_TEAMS!B21</f>
        <v>Guille 👨🏻‍🤝‍👨🏾 Mike</v>
      </c>
      <c r="B20" s="131" t="s">
        <v>270</v>
      </c>
      <c r="C20" s="130" t="str">
        <f>VLOOKUP($A20,WEEKLY_TEAMS!$B$3:$CMF71,13,0)</f>
        <v>↓</v>
      </c>
      <c r="D20" s="130" t="str">
        <f>VLOOKUP($A20,WEEKLY_TEAMS!$B$3:$CMF71,25,0)</f>
        <v>↑</v>
      </c>
      <c r="E20" s="130" t="str">
        <f>VLOOKUP($A20,WEEKLY_TEAMS!$B$3:$CMF71,37,0)</f>
        <v>↑</v>
      </c>
      <c r="F20" s="130" t="str">
        <f>VLOOKUP($A20,WEEKLY_TEAMS!$B$3:$CMF71,49,0)</f>
        <v>↓</v>
      </c>
      <c r="G20" s="130" t="str">
        <f>VLOOKUP($A20,WEEKLY_TEAMS!$B$3:$CMF71,61,0)</f>
        <v>↓</v>
      </c>
      <c r="H20" s="130" t="str">
        <f>VLOOKUP($A20,WEEKLY_TEAMS!$B$3:$CMF71,73,0)</f>
        <v>↓</v>
      </c>
      <c r="I20" s="130" t="str">
        <f>VLOOKUP($A20,WEEKLY_TEAMS!$B$3:$CMF71,85,0)</f>
        <v>↓</v>
      </c>
      <c r="J20" s="130" t="str">
        <f>VLOOKUP($A20,WEEKLY_TEAMS!$B$3:$CMF71,97,0)</f>
        <v>↑</v>
      </c>
    </row>
    <row r="21" ht="15.75" customHeight="1">
      <c r="A21" s="130" t="str">
        <f>WEEKLY_TEAMS!B22</f>
        <v>Nicky</v>
      </c>
      <c r="B21" s="131" t="s">
        <v>270</v>
      </c>
      <c r="C21" s="130" t="str">
        <f>VLOOKUP($A21,WEEKLY_TEAMS!$B$3:$CMF72,13,0)</f>
        <v>↓</v>
      </c>
      <c r="D21" s="130" t="str">
        <f>VLOOKUP($A21,WEEKLY_TEAMS!$B$3:$CMF72,25,0)</f>
        <v>↑</v>
      </c>
      <c r="E21" s="130" t="str">
        <f>VLOOKUP($A21,WEEKLY_TEAMS!$B$3:$CMF72,37,0)</f>
        <v>↑</v>
      </c>
      <c r="F21" s="130" t="str">
        <f>VLOOKUP($A21,WEEKLY_TEAMS!$B$3:$CMF72,49,0)</f>
        <v>=</v>
      </c>
      <c r="G21" s="130" t="str">
        <f>VLOOKUP($A21,WEEKLY_TEAMS!$B$3:$CMF72,61,0)</f>
        <v>↓</v>
      </c>
      <c r="H21" s="130" t="str">
        <f>VLOOKUP($A21,WEEKLY_TEAMS!$B$3:$CMF72,73,0)</f>
        <v>↑</v>
      </c>
      <c r="I21" s="130" t="str">
        <f>VLOOKUP($A21,WEEKLY_TEAMS!$B$3:$CMF72,85,0)</f>
        <v>↓</v>
      </c>
      <c r="J21" s="130" t="str">
        <f>VLOOKUP($A21,WEEKLY_TEAMS!$B$3:$CMF72,97,0)</f>
        <v>↓</v>
      </c>
    </row>
    <row r="22" ht="15.75" customHeight="1">
      <c r="A22" s="130" t="str">
        <f>WEEKLY_TEAMS!B23</f>
        <v>Jordan</v>
      </c>
      <c r="B22" s="131" t="s">
        <v>270</v>
      </c>
      <c r="C22" s="130" t="str">
        <f>VLOOKUP($A22,WEEKLY_TEAMS!$B$3:$CMF73,13,0)</f>
        <v>↓</v>
      </c>
      <c r="D22" s="130" t="str">
        <f>VLOOKUP($A22,WEEKLY_TEAMS!$B$3:$CMF73,25,0)</f>
        <v>↓</v>
      </c>
      <c r="E22" s="130" t="str">
        <f>VLOOKUP($A22,WEEKLY_TEAMS!$B$3:$CMF73,37,0)</f>
        <v>↑</v>
      </c>
      <c r="F22" s="130" t="str">
        <f>VLOOKUP($A22,WEEKLY_TEAMS!$B$3:$CMF73,49,0)</f>
        <v>↑</v>
      </c>
      <c r="G22" s="130" t="str">
        <f>VLOOKUP($A22,WEEKLY_TEAMS!$B$3:$CMF73,61,0)</f>
        <v>↑</v>
      </c>
      <c r="H22" s="130" t="str">
        <f>VLOOKUP($A22,WEEKLY_TEAMS!$B$3:$CMF73,73,0)</f>
        <v>↓</v>
      </c>
      <c r="I22" s="130" t="str">
        <f>VLOOKUP($A22,WEEKLY_TEAMS!$B$3:$CMF73,85,0)</f>
        <v>↓</v>
      </c>
      <c r="J22" s="130" t="str">
        <f>VLOOKUP($A22,WEEKLY_TEAMS!$B$3:$CMF73,97,0)</f>
        <v>↑</v>
      </c>
    </row>
    <row r="23" ht="15.75" customHeight="1">
      <c r="A23" s="130" t="str">
        <f>WEEKLY_TEAMS!B24</f>
        <v>Jose Sarza</v>
      </c>
      <c r="B23" s="131" t="s">
        <v>270</v>
      </c>
      <c r="C23" s="130" t="str">
        <f>VLOOKUP($A23,WEEKLY_TEAMS!$B$3:$CMF74,13,0)</f>
        <v>↓</v>
      </c>
      <c r="D23" s="130" t="str">
        <f>VLOOKUP($A23,WEEKLY_TEAMS!$B$3:$CMF74,25,0)</f>
        <v>↓</v>
      </c>
      <c r="E23" s="130" t="str">
        <f>VLOOKUP($A23,WEEKLY_TEAMS!$B$3:$CMF74,37,0)</f>
        <v>↑</v>
      </c>
      <c r="F23" s="130" t="str">
        <f>VLOOKUP($A23,WEEKLY_TEAMS!$B$3:$CMF74,49,0)</f>
        <v>↓</v>
      </c>
      <c r="G23" s="130" t="str">
        <f>VLOOKUP($A23,WEEKLY_TEAMS!$B$3:$CMF74,61,0)</f>
        <v>↑</v>
      </c>
      <c r="H23" s="130" t="str">
        <f>VLOOKUP($A23,WEEKLY_TEAMS!$B$3:$CMF74,73,0)</f>
        <v>↑</v>
      </c>
      <c r="I23" s="130" t="str">
        <f>VLOOKUP($A23,WEEKLY_TEAMS!$B$3:$CMF74,85,0)</f>
        <v>↑</v>
      </c>
      <c r="J23" s="130" t="str">
        <f>VLOOKUP($A23,WEEKLY_TEAMS!$B$3:$CMF74,97,0)</f>
        <v>↑</v>
      </c>
    </row>
    <row r="24" ht="15.75" customHeight="1">
      <c r="A24" s="130" t="str">
        <f>WEEKLY_TEAMS!B25</f>
        <v>Fabian</v>
      </c>
      <c r="B24" s="131" t="s">
        <v>270</v>
      </c>
      <c r="C24" s="130" t="str">
        <f>VLOOKUP($A24,WEEKLY_TEAMS!$B$3:$CMF75,13,0)</f>
        <v>=</v>
      </c>
      <c r="D24" s="130" t="str">
        <f>VLOOKUP($A24,WEEKLY_TEAMS!$B$3:$CMF75,25,0)</f>
        <v>↓</v>
      </c>
      <c r="E24" s="130" t="str">
        <f>VLOOKUP($A24,WEEKLY_TEAMS!$B$3:$CMF75,37,0)</f>
        <v>↑</v>
      </c>
      <c r="F24" s="130" t="str">
        <f>VLOOKUP($A24,WEEKLY_TEAMS!$B$3:$CMF75,49,0)</f>
        <v>↑</v>
      </c>
      <c r="G24" s="130" t="str">
        <f>VLOOKUP($A24,WEEKLY_TEAMS!$B$3:$CMF75,61,0)</f>
        <v>↓</v>
      </c>
      <c r="H24" s="130" t="str">
        <f>VLOOKUP($A24,WEEKLY_TEAMS!$B$3:$CMF75,73,0)</f>
        <v>↓</v>
      </c>
      <c r="I24" s="130" t="str">
        <f>VLOOKUP($A24,WEEKLY_TEAMS!$B$3:$CMF75,85,0)</f>
        <v>↑</v>
      </c>
      <c r="J24" s="130" t="str">
        <f>VLOOKUP($A24,WEEKLY_TEAMS!$B$3:$CMF75,97,0)</f>
        <v>↓</v>
      </c>
    </row>
    <row r="25" ht="15.75" customHeight="1">
      <c r="A25" s="130" t="str">
        <f>WEEKLY_TEAMS!B26</f>
        <v>Eder</v>
      </c>
      <c r="B25" s="131" t="s">
        <v>270</v>
      </c>
      <c r="C25" s="130" t="str">
        <f>VLOOKUP($A25,WEEKLY_TEAMS!$B$3:$CMF76,13,0)</f>
        <v>↓</v>
      </c>
      <c r="D25" s="130" t="str">
        <f>VLOOKUP($A25,WEEKLY_TEAMS!$B$3:$CMF76,25,0)</f>
        <v>↓</v>
      </c>
      <c r="E25" s="130" t="str">
        <f>VLOOKUP($A25,WEEKLY_TEAMS!$B$3:$CMF76,37,0)</f>
        <v>↓</v>
      </c>
      <c r="F25" s="130" t="str">
        <f>VLOOKUP($A25,WEEKLY_TEAMS!$B$3:$CMF76,49,0)</f>
        <v>↑</v>
      </c>
      <c r="G25" s="130" t="str">
        <f>VLOOKUP($A25,WEEKLY_TEAMS!$B$3:$CMF76,61,0)</f>
        <v>↑</v>
      </c>
      <c r="H25" s="130" t="str">
        <f>VLOOKUP($A25,WEEKLY_TEAMS!$B$3:$CMF76,73,0)</f>
        <v>↓</v>
      </c>
      <c r="I25" s="130" t="str">
        <f>VLOOKUP($A25,WEEKLY_TEAMS!$B$3:$CMF76,85,0)</f>
        <v>↑</v>
      </c>
      <c r="J25" s="130" t="str">
        <f>VLOOKUP($A25,WEEKLY_TEAMS!$B$3:$CMF76,97,0)</f>
        <v>↓</v>
      </c>
    </row>
    <row r="26" ht="15.75" customHeight="1">
      <c r="A26" s="130" t="str">
        <f>WEEKLY_TEAMS!B27</f>
        <v>Cuñis 👨🏽‍🤝‍👨🏼 Karter</v>
      </c>
      <c r="B26" s="131" t="s">
        <v>270</v>
      </c>
      <c r="C26" s="130" t="str">
        <f>VLOOKUP($A26,WEEKLY_TEAMS!$B$3:$CMF77,13,0)</f>
        <v>↓</v>
      </c>
      <c r="D26" s="130" t="str">
        <f>VLOOKUP($A26,WEEKLY_TEAMS!$B$3:$CMF77,25,0)</f>
        <v>↓</v>
      </c>
      <c r="E26" s="130" t="str">
        <f>VLOOKUP($A26,WEEKLY_TEAMS!$B$3:$CMF77,37,0)</f>
        <v>↓</v>
      </c>
      <c r="F26" s="130" t="str">
        <f>VLOOKUP($A26,WEEKLY_TEAMS!$B$3:$CMF77,49,0)</f>
        <v>↓</v>
      </c>
      <c r="G26" s="130" t="str">
        <f>VLOOKUP($A26,WEEKLY_TEAMS!$B$3:$CMF77,61,0)</f>
        <v>↑</v>
      </c>
      <c r="H26" s="130" t="str">
        <f>VLOOKUP($A26,WEEKLY_TEAMS!$B$3:$CMF77,73,0)</f>
        <v>↑</v>
      </c>
      <c r="I26" s="130" t="str">
        <f>VLOOKUP($A26,WEEKLY_TEAMS!$B$3:$CMF77,85,0)</f>
        <v>↓</v>
      </c>
      <c r="J26" s="130" t="str">
        <f>VLOOKUP($A26,WEEKLY_TEAMS!$B$3:$CMF77,97,0)</f>
        <v>↓</v>
      </c>
    </row>
    <row r="27" ht="15.75" customHeight="1">
      <c r="A27" s="130" t="str">
        <f>WEEKLY_TEAMS!B28</f>
        <v>Alexis 👨🏾‍🤝‍👨🏿 Lopez</v>
      </c>
      <c r="B27" s="131" t="s">
        <v>270</v>
      </c>
      <c r="C27" s="130" t="str">
        <f>VLOOKUP($A27,WEEKLY_TEAMS!$B$3:$CMF78,13,0)</f>
        <v>↓</v>
      </c>
      <c r="D27" s="130" t="str">
        <f>VLOOKUP($A27,WEEKLY_TEAMS!$B$3:$CMF78,25,0)</f>
        <v>↑</v>
      </c>
      <c r="E27" s="130" t="str">
        <f>VLOOKUP($A27,WEEKLY_TEAMS!$B$3:$CMF78,37,0)</f>
        <v>↑</v>
      </c>
      <c r="F27" s="130" t="str">
        <f>VLOOKUP($A27,WEEKLY_TEAMS!$B$3:$CMF78,49,0)</f>
        <v>↓</v>
      </c>
      <c r="G27" s="130" t="str">
        <f>VLOOKUP($A27,WEEKLY_TEAMS!$B$3:$CMF78,61,0)</f>
        <v>↓</v>
      </c>
      <c r="H27" s="130" t="str">
        <f>VLOOKUP($A27,WEEKLY_TEAMS!$B$3:$CMF78,73,0)</f>
        <v>=</v>
      </c>
      <c r="I27" s="130" t="str">
        <f>VLOOKUP($A27,WEEKLY_TEAMS!$B$3:$CMF78,85,0)</f>
        <v>↑</v>
      </c>
      <c r="J27" s="130" t="str">
        <f>VLOOKUP($A27,WEEKLY_TEAMS!$B$3:$CMF78,97,0)</f>
        <v>↓</v>
      </c>
    </row>
    <row r="28" ht="15.75" customHeight="1">
      <c r="A28" s="130" t="str">
        <f>WEEKLY_TEAMS!B29</f>
        <v>Alex</v>
      </c>
      <c r="B28" s="131" t="s">
        <v>270</v>
      </c>
      <c r="C28" s="130" t="str">
        <f>VLOOKUP($A28,WEEKLY_TEAMS!$B$3:$CMF79,13,0)</f>
        <v>↓</v>
      </c>
      <c r="D28" s="130" t="str">
        <f>VLOOKUP($A28,WEEKLY_TEAMS!$B$3:$CMF79,25,0)</f>
        <v>↑</v>
      </c>
      <c r="E28" s="130" t="str">
        <f>VLOOKUP($A28,WEEKLY_TEAMS!$B$3:$CMF79,37,0)</f>
        <v>↓</v>
      </c>
      <c r="F28" s="130" t="str">
        <f>VLOOKUP($A28,WEEKLY_TEAMS!$B$3:$CMF79,49,0)</f>
        <v>↑</v>
      </c>
      <c r="G28" s="130" t="str">
        <f>VLOOKUP($A28,WEEKLY_TEAMS!$B$3:$CMF79,61,0)</f>
        <v>↓</v>
      </c>
      <c r="H28" s="130" t="str">
        <f>VLOOKUP($A28,WEEKLY_TEAMS!$B$3:$CMF79,73,0)</f>
        <v>↓</v>
      </c>
      <c r="I28" s="130" t="str">
        <f>VLOOKUP($A28,WEEKLY_TEAMS!$B$3:$CMF79,85,0)</f>
        <v>↑</v>
      </c>
      <c r="J28" s="130" t="str">
        <f>VLOOKUP($A28,WEEKLY_TEAMS!$B$3:$CMF79,97,0)</f>
        <v>↓</v>
      </c>
    </row>
    <row r="29" ht="15.75" customHeight="1">
      <c r="A29" s="130" t="str">
        <f>WEEKLY_TEAMS!B30</f>
        <v>Chilas 👨🏻‍🤝‍👨🏾 Netto</v>
      </c>
      <c r="B29" s="131" t="s">
        <v>270</v>
      </c>
      <c r="C29" s="130" t="str">
        <f>VLOOKUP($A29,WEEKLY_TEAMS!$B$3:$CMF80,13,0)</f>
        <v>↓</v>
      </c>
      <c r="D29" s="130" t="str">
        <f>VLOOKUP($A29,WEEKLY_TEAMS!$B$3:$CMF80,25,0)</f>
        <v>↑</v>
      </c>
      <c r="E29" s="130" t="str">
        <f>VLOOKUP($A29,WEEKLY_TEAMS!$B$3:$CMF80,37,0)</f>
        <v>↓</v>
      </c>
      <c r="F29" s="130" t="str">
        <f>VLOOKUP($A29,WEEKLY_TEAMS!$B$3:$CMF80,49,0)</f>
        <v>=</v>
      </c>
      <c r="G29" s="130" t="str">
        <f>VLOOKUP($A29,WEEKLY_TEAMS!$B$3:$CMF80,61,0)</f>
        <v>↓</v>
      </c>
      <c r="H29" s="130" t="str">
        <f>VLOOKUP($A29,WEEKLY_TEAMS!$B$3:$CMF80,73,0)</f>
        <v>↓</v>
      </c>
      <c r="I29" s="130" t="str">
        <f>VLOOKUP($A29,WEEKLY_TEAMS!$B$3:$CMF80,85,0)</f>
        <v>↓</v>
      </c>
      <c r="J29" s="130" t="str">
        <f>VLOOKUP($A29,WEEKLY_TEAMS!$B$3:$CMF80,97,0)</f>
        <v>↓</v>
      </c>
    </row>
    <row r="30" ht="15.75" customHeight="1">
      <c r="A30" s="130" t="str">
        <f>WEEKLY_TEAMS!B31</f>
        <v>Carlos Haro</v>
      </c>
      <c r="B30" s="131" t="s">
        <v>270</v>
      </c>
      <c r="C30" s="130" t="str">
        <f>VLOOKUP($A30,WEEKLY_TEAMS!$B$3:$CMF81,13,0)</f>
        <v>↓</v>
      </c>
      <c r="D30" s="130" t="str">
        <f>VLOOKUP($A30,WEEKLY_TEAMS!$B$3:$CMF81,25,0)</f>
        <v>↓</v>
      </c>
      <c r="E30" s="130" t="str">
        <f>VLOOKUP($A30,WEEKLY_TEAMS!$B$3:$CMF81,37,0)</f>
        <v>=</v>
      </c>
      <c r="F30" s="130" t="str">
        <f>VLOOKUP($A30,WEEKLY_TEAMS!$B$3:$CMF81,49,0)</f>
        <v>↑</v>
      </c>
      <c r="G30" s="130" t="str">
        <f>VLOOKUP($A30,WEEKLY_TEAMS!$B$3:$CMF81,61,0)</f>
        <v>↑</v>
      </c>
      <c r="H30" s="130" t="str">
        <f>VLOOKUP($A30,WEEKLY_TEAMS!$B$3:$CMF81,73,0)</f>
        <v>↑</v>
      </c>
      <c r="I30" s="130" t="str">
        <f>VLOOKUP($A30,WEEKLY_TEAMS!$B$3:$CMF81,85,0)</f>
        <v>↓</v>
      </c>
      <c r="J30" s="130" t="str">
        <f>VLOOKUP($A30,WEEKLY_TEAMS!$B$3:$CMF81,97,0)</f>
        <v>↓</v>
      </c>
    </row>
    <row r="31" ht="15.75" customHeight="1">
      <c r="A31" s="130" t="str">
        <f>WEEKLY_TEAMS!B32</f>
        <v>Chavito</v>
      </c>
      <c r="B31" s="131" t="s">
        <v>270</v>
      </c>
      <c r="C31" s="130" t="str">
        <f>VLOOKUP($A31,WEEKLY_TEAMS!$B$3:$CMF82,13,0)</f>
        <v>↓</v>
      </c>
      <c r="D31" s="130" t="str">
        <f>VLOOKUP($A31,WEEKLY_TEAMS!$B$3:$CMF82,25,0)</f>
        <v>↓</v>
      </c>
      <c r="E31" s="130" t="str">
        <f>VLOOKUP($A31,WEEKLY_TEAMS!$B$3:$CMF82,37,0)</f>
        <v>↑</v>
      </c>
      <c r="F31" s="130" t="str">
        <f>VLOOKUP($A31,WEEKLY_TEAMS!$B$3:$CMF82,49,0)</f>
        <v>↑</v>
      </c>
      <c r="G31" s="130" t="str">
        <f>VLOOKUP($A31,WEEKLY_TEAMS!$B$3:$CMF82,61,0)</f>
        <v>↓</v>
      </c>
      <c r="H31" s="130" t="str">
        <f>VLOOKUP($A31,WEEKLY_TEAMS!$B$3:$CMF82,73,0)</f>
        <v>↓</v>
      </c>
      <c r="I31" s="130" t="str">
        <f>VLOOKUP($A31,WEEKLY_TEAMS!$B$3:$CMF82,85,0)</f>
        <v>↑</v>
      </c>
      <c r="J31" s="130" t="str">
        <f>VLOOKUP($A31,WEEKLY_TEAMS!$B$3:$CMF82,97,0)</f>
        <v>↑</v>
      </c>
    </row>
    <row r="32" ht="15.75" customHeight="1">
      <c r="A32" s="130" t="str">
        <f>WEEKLY_TEAMS!B33</f>
        <v>Gabriel</v>
      </c>
      <c r="B32" s="131" t="s">
        <v>270</v>
      </c>
      <c r="C32" s="130" t="str">
        <f>VLOOKUP($A32,WEEKLY_TEAMS!$B$3:$CMF83,13,0)</f>
        <v>↓</v>
      </c>
      <c r="D32" s="130" t="str">
        <f>VLOOKUP($A32,WEEKLY_TEAMS!$B$3:$CMF83,25,0)</f>
        <v>↑</v>
      </c>
      <c r="E32" s="130" t="str">
        <f>VLOOKUP($A32,WEEKLY_TEAMS!$B$3:$CMF83,37,0)</f>
        <v>=</v>
      </c>
      <c r="F32" s="130" t="str">
        <f>VLOOKUP($A32,WEEKLY_TEAMS!$B$3:$CMF83,49,0)</f>
        <v>↓</v>
      </c>
      <c r="G32" s="130" t="str">
        <f>VLOOKUP($A32,WEEKLY_TEAMS!$B$3:$CMF83,61,0)</f>
        <v>↑</v>
      </c>
      <c r="H32" s="130" t="str">
        <f>VLOOKUP($A32,WEEKLY_TEAMS!$B$3:$CMF83,73,0)</f>
        <v>↑</v>
      </c>
      <c r="I32" s="130" t="str">
        <f>VLOOKUP($A32,WEEKLY_TEAMS!$B$3:$CMF83,85,0)</f>
        <v>↓</v>
      </c>
      <c r="J32" s="130" t="str">
        <f>VLOOKUP($A32,WEEKLY_TEAMS!$B$3:$CMF83,97,0)</f>
        <v>=</v>
      </c>
    </row>
    <row r="33" ht="15.75" customHeight="1">
      <c r="A33" s="130" t="str">
        <f>WEEKLY_TEAMS!B34</f>
        <v>Gus</v>
      </c>
      <c r="B33" s="131" t="s">
        <v>270</v>
      </c>
      <c r="C33" s="130" t="str">
        <f>VLOOKUP($A33,WEEKLY_TEAMS!$B$3:$CMF84,13,0)</f>
        <v>↓</v>
      </c>
      <c r="D33" s="130" t="str">
        <f>VLOOKUP($A33,WEEKLY_TEAMS!$B$3:$CMF84,25,0)</f>
        <v>↑</v>
      </c>
      <c r="E33" s="130" t="str">
        <f>VLOOKUP($A33,WEEKLY_TEAMS!$B$3:$CMF84,37,0)</f>
        <v>↓</v>
      </c>
      <c r="F33" s="130" t="str">
        <f>VLOOKUP($A33,WEEKLY_TEAMS!$B$3:$CMF84,49,0)</f>
        <v>↓</v>
      </c>
      <c r="G33" s="130" t="str">
        <f>VLOOKUP($A33,WEEKLY_TEAMS!$B$3:$CMF84,61,0)</f>
        <v>↓</v>
      </c>
      <c r="H33" s="130" t="str">
        <f>VLOOKUP($A33,WEEKLY_TEAMS!$B$3:$CMF84,73,0)</f>
        <v>↓</v>
      </c>
      <c r="I33" s="130" t="str">
        <f>VLOOKUP($A33,WEEKLY_TEAMS!$B$3:$CMF84,85,0)</f>
        <v>↑</v>
      </c>
      <c r="J33" s="130" t="str">
        <f>VLOOKUP($A33,WEEKLY_TEAMS!$B$3:$CMF84,97,0)</f>
        <v>↑</v>
      </c>
    </row>
    <row r="34" ht="15.75" customHeight="1">
      <c r="A34" s="130" t="str">
        <f>WEEKLY_TEAMS!B35</f>
        <v>David</v>
      </c>
      <c r="B34" s="131" t="s">
        <v>270</v>
      </c>
      <c r="C34" s="130" t="str">
        <f>VLOOKUP($A34,WEEKLY_TEAMS!$B$3:$CMF85,13,0)</f>
        <v>↓</v>
      </c>
      <c r="D34" s="130" t="str">
        <f>VLOOKUP($A34,WEEKLY_TEAMS!$B$3:$CMF85,25,0)</f>
        <v>↓</v>
      </c>
      <c r="E34" s="130" t="str">
        <f>VLOOKUP($A34,WEEKLY_TEAMS!$B$3:$CMF85,37,0)</f>
        <v>↓</v>
      </c>
      <c r="F34" s="130" t="str">
        <f>VLOOKUP($A34,WEEKLY_TEAMS!$B$3:$CMF85,49,0)</f>
        <v>↑</v>
      </c>
      <c r="G34" s="130" t="str">
        <f>VLOOKUP($A34,WEEKLY_TEAMS!$B$3:$CMF85,61,0)</f>
        <v>↓</v>
      </c>
      <c r="H34" s="130" t="str">
        <f>VLOOKUP($A34,WEEKLY_TEAMS!$B$3:$CMF85,73,0)</f>
        <v>↓</v>
      </c>
      <c r="I34" s="130" t="str">
        <f>VLOOKUP($A34,WEEKLY_TEAMS!$B$3:$CMF85,85,0)</f>
        <v>↑</v>
      </c>
      <c r="J34" s="130" t="str">
        <f>VLOOKUP($A34,WEEKLY_TEAMS!$B$3:$CMF85,97,0)</f>
        <v>↑</v>
      </c>
    </row>
    <row r="35" ht="15.75" customHeight="1">
      <c r="A35" s="130" t="str">
        <f>WEEKLY_TEAMS!B36</f>
        <v>Kevin</v>
      </c>
      <c r="B35" s="131" t="s">
        <v>270</v>
      </c>
      <c r="C35" s="130" t="str">
        <f>VLOOKUP($A35,WEEKLY_TEAMS!$B$3:$CMF86,13,0)</f>
        <v>↓</v>
      </c>
      <c r="D35" s="130" t="str">
        <f>VLOOKUP($A35,WEEKLY_TEAMS!$B$3:$CMF86,25,0)</f>
        <v>↓</v>
      </c>
      <c r="E35" s="130" t="str">
        <f>VLOOKUP($A35,WEEKLY_TEAMS!$B$3:$CMF86,37,0)</f>
        <v>↓</v>
      </c>
      <c r="F35" s="130" t="str">
        <f>VLOOKUP($A35,WEEKLY_TEAMS!$B$3:$CMF86,49,0)</f>
        <v>↓</v>
      </c>
      <c r="G35" s="130" t="str">
        <f>VLOOKUP($A35,WEEKLY_TEAMS!$B$3:$CMF86,61,0)</f>
        <v>↓</v>
      </c>
      <c r="H35" s="130" t="str">
        <f>VLOOKUP($A35,WEEKLY_TEAMS!$B$3:$CMF86,73,0)</f>
        <v>↑</v>
      </c>
      <c r="I35" s="130" t="str">
        <f>VLOOKUP($A35,WEEKLY_TEAMS!$B$3:$CMF86,85,0)</f>
        <v>↓</v>
      </c>
      <c r="J35" s="130" t="str">
        <f>VLOOKUP($A35,WEEKLY_TEAMS!$B$3:$CMF86,97,0)</f>
        <v>↑</v>
      </c>
    </row>
    <row r="36" ht="15.75" customHeight="1">
      <c r="A36" s="130" t="str">
        <f>WEEKLY_TEAMS!B37</f>
        <v>Yan Carlos</v>
      </c>
      <c r="B36" s="131" t="s">
        <v>270</v>
      </c>
      <c r="C36" s="130" t="str">
        <f>VLOOKUP($A36,WEEKLY_TEAMS!$B$3:$CMF87,13,0)</f>
        <v>↓</v>
      </c>
      <c r="D36" s="130" t="str">
        <f>VLOOKUP($A36,WEEKLY_TEAMS!$B$3:$CMF87,25,0)</f>
        <v>↓</v>
      </c>
      <c r="E36" s="130" t="str">
        <f>VLOOKUP($A36,WEEKLY_TEAMS!$B$3:$CMF87,37,0)</f>
        <v>↑</v>
      </c>
      <c r="F36" s="130" t="str">
        <f>VLOOKUP($A36,WEEKLY_TEAMS!$B$3:$CMF87,49,0)</f>
        <v>↓</v>
      </c>
      <c r="G36" s="130" t="str">
        <f>VLOOKUP($A36,WEEKLY_TEAMS!$B$3:$CMF87,61,0)</f>
        <v>↓</v>
      </c>
      <c r="H36" s="130" t="str">
        <f>VLOOKUP($A36,WEEKLY_TEAMS!$B$3:$CMF87,73,0)</f>
        <v>↑</v>
      </c>
      <c r="I36" s="130" t="str">
        <f>VLOOKUP($A36,WEEKLY_TEAMS!$B$3:$CMF87,85,0)</f>
        <v>↓</v>
      </c>
      <c r="J36" s="130" t="str">
        <f>VLOOKUP($A36,WEEKLY_TEAMS!$B$3:$CMF87,97,0)</f>
        <v>↓</v>
      </c>
    </row>
    <row r="37" ht="15.75" customHeight="1">
      <c r="A37" s="130" t="str">
        <f>WEEKLY_TEAMS!B38</f>
        <v>Pirlo</v>
      </c>
      <c r="B37" s="131" t="s">
        <v>270</v>
      </c>
      <c r="C37" s="130" t="str">
        <f>VLOOKUP($A37,WEEKLY_TEAMS!$B$3:$CMF88,13,0)</f>
        <v>↓</v>
      </c>
      <c r="D37" s="130" t="str">
        <f>VLOOKUP($A37,WEEKLY_TEAMS!$B$3:$CMF88,25,0)</f>
        <v>↓</v>
      </c>
      <c r="E37" s="130" t="str">
        <f>VLOOKUP($A37,WEEKLY_TEAMS!$B$3:$CMF88,37,0)</f>
        <v>↑</v>
      </c>
      <c r="F37" s="130" t="str">
        <f>VLOOKUP($A37,WEEKLY_TEAMS!$B$3:$CMF88,49,0)</f>
        <v>↑</v>
      </c>
      <c r="G37" s="130" t="str">
        <f>VLOOKUP($A37,WEEKLY_TEAMS!$B$3:$CMF88,61,0)</f>
        <v>=</v>
      </c>
      <c r="H37" s="130" t="str">
        <f>VLOOKUP($A37,WEEKLY_TEAMS!$B$3:$CMF88,73,0)</f>
        <v>↓</v>
      </c>
      <c r="I37" s="130" t="str">
        <f>VLOOKUP($A37,WEEKLY_TEAMS!$B$3:$CMF88,85,0)</f>
        <v>↓</v>
      </c>
      <c r="J37" s="130" t="str">
        <f>VLOOKUP($A37,WEEKLY_TEAMS!$B$3:$CMF88,97,0)</f>
        <v>↓</v>
      </c>
    </row>
    <row r="38" ht="15.75" customHeight="1">
      <c r="A38" s="130" t="str">
        <f>WEEKLY_TEAMS!B39</f>
        <v>(Rudy)</v>
      </c>
      <c r="B38" s="131" t="s">
        <v>270</v>
      </c>
      <c r="C38" s="130" t="str">
        <f>VLOOKUP($A38,WEEKLY_TEAMS!$B$3:$CMF89,13,0)</f>
        <v>=</v>
      </c>
      <c r="D38" s="130" t="str">
        <f>VLOOKUP($A38,WEEKLY_TEAMS!$B$3:$CMF89,25,0)</f>
        <v>=</v>
      </c>
      <c r="E38" s="130" t="str">
        <f>VLOOKUP($A38,WEEKLY_TEAMS!$B$3:$CMF89,37,0)</f>
        <v>=</v>
      </c>
      <c r="F38" s="130" t="str">
        <f>VLOOKUP($A38,WEEKLY_TEAMS!$B$3:$CMF89,49,0)</f>
        <v>=</v>
      </c>
      <c r="G38" s="130" t="str">
        <f>VLOOKUP($A38,WEEKLY_TEAMS!$B$3:$CMF89,61,0)</f>
        <v>=</v>
      </c>
      <c r="H38" s="130" t="str">
        <f>VLOOKUP($A38,WEEKLY_TEAMS!$B$3:$CMF89,73,0)</f>
        <v>↓</v>
      </c>
      <c r="I38" s="130" t="str">
        <f>VLOOKUP($A38,WEEKLY_TEAMS!$B$3:$CMF89,85,0)</f>
        <v>=</v>
      </c>
      <c r="J38" s="130" t="str">
        <f>VLOOKUP($A38,WEEKLY_TEAMS!$B$3:$CMF89,97,0)</f>
        <v>↑</v>
      </c>
    </row>
    <row r="39" ht="15.75" customHeight="1">
      <c r="A39" s="130" t="str">
        <f>WEEKLY_TEAMS!B40</f>
        <v>(Enerson)</v>
      </c>
      <c r="B39" s="131" t="s">
        <v>270</v>
      </c>
      <c r="C39" s="130" t="str">
        <f>VLOOKUP($A39,WEEKLY_TEAMS!$B$3:$CMF90,13,0)</f>
        <v>=</v>
      </c>
      <c r="D39" s="130" t="str">
        <f>VLOOKUP($A39,WEEKLY_TEAMS!$B$3:$CMF90,25,0)</f>
        <v>↓</v>
      </c>
      <c r="E39" s="130" t="str">
        <f>VLOOKUP($A39,WEEKLY_TEAMS!$B$3:$CMF90,37,0)</f>
        <v>=</v>
      </c>
      <c r="F39" s="130" t="str">
        <f>VLOOKUP($A39,WEEKLY_TEAMS!$B$3:$CMF90,49,0)</f>
        <v>=</v>
      </c>
      <c r="G39" s="130" t="str">
        <f>VLOOKUP($A39,WEEKLY_TEAMS!$B$3:$CMF90,61,0)</f>
        <v>↓</v>
      </c>
      <c r="H39" s="130" t="str">
        <f>VLOOKUP($A39,WEEKLY_TEAMS!$B$3:$CMF90,73,0)</f>
        <v>↓</v>
      </c>
      <c r="I39" s="130" t="str">
        <f>VLOOKUP($A39,WEEKLY_TEAMS!$B$3:$CMF90,85,0)</f>
        <v>↑</v>
      </c>
      <c r="J39" s="130" t="str">
        <f>VLOOKUP($A39,WEEKLY_TEAMS!$B$3:$CMF90,97,0)</f>
        <v>↑</v>
      </c>
    </row>
    <row r="40" ht="15.75" customHeight="1">
      <c r="A40" s="130" t="str">
        <f>WEEKLY_TEAMS!B41</f>
        <v>(Jeff)</v>
      </c>
      <c r="B40" s="131" t="s">
        <v>270</v>
      </c>
      <c r="C40" s="130" t="str">
        <f>VLOOKUP($A40,WEEKLY_TEAMS!$B$3:$CMF91,13,0)</f>
        <v>↓</v>
      </c>
      <c r="D40" s="130" t="str">
        <f>VLOOKUP($A40,WEEKLY_TEAMS!$B$3:$CMF91,25,0)</f>
        <v>↓</v>
      </c>
      <c r="E40" s="130" t="str">
        <f>VLOOKUP($A40,WEEKLY_TEAMS!$B$3:$CMF91,37,0)</f>
        <v>↓</v>
      </c>
      <c r="F40" s="130" t="str">
        <f>VLOOKUP($A40,WEEKLY_TEAMS!$B$3:$CMF91,49,0)</f>
        <v>↓</v>
      </c>
      <c r="G40" s="130" t="str">
        <f>VLOOKUP($A40,WEEKLY_TEAMS!$B$3:$CMF91,61,0)</f>
        <v>↑</v>
      </c>
      <c r="H40" s="130" t="str">
        <f>VLOOKUP($A40,WEEKLY_TEAMS!$B$3:$CMF91,73,0)</f>
        <v>↑</v>
      </c>
      <c r="I40" s="130" t="str">
        <f>VLOOKUP($A40,WEEKLY_TEAMS!$B$3:$CMF91,85,0)</f>
        <v>=</v>
      </c>
      <c r="J40" s="130" t="str">
        <f>VLOOKUP($A40,WEEKLY_TEAMS!$B$3:$CMF91,97,0)</f>
        <v>↓</v>
      </c>
    </row>
    <row r="41" ht="15.75" customHeight="1">
      <c r="A41" s="130" t="str">
        <f>WEEKLY_TEAMS!B42</f>
        <v>(Nicolas)</v>
      </c>
      <c r="B41" s="131" t="s">
        <v>270</v>
      </c>
      <c r="C41" s="130" t="str">
        <f>VLOOKUP($A41,WEEKLY_TEAMS!$B$3:$CMF92,13,0)</f>
        <v>↓</v>
      </c>
      <c r="D41" s="130" t="str">
        <f>VLOOKUP($A41,WEEKLY_TEAMS!$B$3:$CMF92,25,0)</f>
        <v>↓</v>
      </c>
      <c r="E41" s="130" t="str">
        <f>VLOOKUP($A41,WEEKLY_TEAMS!$B$3:$CMF92,37,0)</f>
        <v>↓</v>
      </c>
      <c r="F41" s="130" t="str">
        <f>VLOOKUP($A41,WEEKLY_TEAMS!$B$3:$CMF92,49,0)</f>
        <v>=</v>
      </c>
      <c r="G41" s="130" t="str">
        <f>VLOOKUP($A41,WEEKLY_TEAMS!$B$3:$CMF92,61,0)</f>
        <v>↓</v>
      </c>
      <c r="H41" s="130" t="str">
        <f>VLOOKUP($A41,WEEKLY_TEAMS!$B$3:$CMF92,73,0)</f>
        <v>↑</v>
      </c>
      <c r="I41" s="130" t="str">
        <f>VLOOKUP($A41,WEEKLY_TEAMS!$B$3:$CMF92,85,0)</f>
        <v>↓</v>
      </c>
      <c r="J41" s="130" t="str">
        <f>VLOOKUP($A41,WEEKLY_TEAMS!$B$3:$CMF92,97,0)</f>
        <v>=</v>
      </c>
    </row>
    <row r="42" ht="15.75" customHeight="1">
      <c r="A42" s="130" t="str">
        <f>WEEKLY_TEAMS!B43</f>
        <v>(Jhony S)</v>
      </c>
      <c r="B42" s="131" t="s">
        <v>270</v>
      </c>
      <c r="C42" s="130" t="str">
        <f>VLOOKUP($A42,WEEKLY_TEAMS!$B$3:$CMF93,13,0)</f>
        <v>↓</v>
      </c>
      <c r="D42" s="130" t="str">
        <f>VLOOKUP($A42,WEEKLY_TEAMS!$B$3:$CMF93,25,0)</f>
        <v>↓</v>
      </c>
      <c r="E42" s="130" t="str">
        <f>VLOOKUP($A42,WEEKLY_TEAMS!$B$3:$CMF93,37,0)</f>
        <v>↓</v>
      </c>
      <c r="F42" s="130" t="str">
        <f>VLOOKUP($A42,WEEKLY_TEAMS!$B$3:$CMF93,49,0)</f>
        <v>↑</v>
      </c>
      <c r="G42" s="130" t="str">
        <f>VLOOKUP($A42,WEEKLY_TEAMS!$B$3:$CMF93,61,0)</f>
        <v>↑</v>
      </c>
      <c r="H42" s="130" t="str">
        <f>VLOOKUP($A42,WEEKLY_TEAMS!$B$3:$CMF93,73,0)</f>
        <v>↓</v>
      </c>
      <c r="I42" s="130" t="str">
        <f>VLOOKUP($A42,WEEKLY_TEAMS!$B$3:$CMF93,85,0)</f>
        <v>↓</v>
      </c>
      <c r="J42" s="130" t="str">
        <f>VLOOKUP($A42,WEEKLY_TEAMS!$B$3:$CMF93,97,0)</f>
        <v>↑</v>
      </c>
    </row>
    <row r="43" ht="15.75" customHeight="1">
      <c r="A43" s="130" t="str">
        <f>WEEKLY_TEAMS!B44</f>
        <v>(Saul)</v>
      </c>
      <c r="B43" s="131" t="s">
        <v>270</v>
      </c>
      <c r="C43" s="130" t="str">
        <f>VLOOKUP($A43,WEEKLY_TEAMS!$B$3:$CMF94,13,0)</f>
        <v>↓</v>
      </c>
      <c r="D43" s="130" t="str">
        <f>VLOOKUP($A43,WEEKLY_TEAMS!$B$3:$CMF94,25,0)</f>
        <v>↓</v>
      </c>
      <c r="E43" s="130" t="str">
        <f>VLOOKUP($A43,WEEKLY_TEAMS!$B$3:$CMF94,37,0)</f>
        <v>↓</v>
      </c>
      <c r="F43" s="130" t="str">
        <f>VLOOKUP($A43,WEEKLY_TEAMS!$B$3:$CMF94,49,0)</f>
        <v>↓</v>
      </c>
      <c r="G43" s="130" t="str">
        <f>VLOOKUP($A43,WEEKLY_TEAMS!$B$3:$CMF94,61,0)</f>
        <v>↓</v>
      </c>
      <c r="H43" s="130" t="str">
        <f>VLOOKUP($A43,WEEKLY_TEAMS!$B$3:$CMF94,73,0)</f>
        <v>↑</v>
      </c>
      <c r="I43" s="130" t="str">
        <f>VLOOKUP($A43,WEEKLY_TEAMS!$B$3:$CMF94,85,0)</f>
        <v>↑</v>
      </c>
      <c r="J43" s="130" t="str">
        <f>VLOOKUP($A43,WEEKLY_TEAMS!$B$3:$CMF94,97,0)</f>
        <v>↑</v>
      </c>
    </row>
    <row r="44" ht="15.75" customHeight="1">
      <c r="A44" s="130" t="str">
        <f>WEEKLY_TEAMS!B46</f>
        <v>(Víctor N)</v>
      </c>
      <c r="B44" s="131" t="s">
        <v>270</v>
      </c>
      <c r="C44" s="130" t="str">
        <f>VLOOKUP($A44,WEEKLY_TEAMS!$B$3:$CMF95,13,0)</f>
        <v>↓</v>
      </c>
      <c r="D44" s="130" t="str">
        <f>VLOOKUP($A44,WEEKLY_TEAMS!$B$3:$CMF95,25,0)</f>
        <v>↓</v>
      </c>
      <c r="E44" s="130" t="str">
        <f>VLOOKUP($A44,WEEKLY_TEAMS!$B$3:$CMF95,37,0)</f>
        <v>↓</v>
      </c>
      <c r="F44" s="130" t="str">
        <f>VLOOKUP($A44,WEEKLY_TEAMS!$B$3:$CMF95,49,0)</f>
        <v>↓</v>
      </c>
      <c r="G44" s="130" t="str">
        <f>VLOOKUP($A44,WEEKLY_TEAMS!$B$3:$CMF95,61,0)</f>
        <v>=</v>
      </c>
      <c r="H44" s="130" t="str">
        <f>VLOOKUP($A44,WEEKLY_TEAMS!$B$3:$CMF95,73,0)</f>
        <v>↓</v>
      </c>
      <c r="I44" s="130" t="str">
        <f>VLOOKUP($A44,WEEKLY_TEAMS!$B$3:$CMF95,85,0)</f>
        <v>↑</v>
      </c>
      <c r="J44" s="130" t="str">
        <f>VLOOKUP($A44,WEEKLY_TEAMS!$B$3:$CMF95,97,0)</f>
        <v>↓</v>
      </c>
    </row>
    <row r="45" ht="15.75" customHeight="1">
      <c r="A45" s="130" t="str">
        <f>WEEKLY_TEAMS!B45</f>
        <v>(Cuñis)</v>
      </c>
      <c r="B45" s="131" t="s">
        <v>270</v>
      </c>
      <c r="C45" s="130" t="str">
        <f>VLOOKUP($A45,WEEKLY_TEAMS!$B$3:$CMF96,13,0)</f>
        <v>↓</v>
      </c>
      <c r="D45" s="130" t="str">
        <f>VLOOKUP($A45,WEEKLY_TEAMS!$B$3:$CMF96,25,0)</f>
        <v>↓</v>
      </c>
      <c r="E45" s="130" t="str">
        <f>VLOOKUP($A45,WEEKLY_TEAMS!$B$3:$CMF96,37,0)</f>
        <v>↑</v>
      </c>
      <c r="F45" s="130" t="str">
        <f>VLOOKUP($A45,WEEKLY_TEAMS!$B$3:$CMF96,49,0)</f>
        <v>↓</v>
      </c>
      <c r="G45" s="130" t="str">
        <f>VLOOKUP($A45,WEEKLY_TEAMS!$B$3:$CMF96,61,0)</f>
        <v>=</v>
      </c>
      <c r="H45" s="130" t="str">
        <f>VLOOKUP($A45,WEEKLY_TEAMS!$B$3:$CMF96,73,0)</f>
        <v>↓</v>
      </c>
      <c r="I45" s="130" t="str">
        <f>VLOOKUP($A45,WEEKLY_TEAMS!$B$3:$CMF96,85,0)</f>
        <v>↑</v>
      </c>
      <c r="J45" s="130" t="str">
        <f>VLOOKUP($A45,WEEKLY_TEAMS!$B$3:$CMF96,97,0)</f>
        <v>↓</v>
      </c>
    </row>
    <row r="46" ht="15.75" customHeight="1">
      <c r="A46" s="130" t="str">
        <f>WEEKLY_TEAMS!B47</f>
        <v>(Víctor)</v>
      </c>
      <c r="B46" s="131" t="s">
        <v>270</v>
      </c>
      <c r="C46" s="130" t="str">
        <f>VLOOKUP($A46,WEEKLY_TEAMS!$B$3:$CMF97,13,0)</f>
        <v>↓</v>
      </c>
      <c r="D46" s="130" t="str">
        <f>VLOOKUP($A46,WEEKLY_TEAMS!$B$3:$CMF97,25,0)</f>
        <v>↓</v>
      </c>
      <c r="E46" s="130" t="str">
        <f>VLOOKUP($A46,WEEKLY_TEAMS!$B$3:$CMF97,37,0)</f>
        <v>↓</v>
      </c>
      <c r="F46" s="130" t="str">
        <f>VLOOKUP($A46,WEEKLY_TEAMS!$B$3:$CMF97,49,0)</f>
        <v>↓</v>
      </c>
      <c r="G46" s="130" t="str">
        <f>VLOOKUP($A46,WEEKLY_TEAMS!$B$3:$CMF97,61,0)</f>
        <v>↓</v>
      </c>
      <c r="H46" s="130" t="str">
        <f>VLOOKUP($A46,WEEKLY_TEAMS!$B$3:$CMF97,73,0)</f>
        <v>↓</v>
      </c>
      <c r="I46" s="130" t="str">
        <f>VLOOKUP($A46,WEEKLY_TEAMS!$B$3:$CMF97,85,0)</f>
        <v>↓</v>
      </c>
      <c r="J46" s="130" t="str">
        <f>VLOOKUP($A46,WEEKLY_TEAMS!$B$3:$CMF97,97,0)</f>
        <v>↑</v>
      </c>
    </row>
    <row r="47" ht="15.75" customHeight="1">
      <c r="A47" s="130" t="str">
        <f>WEEKLY_TEAMS!B48</f>
        <v>(Jhonatan A)</v>
      </c>
      <c r="B47" s="131" t="s">
        <v>270</v>
      </c>
      <c r="C47" s="130" t="str">
        <f>VLOOKUP($A47,WEEKLY_TEAMS!$B$3:$CMF98,13,0)</f>
        <v>↓</v>
      </c>
      <c r="D47" s="130" t="str">
        <f>VLOOKUP($A47,WEEKLY_TEAMS!$B$3:$CMF98,25,0)</f>
        <v>↓</v>
      </c>
      <c r="E47" s="130" t="str">
        <f>VLOOKUP($A47,WEEKLY_TEAMS!$B$3:$CMF98,37,0)</f>
        <v>↓</v>
      </c>
      <c r="F47" s="130" t="str">
        <f>VLOOKUP($A47,WEEKLY_TEAMS!$B$3:$CMF98,49,0)</f>
        <v>↓</v>
      </c>
      <c r="G47" s="130" t="str">
        <f>VLOOKUP($A47,WEEKLY_TEAMS!$B$3:$CMF98,61,0)</f>
        <v>↓</v>
      </c>
      <c r="H47" s="130" t="str">
        <f>VLOOKUP($A47,WEEKLY_TEAMS!$B$3:$CMF98,73,0)</f>
        <v>↓</v>
      </c>
      <c r="I47" s="130" t="str">
        <f>VLOOKUP($A47,WEEKLY_TEAMS!$B$3:$CMF98,85,0)</f>
        <v>=</v>
      </c>
      <c r="J47" s="130" t="str">
        <f>VLOOKUP($A47,WEEKLY_TEAMS!$B$3:$CMF98,97,0)</f>
        <v>↑</v>
      </c>
    </row>
    <row r="48" ht="15.75" customHeight="1">
      <c r="A48" s="130" t="str">
        <f>WEEKLY_TEAMS!B49</f>
        <v>(Karter)</v>
      </c>
      <c r="B48" s="131" t="s">
        <v>270</v>
      </c>
      <c r="C48" s="130" t="str">
        <f>VLOOKUP($A48,WEEKLY_TEAMS!$B$3:$CMF99,13,0)</f>
        <v>↓</v>
      </c>
      <c r="D48" s="130" t="str">
        <f>VLOOKUP($A48,WEEKLY_TEAMS!$B$3:$CMF99,25,0)</f>
        <v>↑</v>
      </c>
      <c r="E48" s="130" t="str">
        <f>VLOOKUP($A48,WEEKLY_TEAMS!$B$3:$CMF99,37,0)</f>
        <v>=</v>
      </c>
      <c r="F48" s="130" t="str">
        <f>VLOOKUP($A48,WEEKLY_TEAMS!$B$3:$CMF99,49,0)</f>
        <v>↓</v>
      </c>
      <c r="G48" s="130" t="str">
        <f>VLOOKUP($A48,WEEKLY_TEAMS!$B$3:$CMF99,61,0)</f>
        <v>↓</v>
      </c>
      <c r="H48" s="130" t="str">
        <f>VLOOKUP($A48,WEEKLY_TEAMS!$B$3:$CMF99,73,0)</f>
        <v>↑</v>
      </c>
      <c r="I48" s="130" t="str">
        <f>VLOOKUP($A48,WEEKLY_TEAMS!$B$3:$CMF99,85,0)</f>
        <v>↓</v>
      </c>
      <c r="J48" s="130" t="str">
        <f>VLOOKUP($A48,WEEKLY_TEAMS!$B$3:$CMF99,97,0)</f>
        <v>↓</v>
      </c>
    </row>
    <row r="49" ht="15.75" customHeight="1">
      <c r="A49" s="130" t="str">
        <f>WEEKLY_TEAMS!B50</f>
        <v>(Juan Pablo)</v>
      </c>
      <c r="B49" s="131" t="s">
        <v>270</v>
      </c>
      <c r="C49" s="130" t="str">
        <f>VLOOKUP($A49,WEEKLY_TEAMS!$B$3:$CMF100,13,0)</f>
        <v>↓</v>
      </c>
      <c r="D49" s="130" t="str">
        <f>VLOOKUP($A49,WEEKLY_TEAMS!$B$3:$CMF100,25,0)</f>
        <v>↓</v>
      </c>
      <c r="E49" s="130" t="str">
        <f>VLOOKUP($A49,WEEKLY_TEAMS!$B$3:$CMF100,37,0)</f>
        <v>↓</v>
      </c>
      <c r="F49" s="130" t="str">
        <f>VLOOKUP($A49,WEEKLY_TEAMS!$B$3:$CMF100,49,0)</f>
        <v>↓</v>
      </c>
      <c r="G49" s="130" t="str">
        <f>VLOOKUP($A49,WEEKLY_TEAMS!$B$3:$CMF100,61,0)</f>
        <v>↓</v>
      </c>
      <c r="H49" s="130" t="str">
        <f>VLOOKUP($A49,WEEKLY_TEAMS!$B$3:$CMF100,73,0)</f>
        <v>↓</v>
      </c>
      <c r="I49" s="130" t="str">
        <f>VLOOKUP($A49,WEEKLY_TEAMS!$B$3:$CMF100,85,0)</f>
        <v>=</v>
      </c>
      <c r="J49" s="130" t="str">
        <f>VLOOKUP($A49,WEEKLY_TEAMS!$B$3:$CMF100,97,0)</f>
        <v>=</v>
      </c>
    </row>
    <row r="50" ht="15.75" customHeight="1">
      <c r="A50" s="130" t="str">
        <f>#REF!</f>
        <v>#REF!</v>
      </c>
      <c r="B50" s="131" t="s">
        <v>270</v>
      </c>
      <c r="C50" s="130" t="str">
        <f>VLOOKUP($A50,WEEKLY_TEAMS!$B$3:$CMF101,13,0)</f>
        <v>#REF!</v>
      </c>
      <c r="D50" s="130" t="str">
        <f>VLOOKUP($A50,WEEKLY_TEAMS!$B$3:$CMF101,25,0)</f>
        <v>#REF!</v>
      </c>
      <c r="E50" s="130" t="str">
        <f>VLOOKUP($A50,WEEKLY_TEAMS!$B$3:$CMF101,37,0)</f>
        <v>#REF!</v>
      </c>
      <c r="F50" s="130" t="str">
        <f>VLOOKUP($A50,WEEKLY_TEAMS!$B$3:$CMF101,49,0)</f>
        <v>#REF!</v>
      </c>
      <c r="G50" s="130" t="str">
        <f>VLOOKUP($A50,WEEKLY_TEAMS!$B$3:$CMF101,61,0)</f>
        <v>#REF!</v>
      </c>
      <c r="H50" s="130" t="str">
        <f>VLOOKUP($A50,WEEKLY_TEAMS!$B$3:$CMF101,73,0)</f>
        <v>#REF!</v>
      </c>
      <c r="I50" s="130" t="str">
        <f>VLOOKUP($A50,WEEKLY_TEAMS!$B$3:$CMF101,85,0)</f>
        <v>#REF!</v>
      </c>
      <c r="J50" s="130" t="str">
        <f>VLOOKUP($A50,WEEKLY_TEAMS!$B$3:$CMF101,97,0)</f>
        <v>#REF!</v>
      </c>
    </row>
    <row r="51" ht="15.75" customHeight="1">
      <c r="A51" s="130" t="str">
        <f>WEEKLY_TEAMS!B51</f>
        <v>(Alexis)</v>
      </c>
      <c r="B51" s="131" t="s">
        <v>270</v>
      </c>
      <c r="C51" s="130" t="str">
        <f>VLOOKUP($A51,WEEKLY_TEAMS!$B$3:$CMF102,13,0)</f>
        <v>↓</v>
      </c>
      <c r="D51" s="130" t="str">
        <f>VLOOKUP($A51,WEEKLY_TEAMS!$B$3:$CMF102,25,0)</f>
        <v>↓</v>
      </c>
      <c r="E51" s="130" t="str">
        <f>VLOOKUP($A51,WEEKLY_TEAMS!$B$3:$CMF102,37,0)</f>
        <v>↓</v>
      </c>
      <c r="F51" s="130" t="str">
        <f>VLOOKUP($A51,WEEKLY_TEAMS!$B$3:$CMF102,49,0)</f>
        <v>↓</v>
      </c>
      <c r="G51" s="130" t="str">
        <f>VLOOKUP($A51,WEEKLY_TEAMS!$B$3:$CMF102,61,0)</f>
        <v>↓</v>
      </c>
      <c r="H51" s="130" t="str">
        <f>VLOOKUP($A51,WEEKLY_TEAMS!$B$3:$CMF102,73,0)</f>
        <v>↓</v>
      </c>
      <c r="I51" s="130" t="str">
        <f>VLOOKUP($A51,WEEKLY_TEAMS!$B$3:$CMF102,85,0)</f>
        <v>=</v>
      </c>
      <c r="J51" s="130" t="str">
        <f>VLOOKUP($A51,WEEKLY_TEAMS!$B$3:$CMF102,97,0)</f>
        <v>=</v>
      </c>
    </row>
    <row r="52" ht="15.75" customHeight="1">
      <c r="A52" s="130" t="str">
        <f>WEEKLY_TEAMS!B52</f>
        <v>(Jayden)</v>
      </c>
      <c r="B52" s="131" t="s">
        <v>270</v>
      </c>
      <c r="C52" s="130" t="str">
        <f>VLOOKUP($A52,WEEKLY_TEAMS!$B$3:$CMF103,13,0)</f>
        <v>↓</v>
      </c>
      <c r="D52" s="130" t="str">
        <f>VLOOKUP($A52,WEEKLY_TEAMS!$B$3:$CMF103,25,0)</f>
        <v>↓</v>
      </c>
      <c r="E52" s="130" t="str">
        <f>VLOOKUP($A52,WEEKLY_TEAMS!$B$3:$CMF103,37,0)</f>
        <v>↓</v>
      </c>
      <c r="F52" s="130" t="str">
        <f>VLOOKUP($A52,WEEKLY_TEAMS!$B$3:$CMF103,49,0)</f>
        <v>↓</v>
      </c>
      <c r="G52" s="130" t="str">
        <f>VLOOKUP($A52,WEEKLY_TEAMS!$B$3:$CMF103,61,0)</f>
        <v>↓</v>
      </c>
      <c r="H52" s="130" t="str">
        <f>VLOOKUP($A52,WEEKLY_TEAMS!$B$3:$CMF103,73,0)</f>
        <v>↓</v>
      </c>
      <c r="I52" s="130" t="str">
        <f>VLOOKUP($A52,WEEKLY_TEAMS!$B$3:$CMF103,85,0)</f>
        <v>↓</v>
      </c>
      <c r="J52" s="130" t="str">
        <f>VLOOKUP($A52,WEEKLY_TEAMS!$B$3:$CMF103,97,0)</f>
        <v>↓</v>
      </c>
    </row>
    <row r="53" ht="15.75" customHeight="1">
      <c r="A53" s="130" t="str">
        <f>WEEKLY_TEAMS!B53</f>
        <v/>
      </c>
      <c r="B53" s="131" t="s">
        <v>270</v>
      </c>
      <c r="C53" s="130" t="str">
        <f>VLOOKUP($A53,WEEKLY_TEAMS!$B$3:$CMF104,13,0)</f>
        <v>#N/A</v>
      </c>
      <c r="D53" s="130" t="str">
        <f>VLOOKUP($A53,WEEKLY_TEAMS!$B$3:$CMF104,25,0)</f>
        <v>#N/A</v>
      </c>
      <c r="E53" s="130" t="str">
        <f>VLOOKUP($A53,WEEKLY_TEAMS!$B$3:$CMF104,37,0)</f>
        <v>#N/A</v>
      </c>
      <c r="F53" s="130" t="str">
        <f>VLOOKUP($A53,WEEKLY_TEAMS!$B$3:$CMF104,49,0)</f>
        <v>#N/A</v>
      </c>
      <c r="G53" s="130" t="str">
        <f>VLOOKUP($A53,WEEKLY_TEAMS!$B$3:$CMF104,61,0)</f>
        <v>#N/A</v>
      </c>
      <c r="H53" s="130" t="str">
        <f>VLOOKUP($A53,WEEKLY_TEAMS!$B$3:$CMF104,73,0)</f>
        <v>#N/A</v>
      </c>
      <c r="I53" s="130" t="str">
        <f>VLOOKUP($A53,WEEKLY_TEAMS!$B$3:$CMF104,85,0)</f>
        <v>#N/A</v>
      </c>
      <c r="J53" s="130" t="str">
        <f>VLOOKUP($A53,WEEKLY_TEAMS!$B$3:$CMF104,97,0)</f>
        <v>#N/A</v>
      </c>
    </row>
    <row r="54" ht="15.75" customHeight="1">
      <c r="A54" s="130" t="str">
        <f t="shared" ref="A54:A99" si="1">#REF!</f>
        <v>#REF!</v>
      </c>
      <c r="B54" s="131" t="s">
        <v>270</v>
      </c>
      <c r="C54" s="130" t="str">
        <f>VLOOKUP($A54,WEEKLY_TEAMS!$B$3:$CMF105,13,0)</f>
        <v>#REF!</v>
      </c>
      <c r="D54" s="130" t="str">
        <f>VLOOKUP($A54,WEEKLY_TEAMS!$B$3:$CMF105,25,0)</f>
        <v>#REF!</v>
      </c>
      <c r="E54" s="130" t="str">
        <f>VLOOKUP($A54,WEEKLY_TEAMS!$B$3:$CMF105,37,0)</f>
        <v>#REF!</v>
      </c>
      <c r="F54" s="130" t="str">
        <f>VLOOKUP($A54,WEEKLY_TEAMS!$B$3:$CMF105,49,0)</f>
        <v>#REF!</v>
      </c>
      <c r="G54" s="130" t="str">
        <f>VLOOKUP($A54,WEEKLY_TEAMS!$B$3:$CMF105,61,0)</f>
        <v>#REF!</v>
      </c>
      <c r="H54" s="130" t="str">
        <f>VLOOKUP($A54,WEEKLY_TEAMS!$B$3:$CMF105,73,0)</f>
        <v>#REF!</v>
      </c>
      <c r="I54" s="130" t="str">
        <f>VLOOKUP($A54,WEEKLY_TEAMS!$B$3:$CMF105,85,0)</f>
        <v>#REF!</v>
      </c>
      <c r="J54" s="130" t="str">
        <f>VLOOKUP($A54,WEEKLY_TEAMS!$B$3:$CMF105,97,0)</f>
        <v>#REF!</v>
      </c>
    </row>
    <row r="55" ht="15.75" customHeight="1">
      <c r="A55" s="130" t="str">
        <f t="shared" si="1"/>
        <v>#REF!</v>
      </c>
      <c r="B55" s="131" t="s">
        <v>270</v>
      </c>
      <c r="C55" s="130" t="str">
        <f>VLOOKUP($A55,WEEKLY_TEAMS!$B$3:$CMF106,13,0)</f>
        <v>#REF!</v>
      </c>
      <c r="D55" s="130" t="str">
        <f>VLOOKUP($A55,WEEKLY_TEAMS!$B$3:$CMF106,25,0)</f>
        <v>#REF!</v>
      </c>
      <c r="E55" s="130" t="str">
        <f>VLOOKUP($A55,WEEKLY_TEAMS!$B$3:$CMF106,37,0)</f>
        <v>#REF!</v>
      </c>
      <c r="F55" s="130" t="str">
        <f>VLOOKUP($A55,WEEKLY_TEAMS!$B$3:$CMF106,49,0)</f>
        <v>#REF!</v>
      </c>
      <c r="G55" s="130" t="str">
        <f>VLOOKUP($A55,WEEKLY_TEAMS!$B$3:$CMF106,61,0)</f>
        <v>#REF!</v>
      </c>
      <c r="H55" s="130" t="str">
        <f>VLOOKUP($A55,WEEKLY_TEAMS!$B$3:$CMF106,73,0)</f>
        <v>#REF!</v>
      </c>
      <c r="I55" s="130" t="str">
        <f>VLOOKUP($A55,WEEKLY_TEAMS!$B$3:$CMF106,85,0)</f>
        <v>#REF!</v>
      </c>
      <c r="J55" s="130" t="str">
        <f>VLOOKUP($A55,WEEKLY_TEAMS!$B$3:$CMF106,97,0)</f>
        <v>#REF!</v>
      </c>
    </row>
    <row r="56" ht="15.75" customHeight="1">
      <c r="A56" s="130" t="str">
        <f t="shared" si="1"/>
        <v>#REF!</v>
      </c>
      <c r="B56" s="131" t="s">
        <v>270</v>
      </c>
      <c r="C56" s="130" t="str">
        <f>VLOOKUP($A56,WEEKLY_TEAMS!$B$3:$CMF107,13,0)</f>
        <v>#REF!</v>
      </c>
      <c r="D56" s="130" t="str">
        <f>VLOOKUP($A56,WEEKLY_TEAMS!$B$3:$CMF107,25,0)</f>
        <v>#REF!</v>
      </c>
      <c r="E56" s="130" t="str">
        <f>VLOOKUP($A56,WEEKLY_TEAMS!$B$3:$CMF107,37,0)</f>
        <v>#REF!</v>
      </c>
      <c r="F56" s="130" t="str">
        <f>VLOOKUP($A56,WEEKLY_TEAMS!$B$3:$CMF107,49,0)</f>
        <v>#REF!</v>
      </c>
      <c r="G56" s="130" t="str">
        <f>VLOOKUP($A56,WEEKLY_TEAMS!$B$3:$CMF107,61,0)</f>
        <v>#REF!</v>
      </c>
      <c r="H56" s="130" t="str">
        <f>VLOOKUP($A56,WEEKLY_TEAMS!$B$3:$CMF107,73,0)</f>
        <v>#REF!</v>
      </c>
      <c r="I56" s="130" t="str">
        <f>VLOOKUP($A56,WEEKLY_TEAMS!$B$3:$CMF107,85,0)</f>
        <v>#REF!</v>
      </c>
      <c r="J56" s="130" t="str">
        <f>VLOOKUP($A56,WEEKLY_TEAMS!$B$3:$CMF107,97,0)</f>
        <v>#REF!</v>
      </c>
    </row>
    <row r="57" ht="15.75" customHeight="1">
      <c r="A57" s="130" t="str">
        <f t="shared" si="1"/>
        <v>#REF!</v>
      </c>
      <c r="B57" s="131" t="s">
        <v>270</v>
      </c>
      <c r="C57" s="130" t="str">
        <f>VLOOKUP($A57,WEEKLY_TEAMS!$B$3:$CMF108,13,0)</f>
        <v>#REF!</v>
      </c>
      <c r="D57" s="130" t="str">
        <f>VLOOKUP($A57,WEEKLY_TEAMS!$B$3:$CMF108,25,0)</f>
        <v>#REF!</v>
      </c>
      <c r="E57" s="130" t="str">
        <f>VLOOKUP($A57,WEEKLY_TEAMS!$B$3:$CMF108,37,0)</f>
        <v>#REF!</v>
      </c>
      <c r="F57" s="130" t="str">
        <f>VLOOKUP($A57,WEEKLY_TEAMS!$B$3:$CMF108,49,0)</f>
        <v>#REF!</v>
      </c>
      <c r="G57" s="130" t="str">
        <f>VLOOKUP($A57,WEEKLY_TEAMS!$B$3:$CMF108,61,0)</f>
        <v>#REF!</v>
      </c>
      <c r="H57" s="130" t="str">
        <f>VLOOKUP($A57,WEEKLY_TEAMS!$B$3:$CMF108,73,0)</f>
        <v>#REF!</v>
      </c>
      <c r="I57" s="130" t="str">
        <f>VLOOKUP($A57,WEEKLY_TEAMS!$B$3:$CMF108,85,0)</f>
        <v>#REF!</v>
      </c>
      <c r="J57" s="130" t="str">
        <f>VLOOKUP($A57,WEEKLY_TEAMS!$B$3:$CMF108,97,0)</f>
        <v>#REF!</v>
      </c>
    </row>
    <row r="58" ht="15.75" customHeight="1">
      <c r="A58" s="130" t="str">
        <f t="shared" si="1"/>
        <v>#REF!</v>
      </c>
      <c r="B58" s="131" t="s">
        <v>270</v>
      </c>
      <c r="C58" s="130" t="str">
        <f>VLOOKUP($A58,WEEKLY_TEAMS!$B$3:$CMF109,13,0)</f>
        <v>#REF!</v>
      </c>
      <c r="D58" s="130" t="str">
        <f>VLOOKUP($A58,WEEKLY_TEAMS!$B$3:$CMF109,25,0)</f>
        <v>#REF!</v>
      </c>
      <c r="E58" s="130" t="str">
        <f>VLOOKUP($A58,WEEKLY_TEAMS!$B$3:$CMF109,37,0)</f>
        <v>#REF!</v>
      </c>
      <c r="F58" s="130" t="str">
        <f>VLOOKUP($A58,WEEKLY_TEAMS!$B$3:$CMF109,49,0)</f>
        <v>#REF!</v>
      </c>
      <c r="G58" s="130" t="str">
        <f>VLOOKUP($A58,WEEKLY_TEAMS!$B$3:$CMF109,61,0)</f>
        <v>#REF!</v>
      </c>
      <c r="H58" s="130" t="str">
        <f>VLOOKUP($A58,WEEKLY_TEAMS!$B$3:$CMF109,73,0)</f>
        <v>#REF!</v>
      </c>
      <c r="I58" s="130" t="str">
        <f>VLOOKUP($A58,WEEKLY_TEAMS!$B$3:$CMF109,85,0)</f>
        <v>#REF!</v>
      </c>
      <c r="J58" s="130" t="str">
        <f>VLOOKUP($A58,WEEKLY_TEAMS!$B$3:$CMF109,97,0)</f>
        <v>#REF!</v>
      </c>
    </row>
    <row r="59" ht="15.75" customHeight="1">
      <c r="A59" s="130" t="str">
        <f t="shared" si="1"/>
        <v>#REF!</v>
      </c>
      <c r="B59" s="131" t="s">
        <v>270</v>
      </c>
      <c r="C59" s="130" t="str">
        <f>VLOOKUP($A59,WEEKLY_TEAMS!$B$3:$CMF110,13,0)</f>
        <v>#REF!</v>
      </c>
      <c r="D59" s="130" t="str">
        <f>VLOOKUP($A59,WEEKLY_TEAMS!$B$3:$CMF110,25,0)</f>
        <v>#REF!</v>
      </c>
      <c r="E59" s="130" t="str">
        <f>VLOOKUP($A59,WEEKLY_TEAMS!$B$3:$CMF110,37,0)</f>
        <v>#REF!</v>
      </c>
      <c r="F59" s="130" t="str">
        <f>VLOOKUP($A59,WEEKLY_TEAMS!$B$3:$CMF110,49,0)</f>
        <v>#REF!</v>
      </c>
      <c r="G59" s="130" t="str">
        <f>VLOOKUP($A59,WEEKLY_TEAMS!$B$3:$CMF110,61,0)</f>
        <v>#REF!</v>
      </c>
      <c r="H59" s="130" t="str">
        <f>VLOOKUP($A59,WEEKLY_TEAMS!$B$3:$CMF110,73,0)</f>
        <v>#REF!</v>
      </c>
      <c r="I59" s="130" t="str">
        <f>VLOOKUP($A59,WEEKLY_TEAMS!$B$3:$CMF110,85,0)</f>
        <v>#REF!</v>
      </c>
      <c r="J59" s="130" t="str">
        <f>VLOOKUP($A59,WEEKLY_TEAMS!$B$3:$CMF110,97,0)</f>
        <v>#REF!</v>
      </c>
    </row>
    <row r="60" ht="15.75" customHeight="1">
      <c r="A60" s="130" t="str">
        <f t="shared" si="1"/>
        <v>#REF!</v>
      </c>
      <c r="B60" s="131" t="s">
        <v>270</v>
      </c>
      <c r="C60" s="130" t="str">
        <f>VLOOKUP($A60,WEEKLY_TEAMS!$B$3:$CMF111,13,0)</f>
        <v>#REF!</v>
      </c>
      <c r="D60" s="130" t="str">
        <f>VLOOKUP($A60,WEEKLY_TEAMS!$B$3:$CMF111,25,0)</f>
        <v>#REF!</v>
      </c>
      <c r="E60" s="130" t="str">
        <f>VLOOKUP($A60,WEEKLY_TEAMS!$B$3:$CMF111,37,0)</f>
        <v>#REF!</v>
      </c>
      <c r="F60" s="130" t="str">
        <f>VLOOKUP($A60,WEEKLY_TEAMS!$B$3:$CMF111,49,0)</f>
        <v>#REF!</v>
      </c>
      <c r="G60" s="130" t="str">
        <f>VLOOKUP($A60,WEEKLY_TEAMS!$B$3:$CMF111,61,0)</f>
        <v>#REF!</v>
      </c>
      <c r="H60" s="130" t="str">
        <f>VLOOKUP($A60,WEEKLY_TEAMS!$B$3:$CMF111,73,0)</f>
        <v>#REF!</v>
      </c>
      <c r="I60" s="130" t="str">
        <f>VLOOKUP($A60,WEEKLY_TEAMS!$B$3:$CMF111,85,0)</f>
        <v>#REF!</v>
      </c>
      <c r="J60" s="130" t="str">
        <f>VLOOKUP($A60,WEEKLY_TEAMS!$B$3:$CMF111,97,0)</f>
        <v>#REF!</v>
      </c>
    </row>
    <row r="61" ht="15.75" customHeight="1">
      <c r="A61" s="130" t="str">
        <f t="shared" si="1"/>
        <v>#REF!</v>
      </c>
      <c r="B61" s="131" t="s">
        <v>270</v>
      </c>
      <c r="C61" s="130" t="str">
        <f>VLOOKUP($A61,WEEKLY_TEAMS!$B$3:$CMF112,13,0)</f>
        <v>#REF!</v>
      </c>
      <c r="D61" s="130" t="str">
        <f>VLOOKUP($A61,WEEKLY_TEAMS!$B$3:$CMF112,25,0)</f>
        <v>#REF!</v>
      </c>
      <c r="E61" s="130" t="str">
        <f>VLOOKUP($A61,WEEKLY_TEAMS!$B$3:$CMF112,37,0)</f>
        <v>#REF!</v>
      </c>
      <c r="F61" s="130" t="str">
        <f>VLOOKUP($A61,WEEKLY_TEAMS!$B$3:$CMF112,49,0)</f>
        <v>#REF!</v>
      </c>
      <c r="G61" s="130" t="str">
        <f>VLOOKUP($A61,WEEKLY_TEAMS!$B$3:$CMF112,61,0)</f>
        <v>#REF!</v>
      </c>
      <c r="H61" s="130" t="str">
        <f>VLOOKUP($A61,WEEKLY_TEAMS!$B$3:$CMF112,73,0)</f>
        <v>#REF!</v>
      </c>
      <c r="I61" s="130" t="str">
        <f>VLOOKUP($A61,WEEKLY_TEAMS!$B$3:$CMF112,85,0)</f>
        <v>#REF!</v>
      </c>
      <c r="J61" s="130" t="str">
        <f>VLOOKUP($A61,WEEKLY_TEAMS!$B$3:$CMF112,97,0)</f>
        <v>#REF!</v>
      </c>
    </row>
    <row r="62" ht="15.75" customHeight="1">
      <c r="A62" s="130" t="str">
        <f t="shared" si="1"/>
        <v>#REF!</v>
      </c>
      <c r="B62" s="131" t="s">
        <v>270</v>
      </c>
      <c r="C62" s="130" t="str">
        <f>VLOOKUP($A62,WEEKLY_TEAMS!$B$3:$CMF113,13,0)</f>
        <v>#REF!</v>
      </c>
      <c r="D62" s="130" t="str">
        <f>VLOOKUP($A62,WEEKLY_TEAMS!$B$3:$CMF113,25,0)</f>
        <v>#REF!</v>
      </c>
      <c r="E62" s="130" t="str">
        <f>VLOOKUP($A62,WEEKLY_TEAMS!$B$3:$CMF113,37,0)</f>
        <v>#REF!</v>
      </c>
      <c r="F62" s="130" t="str">
        <f>VLOOKUP($A62,WEEKLY_TEAMS!$B$3:$CMF113,49,0)</f>
        <v>#REF!</v>
      </c>
      <c r="G62" s="130" t="str">
        <f>VLOOKUP($A62,WEEKLY_TEAMS!$B$3:$CMF113,61,0)</f>
        <v>#REF!</v>
      </c>
      <c r="H62" s="130" t="str">
        <f>VLOOKUP($A62,WEEKLY_TEAMS!$B$3:$CMF113,73,0)</f>
        <v>#REF!</v>
      </c>
      <c r="I62" s="130" t="str">
        <f>VLOOKUP($A62,WEEKLY_TEAMS!$B$3:$CMF113,85,0)</f>
        <v>#REF!</v>
      </c>
      <c r="J62" s="130" t="str">
        <f>VLOOKUP($A62,WEEKLY_TEAMS!$B$3:$CMF113,97,0)</f>
        <v>#REF!</v>
      </c>
    </row>
    <row r="63" ht="15.75" customHeight="1">
      <c r="A63" s="130" t="str">
        <f t="shared" si="1"/>
        <v>#REF!</v>
      </c>
      <c r="B63" s="131" t="s">
        <v>270</v>
      </c>
      <c r="C63" s="130" t="str">
        <f>VLOOKUP($A63,WEEKLY_TEAMS!$B$3:$CMF114,13,0)</f>
        <v>#REF!</v>
      </c>
      <c r="D63" s="130" t="str">
        <f>VLOOKUP($A63,WEEKLY_TEAMS!$B$3:$CMF114,25,0)</f>
        <v>#REF!</v>
      </c>
      <c r="E63" s="130" t="str">
        <f>VLOOKUP($A63,WEEKLY_TEAMS!$B$3:$CMF114,37,0)</f>
        <v>#REF!</v>
      </c>
      <c r="F63" s="130" t="str">
        <f>VLOOKUP($A63,WEEKLY_TEAMS!$B$3:$CMF114,49,0)</f>
        <v>#REF!</v>
      </c>
      <c r="G63" s="130" t="str">
        <f>VLOOKUP($A63,WEEKLY_TEAMS!$B$3:$CMF114,61,0)</f>
        <v>#REF!</v>
      </c>
      <c r="H63" s="130" t="str">
        <f>VLOOKUP($A63,WEEKLY_TEAMS!$B$3:$CMF114,73,0)</f>
        <v>#REF!</v>
      </c>
      <c r="I63" s="130" t="str">
        <f>VLOOKUP($A63,WEEKLY_TEAMS!$B$3:$CMF114,85,0)</f>
        <v>#REF!</v>
      </c>
      <c r="J63" s="130" t="str">
        <f>VLOOKUP($A63,WEEKLY_TEAMS!$B$3:$CMF114,97,0)</f>
        <v>#REF!</v>
      </c>
    </row>
    <row r="64" ht="15.75" customHeight="1">
      <c r="A64" s="130" t="str">
        <f t="shared" si="1"/>
        <v>#REF!</v>
      </c>
      <c r="B64" s="131" t="s">
        <v>270</v>
      </c>
      <c r="C64" s="130" t="str">
        <f>VLOOKUP($A64,WEEKLY_TEAMS!$B$3:$CMF115,13,0)</f>
        <v>#REF!</v>
      </c>
      <c r="D64" s="130" t="str">
        <f>VLOOKUP($A64,WEEKLY_TEAMS!$B$3:$CMF115,25,0)</f>
        <v>#REF!</v>
      </c>
      <c r="E64" s="130" t="str">
        <f>VLOOKUP($A64,WEEKLY_TEAMS!$B$3:$CMF115,37,0)</f>
        <v>#REF!</v>
      </c>
      <c r="F64" s="130" t="str">
        <f>VLOOKUP($A64,WEEKLY_TEAMS!$B$3:$CMF115,49,0)</f>
        <v>#REF!</v>
      </c>
      <c r="G64" s="130" t="str">
        <f>VLOOKUP($A64,WEEKLY_TEAMS!$B$3:$CMF115,61,0)</f>
        <v>#REF!</v>
      </c>
      <c r="H64" s="130" t="str">
        <f>VLOOKUP($A64,WEEKLY_TEAMS!$B$3:$CMF115,73,0)</f>
        <v>#REF!</v>
      </c>
      <c r="I64" s="130" t="str">
        <f>VLOOKUP($A64,WEEKLY_TEAMS!$B$3:$CMF115,85,0)</f>
        <v>#REF!</v>
      </c>
      <c r="J64" s="130" t="str">
        <f>VLOOKUP($A64,WEEKLY_TEAMS!$B$3:$CMF115,97,0)</f>
        <v>#REF!</v>
      </c>
    </row>
    <row r="65" ht="15.75" customHeight="1">
      <c r="A65" s="130" t="str">
        <f t="shared" si="1"/>
        <v>#REF!</v>
      </c>
      <c r="B65" s="131" t="s">
        <v>270</v>
      </c>
      <c r="C65" s="130" t="str">
        <f>VLOOKUP($A65,WEEKLY_TEAMS!$B$3:$CMF116,13,0)</f>
        <v>#REF!</v>
      </c>
      <c r="D65" s="130" t="str">
        <f>VLOOKUP($A65,WEEKLY_TEAMS!$B$3:$CMF116,25,0)</f>
        <v>#REF!</v>
      </c>
      <c r="E65" s="130" t="str">
        <f>VLOOKUP($A65,WEEKLY_TEAMS!$B$3:$CMF116,37,0)</f>
        <v>#REF!</v>
      </c>
      <c r="F65" s="130" t="str">
        <f>VLOOKUP($A65,WEEKLY_TEAMS!$B$3:$CMF116,49,0)</f>
        <v>#REF!</v>
      </c>
      <c r="G65" s="130" t="str">
        <f>VLOOKUP($A65,WEEKLY_TEAMS!$B$3:$CMF116,61,0)</f>
        <v>#REF!</v>
      </c>
      <c r="H65" s="130" t="str">
        <f>VLOOKUP($A65,WEEKLY_TEAMS!$B$3:$CMF116,73,0)</f>
        <v>#REF!</v>
      </c>
      <c r="I65" s="130" t="str">
        <f>VLOOKUP($A65,WEEKLY_TEAMS!$B$3:$CMF116,85,0)</f>
        <v>#REF!</v>
      </c>
      <c r="J65" s="130" t="str">
        <f>VLOOKUP($A65,WEEKLY_TEAMS!$B$3:$CMF116,97,0)</f>
        <v>#REF!</v>
      </c>
    </row>
    <row r="66" ht="15.75" customHeight="1">
      <c r="A66" s="130" t="str">
        <f t="shared" si="1"/>
        <v>#REF!</v>
      </c>
      <c r="B66" s="131" t="s">
        <v>270</v>
      </c>
      <c r="C66" s="130" t="str">
        <f>VLOOKUP($A66,WEEKLY_TEAMS!$B$3:$CMF117,13,0)</f>
        <v>#REF!</v>
      </c>
      <c r="D66" s="130" t="str">
        <f>VLOOKUP($A66,WEEKLY_TEAMS!$B$3:$CMF117,25,0)</f>
        <v>#REF!</v>
      </c>
      <c r="E66" s="130" t="str">
        <f>VLOOKUP($A66,WEEKLY_TEAMS!$B$3:$CMF117,37,0)</f>
        <v>#REF!</v>
      </c>
      <c r="F66" s="130" t="str">
        <f>VLOOKUP($A66,WEEKLY_TEAMS!$B$3:$CMF117,49,0)</f>
        <v>#REF!</v>
      </c>
      <c r="G66" s="130" t="str">
        <f>VLOOKUP($A66,WEEKLY_TEAMS!$B$3:$CMF117,61,0)</f>
        <v>#REF!</v>
      </c>
      <c r="H66" s="130" t="str">
        <f>VLOOKUP($A66,WEEKLY_TEAMS!$B$3:$CMF117,73,0)</f>
        <v>#REF!</v>
      </c>
      <c r="I66" s="130" t="str">
        <f>VLOOKUP($A66,WEEKLY_TEAMS!$B$3:$CMF117,85,0)</f>
        <v>#REF!</v>
      </c>
      <c r="J66" s="130" t="str">
        <f>VLOOKUP($A66,WEEKLY_TEAMS!$B$3:$CMF117,97,0)</f>
        <v>#REF!</v>
      </c>
    </row>
    <row r="67" ht="15.75" customHeight="1">
      <c r="A67" s="130" t="str">
        <f t="shared" si="1"/>
        <v>#REF!</v>
      </c>
      <c r="B67" s="131" t="s">
        <v>270</v>
      </c>
      <c r="C67" s="130" t="str">
        <f>VLOOKUP($A67,WEEKLY_TEAMS!$B$3:$CMF118,13,0)</f>
        <v>#REF!</v>
      </c>
      <c r="D67" s="130" t="str">
        <f>VLOOKUP($A67,WEEKLY_TEAMS!$B$3:$CMF118,25,0)</f>
        <v>#REF!</v>
      </c>
      <c r="E67" s="130" t="str">
        <f>VLOOKUP($A67,WEEKLY_TEAMS!$B$3:$CMF118,37,0)</f>
        <v>#REF!</v>
      </c>
      <c r="F67" s="130" t="str">
        <f>VLOOKUP($A67,WEEKLY_TEAMS!$B$3:$CMF118,49,0)</f>
        <v>#REF!</v>
      </c>
      <c r="G67" s="130" t="str">
        <f>VLOOKUP($A67,WEEKLY_TEAMS!$B$3:$CMF118,61,0)</f>
        <v>#REF!</v>
      </c>
      <c r="H67" s="130" t="str">
        <f>VLOOKUP($A67,WEEKLY_TEAMS!$B$3:$CMF118,73,0)</f>
        <v>#REF!</v>
      </c>
      <c r="I67" s="130" t="str">
        <f>VLOOKUP($A67,WEEKLY_TEAMS!$B$3:$CMF118,85,0)</f>
        <v>#REF!</v>
      </c>
      <c r="J67" s="130" t="str">
        <f>VLOOKUP($A67,WEEKLY_TEAMS!$B$3:$CMF118,97,0)</f>
        <v>#REF!</v>
      </c>
    </row>
    <row r="68" ht="15.75" customHeight="1">
      <c r="A68" s="130" t="str">
        <f t="shared" si="1"/>
        <v>#REF!</v>
      </c>
      <c r="B68" s="131" t="s">
        <v>270</v>
      </c>
      <c r="C68" s="130" t="str">
        <f>VLOOKUP($A68,WEEKLY_TEAMS!$B$3:$CMF119,13,0)</f>
        <v>#REF!</v>
      </c>
      <c r="D68" s="130" t="str">
        <f>VLOOKUP($A68,WEEKLY_TEAMS!$B$3:$CMF119,25,0)</f>
        <v>#REF!</v>
      </c>
      <c r="E68" s="130" t="str">
        <f>VLOOKUP($A68,WEEKLY_TEAMS!$B$3:$CMF119,37,0)</f>
        <v>#REF!</v>
      </c>
      <c r="F68" s="130" t="str">
        <f>VLOOKUP($A68,WEEKLY_TEAMS!$B$3:$CMF119,49,0)</f>
        <v>#REF!</v>
      </c>
      <c r="G68" s="130" t="str">
        <f>VLOOKUP($A68,WEEKLY_TEAMS!$B$3:$CMF119,61,0)</f>
        <v>#REF!</v>
      </c>
      <c r="H68" s="130" t="str">
        <f>VLOOKUP($A68,WEEKLY_TEAMS!$B$3:$CMF119,73,0)</f>
        <v>#REF!</v>
      </c>
      <c r="I68" s="130" t="str">
        <f>VLOOKUP($A68,WEEKLY_TEAMS!$B$3:$CMF119,85,0)</f>
        <v>#REF!</v>
      </c>
      <c r="J68" s="130" t="str">
        <f>VLOOKUP($A68,WEEKLY_TEAMS!$B$3:$CMF119,97,0)</f>
        <v>#REF!</v>
      </c>
    </row>
    <row r="69" ht="15.75" customHeight="1">
      <c r="A69" s="130" t="str">
        <f t="shared" si="1"/>
        <v>#REF!</v>
      </c>
      <c r="B69" s="131" t="s">
        <v>270</v>
      </c>
      <c r="C69" s="130" t="str">
        <f>VLOOKUP($A69,WEEKLY_TEAMS!$B$3:$CMF120,13,0)</f>
        <v>#REF!</v>
      </c>
      <c r="D69" s="130" t="str">
        <f>VLOOKUP($A69,WEEKLY_TEAMS!$B$3:$CMF120,25,0)</f>
        <v>#REF!</v>
      </c>
      <c r="E69" s="130" t="str">
        <f>VLOOKUP($A69,WEEKLY_TEAMS!$B$3:$CMF120,37,0)</f>
        <v>#REF!</v>
      </c>
      <c r="F69" s="130" t="str">
        <f>VLOOKUP($A69,WEEKLY_TEAMS!$B$3:$CMF120,49,0)</f>
        <v>#REF!</v>
      </c>
      <c r="G69" s="130" t="str">
        <f>VLOOKUP($A69,WEEKLY_TEAMS!$B$3:$CMF120,61,0)</f>
        <v>#REF!</v>
      </c>
      <c r="H69" s="130" t="str">
        <f>VLOOKUP($A69,WEEKLY_TEAMS!$B$3:$CMF120,73,0)</f>
        <v>#REF!</v>
      </c>
      <c r="I69" s="130" t="str">
        <f>VLOOKUP($A69,WEEKLY_TEAMS!$B$3:$CMF120,85,0)</f>
        <v>#REF!</v>
      </c>
      <c r="J69" s="130" t="str">
        <f>VLOOKUP($A69,WEEKLY_TEAMS!$B$3:$CMF120,97,0)</f>
        <v>#REF!</v>
      </c>
    </row>
    <row r="70" ht="15.75" customHeight="1">
      <c r="A70" s="130" t="str">
        <f t="shared" si="1"/>
        <v>#REF!</v>
      </c>
      <c r="B70" s="131" t="s">
        <v>270</v>
      </c>
      <c r="C70" s="130" t="str">
        <f>VLOOKUP($A70,WEEKLY_TEAMS!$B$3:$CMF121,13,0)</f>
        <v>#REF!</v>
      </c>
      <c r="D70" s="130" t="str">
        <f>VLOOKUP($A70,WEEKLY_TEAMS!$B$3:$CMF121,25,0)</f>
        <v>#REF!</v>
      </c>
      <c r="E70" s="130" t="str">
        <f>VLOOKUP($A70,WEEKLY_TEAMS!$B$3:$CMF121,37,0)</f>
        <v>#REF!</v>
      </c>
      <c r="F70" s="130" t="str">
        <f>VLOOKUP($A70,WEEKLY_TEAMS!$B$3:$CMF121,49,0)</f>
        <v>#REF!</v>
      </c>
      <c r="G70" s="130" t="str">
        <f>VLOOKUP($A70,WEEKLY_TEAMS!$B$3:$CMF121,61,0)</f>
        <v>#REF!</v>
      </c>
      <c r="H70" s="130" t="str">
        <f>VLOOKUP($A70,WEEKLY_TEAMS!$B$3:$CMF121,73,0)</f>
        <v>#REF!</v>
      </c>
      <c r="I70" s="130" t="str">
        <f>VLOOKUP($A70,WEEKLY_TEAMS!$B$3:$CMF121,85,0)</f>
        <v>#REF!</v>
      </c>
      <c r="J70" s="130" t="str">
        <f>VLOOKUP($A70,WEEKLY_TEAMS!$B$3:$CMF121,97,0)</f>
        <v>#REF!</v>
      </c>
    </row>
    <row r="71" ht="15.75" customHeight="1">
      <c r="A71" s="130" t="str">
        <f t="shared" si="1"/>
        <v>#REF!</v>
      </c>
      <c r="B71" s="131" t="s">
        <v>270</v>
      </c>
      <c r="C71" s="130" t="str">
        <f>VLOOKUP($A71,WEEKLY_TEAMS!$B$3:$CMF122,13,0)</f>
        <v>#REF!</v>
      </c>
      <c r="D71" s="130" t="str">
        <f>VLOOKUP($A71,WEEKLY_TEAMS!$B$3:$CMF122,25,0)</f>
        <v>#REF!</v>
      </c>
      <c r="E71" s="130" t="str">
        <f>VLOOKUP($A71,WEEKLY_TEAMS!$B$3:$CMF122,37,0)</f>
        <v>#REF!</v>
      </c>
      <c r="F71" s="130" t="str">
        <f>VLOOKUP($A71,WEEKLY_TEAMS!$B$3:$CMF122,49,0)</f>
        <v>#REF!</v>
      </c>
      <c r="G71" s="130" t="str">
        <f>VLOOKUP($A71,WEEKLY_TEAMS!$B$3:$CMF122,61,0)</f>
        <v>#REF!</v>
      </c>
      <c r="H71" s="130" t="str">
        <f>VLOOKUP($A71,WEEKLY_TEAMS!$B$3:$CMF122,73,0)</f>
        <v>#REF!</v>
      </c>
      <c r="I71" s="130" t="str">
        <f>VLOOKUP($A71,WEEKLY_TEAMS!$B$3:$CMF122,85,0)</f>
        <v>#REF!</v>
      </c>
      <c r="J71" s="130" t="str">
        <f>VLOOKUP($A71,WEEKLY_TEAMS!$B$3:$CMF122,97,0)</f>
        <v>#REF!</v>
      </c>
    </row>
    <row r="72" ht="15.75" customHeight="1">
      <c r="A72" s="130" t="str">
        <f t="shared" si="1"/>
        <v>#REF!</v>
      </c>
      <c r="B72" s="131" t="s">
        <v>270</v>
      </c>
      <c r="C72" s="130" t="str">
        <f>VLOOKUP($A72,WEEKLY_TEAMS!$B$3:$CMF123,13,0)</f>
        <v>#REF!</v>
      </c>
      <c r="D72" s="130" t="str">
        <f>VLOOKUP($A72,WEEKLY_TEAMS!$B$3:$CMF123,25,0)</f>
        <v>#REF!</v>
      </c>
      <c r="E72" s="130" t="str">
        <f>VLOOKUP($A72,WEEKLY_TEAMS!$B$3:$CMF123,37,0)</f>
        <v>#REF!</v>
      </c>
      <c r="F72" s="130" t="str">
        <f>VLOOKUP($A72,WEEKLY_TEAMS!$B$3:$CMF123,49,0)</f>
        <v>#REF!</v>
      </c>
      <c r="G72" s="130" t="str">
        <f>VLOOKUP($A72,WEEKLY_TEAMS!$B$3:$CMF123,61,0)</f>
        <v>#REF!</v>
      </c>
      <c r="H72" s="130" t="str">
        <f>VLOOKUP($A72,WEEKLY_TEAMS!$B$3:$CMF123,73,0)</f>
        <v>#REF!</v>
      </c>
      <c r="I72" s="130" t="str">
        <f>VLOOKUP($A72,WEEKLY_TEAMS!$B$3:$CMF123,85,0)</f>
        <v>#REF!</v>
      </c>
      <c r="J72" s="130" t="str">
        <f>VLOOKUP($A72,WEEKLY_TEAMS!$B$3:$CMF123,97,0)</f>
        <v>#REF!</v>
      </c>
    </row>
    <row r="73" ht="15.75" customHeight="1">
      <c r="A73" s="130" t="str">
        <f t="shared" si="1"/>
        <v>#REF!</v>
      </c>
      <c r="B73" s="131" t="s">
        <v>270</v>
      </c>
      <c r="C73" s="130" t="str">
        <f>VLOOKUP($A73,WEEKLY_TEAMS!$B$3:$CMF124,13,0)</f>
        <v>#REF!</v>
      </c>
      <c r="D73" s="130" t="str">
        <f>VLOOKUP($A73,WEEKLY_TEAMS!$B$3:$CMF124,25,0)</f>
        <v>#REF!</v>
      </c>
      <c r="E73" s="130" t="str">
        <f>VLOOKUP($A73,WEEKLY_TEAMS!$B$3:$CMF124,37,0)</f>
        <v>#REF!</v>
      </c>
      <c r="F73" s="130" t="str">
        <f>VLOOKUP($A73,WEEKLY_TEAMS!$B$3:$CMF124,49,0)</f>
        <v>#REF!</v>
      </c>
      <c r="G73" s="130" t="str">
        <f>VLOOKUP($A73,WEEKLY_TEAMS!$B$3:$CMF124,61,0)</f>
        <v>#REF!</v>
      </c>
      <c r="H73" s="130" t="str">
        <f>VLOOKUP($A73,WEEKLY_TEAMS!$B$3:$CMF124,73,0)</f>
        <v>#REF!</v>
      </c>
      <c r="I73" s="130" t="str">
        <f>VLOOKUP($A73,WEEKLY_TEAMS!$B$3:$CMF124,85,0)</f>
        <v>#REF!</v>
      </c>
      <c r="J73" s="130" t="str">
        <f>VLOOKUP($A73,WEEKLY_TEAMS!$B$3:$CMF124,97,0)</f>
        <v>#REF!</v>
      </c>
    </row>
    <row r="74" ht="15.75" customHeight="1">
      <c r="A74" s="130" t="str">
        <f t="shared" si="1"/>
        <v>#REF!</v>
      </c>
      <c r="B74" s="131" t="s">
        <v>270</v>
      </c>
      <c r="C74" s="130" t="str">
        <f>VLOOKUP($A74,WEEKLY_TEAMS!$B$3:$CMF125,13,0)</f>
        <v>#REF!</v>
      </c>
      <c r="D74" s="130" t="str">
        <f>VLOOKUP($A74,WEEKLY_TEAMS!$B$3:$CMF125,25,0)</f>
        <v>#REF!</v>
      </c>
      <c r="E74" s="130" t="str">
        <f>VLOOKUP($A74,WEEKLY_TEAMS!$B$3:$CMF125,37,0)</f>
        <v>#REF!</v>
      </c>
      <c r="F74" s="130" t="str">
        <f>VLOOKUP($A74,WEEKLY_TEAMS!$B$3:$CMF125,49,0)</f>
        <v>#REF!</v>
      </c>
      <c r="G74" s="130" t="str">
        <f>VLOOKUP($A74,WEEKLY_TEAMS!$B$3:$CMF125,61,0)</f>
        <v>#REF!</v>
      </c>
      <c r="H74" s="130" t="str">
        <f>VLOOKUP($A74,WEEKLY_TEAMS!$B$3:$CMF125,73,0)</f>
        <v>#REF!</v>
      </c>
      <c r="I74" s="130" t="str">
        <f>VLOOKUP($A74,WEEKLY_TEAMS!$B$3:$CMF125,85,0)</f>
        <v>#REF!</v>
      </c>
      <c r="J74" s="130" t="str">
        <f>VLOOKUP($A74,WEEKLY_TEAMS!$B$3:$CMF125,97,0)</f>
        <v>#REF!</v>
      </c>
    </row>
    <row r="75" ht="15.75" customHeight="1">
      <c r="A75" s="130" t="str">
        <f t="shared" si="1"/>
        <v>#REF!</v>
      </c>
      <c r="B75" s="131" t="s">
        <v>270</v>
      </c>
      <c r="C75" s="130" t="str">
        <f>VLOOKUP($A75,WEEKLY_TEAMS!$B$3:$CMF126,13,0)</f>
        <v>#REF!</v>
      </c>
      <c r="D75" s="130" t="str">
        <f>VLOOKUP($A75,WEEKLY_TEAMS!$B$3:$CMF126,25,0)</f>
        <v>#REF!</v>
      </c>
      <c r="E75" s="130" t="str">
        <f>VLOOKUP($A75,WEEKLY_TEAMS!$B$3:$CMF126,37,0)</f>
        <v>#REF!</v>
      </c>
      <c r="F75" s="130" t="str">
        <f>VLOOKUP($A75,WEEKLY_TEAMS!$B$3:$CMF126,49,0)</f>
        <v>#REF!</v>
      </c>
      <c r="G75" s="130" t="str">
        <f>VLOOKUP($A75,WEEKLY_TEAMS!$B$3:$CMF126,61,0)</f>
        <v>#REF!</v>
      </c>
      <c r="H75" s="130" t="str">
        <f>VLOOKUP($A75,WEEKLY_TEAMS!$B$3:$CMF126,73,0)</f>
        <v>#REF!</v>
      </c>
      <c r="I75" s="130" t="str">
        <f>VLOOKUP($A75,WEEKLY_TEAMS!$B$3:$CMF126,85,0)</f>
        <v>#REF!</v>
      </c>
      <c r="J75" s="130" t="str">
        <f>VLOOKUP($A75,WEEKLY_TEAMS!$B$3:$CMF126,97,0)</f>
        <v>#REF!</v>
      </c>
    </row>
    <row r="76" ht="15.75" customHeight="1">
      <c r="A76" s="130" t="str">
        <f t="shared" si="1"/>
        <v>#REF!</v>
      </c>
      <c r="B76" s="131" t="s">
        <v>270</v>
      </c>
      <c r="C76" s="130" t="str">
        <f>VLOOKUP($A76,WEEKLY_TEAMS!$B$3:$CMF127,13,0)</f>
        <v>#REF!</v>
      </c>
      <c r="D76" s="130" t="str">
        <f>VLOOKUP($A76,WEEKLY_TEAMS!$B$3:$CMF127,25,0)</f>
        <v>#REF!</v>
      </c>
      <c r="E76" s="130" t="str">
        <f>VLOOKUP($A76,WEEKLY_TEAMS!$B$3:$CMF127,37,0)</f>
        <v>#REF!</v>
      </c>
      <c r="F76" s="130" t="str">
        <f>VLOOKUP($A76,WEEKLY_TEAMS!$B$3:$CMF127,49,0)</f>
        <v>#REF!</v>
      </c>
      <c r="G76" s="130" t="str">
        <f>VLOOKUP($A76,WEEKLY_TEAMS!$B$3:$CMF127,61,0)</f>
        <v>#REF!</v>
      </c>
      <c r="H76" s="130" t="str">
        <f>VLOOKUP($A76,WEEKLY_TEAMS!$B$3:$CMF127,73,0)</f>
        <v>#REF!</v>
      </c>
      <c r="I76" s="130" t="str">
        <f>VLOOKUP($A76,WEEKLY_TEAMS!$B$3:$CMF127,85,0)</f>
        <v>#REF!</v>
      </c>
      <c r="J76" s="130" t="str">
        <f>VLOOKUP($A76,WEEKLY_TEAMS!$B$3:$CMF127,97,0)</f>
        <v>#REF!</v>
      </c>
    </row>
    <row r="77" ht="15.75" customHeight="1">
      <c r="A77" s="130" t="str">
        <f t="shared" si="1"/>
        <v>#REF!</v>
      </c>
      <c r="B77" s="131" t="s">
        <v>270</v>
      </c>
      <c r="C77" s="130" t="str">
        <f>VLOOKUP($A77,WEEKLY_TEAMS!$B$3:$CMF128,13,0)</f>
        <v>#REF!</v>
      </c>
      <c r="D77" s="130" t="str">
        <f>VLOOKUP($A77,WEEKLY_TEAMS!$B$3:$CMF128,25,0)</f>
        <v>#REF!</v>
      </c>
      <c r="E77" s="130" t="str">
        <f>VLOOKUP($A77,WEEKLY_TEAMS!$B$3:$CMF128,37,0)</f>
        <v>#REF!</v>
      </c>
      <c r="F77" s="130" t="str">
        <f>VLOOKUP($A77,WEEKLY_TEAMS!$B$3:$CMF128,49,0)</f>
        <v>#REF!</v>
      </c>
      <c r="G77" s="130" t="str">
        <f>VLOOKUP($A77,WEEKLY_TEAMS!$B$3:$CMF128,61,0)</f>
        <v>#REF!</v>
      </c>
      <c r="H77" s="130" t="str">
        <f>VLOOKUP($A77,WEEKLY_TEAMS!$B$3:$CMF128,73,0)</f>
        <v>#REF!</v>
      </c>
      <c r="I77" s="130" t="str">
        <f>VLOOKUP($A77,WEEKLY_TEAMS!$B$3:$CMF128,85,0)</f>
        <v>#REF!</v>
      </c>
      <c r="J77" s="130" t="str">
        <f>VLOOKUP($A77,WEEKLY_TEAMS!$B$3:$CMF128,97,0)</f>
        <v>#REF!</v>
      </c>
    </row>
    <row r="78" ht="15.75" customHeight="1">
      <c r="A78" s="130" t="str">
        <f t="shared" si="1"/>
        <v>#REF!</v>
      </c>
      <c r="B78" s="131" t="s">
        <v>270</v>
      </c>
      <c r="C78" s="130" t="str">
        <f>VLOOKUP($A78,WEEKLY_TEAMS!$B$3:$CMF129,13,0)</f>
        <v>#REF!</v>
      </c>
      <c r="D78" s="130" t="str">
        <f>VLOOKUP($A78,WEEKLY_TEAMS!$B$3:$CMF129,25,0)</f>
        <v>#REF!</v>
      </c>
      <c r="E78" s="130" t="str">
        <f>VLOOKUP($A78,WEEKLY_TEAMS!$B$3:$CMF129,37,0)</f>
        <v>#REF!</v>
      </c>
      <c r="F78" s="130" t="str">
        <f>VLOOKUP($A78,WEEKLY_TEAMS!$B$3:$CMF129,49,0)</f>
        <v>#REF!</v>
      </c>
      <c r="G78" s="130" t="str">
        <f>VLOOKUP($A78,WEEKLY_TEAMS!$B$3:$CMF129,61,0)</f>
        <v>#REF!</v>
      </c>
      <c r="H78" s="130" t="str">
        <f>VLOOKUP($A78,WEEKLY_TEAMS!$B$3:$CMF129,73,0)</f>
        <v>#REF!</v>
      </c>
      <c r="I78" s="130" t="str">
        <f>VLOOKUP($A78,WEEKLY_TEAMS!$B$3:$CMF129,85,0)</f>
        <v>#REF!</v>
      </c>
      <c r="J78" s="130" t="str">
        <f>VLOOKUP($A78,WEEKLY_TEAMS!$B$3:$CMF129,97,0)</f>
        <v>#REF!</v>
      </c>
    </row>
    <row r="79" ht="15.75" customHeight="1">
      <c r="A79" s="130" t="str">
        <f t="shared" si="1"/>
        <v>#REF!</v>
      </c>
      <c r="B79" s="131" t="s">
        <v>270</v>
      </c>
      <c r="C79" s="130" t="str">
        <f>VLOOKUP($A79,WEEKLY_TEAMS!$B$3:$CMF130,13,0)</f>
        <v>#REF!</v>
      </c>
      <c r="D79" s="130" t="str">
        <f>VLOOKUP($A79,WEEKLY_TEAMS!$B$3:$CMF130,25,0)</f>
        <v>#REF!</v>
      </c>
      <c r="E79" s="130" t="str">
        <f>VLOOKUP($A79,WEEKLY_TEAMS!$B$3:$CMF130,37,0)</f>
        <v>#REF!</v>
      </c>
      <c r="F79" s="130" t="str">
        <f>VLOOKUP($A79,WEEKLY_TEAMS!$B$3:$CMF130,49,0)</f>
        <v>#REF!</v>
      </c>
      <c r="G79" s="130" t="str">
        <f>VLOOKUP($A79,WEEKLY_TEAMS!$B$3:$CMF130,61,0)</f>
        <v>#REF!</v>
      </c>
      <c r="H79" s="130" t="str">
        <f>VLOOKUP($A79,WEEKLY_TEAMS!$B$3:$CMF130,73,0)</f>
        <v>#REF!</v>
      </c>
      <c r="I79" s="130" t="str">
        <f>VLOOKUP($A79,WEEKLY_TEAMS!$B$3:$CMF130,85,0)</f>
        <v>#REF!</v>
      </c>
      <c r="J79" s="130" t="str">
        <f>VLOOKUP($A79,WEEKLY_TEAMS!$B$3:$CMF130,97,0)</f>
        <v>#REF!</v>
      </c>
    </row>
    <row r="80" ht="15.75" customHeight="1">
      <c r="A80" s="130" t="str">
        <f t="shared" si="1"/>
        <v>#REF!</v>
      </c>
      <c r="B80" s="131" t="s">
        <v>270</v>
      </c>
      <c r="C80" s="130" t="str">
        <f>VLOOKUP($A80,WEEKLY_TEAMS!$B$3:$CMF131,13,0)</f>
        <v>#REF!</v>
      </c>
      <c r="D80" s="130" t="str">
        <f>VLOOKUP($A80,WEEKLY_TEAMS!$B$3:$CMF131,25,0)</f>
        <v>#REF!</v>
      </c>
      <c r="E80" s="130" t="str">
        <f>VLOOKUP($A80,WEEKLY_TEAMS!$B$3:$CMF131,37,0)</f>
        <v>#REF!</v>
      </c>
      <c r="F80" s="130" t="str">
        <f>VLOOKUP($A80,WEEKLY_TEAMS!$B$3:$CMF131,49,0)</f>
        <v>#REF!</v>
      </c>
      <c r="G80" s="130" t="str">
        <f>VLOOKUP($A80,WEEKLY_TEAMS!$B$3:$CMF131,61,0)</f>
        <v>#REF!</v>
      </c>
      <c r="H80" s="130" t="str">
        <f>VLOOKUP($A80,WEEKLY_TEAMS!$B$3:$CMF131,73,0)</f>
        <v>#REF!</v>
      </c>
      <c r="I80" s="130" t="str">
        <f>VLOOKUP($A80,WEEKLY_TEAMS!$B$3:$CMF131,85,0)</f>
        <v>#REF!</v>
      </c>
      <c r="J80" s="130" t="str">
        <f>VLOOKUP($A80,WEEKLY_TEAMS!$B$3:$CMF131,97,0)</f>
        <v>#REF!</v>
      </c>
    </row>
    <row r="81" ht="15.75" customHeight="1">
      <c r="A81" s="130" t="str">
        <f t="shared" si="1"/>
        <v>#REF!</v>
      </c>
      <c r="B81" s="131" t="s">
        <v>270</v>
      </c>
      <c r="C81" s="130" t="str">
        <f>VLOOKUP($A81,WEEKLY_TEAMS!$B$3:$CMF132,13,0)</f>
        <v>#REF!</v>
      </c>
      <c r="D81" s="130" t="str">
        <f>VLOOKUP($A81,WEEKLY_TEAMS!$B$3:$CMF132,25,0)</f>
        <v>#REF!</v>
      </c>
      <c r="E81" s="130" t="str">
        <f>VLOOKUP($A81,WEEKLY_TEAMS!$B$3:$CMF132,37,0)</f>
        <v>#REF!</v>
      </c>
      <c r="F81" s="130" t="str">
        <f>VLOOKUP($A81,WEEKLY_TEAMS!$B$3:$CMF132,49,0)</f>
        <v>#REF!</v>
      </c>
      <c r="G81" s="130" t="str">
        <f>VLOOKUP($A81,WEEKLY_TEAMS!$B$3:$CMF132,61,0)</f>
        <v>#REF!</v>
      </c>
      <c r="H81" s="130" t="str">
        <f>VLOOKUP($A81,WEEKLY_TEAMS!$B$3:$CMF132,73,0)</f>
        <v>#REF!</v>
      </c>
      <c r="I81" s="130" t="str">
        <f>VLOOKUP($A81,WEEKLY_TEAMS!$B$3:$CMF132,85,0)</f>
        <v>#REF!</v>
      </c>
      <c r="J81" s="130" t="str">
        <f>VLOOKUP($A81,WEEKLY_TEAMS!$B$3:$CMF132,97,0)</f>
        <v>#REF!</v>
      </c>
    </row>
    <row r="82" ht="15.75" customHeight="1">
      <c r="A82" s="130" t="str">
        <f t="shared" si="1"/>
        <v>#REF!</v>
      </c>
      <c r="B82" s="131" t="s">
        <v>270</v>
      </c>
      <c r="C82" s="130" t="str">
        <f>VLOOKUP($A82,WEEKLY_TEAMS!$B$3:$CMF133,13,0)</f>
        <v>#REF!</v>
      </c>
      <c r="D82" s="130" t="str">
        <f>VLOOKUP($A82,WEEKLY_TEAMS!$B$3:$CMF133,25,0)</f>
        <v>#REF!</v>
      </c>
      <c r="E82" s="130" t="str">
        <f>VLOOKUP($A82,WEEKLY_TEAMS!$B$3:$CMF133,37,0)</f>
        <v>#REF!</v>
      </c>
      <c r="F82" s="130" t="str">
        <f>VLOOKUP($A82,WEEKLY_TEAMS!$B$3:$CMF133,49,0)</f>
        <v>#REF!</v>
      </c>
      <c r="G82" s="130" t="str">
        <f>VLOOKUP($A82,WEEKLY_TEAMS!$B$3:$CMF133,61,0)</f>
        <v>#REF!</v>
      </c>
      <c r="H82" s="130" t="str">
        <f>VLOOKUP($A82,WEEKLY_TEAMS!$B$3:$CMF133,73,0)</f>
        <v>#REF!</v>
      </c>
      <c r="I82" s="130" t="str">
        <f>VLOOKUP($A82,WEEKLY_TEAMS!$B$3:$CMF133,85,0)</f>
        <v>#REF!</v>
      </c>
      <c r="J82" s="130" t="str">
        <f>VLOOKUP($A82,WEEKLY_TEAMS!$B$3:$CMF133,97,0)</f>
        <v>#REF!</v>
      </c>
    </row>
    <row r="83" ht="15.75" customHeight="1">
      <c r="A83" s="130" t="str">
        <f t="shared" si="1"/>
        <v>#REF!</v>
      </c>
      <c r="B83" s="131" t="s">
        <v>270</v>
      </c>
      <c r="C83" s="130" t="str">
        <f>VLOOKUP($A83,WEEKLY_TEAMS!$B$3:$CMF134,13,0)</f>
        <v>#REF!</v>
      </c>
      <c r="D83" s="130" t="str">
        <f>VLOOKUP($A83,WEEKLY_TEAMS!$B$3:$CMF134,25,0)</f>
        <v>#REF!</v>
      </c>
      <c r="E83" s="130" t="str">
        <f>VLOOKUP($A83,WEEKLY_TEAMS!$B$3:$CMF134,37,0)</f>
        <v>#REF!</v>
      </c>
      <c r="F83" s="130" t="str">
        <f>VLOOKUP($A83,WEEKLY_TEAMS!$B$3:$CMF134,49,0)</f>
        <v>#REF!</v>
      </c>
      <c r="G83" s="130" t="str">
        <f>VLOOKUP($A83,WEEKLY_TEAMS!$B$3:$CMF134,61,0)</f>
        <v>#REF!</v>
      </c>
      <c r="H83" s="130" t="str">
        <f>VLOOKUP($A83,WEEKLY_TEAMS!$B$3:$CMF134,73,0)</f>
        <v>#REF!</v>
      </c>
      <c r="I83" s="130" t="str">
        <f>VLOOKUP($A83,WEEKLY_TEAMS!$B$3:$CMF134,85,0)</f>
        <v>#REF!</v>
      </c>
      <c r="J83" s="130" t="str">
        <f>VLOOKUP($A83,WEEKLY_TEAMS!$B$3:$CMF134,97,0)</f>
        <v>#REF!</v>
      </c>
    </row>
    <row r="84" ht="15.75" customHeight="1">
      <c r="A84" s="130" t="str">
        <f t="shared" si="1"/>
        <v>#REF!</v>
      </c>
      <c r="B84" s="131" t="s">
        <v>270</v>
      </c>
      <c r="C84" s="130" t="str">
        <f>VLOOKUP($A84,WEEKLY_TEAMS!$B$3:$CMF135,13,0)</f>
        <v>#REF!</v>
      </c>
      <c r="D84" s="130" t="str">
        <f>VLOOKUP($A84,WEEKLY_TEAMS!$B$3:$CMF135,25,0)</f>
        <v>#REF!</v>
      </c>
      <c r="E84" s="130" t="str">
        <f>VLOOKUP($A84,WEEKLY_TEAMS!$B$3:$CMF135,37,0)</f>
        <v>#REF!</v>
      </c>
      <c r="F84" s="130" t="str">
        <f>VLOOKUP($A84,WEEKLY_TEAMS!$B$3:$CMF135,49,0)</f>
        <v>#REF!</v>
      </c>
      <c r="G84" s="130" t="str">
        <f>VLOOKUP($A84,WEEKLY_TEAMS!$B$3:$CMF135,61,0)</f>
        <v>#REF!</v>
      </c>
      <c r="H84" s="130" t="str">
        <f>VLOOKUP($A84,WEEKLY_TEAMS!$B$3:$CMF135,73,0)</f>
        <v>#REF!</v>
      </c>
      <c r="I84" s="130" t="str">
        <f>VLOOKUP($A84,WEEKLY_TEAMS!$B$3:$CMF135,85,0)</f>
        <v>#REF!</v>
      </c>
      <c r="J84" s="130" t="str">
        <f>VLOOKUP($A84,WEEKLY_TEAMS!$B$3:$CMF135,97,0)</f>
        <v>#REF!</v>
      </c>
    </row>
    <row r="85" ht="15.75" customHeight="1">
      <c r="A85" s="130" t="str">
        <f t="shared" si="1"/>
        <v>#REF!</v>
      </c>
      <c r="B85" s="131" t="s">
        <v>270</v>
      </c>
      <c r="C85" s="130" t="str">
        <f>VLOOKUP($A85,WEEKLY_TEAMS!$B$3:$CMF136,13,0)</f>
        <v>#REF!</v>
      </c>
      <c r="D85" s="130" t="str">
        <f>VLOOKUP($A85,WEEKLY_TEAMS!$B$3:$CMF136,25,0)</f>
        <v>#REF!</v>
      </c>
      <c r="E85" s="130" t="str">
        <f>VLOOKUP($A85,WEEKLY_TEAMS!$B$3:$CMF136,37,0)</f>
        <v>#REF!</v>
      </c>
      <c r="F85" s="130" t="str">
        <f>VLOOKUP($A85,WEEKLY_TEAMS!$B$3:$CMF136,49,0)</f>
        <v>#REF!</v>
      </c>
      <c r="G85" s="130" t="str">
        <f>VLOOKUP($A85,WEEKLY_TEAMS!$B$3:$CMF136,61,0)</f>
        <v>#REF!</v>
      </c>
      <c r="H85" s="130" t="str">
        <f>VLOOKUP($A85,WEEKLY_TEAMS!$B$3:$CMF136,73,0)</f>
        <v>#REF!</v>
      </c>
      <c r="I85" s="130" t="str">
        <f>VLOOKUP($A85,WEEKLY_TEAMS!$B$3:$CMF136,85,0)</f>
        <v>#REF!</v>
      </c>
      <c r="J85" s="130" t="str">
        <f>VLOOKUP($A85,WEEKLY_TEAMS!$B$3:$CMF136,97,0)</f>
        <v>#REF!</v>
      </c>
    </row>
    <row r="86" ht="15.75" customHeight="1">
      <c r="A86" s="130" t="str">
        <f t="shared" si="1"/>
        <v>#REF!</v>
      </c>
      <c r="B86" s="131" t="s">
        <v>270</v>
      </c>
      <c r="C86" s="130" t="str">
        <f>VLOOKUP($A86,WEEKLY_TEAMS!$B$3:$CMF137,13,0)</f>
        <v>#REF!</v>
      </c>
      <c r="D86" s="130" t="str">
        <f>VLOOKUP($A86,WEEKLY_TEAMS!$B$3:$CMF137,25,0)</f>
        <v>#REF!</v>
      </c>
      <c r="E86" s="130" t="str">
        <f>VLOOKUP($A86,WEEKLY_TEAMS!$B$3:$CMF137,37,0)</f>
        <v>#REF!</v>
      </c>
      <c r="F86" s="130" t="str">
        <f>VLOOKUP($A86,WEEKLY_TEAMS!$B$3:$CMF137,49,0)</f>
        <v>#REF!</v>
      </c>
      <c r="G86" s="130" t="str">
        <f>VLOOKUP($A86,WEEKLY_TEAMS!$B$3:$CMF137,61,0)</f>
        <v>#REF!</v>
      </c>
      <c r="H86" s="130" t="str">
        <f>VLOOKUP($A86,WEEKLY_TEAMS!$B$3:$CMF137,73,0)</f>
        <v>#REF!</v>
      </c>
      <c r="I86" s="130" t="str">
        <f>VLOOKUP($A86,WEEKLY_TEAMS!$B$3:$CMF137,85,0)</f>
        <v>#REF!</v>
      </c>
      <c r="J86" s="130" t="str">
        <f>VLOOKUP($A86,WEEKLY_TEAMS!$B$3:$CMF137,97,0)</f>
        <v>#REF!</v>
      </c>
    </row>
    <row r="87" ht="15.75" customHeight="1">
      <c r="A87" s="130" t="str">
        <f t="shared" si="1"/>
        <v>#REF!</v>
      </c>
      <c r="B87" s="131" t="s">
        <v>270</v>
      </c>
      <c r="C87" s="130" t="str">
        <f>VLOOKUP($A87,WEEKLY_TEAMS!$B$3:$CMF138,13,0)</f>
        <v>#REF!</v>
      </c>
      <c r="D87" s="130" t="str">
        <f>VLOOKUP($A87,WEEKLY_TEAMS!$B$3:$CMF138,25,0)</f>
        <v>#REF!</v>
      </c>
      <c r="E87" s="130" t="str">
        <f>VLOOKUP($A87,WEEKLY_TEAMS!$B$3:$CMF138,37,0)</f>
        <v>#REF!</v>
      </c>
      <c r="F87" s="130" t="str">
        <f>VLOOKUP($A87,WEEKLY_TEAMS!$B$3:$CMF138,49,0)</f>
        <v>#REF!</v>
      </c>
      <c r="G87" s="130" t="str">
        <f>VLOOKUP($A87,WEEKLY_TEAMS!$B$3:$CMF138,61,0)</f>
        <v>#REF!</v>
      </c>
      <c r="H87" s="130" t="str">
        <f>VLOOKUP($A87,WEEKLY_TEAMS!$B$3:$CMF138,73,0)</f>
        <v>#REF!</v>
      </c>
      <c r="I87" s="130" t="str">
        <f>VLOOKUP($A87,WEEKLY_TEAMS!$B$3:$CMF138,85,0)</f>
        <v>#REF!</v>
      </c>
      <c r="J87" s="130" t="str">
        <f>VLOOKUP($A87,WEEKLY_TEAMS!$B$3:$CMF138,97,0)</f>
        <v>#REF!</v>
      </c>
    </row>
    <row r="88" ht="15.75" customHeight="1">
      <c r="A88" s="130" t="str">
        <f t="shared" si="1"/>
        <v>#REF!</v>
      </c>
      <c r="B88" s="131" t="s">
        <v>270</v>
      </c>
      <c r="C88" s="130" t="str">
        <f>VLOOKUP($A88,WEEKLY_TEAMS!$B$3:$CMF139,13,0)</f>
        <v>#REF!</v>
      </c>
      <c r="D88" s="130" t="str">
        <f>VLOOKUP($A88,WEEKLY_TEAMS!$B$3:$CMF139,25,0)</f>
        <v>#REF!</v>
      </c>
      <c r="E88" s="130" t="str">
        <f>VLOOKUP($A88,WEEKLY_TEAMS!$B$3:$CMF139,37,0)</f>
        <v>#REF!</v>
      </c>
      <c r="F88" s="130" t="str">
        <f>VLOOKUP($A88,WEEKLY_TEAMS!$B$3:$CMF139,49,0)</f>
        <v>#REF!</v>
      </c>
      <c r="G88" s="130" t="str">
        <f>VLOOKUP($A88,WEEKLY_TEAMS!$B$3:$CMF139,61,0)</f>
        <v>#REF!</v>
      </c>
      <c r="H88" s="130" t="str">
        <f>VLOOKUP($A88,WEEKLY_TEAMS!$B$3:$CMF139,73,0)</f>
        <v>#REF!</v>
      </c>
      <c r="I88" s="130" t="str">
        <f>VLOOKUP($A88,WEEKLY_TEAMS!$B$3:$CMF139,85,0)</f>
        <v>#REF!</v>
      </c>
      <c r="J88" s="130" t="str">
        <f>VLOOKUP($A88,WEEKLY_TEAMS!$B$3:$CMF139,97,0)</f>
        <v>#REF!</v>
      </c>
    </row>
    <row r="89" ht="15.75" customHeight="1">
      <c r="A89" s="130" t="str">
        <f t="shared" si="1"/>
        <v>#REF!</v>
      </c>
      <c r="B89" s="131" t="s">
        <v>270</v>
      </c>
      <c r="C89" s="130" t="str">
        <f>VLOOKUP($A89,WEEKLY_TEAMS!$B$3:$CMF140,13,0)</f>
        <v>#REF!</v>
      </c>
      <c r="D89" s="130" t="str">
        <f>VLOOKUP($A89,WEEKLY_TEAMS!$B$3:$CMF140,25,0)</f>
        <v>#REF!</v>
      </c>
      <c r="E89" s="130" t="str">
        <f>VLOOKUP($A89,WEEKLY_TEAMS!$B$3:$CMF140,37,0)</f>
        <v>#REF!</v>
      </c>
      <c r="F89" s="130" t="str">
        <f>VLOOKUP($A89,WEEKLY_TEAMS!$B$3:$CMF140,49,0)</f>
        <v>#REF!</v>
      </c>
      <c r="G89" s="130" t="str">
        <f>VLOOKUP($A89,WEEKLY_TEAMS!$B$3:$CMF140,61,0)</f>
        <v>#REF!</v>
      </c>
      <c r="H89" s="130" t="str">
        <f>VLOOKUP($A89,WEEKLY_TEAMS!$B$3:$CMF140,73,0)</f>
        <v>#REF!</v>
      </c>
      <c r="I89" s="130" t="str">
        <f>VLOOKUP($A89,WEEKLY_TEAMS!$B$3:$CMF140,85,0)</f>
        <v>#REF!</v>
      </c>
      <c r="J89" s="130" t="str">
        <f>VLOOKUP($A89,WEEKLY_TEAMS!$B$3:$CMF140,97,0)</f>
        <v>#REF!</v>
      </c>
    </row>
    <row r="90" ht="15.75" customHeight="1">
      <c r="A90" s="130" t="str">
        <f t="shared" si="1"/>
        <v>#REF!</v>
      </c>
      <c r="B90" s="131" t="s">
        <v>270</v>
      </c>
      <c r="C90" s="130" t="str">
        <f>VLOOKUP($A90,WEEKLY_TEAMS!$B$3:$CMF141,13,0)</f>
        <v>#REF!</v>
      </c>
      <c r="D90" s="130" t="str">
        <f>VLOOKUP($A90,WEEKLY_TEAMS!$B$3:$CMF141,25,0)</f>
        <v>#REF!</v>
      </c>
      <c r="E90" s="130" t="str">
        <f>VLOOKUP($A90,WEEKLY_TEAMS!$B$3:$CMF141,37,0)</f>
        <v>#REF!</v>
      </c>
      <c r="F90" s="130" t="str">
        <f>VLOOKUP($A90,WEEKLY_TEAMS!$B$3:$CMF141,49,0)</f>
        <v>#REF!</v>
      </c>
      <c r="G90" s="130" t="str">
        <f>VLOOKUP($A90,WEEKLY_TEAMS!$B$3:$CMF141,61,0)</f>
        <v>#REF!</v>
      </c>
      <c r="H90" s="130" t="str">
        <f>VLOOKUP($A90,WEEKLY_TEAMS!$B$3:$CMF141,73,0)</f>
        <v>#REF!</v>
      </c>
      <c r="I90" s="130" t="str">
        <f>VLOOKUP($A90,WEEKLY_TEAMS!$B$3:$CMF141,85,0)</f>
        <v>#REF!</v>
      </c>
      <c r="J90" s="130" t="str">
        <f>VLOOKUP($A90,WEEKLY_TEAMS!$B$3:$CMF141,97,0)</f>
        <v>#REF!</v>
      </c>
    </row>
    <row r="91" ht="15.75" customHeight="1">
      <c r="A91" s="130" t="str">
        <f t="shared" si="1"/>
        <v>#REF!</v>
      </c>
      <c r="B91" s="131" t="s">
        <v>270</v>
      </c>
      <c r="C91" s="130" t="str">
        <f>VLOOKUP($A91,WEEKLY_TEAMS!$B$3:$CMF142,13,0)</f>
        <v>#REF!</v>
      </c>
      <c r="D91" s="130" t="str">
        <f>VLOOKUP($A91,WEEKLY_TEAMS!$B$3:$CMF142,25,0)</f>
        <v>#REF!</v>
      </c>
      <c r="E91" s="130" t="str">
        <f>VLOOKUP($A91,WEEKLY_TEAMS!$B$3:$CMF142,37,0)</f>
        <v>#REF!</v>
      </c>
      <c r="F91" s="130" t="str">
        <f>VLOOKUP($A91,WEEKLY_TEAMS!$B$3:$CMF142,49,0)</f>
        <v>#REF!</v>
      </c>
      <c r="G91" s="130" t="str">
        <f>VLOOKUP($A91,WEEKLY_TEAMS!$B$3:$CMF142,61,0)</f>
        <v>#REF!</v>
      </c>
      <c r="H91" s="130" t="str">
        <f>VLOOKUP($A91,WEEKLY_TEAMS!$B$3:$CMF142,73,0)</f>
        <v>#REF!</v>
      </c>
      <c r="I91" s="130" t="str">
        <f>VLOOKUP($A91,WEEKLY_TEAMS!$B$3:$CMF142,85,0)</f>
        <v>#REF!</v>
      </c>
      <c r="J91" s="130" t="str">
        <f>VLOOKUP($A91,WEEKLY_TEAMS!$B$3:$CMF142,97,0)</f>
        <v>#REF!</v>
      </c>
    </row>
    <row r="92" ht="15.75" customHeight="1">
      <c r="A92" s="130" t="str">
        <f t="shared" si="1"/>
        <v>#REF!</v>
      </c>
      <c r="B92" s="131" t="s">
        <v>270</v>
      </c>
      <c r="C92" s="130" t="str">
        <f>VLOOKUP($A92,WEEKLY_TEAMS!$B$3:$CMF143,13,0)</f>
        <v>#REF!</v>
      </c>
      <c r="D92" s="130" t="str">
        <f>VLOOKUP($A92,WEEKLY_TEAMS!$B$3:$CMF143,25,0)</f>
        <v>#REF!</v>
      </c>
      <c r="E92" s="130" t="str">
        <f>VLOOKUP($A92,WEEKLY_TEAMS!$B$3:$CMF143,37,0)</f>
        <v>#REF!</v>
      </c>
      <c r="F92" s="130" t="str">
        <f>VLOOKUP($A92,WEEKLY_TEAMS!$B$3:$CMF143,49,0)</f>
        <v>#REF!</v>
      </c>
      <c r="G92" s="130" t="str">
        <f>VLOOKUP($A92,WEEKLY_TEAMS!$B$3:$CMF143,61,0)</f>
        <v>#REF!</v>
      </c>
      <c r="H92" s="130" t="str">
        <f>VLOOKUP($A92,WEEKLY_TEAMS!$B$3:$CMF143,73,0)</f>
        <v>#REF!</v>
      </c>
      <c r="I92" s="130" t="str">
        <f>VLOOKUP($A92,WEEKLY_TEAMS!$B$3:$CMF143,85,0)</f>
        <v>#REF!</v>
      </c>
      <c r="J92" s="130" t="str">
        <f>VLOOKUP($A92,WEEKLY_TEAMS!$B$3:$CMF143,97,0)</f>
        <v>#REF!</v>
      </c>
    </row>
    <row r="93" ht="15.75" customHeight="1">
      <c r="A93" s="130" t="str">
        <f t="shared" si="1"/>
        <v>#REF!</v>
      </c>
      <c r="B93" s="131" t="s">
        <v>270</v>
      </c>
      <c r="C93" s="130" t="str">
        <f>VLOOKUP($A93,WEEKLY_TEAMS!$B$3:$CMF144,13,0)</f>
        <v>#REF!</v>
      </c>
      <c r="D93" s="130" t="str">
        <f>VLOOKUP($A93,WEEKLY_TEAMS!$B$3:$CMF144,25,0)</f>
        <v>#REF!</v>
      </c>
      <c r="E93" s="130" t="str">
        <f>VLOOKUP($A93,WEEKLY_TEAMS!$B$3:$CMF144,37,0)</f>
        <v>#REF!</v>
      </c>
      <c r="F93" s="130" t="str">
        <f>VLOOKUP($A93,WEEKLY_TEAMS!$B$3:$CMF144,49,0)</f>
        <v>#REF!</v>
      </c>
      <c r="G93" s="130" t="str">
        <f>VLOOKUP($A93,WEEKLY_TEAMS!$B$3:$CMF144,61,0)</f>
        <v>#REF!</v>
      </c>
      <c r="H93" s="130" t="str">
        <f>VLOOKUP($A93,WEEKLY_TEAMS!$B$3:$CMF144,73,0)</f>
        <v>#REF!</v>
      </c>
      <c r="I93" s="130" t="str">
        <f>VLOOKUP($A93,WEEKLY_TEAMS!$B$3:$CMF144,85,0)</f>
        <v>#REF!</v>
      </c>
      <c r="J93" s="130" t="str">
        <f>VLOOKUP($A93,WEEKLY_TEAMS!$B$3:$CMF144,97,0)</f>
        <v>#REF!</v>
      </c>
    </row>
    <row r="94" ht="15.75" customHeight="1">
      <c r="A94" s="130" t="str">
        <f t="shared" si="1"/>
        <v>#REF!</v>
      </c>
      <c r="B94" s="131" t="s">
        <v>270</v>
      </c>
      <c r="C94" s="130" t="str">
        <f>VLOOKUP($A94,WEEKLY_TEAMS!$B$3:$CMF145,13,0)</f>
        <v>#REF!</v>
      </c>
      <c r="D94" s="130" t="str">
        <f>VLOOKUP($A94,WEEKLY_TEAMS!$B$3:$CMF145,25,0)</f>
        <v>#REF!</v>
      </c>
      <c r="E94" s="130" t="str">
        <f>VLOOKUP($A94,WEEKLY_TEAMS!$B$3:$CMF145,37,0)</f>
        <v>#REF!</v>
      </c>
      <c r="F94" s="130" t="str">
        <f>VLOOKUP($A94,WEEKLY_TEAMS!$B$3:$CMF145,49,0)</f>
        <v>#REF!</v>
      </c>
      <c r="G94" s="130" t="str">
        <f>VLOOKUP($A94,WEEKLY_TEAMS!$B$3:$CMF145,61,0)</f>
        <v>#REF!</v>
      </c>
      <c r="H94" s="130" t="str">
        <f>VLOOKUP($A94,WEEKLY_TEAMS!$B$3:$CMF145,73,0)</f>
        <v>#REF!</v>
      </c>
      <c r="I94" s="130" t="str">
        <f>VLOOKUP($A94,WEEKLY_TEAMS!$B$3:$CMF145,85,0)</f>
        <v>#REF!</v>
      </c>
      <c r="J94" s="130" t="str">
        <f>VLOOKUP($A94,WEEKLY_TEAMS!$B$3:$CMF145,97,0)</f>
        <v>#REF!</v>
      </c>
    </row>
    <row r="95" ht="15.75" customHeight="1">
      <c r="A95" s="130" t="str">
        <f t="shared" si="1"/>
        <v>#REF!</v>
      </c>
      <c r="B95" s="131" t="s">
        <v>270</v>
      </c>
      <c r="C95" s="130" t="str">
        <f>VLOOKUP($A95,WEEKLY_TEAMS!$B$3:$CMF146,13,0)</f>
        <v>#REF!</v>
      </c>
      <c r="D95" s="130" t="str">
        <f>VLOOKUP($A95,WEEKLY_TEAMS!$B$3:$CMF146,25,0)</f>
        <v>#REF!</v>
      </c>
      <c r="E95" s="130" t="str">
        <f>VLOOKUP($A95,WEEKLY_TEAMS!$B$3:$CMF146,37,0)</f>
        <v>#REF!</v>
      </c>
      <c r="F95" s="130" t="str">
        <f>VLOOKUP($A95,WEEKLY_TEAMS!$B$3:$CMF146,49,0)</f>
        <v>#REF!</v>
      </c>
      <c r="G95" s="130" t="str">
        <f>VLOOKUP($A95,WEEKLY_TEAMS!$B$3:$CMF146,61,0)</f>
        <v>#REF!</v>
      </c>
      <c r="H95" s="130" t="str">
        <f>VLOOKUP($A95,WEEKLY_TEAMS!$B$3:$CMF146,73,0)</f>
        <v>#REF!</v>
      </c>
      <c r="I95" s="130" t="str">
        <f>VLOOKUP($A95,WEEKLY_TEAMS!$B$3:$CMF146,85,0)</f>
        <v>#REF!</v>
      </c>
      <c r="J95" s="130" t="str">
        <f>VLOOKUP($A95,WEEKLY_TEAMS!$B$3:$CMF146,97,0)</f>
        <v>#REF!</v>
      </c>
    </row>
    <row r="96" ht="15.75" customHeight="1">
      <c r="A96" s="130" t="str">
        <f t="shared" si="1"/>
        <v>#REF!</v>
      </c>
      <c r="B96" s="131" t="s">
        <v>270</v>
      </c>
      <c r="C96" s="130" t="str">
        <f>VLOOKUP($A96,WEEKLY_TEAMS!$B$3:$CMF147,13,0)</f>
        <v>#REF!</v>
      </c>
      <c r="D96" s="130" t="str">
        <f>VLOOKUP($A96,WEEKLY_TEAMS!$B$3:$CMF147,25,0)</f>
        <v>#REF!</v>
      </c>
      <c r="E96" s="130" t="str">
        <f>VLOOKUP($A96,WEEKLY_TEAMS!$B$3:$CMF147,37,0)</f>
        <v>#REF!</v>
      </c>
      <c r="F96" s="130" t="str">
        <f>VLOOKUP($A96,WEEKLY_TEAMS!$B$3:$CMF147,49,0)</f>
        <v>#REF!</v>
      </c>
      <c r="G96" s="130" t="str">
        <f>VLOOKUP($A96,WEEKLY_TEAMS!$B$3:$CMF147,61,0)</f>
        <v>#REF!</v>
      </c>
      <c r="H96" s="130" t="str">
        <f>VLOOKUP($A96,WEEKLY_TEAMS!$B$3:$CMF147,73,0)</f>
        <v>#REF!</v>
      </c>
      <c r="I96" s="130" t="str">
        <f>VLOOKUP($A96,WEEKLY_TEAMS!$B$3:$CMF147,85,0)</f>
        <v>#REF!</v>
      </c>
      <c r="J96" s="130" t="str">
        <f>VLOOKUP($A96,WEEKLY_TEAMS!$B$3:$CMF147,97,0)</f>
        <v>#REF!</v>
      </c>
    </row>
    <row r="97" ht="15.75" customHeight="1">
      <c r="A97" s="130" t="str">
        <f t="shared" si="1"/>
        <v>#REF!</v>
      </c>
      <c r="B97" s="131" t="s">
        <v>270</v>
      </c>
      <c r="C97" s="130" t="str">
        <f>VLOOKUP($A97,WEEKLY_TEAMS!$B$3:$CMF148,13,0)</f>
        <v>#REF!</v>
      </c>
      <c r="D97" s="130" t="str">
        <f>VLOOKUP($A97,WEEKLY_TEAMS!$B$3:$CMF148,25,0)</f>
        <v>#REF!</v>
      </c>
      <c r="E97" s="130" t="str">
        <f>VLOOKUP($A97,WEEKLY_TEAMS!$B$3:$CMF148,37,0)</f>
        <v>#REF!</v>
      </c>
      <c r="F97" s="130" t="str">
        <f>VLOOKUP($A97,WEEKLY_TEAMS!$B$3:$CMF148,49,0)</f>
        <v>#REF!</v>
      </c>
      <c r="G97" s="130" t="str">
        <f>VLOOKUP($A97,WEEKLY_TEAMS!$B$3:$CMF148,61,0)</f>
        <v>#REF!</v>
      </c>
      <c r="H97" s="130" t="str">
        <f>VLOOKUP($A97,WEEKLY_TEAMS!$B$3:$CMF148,73,0)</f>
        <v>#REF!</v>
      </c>
      <c r="I97" s="130" t="str">
        <f>VLOOKUP($A97,WEEKLY_TEAMS!$B$3:$CMF148,85,0)</f>
        <v>#REF!</v>
      </c>
      <c r="J97" s="130" t="str">
        <f>VLOOKUP($A97,WEEKLY_TEAMS!$B$3:$CMF148,97,0)</f>
        <v>#REF!</v>
      </c>
    </row>
    <row r="98" ht="15.75" customHeight="1">
      <c r="A98" s="130" t="str">
        <f t="shared" si="1"/>
        <v>#REF!</v>
      </c>
      <c r="B98" s="131" t="s">
        <v>270</v>
      </c>
      <c r="C98" s="130" t="str">
        <f>VLOOKUP($A98,WEEKLY_TEAMS!$B$3:$CMF149,13,0)</f>
        <v>#REF!</v>
      </c>
      <c r="D98" s="130" t="str">
        <f>VLOOKUP($A98,WEEKLY_TEAMS!$B$3:$CMF149,25,0)</f>
        <v>#REF!</v>
      </c>
      <c r="E98" s="130" t="str">
        <f>VLOOKUP($A98,WEEKLY_TEAMS!$B$3:$CMF149,37,0)</f>
        <v>#REF!</v>
      </c>
      <c r="F98" s="130" t="str">
        <f>VLOOKUP($A98,WEEKLY_TEAMS!$B$3:$CMF149,49,0)</f>
        <v>#REF!</v>
      </c>
      <c r="G98" s="130" t="str">
        <f>VLOOKUP($A98,WEEKLY_TEAMS!$B$3:$CMF149,61,0)</f>
        <v>#REF!</v>
      </c>
      <c r="H98" s="130" t="str">
        <f>VLOOKUP($A98,WEEKLY_TEAMS!$B$3:$CMF149,73,0)</f>
        <v>#REF!</v>
      </c>
      <c r="I98" s="130" t="str">
        <f>VLOOKUP($A98,WEEKLY_TEAMS!$B$3:$CMF149,85,0)</f>
        <v>#REF!</v>
      </c>
      <c r="J98" s="130" t="str">
        <f>VLOOKUP($A98,WEEKLY_TEAMS!$B$3:$CMF149,97,0)</f>
        <v>#REF!</v>
      </c>
    </row>
    <row r="99" ht="15.75" customHeight="1">
      <c r="A99" s="130" t="str">
        <f t="shared" si="1"/>
        <v>#REF!</v>
      </c>
      <c r="B99" s="131" t="s">
        <v>270</v>
      </c>
      <c r="C99" s="130" t="str">
        <f>VLOOKUP($A99,WEEKLY_TEAMS!$B$3:$CMF150,13,0)</f>
        <v>#REF!</v>
      </c>
      <c r="D99" s="130" t="str">
        <f>VLOOKUP($A99,WEEKLY_TEAMS!$B$3:$CMF150,25,0)</f>
        <v>#REF!</v>
      </c>
      <c r="E99" s="130" t="str">
        <f>VLOOKUP($A99,WEEKLY_TEAMS!$B$3:$CMF150,37,0)</f>
        <v>#REF!</v>
      </c>
      <c r="F99" s="130" t="str">
        <f>VLOOKUP($A99,WEEKLY_TEAMS!$B$3:$CMF150,49,0)</f>
        <v>#REF!</v>
      </c>
      <c r="G99" s="130" t="str">
        <f>VLOOKUP($A99,WEEKLY_TEAMS!$B$3:$CMF150,61,0)</f>
        <v>#REF!</v>
      </c>
      <c r="H99" s="130" t="str">
        <f>VLOOKUP($A99,WEEKLY_TEAMS!$B$3:$CMF150,73,0)</f>
        <v>#REF!</v>
      </c>
      <c r="I99" s="130" t="str">
        <f>VLOOKUP($A99,WEEKLY_TEAMS!$B$3:$CMF150,85,0)</f>
        <v>#REF!</v>
      </c>
      <c r="J99" s="130" t="str">
        <f>VLOOKUP($A99,WEEKLY_TEAMS!$B$3:$CMF150,97,0)</f>
        <v>#REF!</v>
      </c>
    </row>
    <row r="100" ht="15.7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</row>
    <row r="101" ht="15.7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</row>
    <row r="102" ht="15.7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</row>
    <row r="103" ht="15.7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</row>
    <row r="104" ht="15.7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</row>
    <row r="105" ht="15.7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</row>
    <row r="106" ht="15.7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</row>
    <row r="107" ht="15.7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</row>
    <row r="108" ht="15.7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</row>
    <row r="109" ht="15.7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</row>
    <row r="110" ht="15.7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</row>
    <row r="111" ht="15.7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</row>
    <row r="112" ht="15.7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</row>
    <row r="113" ht="15.7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</row>
    <row r="114" ht="15.7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</row>
    <row r="115" ht="15.7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</row>
    <row r="116" ht="15.7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</row>
    <row r="117" ht="15.7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</row>
    <row r="118" ht="15.7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</row>
    <row r="119" ht="15.7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</row>
    <row r="120" ht="15.7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</row>
    <row r="121" ht="15.7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</row>
    <row r="122" ht="15.7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</row>
    <row r="123" ht="15.7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</row>
    <row r="124" ht="15.7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</row>
    <row r="125" ht="15.7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</row>
    <row r="126" ht="15.7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</row>
    <row r="127" ht="15.7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</row>
    <row r="128" ht="15.7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</row>
    <row r="129" ht="15.7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</row>
    <row r="130" ht="15.7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</row>
    <row r="131" ht="15.7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</row>
    <row r="132" ht="15.7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</row>
    <row r="133" ht="15.7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</row>
    <row r="134" ht="15.7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</row>
    <row r="135" ht="15.7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</row>
    <row r="136" ht="15.7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</row>
    <row r="137" ht="15.7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</row>
    <row r="138" ht="15.7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</row>
    <row r="139" ht="15.7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</row>
    <row r="140" ht="15.7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</row>
    <row r="141" ht="15.7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</row>
    <row r="142" ht="15.7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</row>
    <row r="143" ht="15.7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</row>
    <row r="144" ht="15.7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</row>
    <row r="145" ht="15.7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</row>
    <row r="146" ht="15.7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</row>
    <row r="147" ht="15.7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</row>
    <row r="148" ht="15.7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</row>
    <row r="149" ht="15.7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</row>
    <row r="150" ht="15.7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</row>
    <row r="151" ht="15.7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</row>
    <row r="152" ht="15.7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</row>
    <row r="153" ht="15.7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</row>
    <row r="154" ht="15.7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</row>
    <row r="155" ht="15.7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</row>
    <row r="156" ht="15.7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</row>
    <row r="157" ht="15.7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</row>
    <row r="158" ht="15.7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</row>
    <row r="159" ht="15.7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</row>
    <row r="160" ht="15.7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</row>
    <row r="161" ht="15.7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</row>
    <row r="162" ht="15.7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</row>
    <row r="163" ht="15.7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</row>
    <row r="164" ht="15.7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</row>
    <row r="165" ht="15.7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</row>
    <row r="166" ht="15.7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</row>
    <row r="167" ht="15.7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</row>
    <row r="168" ht="15.7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</row>
    <row r="169" ht="15.7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</row>
    <row r="170" ht="15.7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</row>
    <row r="171" ht="15.7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</row>
    <row r="172" ht="15.7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</row>
    <row r="173" ht="15.7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</row>
    <row r="174" ht="15.7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</row>
    <row r="175" ht="15.7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</row>
    <row r="176" ht="15.7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</row>
    <row r="177" ht="15.7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</row>
    <row r="178" ht="15.7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</row>
    <row r="179" ht="15.7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</row>
    <row r="180" ht="15.7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</row>
    <row r="181" ht="15.7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</row>
    <row r="182" ht="15.7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</row>
    <row r="183" ht="15.7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</row>
    <row r="184" ht="15.7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</row>
    <row r="185" ht="15.7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</row>
    <row r="186" ht="15.7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</row>
    <row r="187" ht="15.7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</row>
    <row r="188" ht="15.7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</row>
    <row r="189" ht="15.7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</row>
    <row r="190" ht="15.7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</row>
    <row r="191" ht="15.7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</row>
    <row r="192" ht="15.7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</row>
    <row r="193" ht="15.7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</row>
    <row r="194" ht="15.7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</row>
    <row r="195" ht="15.7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</row>
    <row r="196" ht="15.7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</row>
    <row r="197" ht="15.7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</row>
    <row r="198" ht="15.7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</row>
    <row r="199" ht="15.7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</row>
    <row r="200" ht="15.7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</row>
    <row r="201" ht="15.7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</row>
    <row r="202" ht="15.7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</row>
    <row r="203" ht="15.7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</row>
    <row r="204" ht="15.7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</row>
    <row r="205" ht="15.7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</row>
    <row r="206" ht="15.7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</row>
    <row r="207" ht="15.7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</row>
    <row r="208" ht="15.7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</row>
    <row r="209" ht="15.7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</row>
    <row r="210" ht="15.7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</row>
    <row r="211" ht="15.7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</row>
    <row r="212" ht="15.7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</row>
    <row r="213" ht="15.7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</row>
    <row r="214" ht="15.7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</row>
    <row r="215" ht="15.7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</row>
    <row r="216" ht="15.7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</row>
    <row r="217" ht="15.7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</row>
    <row r="218" ht="15.7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</row>
    <row r="219" ht="15.7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</row>
    <row r="220" ht="15.7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</row>
    <row r="221" ht="15.7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</row>
    <row r="222" ht="15.7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</row>
    <row r="223" ht="15.7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</row>
    <row r="224" ht="15.7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</row>
    <row r="225" ht="15.7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</row>
    <row r="226" ht="15.7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</row>
    <row r="227" ht="15.7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</row>
    <row r="228" ht="15.7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</row>
    <row r="229" ht="15.7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</row>
    <row r="230" ht="15.7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</row>
    <row r="231" ht="15.7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</row>
    <row r="232" ht="15.7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</row>
    <row r="233" ht="15.75" customHeight="1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</row>
    <row r="234" ht="15.75" customHeight="1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</row>
    <row r="235" ht="15.75" customHeight="1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</row>
    <row r="236" ht="15.75" customHeight="1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</row>
    <row r="237" ht="15.75" customHeight="1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</row>
    <row r="238" ht="15.75" customHeight="1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</row>
    <row r="239" ht="15.75" customHeight="1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</row>
    <row r="240" ht="15.75" customHeight="1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</row>
    <row r="241" ht="15.75" customHeight="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</row>
    <row r="242" ht="15.75" customHeight="1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</row>
    <row r="243" ht="15.75" customHeight="1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</row>
    <row r="244" ht="15.75" customHeight="1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</row>
    <row r="245" ht="15.75" customHeight="1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</row>
    <row r="246" ht="15.75" customHeight="1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</row>
    <row r="247" ht="15.75" customHeight="1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</row>
    <row r="248" ht="15.75" customHeight="1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</row>
    <row r="249" ht="15.75" customHeight="1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</row>
    <row r="250" ht="15.75" customHeight="1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</row>
    <row r="251" ht="15.75" customHeight="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</row>
    <row r="252" ht="15.75" customHeight="1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</row>
    <row r="253" ht="15.75" customHeight="1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</row>
    <row r="254" ht="15.75" customHeight="1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</row>
    <row r="255" ht="15.75" customHeight="1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</row>
    <row r="256" ht="15.75" customHeight="1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</row>
    <row r="257" ht="15.75" customHeight="1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</row>
    <row r="258" ht="15.75" customHeight="1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</row>
    <row r="259" ht="15.75" customHeight="1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</row>
    <row r="260" ht="15.75" customHeight="1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</row>
    <row r="261" ht="15.75" customHeight="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</row>
    <row r="262" ht="15.75" customHeight="1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</row>
    <row r="263" ht="15.75" customHeight="1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</row>
    <row r="264" ht="15.75" customHeight="1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</row>
    <row r="265" ht="15.75" customHeight="1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</row>
    <row r="266" ht="15.75" customHeight="1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</row>
    <row r="267" ht="15.75" customHeight="1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</row>
    <row r="268" ht="15.75" customHeight="1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</row>
    <row r="269" ht="15.75" customHeight="1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</row>
    <row r="270" ht="15.75" customHeight="1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</row>
    <row r="271" ht="15.75" customHeight="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</row>
    <row r="272" ht="15.75" customHeight="1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</row>
    <row r="273" ht="15.75" customHeight="1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</row>
    <row r="274" ht="15.75" customHeight="1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</row>
    <row r="275" ht="15.75" customHeight="1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</row>
    <row r="276" ht="15.75" customHeight="1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</row>
    <row r="277" ht="15.75" customHeight="1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</row>
    <row r="278" ht="15.75" customHeight="1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</row>
    <row r="279" ht="15.75" customHeight="1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</row>
    <row r="280" ht="15.75" customHeight="1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</row>
    <row r="281" ht="15.75" customHeight="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</row>
    <row r="282" ht="15.75" customHeight="1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</row>
    <row r="283" ht="15.75" customHeight="1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</row>
    <row r="284" ht="15.75" customHeight="1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</row>
    <row r="285" ht="15.75" customHeight="1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</row>
    <row r="286" ht="15.75" customHeight="1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</row>
    <row r="287" ht="15.75" customHeight="1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</row>
    <row r="288" ht="15.75" customHeight="1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</row>
    <row r="289" ht="15.75" customHeight="1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</row>
    <row r="290" ht="15.75" customHeight="1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</row>
    <row r="291" ht="15.75" customHeight="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</row>
    <row r="292" ht="15.75" customHeight="1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</row>
    <row r="293" ht="15.75" customHeight="1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</row>
    <row r="294" ht="15.75" customHeight="1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</row>
    <row r="295" ht="15.75" customHeight="1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</row>
    <row r="296" ht="15.75" customHeight="1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</row>
    <row r="297" ht="15.75" customHeight="1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</row>
    <row r="298" ht="15.75" customHeight="1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</row>
    <row r="299" ht="15.75" customHeight="1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17.78"/>
    <col customWidth="1" min="3" max="3" width="33.44"/>
    <col customWidth="1" min="4" max="4" width="16.78"/>
    <col customWidth="1" min="5" max="5" width="33.44"/>
    <col customWidth="1" min="6" max="6" width="18.78"/>
    <col customWidth="1" min="7" max="13" width="16.78"/>
  </cols>
  <sheetData>
    <row r="1" ht="22.5" customHeight="1">
      <c r="A1" s="132" t="s">
        <v>271</v>
      </c>
      <c r="B1" s="133" t="s">
        <v>272</v>
      </c>
      <c r="C1" s="132" t="s">
        <v>273</v>
      </c>
      <c r="D1" s="132" t="s">
        <v>274</v>
      </c>
      <c r="E1" s="132" t="s">
        <v>275</v>
      </c>
      <c r="F1" s="132" t="s">
        <v>276</v>
      </c>
      <c r="G1" s="132" t="s">
        <v>277</v>
      </c>
    </row>
    <row r="2" ht="22.5" customHeight="1">
      <c r="A2" s="134">
        <v>45694.934309027776</v>
      </c>
      <c r="B2" s="135">
        <v>45694.0</v>
      </c>
      <c r="C2" s="136" t="str">
        <f>VLOOKUP(B2,'MATCH DATES'!A3:B10,2,0)</f>
        <v>#N/A</v>
      </c>
      <c r="D2" s="137" t="s">
        <v>253</v>
      </c>
      <c r="F2" s="137" t="s">
        <v>278</v>
      </c>
    </row>
    <row r="3" ht="22.5" customHeight="1">
      <c r="A3" s="134">
        <v>45694.936097025464</v>
      </c>
      <c r="B3" s="135">
        <v>45694.0</v>
      </c>
      <c r="C3" s="136" t="str">
        <f>VLOOKUP(B3,'MATCH DATES'!A4:B11,2,0)</f>
        <v>#N/A</v>
      </c>
      <c r="D3" s="137" t="s">
        <v>164</v>
      </c>
      <c r="F3" s="137" t="s">
        <v>278</v>
      </c>
    </row>
    <row r="4" ht="22.5" customHeight="1">
      <c r="A4" s="134">
        <v>45694.94045195602</v>
      </c>
      <c r="B4" s="135">
        <v>45694.0</v>
      </c>
      <c r="C4" s="136" t="str">
        <f>VLOOKUP(B4,'MATCH DATES'!A5:B12,2,0)</f>
        <v>#N/A</v>
      </c>
      <c r="D4" s="137" t="s">
        <v>154</v>
      </c>
      <c r="E4" s="137">
        <v>1.0</v>
      </c>
    </row>
    <row r="5" ht="22.5" customHeight="1">
      <c r="A5" s="134">
        <v>45694.94269415509</v>
      </c>
      <c r="B5" s="135">
        <v>45694.0</v>
      </c>
      <c r="C5" s="136" t="str">
        <f>VLOOKUP(B5,'MATCH DATES'!A6:B13,2,0)</f>
        <v>#N/A</v>
      </c>
      <c r="D5" s="137" t="s">
        <v>279</v>
      </c>
      <c r="E5" s="137">
        <v>1.0</v>
      </c>
    </row>
    <row r="6" ht="22.5" customHeight="1">
      <c r="A6" s="134">
        <v>45694.94318109954</v>
      </c>
      <c r="B6" s="135">
        <v>45694.0</v>
      </c>
      <c r="C6" s="136" t="str">
        <f>VLOOKUP(B6,'MATCH DATES'!A7:B14,2,0)</f>
        <v>#N/A</v>
      </c>
      <c r="D6" s="137" t="s">
        <v>280</v>
      </c>
      <c r="E6" s="137">
        <v>3.0</v>
      </c>
    </row>
    <row r="7" ht="22.5" customHeight="1">
      <c r="A7" s="134">
        <v>45694.94439121528</v>
      </c>
      <c r="B7" s="135">
        <v>45694.0</v>
      </c>
      <c r="C7" s="136" t="str">
        <f>VLOOKUP(B7,'MATCH DATES'!A8:B15,2,0)</f>
        <v>#N/A</v>
      </c>
      <c r="D7" s="137" t="s">
        <v>280</v>
      </c>
      <c r="E7" s="137">
        <v>3.0</v>
      </c>
    </row>
    <row r="8" ht="22.5" customHeight="1">
      <c r="A8" s="138"/>
      <c r="B8" s="139"/>
      <c r="C8" s="138" t="str">
        <f>VLOOKUP(B8,'MATCH DATES'!A4:B11,2,0)</f>
        <v>#N/A</v>
      </c>
      <c r="D8" s="138"/>
      <c r="E8" s="138"/>
      <c r="F8" s="138"/>
      <c r="G8" s="138"/>
    </row>
    <row r="9" ht="22.5" customHeight="1">
      <c r="A9" s="138"/>
      <c r="B9" s="139"/>
      <c r="C9" s="138" t="str">
        <f>VLOOKUP(B9,'MATCH DATES'!A5:B12,2,0)</f>
        <v>#N/A</v>
      </c>
      <c r="D9" s="138"/>
      <c r="E9" s="138"/>
      <c r="F9" s="138"/>
      <c r="G9" s="138"/>
    </row>
    <row r="10" ht="22.5" customHeight="1">
      <c r="A10" s="138"/>
      <c r="B10" s="139"/>
      <c r="C10" s="138" t="str">
        <f>VLOOKUP(B10,'MATCH DATES'!A6:B13,2,0)</f>
        <v>#N/A</v>
      </c>
      <c r="D10" s="138"/>
      <c r="E10" s="138"/>
      <c r="F10" s="138"/>
      <c r="G10" s="138"/>
    </row>
    <row r="11" ht="22.5" customHeight="1">
      <c r="A11" s="138"/>
      <c r="B11" s="139"/>
      <c r="C11" s="138" t="str">
        <f>VLOOKUP(B11,'MATCH DATES'!A7:B14,2,0)</f>
        <v>#N/A</v>
      </c>
      <c r="D11" s="138"/>
      <c r="E11" s="138"/>
      <c r="F11" s="138"/>
      <c r="G11" s="138"/>
    </row>
    <row r="12" ht="22.5" customHeight="1">
      <c r="A12" s="138"/>
      <c r="B12" s="139"/>
      <c r="C12" s="138" t="str">
        <f>VLOOKUP(B12,'MATCH DATES'!A8:B15,2,0)</f>
        <v>#N/A</v>
      </c>
      <c r="D12" s="138"/>
      <c r="E12" s="138"/>
      <c r="F12" s="138"/>
      <c r="G12" s="138"/>
    </row>
    <row r="13" ht="22.5" customHeight="1">
      <c r="A13" s="138"/>
      <c r="B13" s="139"/>
      <c r="C13" s="138" t="str">
        <f>VLOOKUP(B13,'MATCH DATES'!A9:B16,2,0)</f>
        <v>#N/A</v>
      </c>
      <c r="D13" s="138"/>
      <c r="E13" s="138"/>
      <c r="F13" s="138"/>
      <c r="G13" s="138"/>
    </row>
    <row r="14" ht="22.5" customHeight="1">
      <c r="A14" s="138"/>
      <c r="B14" s="139"/>
      <c r="C14" s="138" t="str">
        <f>VLOOKUP(B14,'MATCH DATES'!A10:B17,2,0)</f>
        <v>#N/A</v>
      </c>
      <c r="D14" s="138"/>
      <c r="E14" s="138"/>
      <c r="F14" s="138"/>
      <c r="G14" s="138"/>
    </row>
    <row r="15" ht="22.5" customHeight="1">
      <c r="A15" s="138"/>
      <c r="B15" s="139"/>
      <c r="C15" s="138" t="str">
        <f>VLOOKUP(B15,'MATCH DATES'!A11:B18,2,0)</f>
        <v>#N/A</v>
      </c>
      <c r="D15" s="138"/>
      <c r="E15" s="138"/>
      <c r="F15" s="138"/>
      <c r="G15" s="138"/>
    </row>
    <row r="16" ht="22.5" customHeight="1">
      <c r="A16" s="138"/>
      <c r="B16" s="139"/>
      <c r="C16" s="138" t="str">
        <f>VLOOKUP(B16,'MATCH DATES'!A12:B19,2,0)</f>
        <v>#N/A</v>
      </c>
      <c r="D16" s="138"/>
      <c r="E16" s="138"/>
      <c r="F16" s="138"/>
      <c r="G16" s="138"/>
    </row>
    <row r="17" ht="22.5" customHeight="1">
      <c r="A17" s="138"/>
      <c r="B17" s="139"/>
      <c r="C17" s="138" t="str">
        <f>VLOOKUP(B17,'MATCH DATES'!A13:B20,2,0)</f>
        <v>#N/A</v>
      </c>
      <c r="D17" s="138"/>
      <c r="E17" s="138"/>
      <c r="F17" s="138"/>
      <c r="G17" s="138"/>
    </row>
    <row r="18" ht="22.5" customHeight="1">
      <c r="A18" s="138"/>
      <c r="B18" s="139"/>
      <c r="C18" s="138" t="str">
        <f>VLOOKUP(B18,'MATCH DATES'!A14:B21,2,0)</f>
        <v>#N/A</v>
      </c>
      <c r="D18" s="138"/>
      <c r="E18" s="138"/>
      <c r="F18" s="138"/>
      <c r="G18" s="138"/>
    </row>
    <row r="19" ht="22.5" customHeight="1">
      <c r="A19" s="138"/>
      <c r="B19" s="139"/>
      <c r="C19" s="138" t="str">
        <f>VLOOKUP(B19,'MATCH DATES'!A15:B22,2,0)</f>
        <v>#N/A</v>
      </c>
      <c r="D19" s="138"/>
      <c r="E19" s="138"/>
      <c r="F19" s="138"/>
      <c r="G19" s="138"/>
    </row>
    <row r="20" ht="22.5" customHeight="1">
      <c r="A20" s="138"/>
      <c r="B20" s="139"/>
      <c r="C20" s="138" t="str">
        <f>VLOOKUP(B20,'MATCH DATES'!A16:B23,2,0)</f>
        <v>#N/A</v>
      </c>
      <c r="D20" s="138"/>
      <c r="E20" s="138"/>
      <c r="F20" s="138"/>
      <c r="G20" s="138"/>
    </row>
    <row r="21" ht="22.5" customHeight="1">
      <c r="A21" s="138"/>
      <c r="B21" s="139"/>
      <c r="C21" s="138" t="str">
        <f>VLOOKUP(B21,'MATCH DATES'!A17:B24,2,0)</f>
        <v>#N/A</v>
      </c>
      <c r="D21" s="138"/>
      <c r="E21" s="138"/>
      <c r="F21" s="138"/>
      <c r="G21" s="138"/>
    </row>
    <row r="22" ht="22.5" customHeight="1">
      <c r="A22" s="138"/>
      <c r="B22" s="139"/>
      <c r="C22" s="138" t="str">
        <f>VLOOKUP(B22,'MATCH DATES'!A18:B25,2,0)</f>
        <v>#N/A</v>
      </c>
      <c r="D22" s="138"/>
      <c r="E22" s="138"/>
      <c r="F22" s="138"/>
      <c r="G22" s="138"/>
    </row>
    <row r="23" ht="22.5" customHeight="1">
      <c r="A23" s="138"/>
      <c r="B23" s="139"/>
      <c r="C23" s="138" t="str">
        <f>VLOOKUP(B23,'MATCH DATES'!A19:B26,2,0)</f>
        <v>#N/A</v>
      </c>
      <c r="D23" s="138"/>
      <c r="E23" s="138"/>
      <c r="F23" s="138"/>
      <c r="G23" s="138"/>
    </row>
    <row r="24" ht="22.5" customHeight="1">
      <c r="A24" s="138"/>
      <c r="B24" s="139"/>
      <c r="C24" s="138" t="str">
        <f>VLOOKUP(B24,'MATCH DATES'!A20:B27,2,0)</f>
        <v>#N/A</v>
      </c>
      <c r="D24" s="138"/>
      <c r="E24" s="138"/>
      <c r="F24" s="138"/>
      <c r="G24" s="138"/>
    </row>
    <row r="25" ht="22.5" customHeight="1">
      <c r="A25" s="138"/>
      <c r="B25" s="139"/>
      <c r="C25" s="138" t="str">
        <f>VLOOKUP(B25,'MATCH DATES'!A21:B28,2,0)</f>
        <v>#N/A</v>
      </c>
      <c r="D25" s="138"/>
      <c r="E25" s="138"/>
      <c r="F25" s="138"/>
      <c r="G25" s="138"/>
    </row>
    <row r="26" ht="22.5" customHeight="1">
      <c r="A26" s="138"/>
      <c r="B26" s="139"/>
      <c r="C26" s="138" t="str">
        <f>VLOOKUP(B26,'MATCH DATES'!A22:B29,2,0)</f>
        <v>#N/A</v>
      </c>
      <c r="D26" s="138"/>
      <c r="E26" s="138"/>
      <c r="F26" s="138"/>
      <c r="G26" s="138"/>
    </row>
    <row r="27" ht="22.5" customHeight="1">
      <c r="A27" s="138"/>
      <c r="B27" s="139"/>
      <c r="C27" s="138" t="str">
        <f>VLOOKUP(B27,'MATCH DATES'!A23:B30,2,0)</f>
        <v>#N/A</v>
      </c>
      <c r="D27" s="138"/>
      <c r="E27" s="138"/>
      <c r="F27" s="138"/>
      <c r="G27" s="138"/>
    </row>
    <row r="28" ht="22.5" customHeight="1">
      <c r="A28" s="138"/>
      <c r="B28" s="139"/>
      <c r="C28" s="138" t="str">
        <f>VLOOKUP(B28,'MATCH DATES'!A24:B31,2,0)</f>
        <v>#N/A</v>
      </c>
      <c r="D28" s="138"/>
      <c r="E28" s="138"/>
      <c r="F28" s="138"/>
      <c r="G28" s="138"/>
    </row>
    <row r="29" ht="22.5" customHeight="1">
      <c r="A29" s="138"/>
      <c r="B29" s="139"/>
      <c r="C29" s="138" t="str">
        <f>VLOOKUP(B29,'MATCH DATES'!A25:B32,2,0)</f>
        <v>#N/A</v>
      </c>
      <c r="D29" s="138"/>
      <c r="E29" s="138"/>
      <c r="F29" s="138"/>
      <c r="G29" s="138"/>
    </row>
    <row r="30" ht="22.5" customHeight="1">
      <c r="A30" s="138"/>
      <c r="B30" s="139"/>
      <c r="C30" s="138" t="str">
        <f>VLOOKUP(B30,'MATCH DATES'!A26:B33,2,0)</f>
        <v>#N/A</v>
      </c>
      <c r="D30" s="138"/>
      <c r="E30" s="138"/>
      <c r="F30" s="138"/>
      <c r="G30" s="138"/>
    </row>
    <row r="31" ht="22.5" customHeight="1">
      <c r="A31" s="138"/>
      <c r="B31" s="139"/>
      <c r="C31" s="138" t="str">
        <f>VLOOKUP(B31,'MATCH DATES'!A27:B34,2,0)</f>
        <v>#N/A</v>
      </c>
      <c r="D31" s="138"/>
      <c r="E31" s="138"/>
      <c r="F31" s="138"/>
      <c r="G31" s="138"/>
    </row>
    <row r="32" ht="22.5" customHeight="1">
      <c r="A32" s="138"/>
      <c r="B32" s="139"/>
      <c r="C32" s="138" t="str">
        <f>VLOOKUP(B32,'MATCH DATES'!A28:B35,2,0)</f>
        <v>#N/A</v>
      </c>
      <c r="D32" s="138"/>
      <c r="E32" s="138"/>
      <c r="F32" s="138"/>
      <c r="G32" s="138"/>
    </row>
    <row r="33" ht="22.5" customHeight="1">
      <c r="A33" s="138"/>
      <c r="B33" s="139"/>
      <c r="C33" s="138" t="str">
        <f>VLOOKUP(B33,'MATCH DATES'!A29:B36,2,0)</f>
        <v>#N/A</v>
      </c>
      <c r="D33" s="138"/>
      <c r="E33" s="138"/>
      <c r="F33" s="138"/>
      <c r="G33" s="138"/>
    </row>
    <row r="34" ht="22.5" customHeight="1">
      <c r="A34" s="138"/>
      <c r="B34" s="139"/>
      <c r="C34" s="138" t="str">
        <f>VLOOKUP(B34,'MATCH DATES'!A30:B37,2,0)</f>
        <v>#N/A</v>
      </c>
      <c r="D34" s="138"/>
      <c r="E34" s="138"/>
      <c r="F34" s="138"/>
      <c r="G34" s="138"/>
    </row>
    <row r="35" ht="22.5" customHeight="1">
      <c r="A35" s="138"/>
      <c r="B35" s="139"/>
      <c r="C35" s="138" t="str">
        <f>VLOOKUP(B35,'MATCH DATES'!A31:B38,2,0)</f>
        <v>#N/A</v>
      </c>
      <c r="D35" s="138"/>
      <c r="E35" s="138"/>
      <c r="F35" s="138"/>
      <c r="G35" s="138"/>
    </row>
    <row r="36" ht="22.5" customHeight="1">
      <c r="A36" s="138"/>
      <c r="B36" s="139"/>
      <c r="C36" s="138" t="str">
        <f>VLOOKUP(B36,'MATCH DATES'!A32:B39,2,0)</f>
        <v>#N/A</v>
      </c>
      <c r="D36" s="138"/>
      <c r="E36" s="138"/>
      <c r="F36" s="138"/>
      <c r="G36" s="138"/>
    </row>
    <row r="37" ht="22.5" customHeight="1">
      <c r="A37" s="138"/>
      <c r="B37" s="139"/>
      <c r="C37" s="138" t="str">
        <f>VLOOKUP(B37,'MATCH DATES'!A33:B40,2,0)</f>
        <v>#N/A</v>
      </c>
      <c r="D37" s="138"/>
      <c r="E37" s="138"/>
      <c r="F37" s="138"/>
      <c r="G37" s="138"/>
    </row>
    <row r="38" ht="22.5" customHeight="1">
      <c r="A38" s="138"/>
      <c r="B38" s="139"/>
      <c r="C38" s="138" t="str">
        <f>VLOOKUP(B38,'MATCH DATES'!A34:B41,2,0)</f>
        <v>#N/A</v>
      </c>
      <c r="D38" s="138"/>
      <c r="E38" s="138"/>
      <c r="F38" s="138"/>
      <c r="G38" s="138"/>
    </row>
    <row r="39" ht="22.5" customHeight="1">
      <c r="A39" s="138"/>
      <c r="B39" s="139"/>
      <c r="C39" s="138" t="str">
        <f>VLOOKUP(B39,'MATCH DATES'!A35:B42,2,0)</f>
        <v>#N/A</v>
      </c>
      <c r="D39" s="138"/>
      <c r="E39" s="138"/>
      <c r="F39" s="138"/>
      <c r="G39" s="138"/>
    </row>
    <row r="40" ht="22.5" customHeight="1">
      <c r="A40" s="138"/>
      <c r="B40" s="139"/>
      <c r="C40" s="138" t="str">
        <f>VLOOKUP(B40,'MATCH DATES'!A36:B43,2,0)</f>
        <v>#N/A</v>
      </c>
      <c r="D40" s="138"/>
      <c r="E40" s="138"/>
      <c r="F40" s="138"/>
      <c r="G40" s="138"/>
    </row>
    <row r="41" ht="22.5" customHeight="1">
      <c r="A41" s="138"/>
      <c r="B41" s="139"/>
      <c r="C41" s="138" t="str">
        <f>VLOOKUP(B41,'MATCH DATES'!A37:B44,2,0)</f>
        <v>#N/A</v>
      </c>
      <c r="D41" s="138"/>
      <c r="E41" s="138"/>
      <c r="F41" s="138"/>
      <c r="G41" s="138"/>
    </row>
    <row r="42" ht="22.5" customHeight="1">
      <c r="A42" s="138"/>
      <c r="B42" s="139"/>
      <c r="C42" s="138" t="str">
        <f>VLOOKUP(B42,'MATCH DATES'!A38:B45,2,0)</f>
        <v>#N/A</v>
      </c>
      <c r="D42" s="138"/>
      <c r="E42" s="138"/>
      <c r="F42" s="138"/>
      <c r="G42" s="138"/>
    </row>
    <row r="43" ht="22.5" customHeight="1">
      <c r="A43" s="138"/>
      <c r="B43" s="139"/>
      <c r="C43" s="138" t="str">
        <f>VLOOKUP(B43,'MATCH DATES'!A39:B46,2,0)</f>
        <v>#N/A</v>
      </c>
      <c r="D43" s="138"/>
      <c r="E43" s="138"/>
      <c r="F43" s="138"/>
      <c r="G43" s="138"/>
    </row>
    <row r="44" ht="22.5" customHeight="1">
      <c r="A44" s="138"/>
      <c r="B44" s="139"/>
      <c r="C44" s="138" t="str">
        <f>VLOOKUP(B44,'MATCH DATES'!A40:B47,2,0)</f>
        <v>#N/A</v>
      </c>
      <c r="D44" s="138"/>
      <c r="E44" s="138"/>
      <c r="F44" s="138"/>
      <c r="G44" s="138"/>
    </row>
    <row r="45" ht="22.5" customHeight="1">
      <c r="A45" s="138"/>
      <c r="B45" s="139"/>
      <c r="C45" s="138" t="str">
        <f>VLOOKUP(B45,'MATCH DATES'!A41:B48,2,0)</f>
        <v>#N/A</v>
      </c>
      <c r="D45" s="138"/>
      <c r="E45" s="138"/>
      <c r="F45" s="138"/>
      <c r="G45" s="138"/>
    </row>
    <row r="46" ht="22.5" customHeight="1">
      <c r="A46" s="138"/>
      <c r="B46" s="139"/>
      <c r="C46" s="138" t="str">
        <f>VLOOKUP(B46,'MATCH DATES'!A42:B49,2,0)</f>
        <v>#N/A</v>
      </c>
      <c r="D46" s="138"/>
      <c r="E46" s="138"/>
      <c r="F46" s="138"/>
      <c r="G46" s="138"/>
    </row>
    <row r="47" ht="22.5" customHeight="1">
      <c r="A47" s="138"/>
      <c r="B47" s="139"/>
      <c r="C47" s="138" t="str">
        <f>VLOOKUP(B47,'MATCH DATES'!A43:B50,2,0)</f>
        <v>#N/A</v>
      </c>
      <c r="D47" s="138"/>
      <c r="E47" s="138"/>
      <c r="F47" s="138"/>
      <c r="G47" s="138"/>
    </row>
    <row r="48" ht="22.5" customHeight="1">
      <c r="A48" s="138"/>
      <c r="B48" s="139"/>
      <c r="C48" s="138" t="str">
        <f>VLOOKUP(B48,'MATCH DATES'!A44:B51,2,0)</f>
        <v>#N/A</v>
      </c>
      <c r="D48" s="138"/>
      <c r="E48" s="138"/>
      <c r="F48" s="138"/>
      <c r="G48" s="138"/>
    </row>
    <row r="49" ht="22.5" customHeight="1">
      <c r="A49" s="138"/>
      <c r="B49" s="139"/>
      <c r="C49" s="138" t="str">
        <f>VLOOKUP(B49,'MATCH DATES'!A45:B52,2,0)</f>
        <v>#N/A</v>
      </c>
      <c r="D49" s="138"/>
      <c r="E49" s="138"/>
      <c r="F49" s="138"/>
      <c r="G49" s="138"/>
    </row>
    <row r="50" ht="22.5" customHeight="1">
      <c r="A50" s="138"/>
      <c r="B50" s="139"/>
      <c r="C50" s="138" t="str">
        <f>VLOOKUP(B50,'MATCH DATES'!A46:B53,2,0)</f>
        <v>#N/A</v>
      </c>
      <c r="D50" s="138"/>
      <c r="E50" s="138"/>
      <c r="F50" s="138"/>
      <c r="G50" s="138"/>
    </row>
    <row r="51" ht="22.5" customHeight="1">
      <c r="A51" s="138"/>
      <c r="B51" s="139"/>
      <c r="C51" s="138" t="str">
        <f>VLOOKUP(B51,'MATCH DATES'!A47:B54,2,0)</f>
        <v>#N/A</v>
      </c>
      <c r="D51" s="138"/>
      <c r="E51" s="138"/>
      <c r="F51" s="138"/>
      <c r="G51" s="138"/>
    </row>
    <row r="52" ht="22.5" customHeight="1">
      <c r="A52" s="138"/>
      <c r="B52" s="139"/>
      <c r="C52" s="138" t="str">
        <f>VLOOKUP(B52,'MATCH DATES'!A48:B55,2,0)</f>
        <v>#N/A</v>
      </c>
      <c r="D52" s="138"/>
      <c r="E52" s="138"/>
      <c r="F52" s="138"/>
      <c r="G52" s="138"/>
    </row>
    <row r="53" ht="22.5" customHeight="1">
      <c r="A53" s="138"/>
      <c r="B53" s="139"/>
      <c r="C53" s="138" t="str">
        <f>VLOOKUP(B53,'MATCH DATES'!A49:B56,2,0)</f>
        <v>#N/A</v>
      </c>
      <c r="D53" s="138"/>
      <c r="E53" s="138"/>
      <c r="F53" s="138"/>
      <c r="G53" s="138"/>
    </row>
    <row r="54" ht="22.5" customHeight="1">
      <c r="A54" s="138"/>
      <c r="B54" s="139"/>
      <c r="C54" s="138" t="str">
        <f>VLOOKUP(B54,'MATCH DATES'!A50:B57,2,0)</f>
        <v>#N/A</v>
      </c>
      <c r="D54" s="138"/>
      <c r="E54" s="138"/>
      <c r="F54" s="138"/>
      <c r="G54" s="138"/>
    </row>
    <row r="55" ht="22.5" customHeight="1">
      <c r="A55" s="138"/>
      <c r="B55" s="139"/>
      <c r="C55" s="138" t="str">
        <f>VLOOKUP(B55,'MATCH DATES'!A51:B58,2,0)</f>
        <v>#N/A</v>
      </c>
      <c r="D55" s="138"/>
      <c r="E55" s="138"/>
      <c r="F55" s="138"/>
      <c r="G55" s="138"/>
    </row>
    <row r="56" ht="22.5" customHeight="1">
      <c r="A56" s="138"/>
      <c r="B56" s="139"/>
      <c r="C56" s="138" t="str">
        <f>VLOOKUP(B56,'MATCH DATES'!A52:B59,2,0)</f>
        <v>#N/A</v>
      </c>
      <c r="D56" s="138"/>
      <c r="E56" s="138"/>
      <c r="F56" s="138"/>
      <c r="G56" s="138"/>
    </row>
    <row r="57" ht="22.5" customHeight="1">
      <c r="A57" s="138"/>
      <c r="B57" s="139"/>
      <c r="C57" s="138" t="str">
        <f>VLOOKUP(B57,'MATCH DATES'!A53:B60,2,0)</f>
        <v>#N/A</v>
      </c>
      <c r="D57" s="138"/>
      <c r="E57" s="138"/>
      <c r="F57" s="138"/>
      <c r="G57" s="138"/>
    </row>
    <row r="58" ht="22.5" customHeight="1">
      <c r="A58" s="138"/>
      <c r="B58" s="139"/>
      <c r="C58" s="138" t="str">
        <f>VLOOKUP(B58,'MATCH DATES'!A54:B61,2,0)</f>
        <v>#N/A</v>
      </c>
      <c r="D58" s="138"/>
      <c r="E58" s="138"/>
      <c r="F58" s="138"/>
      <c r="G58" s="138"/>
    </row>
    <row r="59" ht="22.5" customHeight="1">
      <c r="A59" s="138"/>
      <c r="B59" s="139"/>
      <c r="C59" s="138" t="str">
        <f>VLOOKUP(B59,'MATCH DATES'!A55:B62,2,0)</f>
        <v>#N/A</v>
      </c>
      <c r="D59" s="138"/>
      <c r="E59" s="138"/>
      <c r="F59" s="138"/>
      <c r="G59" s="138"/>
    </row>
    <row r="60" ht="22.5" customHeight="1">
      <c r="A60" s="138"/>
      <c r="B60" s="139"/>
      <c r="C60" s="138" t="str">
        <f>VLOOKUP(B60,'MATCH DATES'!A56:B63,2,0)</f>
        <v>#N/A</v>
      </c>
      <c r="D60" s="138"/>
      <c r="E60" s="138"/>
      <c r="F60" s="138"/>
      <c r="G60" s="138"/>
    </row>
    <row r="61" ht="22.5" customHeight="1">
      <c r="A61" s="138"/>
      <c r="B61" s="139"/>
      <c r="C61" s="138" t="str">
        <f>VLOOKUP(B61,'MATCH DATES'!A57:B64,2,0)</f>
        <v>#N/A</v>
      </c>
      <c r="D61" s="138"/>
      <c r="E61" s="138"/>
      <c r="F61" s="138"/>
      <c r="G61" s="138"/>
    </row>
    <row r="62" ht="22.5" customHeight="1">
      <c r="A62" s="138"/>
      <c r="B62" s="139"/>
      <c r="C62" s="138" t="str">
        <f>VLOOKUP(B62,'MATCH DATES'!A58:B65,2,0)</f>
        <v>#N/A</v>
      </c>
      <c r="D62" s="138"/>
      <c r="E62" s="138"/>
      <c r="F62" s="138"/>
      <c r="G62" s="138"/>
    </row>
    <row r="63" ht="22.5" customHeight="1">
      <c r="A63" s="138"/>
      <c r="B63" s="139"/>
      <c r="C63" s="138" t="str">
        <f>VLOOKUP(B63,'MATCH DATES'!A59:B66,2,0)</f>
        <v>#N/A</v>
      </c>
      <c r="D63" s="138"/>
      <c r="E63" s="138"/>
      <c r="F63" s="138"/>
      <c r="G63" s="138"/>
    </row>
    <row r="64" ht="22.5" customHeight="1">
      <c r="A64" s="138"/>
      <c r="B64" s="139"/>
      <c r="C64" s="138" t="str">
        <f>VLOOKUP(B64,'MATCH DATES'!A60:B67,2,0)</f>
        <v>#N/A</v>
      </c>
      <c r="D64" s="138"/>
      <c r="E64" s="138"/>
      <c r="F64" s="138"/>
      <c r="G64" s="138"/>
    </row>
    <row r="65" ht="22.5" customHeight="1">
      <c r="A65" s="138"/>
      <c r="B65" s="139"/>
      <c r="C65" s="138" t="str">
        <f>VLOOKUP(B65,'MATCH DATES'!A61:B68,2,0)</f>
        <v>#N/A</v>
      </c>
      <c r="D65" s="138"/>
      <c r="E65" s="138"/>
      <c r="F65" s="138"/>
      <c r="G65" s="138"/>
    </row>
    <row r="66" ht="22.5" customHeight="1">
      <c r="A66" s="138"/>
      <c r="B66" s="139"/>
      <c r="C66" s="138" t="str">
        <f>VLOOKUP(B66,'MATCH DATES'!A62:B69,2,0)</f>
        <v>#N/A</v>
      </c>
      <c r="D66" s="138"/>
      <c r="E66" s="138"/>
      <c r="F66" s="138"/>
      <c r="G66" s="138"/>
    </row>
    <row r="67" ht="22.5" customHeight="1">
      <c r="A67" s="138"/>
      <c r="B67" s="139"/>
      <c r="C67" s="138" t="str">
        <f>VLOOKUP(B67,'MATCH DATES'!A63:B70,2,0)</f>
        <v>#N/A</v>
      </c>
      <c r="D67" s="138"/>
      <c r="E67" s="138"/>
      <c r="F67" s="138"/>
      <c r="G67" s="138"/>
    </row>
    <row r="68" ht="22.5" customHeight="1">
      <c r="A68" s="138"/>
      <c r="B68" s="139"/>
      <c r="C68" s="138" t="str">
        <f>VLOOKUP(B68,'MATCH DATES'!A64:B71,2,0)</f>
        <v>#N/A</v>
      </c>
      <c r="D68" s="138"/>
      <c r="E68" s="138"/>
      <c r="F68" s="138"/>
      <c r="G68" s="138"/>
    </row>
    <row r="69" ht="22.5" customHeight="1">
      <c r="A69" s="138"/>
      <c r="B69" s="139"/>
      <c r="C69" s="138" t="str">
        <f>VLOOKUP(B69,'MATCH DATES'!A65:B72,2,0)</f>
        <v>#N/A</v>
      </c>
      <c r="D69" s="138"/>
      <c r="E69" s="138"/>
      <c r="F69" s="138"/>
      <c r="G69" s="138"/>
    </row>
    <row r="70" ht="22.5" customHeight="1">
      <c r="A70" s="138"/>
      <c r="B70" s="139"/>
      <c r="C70" s="138" t="str">
        <f>VLOOKUP(B70,'MATCH DATES'!A66:B73,2,0)</f>
        <v>#N/A</v>
      </c>
      <c r="D70" s="138"/>
      <c r="E70" s="138"/>
      <c r="F70" s="138"/>
      <c r="G70" s="138"/>
    </row>
    <row r="71" ht="22.5" customHeight="1">
      <c r="A71" s="138"/>
      <c r="B71" s="139"/>
      <c r="C71" s="138" t="str">
        <f>VLOOKUP(B71,'MATCH DATES'!A67:B74,2,0)</f>
        <v>#N/A</v>
      </c>
      <c r="D71" s="138"/>
      <c r="E71" s="138"/>
      <c r="F71" s="138"/>
      <c r="G71" s="138"/>
    </row>
    <row r="72" ht="22.5" customHeight="1">
      <c r="A72" s="138"/>
      <c r="B72" s="139"/>
      <c r="C72" s="138" t="str">
        <f>VLOOKUP(B72,'MATCH DATES'!A68:B75,2,0)</f>
        <v>#N/A</v>
      </c>
      <c r="D72" s="138"/>
      <c r="E72" s="138"/>
      <c r="F72" s="138"/>
      <c r="G72" s="138"/>
    </row>
    <row r="73" ht="22.5" customHeight="1">
      <c r="A73" s="138"/>
      <c r="B73" s="139"/>
      <c r="C73" s="138" t="str">
        <f>VLOOKUP(B73,'MATCH DATES'!A69:B76,2,0)</f>
        <v>#N/A</v>
      </c>
      <c r="D73" s="138"/>
      <c r="E73" s="138"/>
      <c r="F73" s="138"/>
      <c r="G73" s="138"/>
    </row>
    <row r="74" ht="22.5" customHeight="1">
      <c r="A74" s="138"/>
      <c r="B74" s="139"/>
      <c r="C74" s="138" t="str">
        <f>VLOOKUP(B74,'MATCH DATES'!A70:B77,2,0)</f>
        <v>#N/A</v>
      </c>
      <c r="D74" s="138"/>
      <c r="E74" s="138"/>
      <c r="F74" s="138"/>
      <c r="G74" s="138"/>
    </row>
    <row r="75" ht="22.5" customHeight="1">
      <c r="A75" s="138"/>
      <c r="B75" s="139"/>
      <c r="C75" s="138" t="str">
        <f>VLOOKUP(B75,'MATCH DATES'!A71:B78,2,0)</f>
        <v>#N/A</v>
      </c>
      <c r="D75" s="138"/>
      <c r="E75" s="138"/>
      <c r="F75" s="138"/>
      <c r="G75" s="138"/>
    </row>
    <row r="76" ht="22.5" customHeight="1">
      <c r="A76" s="138"/>
      <c r="B76" s="139"/>
      <c r="C76" s="138" t="str">
        <f>VLOOKUP(B76,'MATCH DATES'!A72:B79,2,0)</f>
        <v>#N/A</v>
      </c>
      <c r="D76" s="138"/>
      <c r="E76" s="138"/>
      <c r="F76" s="138"/>
      <c r="G76" s="138"/>
    </row>
    <row r="77" ht="22.5" customHeight="1">
      <c r="A77" s="138"/>
      <c r="B77" s="139"/>
      <c r="C77" s="138" t="str">
        <f>VLOOKUP(B77,'MATCH DATES'!A73:B80,2,0)</f>
        <v>#N/A</v>
      </c>
      <c r="D77" s="138"/>
      <c r="E77" s="138"/>
      <c r="F77" s="138"/>
      <c r="G77" s="138"/>
    </row>
    <row r="78" ht="22.5" customHeight="1">
      <c r="A78" s="138"/>
      <c r="B78" s="139"/>
      <c r="C78" s="138" t="str">
        <f>VLOOKUP(B78,'MATCH DATES'!A74:B81,2,0)</f>
        <v>#N/A</v>
      </c>
      <c r="D78" s="138"/>
      <c r="E78" s="138"/>
      <c r="F78" s="138"/>
      <c r="G78" s="138"/>
    </row>
    <row r="79" ht="22.5" customHeight="1">
      <c r="A79" s="138"/>
      <c r="B79" s="139"/>
      <c r="C79" s="138" t="str">
        <f>VLOOKUP(B79,'MATCH DATES'!A75:B82,2,0)</f>
        <v>#N/A</v>
      </c>
      <c r="D79" s="138"/>
      <c r="E79" s="138"/>
      <c r="F79" s="138"/>
      <c r="G79" s="138"/>
    </row>
    <row r="80" ht="22.5" customHeight="1">
      <c r="A80" s="138"/>
      <c r="B80" s="139"/>
      <c r="C80" s="138" t="str">
        <f>VLOOKUP(B80,'MATCH DATES'!A76:B83,2,0)</f>
        <v>#N/A</v>
      </c>
      <c r="D80" s="138"/>
      <c r="E80" s="138"/>
      <c r="F80" s="138"/>
      <c r="G80" s="138"/>
    </row>
    <row r="81" ht="22.5" customHeight="1">
      <c r="A81" s="138"/>
      <c r="B81" s="139"/>
      <c r="C81" s="138" t="str">
        <f>VLOOKUP(B81,'MATCH DATES'!A77:B84,2,0)</f>
        <v>#N/A</v>
      </c>
      <c r="D81" s="138"/>
      <c r="E81" s="138"/>
      <c r="F81" s="138"/>
      <c r="G81" s="138"/>
    </row>
    <row r="82" ht="22.5" customHeight="1">
      <c r="A82" s="138"/>
      <c r="B82" s="139"/>
      <c r="C82" s="138" t="str">
        <f>VLOOKUP(B82,'MATCH DATES'!A78:B85,2,0)</f>
        <v>#N/A</v>
      </c>
      <c r="D82" s="138"/>
      <c r="E82" s="138"/>
      <c r="F82" s="138"/>
      <c r="G82" s="138"/>
    </row>
    <row r="83" ht="22.5" customHeight="1">
      <c r="A83" s="138"/>
      <c r="B83" s="139"/>
      <c r="C83" s="138" t="str">
        <f>VLOOKUP(B83,'MATCH DATES'!A79:B86,2,0)</f>
        <v>#N/A</v>
      </c>
      <c r="D83" s="138"/>
      <c r="E83" s="138"/>
      <c r="F83" s="138"/>
      <c r="G83" s="138"/>
    </row>
    <row r="84" ht="22.5" customHeight="1">
      <c r="A84" s="138"/>
      <c r="B84" s="139"/>
      <c r="C84" s="138" t="str">
        <f>VLOOKUP(B84,'MATCH DATES'!A80:B87,2,0)</f>
        <v>#N/A</v>
      </c>
      <c r="D84" s="138"/>
      <c r="E84" s="138"/>
      <c r="F84" s="138"/>
      <c r="G84" s="138"/>
    </row>
    <row r="85" ht="22.5" customHeight="1">
      <c r="A85" s="138"/>
      <c r="B85" s="139"/>
      <c r="C85" s="138" t="str">
        <f>VLOOKUP(B85,'MATCH DATES'!A81:B88,2,0)</f>
        <v>#N/A</v>
      </c>
      <c r="D85" s="138"/>
      <c r="E85" s="138"/>
      <c r="F85" s="138"/>
      <c r="G85" s="138"/>
    </row>
    <row r="86" ht="22.5" customHeight="1">
      <c r="A86" s="138"/>
      <c r="B86" s="139"/>
      <c r="C86" s="138" t="str">
        <f>VLOOKUP(B86,'MATCH DATES'!A82:B89,2,0)</f>
        <v>#N/A</v>
      </c>
      <c r="D86" s="138"/>
      <c r="E86" s="138"/>
      <c r="F86" s="138"/>
      <c r="G86" s="138"/>
    </row>
    <row r="87" ht="22.5" customHeight="1">
      <c r="A87" s="138"/>
      <c r="B87" s="139"/>
      <c r="C87" s="138" t="str">
        <f>VLOOKUP(B87,'MATCH DATES'!A83:B90,2,0)</f>
        <v>#N/A</v>
      </c>
      <c r="D87" s="138"/>
      <c r="E87" s="138"/>
      <c r="F87" s="138"/>
      <c r="G87" s="138"/>
    </row>
    <row r="88" ht="22.5" customHeight="1">
      <c r="A88" s="138"/>
      <c r="B88" s="139"/>
      <c r="C88" s="138" t="str">
        <f>VLOOKUP(B88,'MATCH DATES'!A84:B91,2,0)</f>
        <v>#N/A</v>
      </c>
      <c r="D88" s="138"/>
      <c r="E88" s="138"/>
      <c r="F88" s="138"/>
      <c r="G88" s="138"/>
    </row>
    <row r="89" ht="22.5" customHeight="1">
      <c r="A89" s="138"/>
      <c r="B89" s="139"/>
      <c r="C89" s="138" t="str">
        <f>VLOOKUP(B89,'MATCH DATES'!A85:B92,2,0)</f>
        <v>#N/A</v>
      </c>
      <c r="D89" s="138"/>
      <c r="E89" s="138"/>
      <c r="F89" s="138"/>
      <c r="G89" s="138"/>
    </row>
    <row r="90" ht="22.5" customHeight="1">
      <c r="A90" s="138"/>
      <c r="B90" s="139"/>
      <c r="C90" s="138" t="str">
        <f>VLOOKUP(B90,'MATCH DATES'!A86:B93,2,0)</f>
        <v>#N/A</v>
      </c>
      <c r="D90" s="138"/>
      <c r="E90" s="138"/>
      <c r="F90" s="138"/>
      <c r="G90" s="138"/>
    </row>
    <row r="91" ht="22.5" customHeight="1">
      <c r="A91" s="138"/>
      <c r="B91" s="139"/>
      <c r="C91" s="138" t="str">
        <f>VLOOKUP(B91,'MATCH DATES'!A87:B94,2,0)</f>
        <v>#N/A</v>
      </c>
      <c r="D91" s="138"/>
      <c r="E91" s="138"/>
      <c r="F91" s="138"/>
      <c r="G91" s="138"/>
    </row>
    <row r="92" ht="22.5" customHeight="1">
      <c r="A92" s="138"/>
      <c r="B92" s="139"/>
      <c r="C92" s="138" t="str">
        <f>VLOOKUP(B92,'MATCH DATES'!A88:B95,2,0)</f>
        <v>#N/A</v>
      </c>
      <c r="D92" s="138"/>
      <c r="E92" s="138"/>
      <c r="F92" s="138"/>
      <c r="G92" s="138"/>
    </row>
    <row r="93" ht="22.5" customHeight="1">
      <c r="A93" s="138"/>
      <c r="B93" s="139"/>
      <c r="C93" s="138" t="str">
        <f>VLOOKUP(B93,'MATCH DATES'!A89:B96,2,0)</f>
        <v>#N/A</v>
      </c>
      <c r="D93" s="138"/>
      <c r="E93" s="138"/>
      <c r="F93" s="138"/>
      <c r="G93" s="138"/>
    </row>
    <row r="94" ht="22.5" customHeight="1">
      <c r="A94" s="138"/>
      <c r="B94" s="139"/>
      <c r="C94" s="138" t="str">
        <f>VLOOKUP(B94,'MATCH DATES'!A90:B97,2,0)</f>
        <v>#N/A</v>
      </c>
      <c r="D94" s="138"/>
      <c r="E94" s="138"/>
      <c r="F94" s="138"/>
      <c r="G94" s="138"/>
    </row>
    <row r="95" ht="22.5" customHeight="1">
      <c r="A95" s="138"/>
      <c r="B95" s="139"/>
      <c r="C95" s="138" t="str">
        <f>VLOOKUP(B95,'MATCH DATES'!A91:B98,2,0)</f>
        <v>#N/A</v>
      </c>
      <c r="D95" s="138"/>
      <c r="E95" s="138"/>
      <c r="F95" s="138"/>
      <c r="G95" s="138"/>
    </row>
    <row r="96" ht="22.5" customHeight="1">
      <c r="A96" s="138"/>
      <c r="B96" s="139"/>
      <c r="C96" s="138" t="str">
        <f>VLOOKUP(B96,'MATCH DATES'!A92:B99,2,0)</f>
        <v>#N/A</v>
      </c>
      <c r="D96" s="138"/>
      <c r="E96" s="138"/>
      <c r="F96" s="138"/>
      <c r="G96" s="138"/>
    </row>
    <row r="97" ht="22.5" customHeight="1">
      <c r="A97" s="138"/>
      <c r="B97" s="139"/>
      <c r="C97" s="138" t="str">
        <f>VLOOKUP(B97,'MATCH DATES'!A93:B100,2,0)</f>
        <v>#N/A</v>
      </c>
      <c r="D97" s="138"/>
      <c r="E97" s="138"/>
      <c r="F97" s="138"/>
      <c r="G97" s="138"/>
    </row>
    <row r="98" ht="22.5" customHeight="1">
      <c r="A98" s="138"/>
      <c r="B98" s="139"/>
      <c r="C98" s="138" t="str">
        <f>VLOOKUP(B98,'MATCH DATES'!A94:B101,2,0)</f>
        <v>#N/A</v>
      </c>
      <c r="D98" s="138"/>
      <c r="E98" s="138"/>
      <c r="F98" s="138"/>
      <c r="G98" s="138"/>
    </row>
    <row r="99" ht="22.5" customHeight="1">
      <c r="A99" s="138"/>
      <c r="B99" s="139"/>
      <c r="C99" s="138" t="str">
        <f>VLOOKUP(B99,'MATCH DATES'!A95:B102,2,0)</f>
        <v>#N/A</v>
      </c>
      <c r="D99" s="138"/>
      <c r="E99" s="138"/>
      <c r="F99" s="138"/>
      <c r="G99" s="138"/>
    </row>
    <row r="100" ht="22.5" customHeight="1">
      <c r="A100" s="138"/>
      <c r="B100" s="139"/>
      <c r="C100" s="138" t="str">
        <f>VLOOKUP(B100,'MATCH DATES'!A96:B103,2,0)</f>
        <v>#N/A</v>
      </c>
      <c r="D100" s="138"/>
      <c r="E100" s="138"/>
      <c r="F100" s="138"/>
      <c r="G100" s="138"/>
    </row>
    <row r="101" ht="22.5" customHeight="1">
      <c r="A101" s="138"/>
      <c r="B101" s="139"/>
      <c r="C101" s="138" t="str">
        <f>VLOOKUP(B101,'MATCH DATES'!A97:B104,2,0)</f>
        <v>#N/A</v>
      </c>
      <c r="D101" s="138"/>
      <c r="E101" s="138"/>
      <c r="F101" s="138"/>
      <c r="G101" s="138"/>
    </row>
    <row r="102" ht="22.5" customHeight="1">
      <c r="A102" s="138"/>
      <c r="B102" s="139"/>
      <c r="C102" s="138" t="str">
        <f>VLOOKUP(B102,'MATCH DATES'!A98:B105,2,0)</f>
        <v>#N/A</v>
      </c>
      <c r="D102" s="138"/>
      <c r="E102" s="138"/>
      <c r="F102" s="138"/>
      <c r="G102" s="138"/>
    </row>
    <row r="103" ht="22.5" customHeight="1">
      <c r="A103" s="138"/>
      <c r="B103" s="139"/>
      <c r="C103" s="138" t="str">
        <f>VLOOKUP(B103,'MATCH DATES'!A99:B106,2,0)</f>
        <v>#N/A</v>
      </c>
      <c r="D103" s="138"/>
      <c r="E103" s="138"/>
      <c r="F103" s="138"/>
      <c r="G103" s="138"/>
    </row>
    <row r="104" ht="22.5" customHeight="1">
      <c r="A104" s="138"/>
      <c r="B104" s="139"/>
      <c r="C104" s="138" t="str">
        <f>VLOOKUP(B104,'MATCH DATES'!A100:B107,2,0)</f>
        <v>#N/A</v>
      </c>
      <c r="D104" s="138"/>
      <c r="E104" s="138"/>
      <c r="F104" s="138"/>
      <c r="G104" s="138"/>
    </row>
    <row r="105" ht="22.5" customHeight="1">
      <c r="A105" s="138"/>
      <c r="B105" s="139"/>
      <c r="C105" s="138" t="str">
        <f>VLOOKUP(B105,'MATCH DATES'!A101:B108,2,0)</f>
        <v>#N/A</v>
      </c>
      <c r="D105" s="138"/>
      <c r="E105" s="138"/>
      <c r="F105" s="138"/>
      <c r="G105" s="138"/>
    </row>
  </sheetData>
  <dataValidations>
    <dataValidation type="custom" allowBlank="1" showDropDown="1" sqref="B2:B105">
      <formula1>OR(NOT(ISERROR(DATEVALUE(B2))), AND(ISNUMBER(B2), LEFT(CELL("format", B2))="D"))</formula1>
    </dataValidation>
  </dataValidations>
  <drawing r:id="rId1"/>
  <tableParts count="1">
    <tablePart r:id="rId3"/>
  </tableParts>
</worksheet>
</file>