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DATES" sheetId="1" r:id="rId5"/>
    <sheet state="visible" name="PLAYER_PROFILE" sheetId="2" r:id="rId6"/>
    <sheet state="visible" name="WEEKLY_TEAMS" sheetId="3" r:id="rId7"/>
    <sheet state="visible" name="MATCH_INPUT" sheetId="4" r:id="rId8"/>
    <sheet state="visible" name="VIEW_MATCH_INPUT" sheetId="5" r:id="rId9"/>
    <sheet state="visible" name="PLAYER_STAT" sheetId="6" r:id="rId10"/>
    <sheet state="visible" name="MATCH_HTML" sheetId="7" r:id="rId11"/>
    <sheet state="visible" name="LEAGUE_STANDINGS" sheetId="8" r:id="rId12"/>
    <sheet state="visible" name="WEEKLY_ROSTER" sheetId="9" r:id="rId13"/>
    <sheet state="visible" name="FORM" sheetId="10" r:id="rId14"/>
  </sheets>
  <definedNames>
    <definedName name="MANDARINA_SEASON">WEEKLY_TEAMS!$A$1:$CY$52</definedName>
    <definedName name="PLAYER_STAT_TABLE">PLAYER_STAT!$1:$984</definedName>
    <definedName name="LeagueStandingsTable">LEAGUE_STANDINGS!$B$13:$L$110</definedName>
  </definedNames>
  <calcPr/>
</workbook>
</file>

<file path=xl/sharedStrings.xml><?xml version="1.0" encoding="utf-8"?>
<sst xmlns="http://schemas.openxmlformats.org/spreadsheetml/2006/main" count="1379" uniqueCount="349">
  <si>
    <t>Season to start 9/4/25</t>
  </si>
  <si>
    <t>MATCH DAY 1</t>
  </si>
  <si>
    <t>MATCH DAY 2</t>
  </si>
  <si>
    <t>MATCH DAY 3</t>
  </si>
  <si>
    <t>MATCH DAY 4</t>
  </si>
  <si>
    <t>MATCH DAY 5</t>
  </si>
  <si>
    <t>MATCH DAY 6</t>
  </si>
  <si>
    <t>MATCH DAY 7</t>
  </si>
  <si>
    <t>MATCH DAY 8</t>
  </si>
  <si>
    <t>WHAT IS THE PRIORITY SORTING FOR THIS</t>
  </si>
  <si>
    <t>With the updated formula I provided, the priority sorting is as follows:</t>
  </si>
  <si>
    <t>Total Points (CQ) - Highest priority, sorted in descending order.</t>
  </si>
  <si>
    <t>Wins (CR) - Second priority, sorted in descending order.</t>
  </si>
  <si>
    <t>Draws (CS) - Third priority, sorted in descending order.</t>
  </si>
  <si>
    <t>Losses (CT) - Fourth priority, sorted in descending order.</t>
  </si>
  <si>
    <t>Goals (CU) - Fifth priority, sorted in descending order.</t>
  </si>
  <si>
    <t>Clean Sheets (CV) - Sixth priority, sorted in descending order.</t>
  </si>
  <si>
    <t>Attendance (Matches Played) (CP) - Last priority, sorted in descending order.</t>
  </si>
  <si>
    <t>This order ensures that Total Points will always take precedence, followed by the other criteria in the order specified. This way, even if a player or team has high values in goals or clean sheets, the primary sorting criterion will still be Total Points.</t>
  </si>
  <si>
    <t>Timestamp</t>
  </si>
  <si>
    <t>PlayerName</t>
  </si>
  <si>
    <t>Nickname</t>
  </si>
  <si>
    <t>MemberStatus</t>
  </si>
  <si>
    <t>Agreed</t>
  </si>
  <si>
    <t>Joseph Muro</t>
  </si>
  <si>
    <t>With a Buddy / Con un Buddy</t>
  </si>
  <si>
    <t>Yes</t>
  </si>
  <si>
    <t>Juan Pablo Valladares</t>
  </si>
  <si>
    <t>Juanpi</t>
  </si>
  <si>
    <t>Weekly Player / Jugador Semanal</t>
  </si>
  <si>
    <t>Iury Da Silva</t>
  </si>
  <si>
    <t>Da Silva</t>
  </si>
  <si>
    <t>José Blanco</t>
  </si>
  <si>
    <t>Isco</t>
  </si>
  <si>
    <t>Gerardo Mendizabal</t>
  </si>
  <si>
    <t>Carlos Haro</t>
  </si>
  <si>
    <t>Carlos Silva</t>
  </si>
  <si>
    <t>Carlos</t>
  </si>
  <si>
    <t>Walter Acero</t>
  </si>
  <si>
    <t>Sub / Suplente</t>
  </si>
  <si>
    <t>Fabian Munoz</t>
  </si>
  <si>
    <t>Jordan toledo</t>
  </si>
  <si>
    <t>Jordan</t>
  </si>
  <si>
    <t>Nicolas Galviz</t>
  </si>
  <si>
    <t>Jhony Sanchez</t>
  </si>
  <si>
    <t>Rudy Ramirez</t>
  </si>
  <si>
    <t>Jose Sarza</t>
  </si>
  <si>
    <t>Jose</t>
  </si>
  <si>
    <t>luis enrique martinez</t>
  </si>
  <si>
    <t>Cuñis</t>
  </si>
  <si>
    <t>Efrain Jauregui</t>
  </si>
  <si>
    <t>Poli</t>
  </si>
  <si>
    <t>Eder Martinez</t>
  </si>
  <si>
    <t>Eder</t>
  </si>
  <si>
    <t>Victor Nizama</t>
  </si>
  <si>
    <t>Victor N</t>
  </si>
  <si>
    <t>David Toro</t>
  </si>
  <si>
    <t>C Valverde</t>
  </si>
  <si>
    <t>Valverde</t>
  </si>
  <si>
    <t>Jesus David</t>
  </si>
  <si>
    <t>Chuchin</t>
  </si>
  <si>
    <t>Asdruval Villanueva</t>
  </si>
  <si>
    <t>Osmin DLeon</t>
  </si>
  <si>
    <t>Sobras</t>
  </si>
  <si>
    <t>Honorio Hernandez</t>
  </si>
  <si>
    <t>Honorio</t>
  </si>
  <si>
    <t>Andres Aguayo</t>
  </si>
  <si>
    <t>Roberto Carlos Cruz</t>
  </si>
  <si>
    <t>Presi</t>
  </si>
  <si>
    <t>Cesar Lopez</t>
  </si>
  <si>
    <t>Jeff Arce</t>
  </si>
  <si>
    <t>Jose Cerf</t>
  </si>
  <si>
    <t>Chato</t>
  </si>
  <si>
    <t>Luis De La Rosa</t>
  </si>
  <si>
    <t>Chavito/Taliban</t>
  </si>
  <si>
    <t>Rodolfo Toledo</t>
  </si>
  <si>
    <t>Luis Urueta</t>
  </si>
  <si>
    <t>Javier</t>
  </si>
  <si>
    <t>Alex Meneses</t>
  </si>
  <si>
    <t>Gabriel Alava</t>
  </si>
  <si>
    <t>Gabo</t>
  </si>
  <si>
    <t>Guillermo Lenz</t>
  </si>
  <si>
    <t>Bolivia</t>
  </si>
  <si>
    <t>Crisanto Valencia</t>
  </si>
  <si>
    <t>Valencia</t>
  </si>
  <si>
    <t>Michael Enriquez</t>
  </si>
  <si>
    <t>Mikey</t>
  </si>
  <si>
    <t>Oscar Rosales</t>
  </si>
  <si>
    <t>Pirlo</t>
  </si>
  <si>
    <t>J Enerson</t>
  </si>
  <si>
    <t>Nicky Diaz</t>
  </si>
  <si>
    <t>Ruben’s B.</t>
  </si>
  <si>
    <t>Ruben’s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</si>
  <si>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</si>
  <si>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</si>
  <si>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</si>
  <si>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</si>
  <si>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</si>
  <si>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</si>
  <si>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</si>
  <si>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</si>
  <si>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STATUS</t>
  </si>
  <si>
    <t>PLAYER</t>
  </si>
  <si>
    <t>MD 1 TEAM</t>
  </si>
  <si>
    <t>MD 1 TOTAL POINTS</t>
  </si>
  <si>
    <t>MD 1 ATTENDANCE</t>
  </si>
  <si>
    <t>MD 1 POINTS</t>
  </si>
  <si>
    <t>MD 1 (W)</t>
  </si>
  <si>
    <t>MD 1 (D)</t>
  </si>
  <si>
    <t>MD 1 (L)</t>
  </si>
  <si>
    <t>MD 1 GOALS</t>
  </si>
  <si>
    <t>MD 1 GOALIE POINT</t>
  </si>
  <si>
    <t>MD 1 CLEAN SHEET</t>
  </si>
  <si>
    <t>MD 1 RANK</t>
  </si>
  <si>
    <t>MD 1 FORM</t>
  </si>
  <si>
    <t>MD 2 TEAM</t>
  </si>
  <si>
    <t>MD 2 ACCUMULATED POINTS</t>
  </si>
  <si>
    <t>MD 2 ATTENDANCE</t>
  </si>
  <si>
    <t>MD 2 POINTS</t>
  </si>
  <si>
    <t>MD 2 (W)</t>
  </si>
  <si>
    <t>MD 2 (D)</t>
  </si>
  <si>
    <t>MD 2 (L)</t>
  </si>
  <si>
    <t>MD 2 GOALS</t>
  </si>
  <si>
    <t>MD 2 GOALIE POINT</t>
  </si>
  <si>
    <t>MD  2 Clean Sheet</t>
  </si>
  <si>
    <t>MD 2 RANK</t>
  </si>
  <si>
    <t>MD 2 FORM</t>
  </si>
  <si>
    <t>MD 3 TEAM</t>
  </si>
  <si>
    <t>MD 3 ACCUMULATED POINTS</t>
  </si>
  <si>
    <t>MD 3 ATTENDANCE</t>
  </si>
  <si>
    <t>MD 3 POINTS</t>
  </si>
  <si>
    <t>MD 3 (W)</t>
  </si>
  <si>
    <t>MD 3 (D)</t>
  </si>
  <si>
    <t>MD 3 (L)</t>
  </si>
  <si>
    <t>MD 3 GOALS</t>
  </si>
  <si>
    <t>MD 3 GOALIE POINT</t>
  </si>
  <si>
    <t>MD 3 CLEAN SHEET</t>
  </si>
  <si>
    <t>MD 3 RANK</t>
  </si>
  <si>
    <t>MD 3 FORM</t>
  </si>
  <si>
    <t>MD 4 TEAM</t>
  </si>
  <si>
    <t>MD 4 ACCUMULATED POINTS</t>
  </si>
  <si>
    <t>MD 4 ATTENDANCE</t>
  </si>
  <si>
    <t>MD 4 POINTS</t>
  </si>
  <si>
    <t>MD 4 (W)</t>
  </si>
  <si>
    <t>MD 4 (D)</t>
  </si>
  <si>
    <t>MD 4 (L)</t>
  </si>
  <si>
    <t>MD 4 GOALS</t>
  </si>
  <si>
    <t>MD 4 GOALIE POINT</t>
  </si>
  <si>
    <t>MD  4 Clean Sheet</t>
  </si>
  <si>
    <t>MD 4 RANK</t>
  </si>
  <si>
    <t>MD 4 FORM</t>
  </si>
  <si>
    <t>MD 5 TEAM</t>
  </si>
  <si>
    <t>MD 5 ACCUMULATED POINTS</t>
  </si>
  <si>
    <t>MD 5 ATTENDANCE</t>
  </si>
  <si>
    <t>MD 5 POINTS</t>
  </si>
  <si>
    <t>MD 5 (W)</t>
  </si>
  <si>
    <t>MD 5 (D)</t>
  </si>
  <si>
    <t>MD 5 (L)</t>
  </si>
  <si>
    <t>MD 5 GOALS</t>
  </si>
  <si>
    <t>MD 5 GOALIE POINT</t>
  </si>
  <si>
    <t>MD 5 CLEAN SHEET</t>
  </si>
  <si>
    <t>MD 5 RANK</t>
  </si>
  <si>
    <t>MD 5 FORM</t>
  </si>
  <si>
    <t>MD 6 TEAM</t>
  </si>
  <si>
    <t>MD 6 ACCUMULATED POINTS</t>
  </si>
  <si>
    <t>MD 6 ATTENDANCE</t>
  </si>
  <si>
    <t>MD 6 POINTS</t>
  </si>
  <si>
    <t>MD 6 (W)</t>
  </si>
  <si>
    <t>MD 6 (D)</t>
  </si>
  <si>
    <t>MD 6 (L)</t>
  </si>
  <si>
    <t>MD 6 GOALS</t>
  </si>
  <si>
    <t>MD 6 GOALIE POINT</t>
  </si>
  <si>
    <t>MD  6 Clean Sheet</t>
  </si>
  <si>
    <t>MD 6 RANK</t>
  </si>
  <si>
    <t>MD 6 FORM</t>
  </si>
  <si>
    <t>MD 7 TEAM</t>
  </si>
  <si>
    <t>MD 7 ACCUMULATED POINTS</t>
  </si>
  <si>
    <t>MD 7 ATTENDANCE</t>
  </si>
  <si>
    <t>MD 7 POINTS</t>
  </si>
  <si>
    <t>MD 7 (W)</t>
  </si>
  <si>
    <t>MD 7 (D)</t>
  </si>
  <si>
    <t>MD 7 (L)</t>
  </si>
  <si>
    <t>MD 7 GOALS</t>
  </si>
  <si>
    <t>MD 7 GOALIE POINT</t>
  </si>
  <si>
    <t>MD 7 CLEAN SHEET</t>
  </si>
  <si>
    <t>MD 7 RANK</t>
  </si>
  <si>
    <t>MD 7 FORM</t>
  </si>
  <si>
    <t>MD 8 TEAM</t>
  </si>
  <si>
    <t>MD 8 ACCUMULATED POINTS</t>
  </si>
  <si>
    <t>MD 8 ATTENDANCE</t>
  </si>
  <si>
    <t>MD 8 POINTS</t>
  </si>
  <si>
    <t>MD 8 (W)</t>
  </si>
  <si>
    <t>MD 8 (D)</t>
  </si>
  <si>
    <t>MD 8 (L)</t>
  </si>
  <si>
    <t>MD 8 GOALS</t>
  </si>
  <si>
    <t>MD 8 GOALIE POINT</t>
  </si>
  <si>
    <t>MD  8 Clean Sheet</t>
  </si>
  <si>
    <t>MD 8 RANK</t>
  </si>
  <si>
    <t>MD 8 FORM</t>
  </si>
  <si>
    <t>POINTS FOR GAMES</t>
  </si>
  <si>
    <t>SEASON STATUS</t>
  </si>
  <si>
    <t>PLAYER_</t>
  </si>
  <si>
    <t>TOTAL POINTS</t>
  </si>
  <si>
    <t>ATTENDANCE</t>
  </si>
  <si>
    <t>WINS</t>
  </si>
  <si>
    <t>DRAWS</t>
  </si>
  <si>
    <t>LOSSES</t>
  </si>
  <si>
    <t>GOALS</t>
  </si>
  <si>
    <t>GOALIE POINT</t>
  </si>
  <si>
    <t>CLEAN SHEETS</t>
  </si>
  <si>
    <t>🍂🎃</t>
  </si>
  <si>
    <t xml:space="preserve">Alex 👬 Gus </t>
  </si>
  <si>
    <t>GREEN</t>
  </si>
  <si>
    <t>BLUE</t>
  </si>
  <si>
    <t>MAGENTA</t>
  </si>
  <si>
    <t>ORANGE</t>
  </si>
  <si>
    <t>Andrés 👬 López</t>
  </si>
  <si>
    <t>Carlos S</t>
  </si>
  <si>
    <t>Chavito 👬 Coti</t>
  </si>
  <si>
    <t>Chilas 👬 Calin</t>
  </si>
  <si>
    <t>David</t>
  </si>
  <si>
    <t>Eder 👬 Honorio</t>
  </si>
  <si>
    <t>Efraín</t>
  </si>
  <si>
    <t>Enerson</t>
  </si>
  <si>
    <t>Fabián 👬 Asdruval</t>
  </si>
  <si>
    <t>Fer 👬 Guille</t>
  </si>
  <si>
    <t>Gerardo</t>
  </si>
  <si>
    <t>Jesús 👬 Rodrigo</t>
  </si>
  <si>
    <t>Jhony S</t>
  </si>
  <si>
    <t>José Sarza</t>
  </si>
  <si>
    <t>Joseph 👬 Da Silva</t>
  </si>
  <si>
    <t>Juan Pablo</t>
  </si>
  <si>
    <t>Kevin 👬 Mike</t>
  </si>
  <si>
    <t xml:space="preserve">Mikey </t>
  </si>
  <si>
    <t>Nicky</t>
  </si>
  <si>
    <t>Nicolás</t>
  </si>
  <si>
    <t>Osmin</t>
  </si>
  <si>
    <t>Rob</t>
  </si>
  <si>
    <t>Rodolfo 👬 Víctor S</t>
  </si>
  <si>
    <t>Ruben</t>
  </si>
  <si>
    <t>Rudy</t>
  </si>
  <si>
    <t>Víctor N</t>
  </si>
  <si>
    <t>🛗</t>
  </si>
  <si>
    <t>(Sub) Asdruval</t>
  </si>
  <si>
    <t>(Sub) 👬 Víctor S</t>
  </si>
  <si>
    <t>(Sub) Walter Acero</t>
  </si>
  <si>
    <t>(Sub) Emilio</t>
  </si>
  <si>
    <t>(Sub)  👬 Joseph</t>
  </si>
  <si>
    <t xml:space="preserve">(Sub) Eder 👬 Honorio </t>
  </si>
  <si>
    <t>(Sub)  👬 Jesús</t>
  </si>
  <si>
    <t>(Sub)  👬 Calin</t>
  </si>
  <si>
    <t>(Sub) Pedro</t>
  </si>
  <si>
    <t>(Sub) Sebastian Leal</t>
  </si>
  <si>
    <t>(Sub) Karter</t>
  </si>
  <si>
    <t>(Sub) Sergio</t>
  </si>
  <si>
    <t>(Sub) Jose Núñez</t>
  </si>
  <si>
    <t>MATCH DAY</t>
  </si>
  <si>
    <t>MATCH</t>
  </si>
  <si>
    <t>Court</t>
  </si>
  <si>
    <t>TEAM1</t>
  </si>
  <si>
    <t>SCORE1</t>
  </si>
  <si>
    <t>SCORE2</t>
  </si>
  <si>
    <t>TEAM2</t>
  </si>
  <si>
    <t>WINNER</t>
  </si>
  <si>
    <t>Points</t>
  </si>
  <si>
    <t>A</t>
  </si>
  <si>
    <t>VS</t>
  </si>
  <si>
    <t>1a</t>
  </si>
  <si>
    <t>B</t>
  </si>
  <si>
    <t>1b</t>
  </si>
  <si>
    <t>2a</t>
  </si>
  <si>
    <t>2b</t>
  </si>
  <si>
    <t>3a</t>
  </si>
  <si>
    <t>3b</t>
  </si>
  <si>
    <t xml:space="preserve">MATCH DAY 4
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</si>
  <si>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</si>
  <si>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</si>
  <si>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</si>
  <si>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</si>
  <si>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</si>
  <si>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</si>
  <si>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</si>
  <si>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</si>
  <si>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</si>
  <si>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</si>
  <si>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COURT</t>
  </si>
  <si>
    <t>TEAM 1</t>
  </si>
  <si>
    <t>SCORE 1</t>
  </si>
  <si>
    <t>TEAM 2</t>
  </si>
  <si>
    <t>SCORE 2</t>
  </si>
  <si>
    <t>DATE</t>
  </si>
  <si>
    <t>TEAM</t>
  </si>
  <si>
    <t>NAME</t>
  </si>
  <si>
    <t>GOALIE</t>
  </si>
  <si>
    <t>Víctor S</t>
  </si>
  <si>
    <t>Fabián</t>
  </si>
  <si>
    <t>Alex 👬 Gus</t>
  </si>
  <si>
    <t>Pedro</t>
  </si>
  <si>
    <t>Orange</t>
  </si>
  <si>
    <t>TEAM 1 GOALS</t>
  </si>
  <si>
    <t>TEAM 1 CHECK</t>
  </si>
  <si>
    <t>TEAM 2 GOALS</t>
  </si>
  <si>
    <t>TEAM 2 CHECK</t>
  </si>
  <si>
    <t>MP</t>
  </si>
  <si>
    <t>Match Days Played</t>
  </si>
  <si>
    <t>TP</t>
  </si>
  <si>
    <t>Total Points</t>
  </si>
  <si>
    <t>★</t>
  </si>
  <si>
    <t>SEASON STARTER</t>
  </si>
  <si>
    <t>W</t>
  </si>
  <si>
    <t>Win</t>
  </si>
  <si>
    <t>↳</t>
  </si>
  <si>
    <t>SUB</t>
  </si>
  <si>
    <t>D</t>
  </si>
  <si>
    <t>Draw</t>
  </si>
  <si>
    <t>L</t>
  </si>
  <si>
    <t>Loss</t>
  </si>
  <si>
    <t>G</t>
  </si>
  <si>
    <t>Goals Scored</t>
  </si>
  <si>
    <t>GP</t>
  </si>
  <si>
    <t>Goalie Points</t>
  </si>
  <si>
    <t>CS</t>
  </si>
  <si>
    <t>Clean Sheeets</t>
  </si>
  <si>
    <t>Top 4</t>
  </si>
  <si>
    <t>Relegated to ↳</t>
  </si>
  <si>
    <t>Promoted to ★</t>
  </si>
  <si>
    <t>FORM</t>
  </si>
  <si>
    <t>POS</t>
  </si>
  <si>
    <t>SZN</t>
  </si>
  <si>
    <t>🏆</t>
  </si>
  <si>
    <t>🏟️</t>
  </si>
  <si>
    <t>🙌</t>
  </si>
  <si>
    <t>🟰</t>
  </si>
  <si>
    <t>☹️</t>
  </si>
  <si>
    <t>🧤</t>
  </si>
  <si>
    <t xml:space="preserve">⚽️ </t>
  </si>
  <si>
    <t>🚫🥅</t>
  </si>
  <si>
    <t>MATCH DAY 1 - SCOREBOARD</t>
  </si>
  <si>
    <t>*** CLAIM MATCH DAY STATS WITHIN 2 HOURS ***</t>
  </si>
  <si>
    <t>-</t>
  </si>
  <si>
    <t>MATCH DAY 2 - SCOREBOARD</t>
  </si>
  <si>
    <t>MATCH DAY 3 - SCOREBOARD</t>
  </si>
  <si>
    <t>MATCH DAY 4 - SCOREBOARD</t>
  </si>
  <si>
    <t>MATCH DAY 5 - SCOREBOARD</t>
  </si>
  <si>
    <t>*** CLAIM MATCH DAY STATS WITHIN 2 HOURS *** ALL TEAM GOALS COUNT TOWARD INDIVIDUAL TOTAL POINTS ***</t>
  </si>
  <si>
    <t>MATCH DAY 6 - SCOREBOARD</t>
  </si>
  <si>
    <t>MATCH DAY 7 - SCOREBOARD</t>
  </si>
  <si>
    <t>MATCH DAY 8 - SCOREBOARD</t>
  </si>
  <si>
    <t>Season to start 1/9/25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</si>
</sst>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M/d/yyyy"/>
  </numFmts>
  <fonts count="38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rgb="FF000000"/>
      <name val="Aptos Narrow"/>
      <scheme val="minor"/>
    </font>
    <font>
      <color theme="1"/>
      <name val="Aptos Narrow"/>
      <scheme val="minor"/>
    </font>
    <font>
      <b/>
      <sz val="10.0"/>
      <color theme="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sz val="12.0"/>
      <color rgb="FFFFFFFF"/>
      <name val="Aptos Narrow"/>
    </font>
    <font>
      <sz val="10.0"/>
      <color rgb="FF000000"/>
      <name val="Arial"/>
    </font>
    <font>
      <sz val="10.0"/>
      <color theme="0"/>
      <name val="Arial"/>
    </font>
    <font>
      <sz val="12.0"/>
      <color rgb="FFFFFFFF"/>
      <name val="Arial"/>
    </font>
    <font>
      <b/>
      <sz val="9.0"/>
      <color rgb="FFFFFFFF"/>
      <name val="Arial"/>
    </font>
    <font>
      <b/>
      <sz val="9.0"/>
      <color theme="0"/>
      <name val="Aptos Narrow"/>
    </font>
    <font>
      <i/>
      <sz val="9.0"/>
      <color rgb="FFFFFF00"/>
      <name val="Arial"/>
    </font>
    <font>
      <sz val="9.0"/>
      <color theme="1"/>
      <name val="Aptos Narrow"/>
      <scheme val="minor"/>
    </font>
    <font>
      <sz val="9.0"/>
      <color theme="1"/>
      <name val="Aptos Narrow"/>
    </font>
    <font>
      <sz val="9.0"/>
      <color rgb="FFFFFFFF"/>
      <name val="Arial"/>
    </font>
    <font>
      <i/>
      <sz val="9.0"/>
      <color theme="0"/>
      <name val="Aptos Narrow"/>
    </font>
    <font>
      <sz val="9.0"/>
      <color theme="1"/>
      <name val="Arial"/>
    </font>
    <font>
      <sz val="9.0"/>
      <color theme="0"/>
      <name val="Aptos Narrow"/>
    </font>
    <font>
      <i/>
      <sz val="9.0"/>
      <color rgb="FFFFFFFF"/>
      <name val="Aptos Narrow"/>
    </font>
    <font/>
    <font>
      <sz val="12.0"/>
      <color rgb="FF000000"/>
      <name val="Arial"/>
    </font>
    <font>
      <b/>
      <sz val="6.0"/>
      <color rgb="FFFFFFFF"/>
      <name val="Arial"/>
    </font>
    <font>
      <b/>
      <sz val="5.0"/>
      <color rgb="FFFFFFFF"/>
      <name val="Arial"/>
    </font>
    <font>
      <b/>
      <sz val="7.0"/>
      <color rgb="FFFFFFFF"/>
      <name val="Arial"/>
    </font>
    <font>
      <b/>
      <sz val="4.0"/>
      <color rgb="FFFFFFFF"/>
      <name val="Arial"/>
    </font>
    <font>
      <b/>
      <sz val="11.0"/>
      <color rgb="FFFFFFFF"/>
      <name val="Arial"/>
    </font>
    <font>
      <sz val="8.0"/>
      <color rgb="FFFFFFFF"/>
      <name val="Aptos Narrow"/>
    </font>
    <font>
      <b/>
      <sz val="18.0"/>
      <color rgb="FFFFFFFF"/>
      <name val="Arial"/>
    </font>
    <font>
      <b/>
      <sz val="12.0"/>
      <color rgb="FFFFFFFF"/>
      <name val="Aptos Narrow"/>
    </font>
    <font>
      <sz val="8.0"/>
      <color rgb="FFFFFFFF"/>
      <name val="Arial"/>
    </font>
    <font>
      <b/>
      <sz val="12.0"/>
      <color theme="1"/>
      <name val="Arial"/>
    </font>
    <font>
      <sz val="12.0"/>
      <color rgb="FF232B2B"/>
      <name val="Arial"/>
    </font>
    <font>
      <sz val="12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003C43"/>
        <bgColor rgb="FF003C43"/>
      </patternFill>
    </fill>
    <fill>
      <patternFill patternType="solid">
        <fgColor rgb="FFA7E8BD"/>
        <bgColor rgb="FFA7E8BD"/>
      </patternFill>
    </fill>
    <fill>
      <patternFill patternType="solid">
        <fgColor rgb="FF57BB8A"/>
        <bgColor rgb="FF57BB8A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6B6B"/>
        <bgColor rgb="FFFF6B6B"/>
      </patternFill>
    </fill>
    <fill>
      <patternFill patternType="solid">
        <fgColor rgb="FF4DA8DA"/>
        <bgColor rgb="FF4DA8DA"/>
      </patternFill>
    </fill>
    <fill>
      <patternFill patternType="solid">
        <fgColor rgb="FF76D6FF"/>
        <bgColor rgb="FF76D6FF"/>
      </patternFill>
    </fill>
    <fill>
      <patternFill patternType="solid">
        <fgColor rgb="FF8EFA00"/>
        <bgColor rgb="FF8EFA00"/>
      </patternFill>
    </fill>
    <fill>
      <patternFill patternType="solid">
        <fgColor rgb="FFFF9300"/>
        <bgColor rgb="FFFF9300"/>
      </patternFill>
    </fill>
    <fill>
      <patternFill patternType="solid">
        <fgColor rgb="FFFF40FF"/>
        <bgColor rgb="FFFF40FF"/>
      </patternFill>
    </fill>
    <fill>
      <patternFill patternType="solid">
        <fgColor rgb="FF000000"/>
        <bgColor rgb="FF000000"/>
      </patternFill>
    </fill>
    <fill>
      <patternFill patternType="solid">
        <fgColor rgb="FF232B2B"/>
        <bgColor rgb="FF232B2B"/>
      </patternFill>
    </fill>
  </fills>
  <borders count="14">
    <border/>
    <border>
      <left style="double">
        <color rgb="FFFF9900"/>
      </left>
    </border>
    <border>
      <left style="double">
        <color rgb="FFFF9900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A7E8BD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003C43"/>
      </right>
      <top style="hair">
        <color rgb="FFFFFFFF"/>
      </top>
      <bottom style="hair">
        <color rgb="FFFFFFFF"/>
      </bottom>
    </border>
    <border>
      <left style="thin">
        <color rgb="FF003C43"/>
      </left>
      <right style="thin">
        <color rgb="FF003C43"/>
      </right>
      <top style="thin">
        <color rgb="FF003C43"/>
      </top>
      <bottom style="thin">
        <color rgb="FF003C43"/>
      </bottom>
    </border>
    <border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bottom style="thick">
        <color rgb="FFFFFFFF"/>
      </bottom>
    </border>
    <border>
      <left style="dotted">
        <color rgb="FFFFFFFF"/>
      </left>
      <right style="dotted">
        <color rgb="FFFFFFFF"/>
      </right>
      <bottom style="thick">
        <color rgb="FFFFFFFF"/>
      </bottom>
    </border>
    <border>
      <bottom style="double">
        <color rgb="FFFFFFF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horizontal="center" shrinkToFit="1" vertical="center" wrapText="0"/>
    </xf>
    <xf borderId="0" fillId="3" fontId="6" numFmtId="0" xfId="0" applyAlignment="1" applyFill="1" applyFont="1">
      <alignment horizontal="center" readingOrder="0" shrinkToFit="1" vertical="center" wrapText="0"/>
    </xf>
    <xf borderId="0" fillId="2" fontId="7" numFmtId="0" xfId="0" applyAlignment="1" applyFont="1">
      <alignment horizontal="center" readingOrder="0" shrinkToFit="1" vertical="center" wrapText="0"/>
    </xf>
    <xf borderId="0" fillId="4" fontId="6" numFmtId="0" xfId="0" applyAlignment="1" applyFill="1" applyFont="1">
      <alignment horizontal="center" shrinkToFit="1" vertical="center" wrapText="0"/>
    </xf>
    <xf borderId="0" fillId="4" fontId="8" numFmtId="0" xfId="0" applyAlignment="1" applyFont="1">
      <alignment horizontal="center" shrinkToFit="1" vertical="center" wrapText="0"/>
    </xf>
    <xf borderId="0" fillId="0" fontId="6" numFmtId="0" xfId="0" applyAlignment="1" applyFont="1">
      <alignment horizontal="center" readingOrder="0" shrinkToFit="0" textRotation="0" vertical="center" wrapText="1"/>
    </xf>
    <xf borderId="0" fillId="0" fontId="6" numFmtId="0" xfId="0" applyAlignment="1" applyFont="1">
      <alignment horizontal="center" readingOrder="0" shrinkToFit="0" textRotation="0" vertical="center" wrapText="1"/>
    </xf>
    <xf borderId="1" fillId="0" fontId="6" numFmtId="0" xfId="0" applyAlignment="1" applyBorder="1" applyFont="1">
      <alignment horizontal="center" readingOrder="0" shrinkToFit="0" textRotation="0" vertical="center" wrapText="1"/>
    </xf>
    <xf borderId="1" fillId="4" fontId="6" numFmtId="0" xfId="0" applyAlignment="1" applyBorder="1" applyFont="1">
      <alignment horizontal="center" readingOrder="0" shrinkToFit="0" textRotation="0" vertical="center" wrapText="1"/>
    </xf>
    <xf borderId="1" fillId="4" fontId="8" numFmtId="0" xfId="0" applyAlignment="1" applyBorder="1" applyFont="1">
      <alignment horizontal="center" readingOrder="0" shrinkToFit="0" textRotation="0" vertical="center" wrapText="1"/>
    </xf>
    <xf borderId="0" fillId="4" fontId="6" numFmtId="0" xfId="0" applyAlignment="1" applyFont="1">
      <alignment horizontal="center" readingOrder="0" shrinkToFit="0" textRotation="0" vertical="center" wrapText="1"/>
    </xf>
    <xf borderId="0" fillId="4" fontId="6" numFmtId="0" xfId="0" applyAlignment="1" applyFont="1">
      <alignment horizontal="center" readingOrder="0" shrinkToFit="0" textRotation="0" vertical="center" wrapText="1"/>
    </xf>
    <xf borderId="0" fillId="2" fontId="9" numFmtId="0" xfId="0" applyAlignment="1" applyFont="1">
      <alignment horizontal="center" readingOrder="0" shrinkToFit="1" vertical="center" wrapText="0"/>
    </xf>
    <xf borderId="0" fillId="2" fontId="10" numFmtId="0" xfId="0" applyAlignment="1" applyFont="1">
      <alignment horizontal="center" shrinkToFit="0" vertical="bottom" wrapText="0"/>
    </xf>
    <xf borderId="2" fillId="3" fontId="8" numFmtId="0" xfId="0" applyAlignment="1" applyBorder="1" applyFont="1">
      <alignment horizontal="center" readingOrder="0" shrinkToFit="1" vertical="center" wrapText="0"/>
    </xf>
    <xf borderId="3" fillId="3" fontId="8" numFmtId="0" xfId="0" applyAlignment="1" applyBorder="1" applyFont="1">
      <alignment horizontal="center" shrinkToFit="1" vertical="center" wrapText="0"/>
    </xf>
    <xf borderId="3" fillId="3" fontId="8" numFmtId="0" xfId="0" applyAlignment="1" applyBorder="1" applyFont="1">
      <alignment horizontal="center" readingOrder="0" shrinkToFit="1" vertical="center" wrapText="0"/>
    </xf>
    <xf borderId="4" fillId="3" fontId="11" numFmtId="0" xfId="0" applyAlignment="1" applyBorder="1" applyFont="1">
      <alignment horizontal="center" readingOrder="0" shrinkToFit="1" vertical="center" wrapText="0"/>
    </xf>
    <xf borderId="3" fillId="3" fontId="8" numFmtId="0" xfId="0" applyAlignment="1" applyBorder="1" applyFont="1">
      <alignment horizontal="center" shrinkToFit="0" vertical="center" wrapText="0"/>
    </xf>
    <xf borderId="5" fillId="3" fontId="8" numFmtId="0" xfId="0" applyAlignment="1" applyBorder="1" applyFont="1">
      <alignment horizontal="center" shrinkToFit="0" vertical="center" wrapText="0"/>
    </xf>
    <xf borderId="2" fillId="2" fontId="9" numFmtId="0" xfId="0" applyAlignment="1" applyBorder="1" applyFont="1">
      <alignment horizontal="center" readingOrder="0" shrinkToFit="1" vertical="center" wrapText="0"/>
    </xf>
    <xf borderId="3" fillId="2" fontId="12" numFmtId="0" xfId="0" applyAlignment="1" applyBorder="1" applyFont="1">
      <alignment horizontal="center" shrinkToFit="1" vertical="center" wrapText="0"/>
    </xf>
    <xf borderId="3" fillId="2" fontId="9" numFmtId="0" xfId="0" applyAlignment="1" applyBorder="1" applyFont="1">
      <alignment horizontal="center" readingOrder="0" shrinkToFit="1" vertical="center" wrapText="0"/>
    </xf>
    <xf borderId="4" fillId="2" fontId="9" numFmtId="0" xfId="0" applyAlignment="1" applyBorder="1" applyFont="1">
      <alignment horizontal="center" readingOrder="0" shrinkToFit="1" vertical="center" wrapText="0"/>
    </xf>
    <xf borderId="3" fillId="2" fontId="9" numFmtId="0" xfId="0" applyAlignment="1" applyBorder="1" applyFont="1">
      <alignment horizontal="center" shrinkToFit="0" vertical="center" wrapText="0"/>
    </xf>
    <xf borderId="6" fillId="2" fontId="9" numFmtId="0" xfId="0" applyAlignment="1" applyBorder="1" applyFont="1">
      <alignment horizontal="center" shrinkToFit="0" vertical="center" wrapText="0"/>
    </xf>
    <xf borderId="3" fillId="3" fontId="11" numFmtId="0" xfId="0" applyAlignment="1" applyBorder="1" applyFont="1">
      <alignment horizontal="center" shrinkToFit="1" vertical="center" wrapText="0"/>
    </xf>
    <xf borderId="4" fillId="3" fontId="8" numFmtId="0" xfId="0" applyAlignment="1" applyBorder="1" applyFont="1">
      <alignment horizontal="center" readingOrder="0" shrinkToFit="1" vertical="center" wrapText="0"/>
    </xf>
    <xf borderId="7" fillId="2" fontId="9" numFmtId="0" xfId="0" applyAlignment="1" applyBorder="1" applyFont="1">
      <alignment horizontal="center" shrinkToFit="0" vertical="center" wrapText="0"/>
    </xf>
    <xf borderId="1" fillId="4" fontId="8" numFmtId="0" xfId="0" applyAlignment="1" applyBorder="1" applyFont="1">
      <alignment horizontal="center" shrinkToFit="1" vertical="center" wrapText="0"/>
    </xf>
    <xf borderId="0" fillId="4" fontId="8" numFmtId="0" xfId="0" applyAlignment="1" applyFont="1">
      <alignment horizontal="center" shrinkToFit="1" vertical="center" wrapText="0"/>
    </xf>
    <xf borderId="0" fillId="2" fontId="10" numFmtId="0" xfId="0" applyAlignment="1" applyFont="1">
      <alignment horizontal="center" shrinkToFit="0" vertical="bottom" wrapText="0"/>
    </xf>
    <xf borderId="0" fillId="2" fontId="13" numFmtId="0" xfId="0" applyAlignment="1" applyFont="1">
      <alignment horizontal="center" readingOrder="0" shrinkToFit="0" vertical="bottom" wrapText="0"/>
    </xf>
    <xf borderId="0" fillId="2" fontId="10" numFmtId="0" xfId="0" applyAlignment="1" applyFont="1">
      <alignment horizontal="center" readingOrder="0" shrinkToFit="0" vertical="bottom" wrapText="0"/>
    </xf>
    <xf borderId="2" fillId="3" fontId="8" numFmtId="0" xfId="0" applyAlignment="1" applyBorder="1" applyFont="1">
      <alignment horizontal="center" shrinkToFit="1" vertical="center" wrapText="0"/>
    </xf>
    <xf borderId="0" fillId="3" fontId="8" numFmtId="0" xfId="0" applyAlignment="1" applyFont="1">
      <alignment horizontal="center" readingOrder="0" shrinkToFit="1" vertical="center" wrapText="0"/>
    </xf>
    <xf borderId="0" fillId="2" fontId="9" numFmtId="0" xfId="0" applyAlignment="1" applyFont="1">
      <alignment horizontal="center" readingOrder="0" shrinkToFit="1" vertical="center" wrapText="0"/>
    </xf>
    <xf borderId="0" fillId="2" fontId="12" numFmtId="0" xfId="0" applyAlignment="1" applyFont="1">
      <alignment horizontal="center" shrinkToFit="1" vertical="center" wrapText="0"/>
    </xf>
    <xf borderId="0" fillId="2" fontId="14" numFmtId="0" xfId="0" applyAlignment="1" applyFont="1">
      <alignment horizontal="center" readingOrder="0" shrinkToFit="0" vertical="bottom" wrapText="1"/>
    </xf>
    <xf borderId="0" fillId="2" fontId="15" numFmtId="0" xfId="0" applyAlignment="1" applyFont="1">
      <alignment horizontal="center" shrinkToFit="0" vertical="bottom" wrapText="1"/>
    </xf>
    <xf borderId="0" fillId="2" fontId="16" numFmtId="0" xfId="0" applyAlignment="1" applyFont="1">
      <alignment horizontal="right" readingOrder="0" shrinkToFit="0" vertical="bottom" wrapText="1"/>
    </xf>
    <xf borderId="0" fillId="2" fontId="16" numFmtId="0" xfId="0" applyAlignment="1" applyFont="1">
      <alignment horizontal="left" readingOrder="0" shrinkToFit="0" vertical="bottom" wrapText="1"/>
    </xf>
    <xf borderId="0" fillId="2" fontId="17" numFmtId="0" xfId="0" applyFont="1"/>
    <xf borderId="0" fillId="2" fontId="18" numFmtId="0" xfId="0" applyAlignment="1" applyFont="1">
      <alignment horizontal="center" vertical="center"/>
    </xf>
    <xf borderId="0" fillId="2" fontId="19" numFmtId="0" xfId="0" applyAlignment="1" applyFont="1">
      <alignment horizontal="right" readingOrder="0" vertical="center"/>
    </xf>
    <xf borderId="0" fillId="5" fontId="19" numFmtId="0" xfId="0" applyAlignment="1" applyFill="1" applyFont="1">
      <alignment horizontal="center" readingOrder="0" vertical="center"/>
    </xf>
    <xf borderId="8" fillId="2" fontId="20" numFmtId="0" xfId="0" applyAlignment="1" applyBorder="1" applyFont="1">
      <alignment horizontal="right" vertical="center"/>
    </xf>
    <xf borderId="8" fillId="5" fontId="21" numFmtId="0" xfId="0" applyAlignment="1" applyBorder="1" applyFont="1">
      <alignment horizontal="center" readingOrder="0" shrinkToFit="1" vertical="center" wrapText="0"/>
    </xf>
    <xf borderId="8" fillId="5" fontId="14" numFmtId="0" xfId="0" applyAlignment="1" applyBorder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8" fillId="5" fontId="22" numFmtId="0" xfId="0" applyAlignment="1" applyBorder="1" applyFont="1">
      <alignment horizontal="center" vertical="center"/>
    </xf>
    <xf borderId="8" fillId="5" fontId="15" numFmtId="0" xfId="0" applyAlignment="1" applyBorder="1" applyFont="1">
      <alignment horizontal="center" vertical="center"/>
    </xf>
    <xf borderId="8" fillId="2" fontId="23" numFmtId="0" xfId="0" applyAlignment="1" applyBorder="1" applyFont="1">
      <alignment horizontal="left" vertical="center"/>
    </xf>
    <xf borderId="0" fillId="2" fontId="22" numFmtId="0" xfId="0" applyAlignment="1" applyFont="1">
      <alignment horizontal="left" vertical="center"/>
    </xf>
    <xf borderId="10" fillId="5" fontId="19" numFmtId="0" xfId="0" applyAlignment="1" applyBorder="1" applyFont="1">
      <alignment horizontal="center" readingOrder="0" vertical="center"/>
    </xf>
    <xf borderId="10" fillId="2" fontId="20" numFmtId="0" xfId="0" applyAlignment="1" applyBorder="1" applyFont="1">
      <alignment horizontal="right" vertical="center"/>
    </xf>
    <xf borderId="10" fillId="5" fontId="21" numFmtId="0" xfId="0" applyAlignment="1" applyBorder="1" applyFont="1">
      <alignment horizontal="center" readingOrder="0" shrinkToFit="1" vertical="center" wrapText="0"/>
    </xf>
    <xf borderId="10" fillId="5" fontId="14" numFmtId="0" xfId="0" applyAlignment="1" applyBorder="1" applyFont="1">
      <alignment horizontal="center" readingOrder="0" vertical="center"/>
    </xf>
    <xf borderId="11" fillId="5" fontId="14" numFmtId="0" xfId="0" applyAlignment="1" applyBorder="1" applyFont="1">
      <alignment horizontal="center" readingOrder="0" vertical="center"/>
    </xf>
    <xf borderId="10" fillId="5" fontId="22" numFmtId="0" xfId="0" applyAlignment="1" applyBorder="1" applyFont="1">
      <alignment horizontal="center" vertical="center"/>
    </xf>
    <xf borderId="10" fillId="5" fontId="15" numFmtId="0" xfId="0" applyAlignment="1" applyBorder="1" applyFont="1">
      <alignment horizontal="center" vertical="center"/>
    </xf>
    <xf borderId="10" fillId="2" fontId="23" numFmtId="0" xfId="0" applyAlignment="1" applyBorder="1" applyFont="1">
      <alignment horizontal="left" vertical="center"/>
    </xf>
    <xf borderId="10" fillId="0" fontId="24" numFmtId="0" xfId="0" applyBorder="1" applyFont="1"/>
    <xf borderId="10" fillId="2" fontId="18" numFmtId="0" xfId="0" applyAlignment="1" applyBorder="1" applyFont="1">
      <alignment horizontal="center" vertical="center"/>
    </xf>
    <xf borderId="0" fillId="6" fontId="19" numFmtId="0" xfId="0" applyAlignment="1" applyFill="1" applyFont="1">
      <alignment horizontal="center" readingOrder="0" vertical="center"/>
    </xf>
    <xf borderId="8" fillId="3" fontId="21" numFmtId="0" xfId="0" applyAlignment="1" applyBorder="1" applyFont="1">
      <alignment horizontal="center" readingOrder="0" shrinkToFit="1" vertical="center" wrapText="0"/>
    </xf>
    <xf borderId="8" fillId="3" fontId="14" numFmtId="0" xfId="0" applyAlignment="1" applyBorder="1" applyFont="1">
      <alignment horizontal="center" readingOrder="0" vertical="center"/>
    </xf>
    <xf borderId="8" fillId="6" fontId="22" numFmtId="0" xfId="0" applyAlignment="1" applyBorder="1" applyFont="1">
      <alignment horizontal="center" vertical="center"/>
    </xf>
    <xf borderId="10" fillId="6" fontId="19" numFmtId="0" xfId="0" applyAlignment="1" applyBorder="1" applyFont="1">
      <alignment horizontal="center" readingOrder="0" vertical="center"/>
    </xf>
    <xf borderId="10" fillId="3" fontId="21" numFmtId="0" xfId="0" applyAlignment="1" applyBorder="1" applyFont="1">
      <alignment horizontal="center" readingOrder="0" shrinkToFit="1" vertical="center" wrapText="0"/>
    </xf>
    <xf borderId="10" fillId="3" fontId="14" numFmtId="0" xfId="0" applyAlignment="1" applyBorder="1" applyFont="1">
      <alignment horizontal="center" readingOrder="0" vertical="center"/>
    </xf>
    <xf borderId="10" fillId="6" fontId="22" numFmtId="0" xfId="0" applyAlignment="1" applyBorder="1" applyFont="1">
      <alignment horizontal="center" vertical="center"/>
    </xf>
    <xf borderId="0" fillId="2" fontId="19" numFmtId="0" xfId="0" applyAlignment="1" applyFont="1">
      <alignment horizontal="left" readingOrder="0" vertical="center"/>
    </xf>
    <xf borderId="8" fillId="5" fontId="15" numFmtId="0" xfId="0" applyAlignment="1" applyBorder="1" applyFont="1">
      <alignment horizontal="center" readingOrder="0" vertical="center"/>
    </xf>
    <xf borderId="10" fillId="5" fontId="15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right" readingOrder="0" vertical="center"/>
    </xf>
    <xf borderId="8" fillId="3" fontId="15" numFmtId="0" xfId="0" applyAlignment="1" applyBorder="1" applyFont="1">
      <alignment horizontal="center" readingOrder="0" vertical="center"/>
    </xf>
    <xf borderId="0" fillId="2" fontId="15" numFmtId="0" xfId="0" applyAlignment="1" applyFont="1">
      <alignment horizontal="left" vertical="center"/>
    </xf>
    <xf borderId="10" fillId="3" fontId="1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5" numFmtId="165" xfId="0" applyAlignment="1" applyFont="1" applyNumberFormat="1">
      <alignment horizontal="center" readingOrder="0"/>
    </xf>
    <xf borderId="0" fillId="0" fontId="25" numFmtId="0" xfId="0" applyAlignment="1" applyFont="1">
      <alignment horizontal="center" readingOrder="0"/>
    </xf>
    <xf borderId="4" fillId="0" fontId="25" numFmtId="0" xfId="0" applyAlignment="1" applyBorder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center" readingOrder="0" shrinkToFit="1" vertical="center" wrapText="0"/>
    </xf>
    <xf borderId="0" fillId="0" fontId="25" numFmtId="0" xfId="0" applyAlignment="1" applyFont="1">
      <alignment horizontal="center" readingOrder="0"/>
    </xf>
    <xf borderId="0" fillId="0" fontId="25" numFmtId="166" xfId="0" applyAlignment="1" applyFont="1" applyNumberFormat="1">
      <alignment horizontal="center"/>
    </xf>
    <xf borderId="0" fillId="0" fontId="25" numFmtId="0" xfId="0" applyAlignment="1" applyFont="1">
      <alignment horizontal="center"/>
    </xf>
    <xf borderId="0" fillId="0" fontId="4" numFmtId="0" xfId="0" applyFont="1"/>
    <xf borderId="0" fillId="2" fontId="26" numFmtId="0" xfId="0" applyAlignment="1" applyFont="1">
      <alignment horizontal="right" readingOrder="0" vertical="center"/>
    </xf>
    <xf borderId="0" fillId="2" fontId="27" numFmtId="49" xfId="0" applyAlignment="1" applyFont="1" applyNumberFormat="1">
      <alignment horizontal="left" readingOrder="0" shrinkToFit="0" vertical="center" wrapText="1"/>
    </xf>
    <xf borderId="0" fillId="2" fontId="7" numFmtId="49" xfId="0" applyAlignment="1" applyFont="1" applyNumberFormat="1">
      <alignment horizontal="center" shrinkToFit="0" vertical="center" wrapText="0"/>
    </xf>
    <xf borderId="0" fillId="2" fontId="28" numFmtId="0" xfId="0" applyAlignment="1" applyFont="1">
      <alignment horizontal="right" readingOrder="0" vertical="center"/>
    </xf>
    <xf borderId="0" fillId="2" fontId="27" numFmtId="0" xfId="0" applyAlignment="1" applyFont="1">
      <alignment horizontal="left" readingOrder="0" shrinkToFit="0" vertical="center" wrapText="1"/>
    </xf>
    <xf borderId="0" fillId="2" fontId="26" numFmtId="49" xfId="0" applyAlignment="1" applyFont="1" applyNumberFormat="1">
      <alignment horizontal="left" readingOrder="0" shrinkToFit="0" vertical="center" wrapText="1"/>
    </xf>
    <xf borderId="0" fillId="2" fontId="29" numFmtId="0" xfId="0" applyAlignment="1" applyFont="1">
      <alignment horizontal="left" readingOrder="0" shrinkToFit="0" vertical="center" wrapText="1"/>
    </xf>
    <xf borderId="0" fillId="2" fontId="28" numFmtId="0" xfId="0" applyAlignment="1" applyFont="1">
      <alignment horizontal="right" shrinkToFit="1" vertical="center" wrapText="0"/>
    </xf>
    <xf borderId="0" fillId="2" fontId="30" numFmtId="0" xfId="0" applyAlignment="1" applyFont="1">
      <alignment horizontal="center" readingOrder="0" shrinkToFit="0" vertical="center" wrapText="1"/>
    </xf>
    <xf borderId="0" fillId="3" fontId="31" numFmtId="0" xfId="0" applyAlignment="1" applyFont="1">
      <alignment horizontal="center" vertical="center"/>
    </xf>
    <xf borderId="0" fillId="2" fontId="26" numFmtId="49" xfId="0" applyAlignment="1" applyFont="1" applyNumberFormat="1">
      <alignment horizontal="left" shrinkToFit="0" vertical="center" wrapText="1"/>
    </xf>
    <xf borderId="0" fillId="2" fontId="4" numFmtId="0" xfId="0" applyFont="1"/>
    <xf borderId="0" fillId="7" fontId="31" numFmtId="0" xfId="0" applyAlignment="1" applyFill="1" applyFont="1">
      <alignment horizontal="center" vertical="center"/>
    </xf>
    <xf borderId="0" fillId="8" fontId="31" numFmtId="0" xfId="0" applyAlignment="1" applyFill="1" applyFont="1">
      <alignment horizontal="center" vertical="center"/>
    </xf>
    <xf borderId="0" fillId="2" fontId="32" numFmtId="0" xfId="0" applyAlignment="1" applyFont="1">
      <alignment horizontal="center" readingOrder="0" shrinkToFit="0" vertical="center" wrapText="1"/>
    </xf>
    <xf borderId="0" fillId="2" fontId="26" numFmtId="49" xfId="0" applyAlignment="1" applyFont="1" applyNumberFormat="1">
      <alignment horizontal="center" readingOrder="0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0" fillId="2" fontId="33" numFmtId="0" xfId="0" applyAlignment="1" applyFont="1">
      <alignment horizontal="center" vertical="center"/>
    </xf>
    <xf borderId="0" fillId="2" fontId="34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12" fillId="2" fontId="31" numFmtId="0" xfId="0" applyAlignment="1" applyBorder="1" applyFont="1">
      <alignment horizontal="center" vertical="center"/>
    </xf>
    <xf borderId="0" fillId="8" fontId="34" numFmtId="0" xfId="0" applyAlignment="1" applyFont="1">
      <alignment horizontal="center" readingOrder="0" vertical="center"/>
    </xf>
    <xf borderId="0" fillId="0" fontId="0" numFmtId="0" xfId="0" applyAlignment="1" applyFont="1">
      <alignment horizontal="center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3" fontId="35" numFmtId="0" xfId="0" applyAlignment="1" applyFill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3" fillId="13" fontId="35" numFmtId="0" xfId="0" applyAlignment="1" applyBorder="1" applyFont="1">
      <alignment horizontal="center" readingOrder="0"/>
    </xf>
    <xf borderId="0" fillId="13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14" fontId="36" numFmtId="0" xfId="0" applyAlignment="1" applyFill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7" numFmtId="0" xfId="0" applyAlignment="1" applyFont="1">
      <alignment horizontal="center"/>
    </xf>
  </cellXfs>
  <cellStyles count="1">
    <cellStyle xfId="0" name="Normal" builtinId="0"/>
  </cellStyles>
  <dxfs count="3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none"/>
      </fill>
      <border/>
    </dxf>
    <dxf>
      <font>
        <color rgb="FF76D6FF"/>
      </font>
      <fill>
        <patternFill patternType="solid">
          <fgColor rgb="FF76D6FF"/>
          <bgColor rgb="FF76D6FF"/>
        </patternFill>
      </fill>
      <border/>
    </dxf>
    <dxf>
      <font>
        <color rgb="FFFF40FF"/>
      </font>
      <fill>
        <patternFill patternType="solid">
          <fgColor rgb="FFFF40FF"/>
          <bgColor rgb="FFFF40FF"/>
        </patternFill>
      </fill>
      <border/>
    </dxf>
    <dxf>
      <font>
        <color rgb="FF8EFA00"/>
      </font>
      <fill>
        <patternFill patternType="solid">
          <fgColor rgb="FF8EFA00"/>
          <bgColor rgb="FF8EFA00"/>
        </patternFill>
      </fill>
      <border/>
    </dxf>
    <dxf>
      <font>
        <color rgb="FFFF9300"/>
      </font>
      <fill>
        <patternFill patternType="solid">
          <fgColor rgb="FFFF9300"/>
          <bgColor rgb="FFFF9300"/>
        </patternFill>
      </fill>
      <border/>
    </dxf>
    <dxf>
      <font>
        <color rgb="FFA7E8BD"/>
      </font>
      <fill>
        <patternFill patternType="solid">
          <fgColor rgb="FFA7E8BD"/>
          <bgColor rgb="FFA7E8BD"/>
        </patternFill>
      </fill>
      <border/>
    </dxf>
    <dxf>
      <font>
        <color rgb="FF003C43"/>
      </font>
      <fill>
        <patternFill patternType="solid">
          <fgColor rgb="FF003C43"/>
          <bgColor rgb="FF003C43"/>
        </patternFill>
      </fill>
      <border/>
    </dxf>
    <dxf>
      <font>
        <color rgb="FF57BB8A"/>
      </font>
      <fill>
        <patternFill patternType="solid">
          <fgColor rgb="FF57BB8A"/>
          <bgColor rgb="FF57BB8A"/>
        </patternFill>
      </fill>
      <border/>
    </dxf>
    <dxf>
      <font>
        <b/>
        <color rgb="FFFF0000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8EFA00"/>
          <bgColor rgb="FF8EFA00"/>
        </patternFill>
      </fill>
      <border/>
    </dxf>
    <dxf>
      <font>
        <color theme="0"/>
      </font>
      <fill>
        <patternFill patternType="solid">
          <fgColor rgb="FFFF40FF"/>
          <bgColor rgb="FFFF40FF"/>
        </patternFill>
      </fill>
      <border/>
    </dxf>
    <dxf>
      <font>
        <color rgb="FFFFFFFF"/>
      </font>
      <fill>
        <patternFill patternType="solid">
          <fgColor rgb="FFFF9300"/>
          <bgColor rgb="FFFF9300"/>
        </patternFill>
      </fill>
      <border/>
    </dxf>
    <dxf>
      <font>
        <color theme="0"/>
      </font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FF40FF"/>
          <bgColor rgb="FFFF40FF"/>
        </patternFill>
      </fill>
      <border/>
    </dxf>
    <dxf>
      <font>
        <color rgb="FF57BB8A"/>
      </font>
      <fill>
        <patternFill patternType="none"/>
      </fill>
      <border/>
    </dxf>
    <dxf>
      <font>
        <b/>
        <color rgb="FFFFFFFF"/>
      </font>
      <fill>
        <patternFill patternType="solid">
          <fgColor rgb="FFA7E8BD"/>
          <bgColor rgb="FFA7E8BD"/>
        </patternFill>
      </fill>
      <border/>
    </dxf>
    <dxf>
      <font>
        <color rgb="FFFFFFFF"/>
      </font>
      <fill>
        <patternFill patternType="solid">
          <fgColor rgb="FFFF6B6B"/>
          <bgColor rgb="FFFF6B6B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4DA8DA"/>
          <bgColor rgb="FF4DA8DA"/>
        </patternFill>
      </fill>
      <border/>
    </dxf>
    <dxf>
      <font/>
      <fill>
        <patternFill patternType="solid">
          <fgColor rgb="FF8EFA00"/>
          <bgColor rgb="FF8EFA00"/>
        </patternFill>
      </fill>
      <border/>
    </dxf>
    <dxf>
      <font>
        <color theme="1"/>
      </font>
      <fill>
        <patternFill patternType="solid">
          <fgColor rgb="FFFF9300"/>
          <bgColor rgb="FFFF9300"/>
        </patternFill>
      </fill>
      <border/>
    </dxf>
    <dxf>
      <font/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76D6FF"/>
          <bgColor rgb="FF76D6FF"/>
        </patternFill>
      </fill>
      <border/>
    </dxf>
    <dxf>
      <font>
        <b/>
      </font>
      <fill>
        <patternFill patternType="solid">
          <fgColor rgb="FFFF9300"/>
          <bgColor rgb="FFFF9300"/>
        </patternFill>
      </fill>
      <border/>
    </dxf>
    <dxf>
      <font>
        <b/>
      </font>
      <fill>
        <patternFill patternType="solid">
          <fgColor rgb="FF8EFA00"/>
          <bgColor rgb="FF8EFA00"/>
        </patternFill>
      </fill>
      <border/>
    </dxf>
    <dxf>
      <font>
        <b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theme="1"/>
      </font>
      <fill>
        <patternFill patternType="solid">
          <fgColor rgb="FF76D6FF"/>
          <bgColor rgb="FF76D6FF"/>
        </patternFill>
      </fill>
      <border/>
    </dxf>
    <dxf>
      <font>
        <b/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8EFA00"/>
          <bgColor rgb="FF8EFA00"/>
        </patternFill>
      </fill>
      <border/>
    </dxf>
    <dxf>
      <font>
        <color rgb="FF4DA8DA"/>
      </font>
      <fill>
        <patternFill patternType="solid">
          <fgColor rgb="FF4DA8DA"/>
          <bgColor rgb="FF4DA8DA"/>
        </patternFill>
      </fill>
      <border/>
    </dxf>
  </dxfs>
  <tableStyles count="1">
    <tableStyle count="4" pivot="0" name="WEEKLY_TEA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5775" cy="619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66675" cy="95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E64" displayName="Table1" name="Table1" id="1">
  <tableColumns count="109">
    <tableColumn name="STATUS" id="1"/>
    <tableColumn name="PLAYER" id="2"/>
    <tableColumn name="MD 1 TEAM" id="3"/>
    <tableColumn name="MD 1 TOTAL POINTS" id="4"/>
    <tableColumn name="MD 1 ATTENDANCE" id="5"/>
    <tableColumn name="MD 1 POINTS" id="6"/>
    <tableColumn name="MD 1 (W)" id="7"/>
    <tableColumn name="MD 1 (D)" id="8"/>
    <tableColumn name="MD 1 (L)" id="9"/>
    <tableColumn name="MD 1 GOALS" id="10"/>
    <tableColumn name="MD 1 GOALIE POINT" id="11"/>
    <tableColumn name="MD 1 CLEAN SHEET" id="12"/>
    <tableColumn name="MD 1 RANK" id="13"/>
    <tableColumn name="MD 1 FORM" id="14"/>
    <tableColumn name="MD 2 TEAM" id="15"/>
    <tableColumn name="MD 2 ACCUMULATED POINTS" id="16"/>
    <tableColumn name="MD 2 ATTENDANCE" id="17"/>
    <tableColumn name="MD 2 POINTS" id="18"/>
    <tableColumn name="MD 2 (W)" id="19"/>
    <tableColumn name="MD 2 (D)" id="20"/>
    <tableColumn name="MD 2 (L)" id="21"/>
    <tableColumn name="MD 2 GOALS" id="22"/>
    <tableColumn name="MD 2 GOALIE POINT" id="23"/>
    <tableColumn name="MD  2 Clean Sheet" id="24"/>
    <tableColumn name="MD 2 RANK" id="25"/>
    <tableColumn name="MD 2 FORM" id="26"/>
    <tableColumn name="MD 3 TEAM" id="27"/>
    <tableColumn name="MD 3 ACCUMULATED POINTS" id="28"/>
    <tableColumn name="MD 3 ATTENDANCE" id="29"/>
    <tableColumn name="MD 3 POINTS" id="30"/>
    <tableColumn name="MD 3 (W)" id="31"/>
    <tableColumn name="MD 3 (D)" id="32"/>
    <tableColumn name="MD 3 (L)" id="33"/>
    <tableColumn name="MD 3 GOALS" id="34"/>
    <tableColumn name="MD 3 GOALIE POINT" id="35"/>
    <tableColumn name="MD 3 CLEAN SHEET" id="36"/>
    <tableColumn name="MD 3 RANK" id="37"/>
    <tableColumn name="MD 3 FORM" id="38"/>
    <tableColumn name="MD 4 TEAM" id="39"/>
    <tableColumn name="MD 4 ACCUMULATED POINTS" id="40"/>
    <tableColumn name="MD 4 ATTENDANCE" id="41"/>
    <tableColumn name="MD 4 POINTS" id="42"/>
    <tableColumn name="MD 4 (W)" id="43"/>
    <tableColumn name="MD 4 (D)" id="44"/>
    <tableColumn name="MD 4 (L)" id="45"/>
    <tableColumn name="MD 4 GOALS" id="46"/>
    <tableColumn name="MD 4 GOALIE POINT" id="47"/>
    <tableColumn name="MD  4 Clean Sheet" id="48"/>
    <tableColumn name="MD 4 RANK" id="49"/>
    <tableColumn name="MD 4 FORM" id="50"/>
    <tableColumn name="MD 5 TEAM" id="51"/>
    <tableColumn name="MD 5 ACCUMULATED POINTS" id="52"/>
    <tableColumn name="MD 5 ATTENDANCE" id="53"/>
    <tableColumn name="MD 5 POINTS" id="54"/>
    <tableColumn name="MD 5 (W)" id="55"/>
    <tableColumn name="MD 5 (D)" id="56"/>
    <tableColumn name="MD 5 (L)" id="57"/>
    <tableColumn name="MD 5 GOALS" id="58"/>
    <tableColumn name="MD 5 GOALIE POINT" id="59"/>
    <tableColumn name="MD 5 CLEAN SHEET" id="60"/>
    <tableColumn name="MD 5 RANK" id="61"/>
    <tableColumn name="MD 5 FORM" id="62"/>
    <tableColumn name="MD 6 TEAM" id="63"/>
    <tableColumn name="MD 6 ACCUMULATED POINTS" id="64"/>
    <tableColumn name="MD 6 ATTENDANCE" id="65"/>
    <tableColumn name="MD 6 POINTS" id="66"/>
    <tableColumn name="MD 6 (W)" id="67"/>
    <tableColumn name="MD 6 (D)" id="68"/>
    <tableColumn name="MD 6 (L)" id="69"/>
    <tableColumn name="MD 6 GOALS" id="70"/>
    <tableColumn name="MD 6 GOALIE POINT" id="71"/>
    <tableColumn name="MD  6 Clean Sheet" id="72"/>
    <tableColumn name="MD 6 RANK" id="73"/>
    <tableColumn name="MD 6 FORM" id="74"/>
    <tableColumn name="MD 7 TEAM" id="75"/>
    <tableColumn name="MD 7 ACCUMULATED POINTS" id="76"/>
    <tableColumn name="MD 7 ATTENDANCE" id="77"/>
    <tableColumn name="MD 7 POINTS" id="78"/>
    <tableColumn name="MD 7 (W)" id="79"/>
    <tableColumn name="MD 7 (D)" id="80"/>
    <tableColumn name="MD 7 (L)" id="81"/>
    <tableColumn name="MD 7 GOALS" id="82"/>
    <tableColumn name="MD 7 GOALIE POINT" id="83"/>
    <tableColumn name="MD 7 CLEAN SHEET" id="84"/>
    <tableColumn name="MD 7 RANK" id="85"/>
    <tableColumn name="MD 7 FORM" id="86"/>
    <tableColumn name="MD 8 TEAM" id="87"/>
    <tableColumn name="MD 8 ACCUMULATED POINTS" id="88"/>
    <tableColumn name="MD 8 ATTENDANCE" id="89"/>
    <tableColumn name="MD 8 POINTS" id="90"/>
    <tableColumn name="MD 8 (W)" id="91"/>
    <tableColumn name="MD 8 (D)" id="92"/>
    <tableColumn name="MD 8 (L)" id="93"/>
    <tableColumn name="MD 8 GOALS" id="94"/>
    <tableColumn name="MD 8 GOALIE POINT" id="95"/>
    <tableColumn name="MD  8 Clean Sheet" id="96"/>
    <tableColumn name="MD 8 RANK" id="97"/>
    <tableColumn name="MD 8 FORM" id="98"/>
    <tableColumn name="POINTS FOR GAMES" id="99"/>
    <tableColumn name="SEASON STATUS" id="100"/>
    <tableColumn name="PLAYER_" id="101"/>
    <tableColumn name="TOTAL POINTS" id="102"/>
    <tableColumn name="ATTENDANCE" id="103"/>
    <tableColumn name="WINS" id="104"/>
    <tableColumn name="DRAWS" id="105"/>
    <tableColumn name="LOSSES" id="106"/>
    <tableColumn name="GOALS" id="107"/>
    <tableColumn name="GOALIE POINT" id="108"/>
    <tableColumn name="CLEAN SHEETS" id="109"/>
  </tableColumns>
  <tableStyleInfo name="WEEKLY_T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/>
      <c r="B1" s="2" t="s">
        <v>0</v>
      </c>
    </row>
    <row r="2" ht="15.75" customHeight="1">
      <c r="A2" s="1">
        <v>45904.0</v>
      </c>
      <c r="B2" s="2" t="s">
        <v>1</v>
      </c>
    </row>
    <row r="3" ht="15.75" customHeight="1">
      <c r="A3" s="1">
        <v>45911.0</v>
      </c>
      <c r="B3" s="2" t="s">
        <v>2</v>
      </c>
    </row>
    <row r="4" ht="15.75" customHeight="1">
      <c r="A4" s="1">
        <v>45918.0</v>
      </c>
      <c r="B4" s="2" t="s">
        <v>3</v>
      </c>
    </row>
    <row r="5" ht="15.75" customHeight="1">
      <c r="A5" s="1">
        <v>45925.0</v>
      </c>
      <c r="B5" s="2" t="s">
        <v>4</v>
      </c>
    </row>
    <row r="6" ht="15.75" customHeight="1">
      <c r="A6" s="1">
        <v>45932.0</v>
      </c>
      <c r="B6" s="2" t="s">
        <v>5</v>
      </c>
    </row>
    <row r="7" ht="15.75" customHeight="1">
      <c r="A7" s="1">
        <v>45939.0</v>
      </c>
      <c r="B7" s="2" t="s">
        <v>6</v>
      </c>
    </row>
    <row r="8" ht="15.75" customHeight="1">
      <c r="A8" s="1">
        <v>45946.0</v>
      </c>
      <c r="B8" s="2" t="s">
        <v>7</v>
      </c>
    </row>
    <row r="9" ht="15.75" customHeight="1">
      <c r="A9" s="1">
        <v>45953.0</v>
      </c>
      <c r="B9" s="2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3" t="s">
        <v>9</v>
      </c>
    </row>
    <row r="16" ht="15.75" customHeight="1">
      <c r="A16" s="4"/>
    </row>
    <row r="17" ht="15.75" customHeight="1">
      <c r="A17" s="3" t="s">
        <v>10</v>
      </c>
    </row>
    <row r="18" ht="15.75" customHeight="1">
      <c r="A18" s="4"/>
    </row>
    <row r="19" ht="15.75" customHeight="1">
      <c r="A19" s="3" t="s">
        <v>11</v>
      </c>
    </row>
    <row r="20" ht="15.75" customHeight="1">
      <c r="A20" s="4"/>
    </row>
    <row r="21" ht="15.75" customHeight="1">
      <c r="A21" s="3" t="s">
        <v>12</v>
      </c>
    </row>
    <row r="22" ht="15.75" customHeight="1">
      <c r="A22" s="4"/>
    </row>
    <row r="23" ht="15.75" customHeight="1">
      <c r="A23" s="3" t="s">
        <v>13</v>
      </c>
    </row>
    <row r="24" ht="15.75" customHeight="1">
      <c r="A24" s="4"/>
    </row>
    <row r="25" ht="15.75" customHeight="1">
      <c r="A25" s="3" t="s">
        <v>14</v>
      </c>
    </row>
    <row r="26" ht="15.75" customHeight="1">
      <c r="A26" s="4"/>
    </row>
    <row r="27" ht="15.75" customHeight="1">
      <c r="A27" s="3" t="s">
        <v>15</v>
      </c>
    </row>
    <row r="28" ht="15.75" customHeight="1">
      <c r="A28" s="4"/>
    </row>
    <row r="29" ht="15.75" customHeight="1">
      <c r="A29" s="3" t="s">
        <v>16</v>
      </c>
    </row>
    <row r="30" ht="15.75" customHeight="1">
      <c r="A30" s="4"/>
    </row>
    <row r="31" ht="15.75" customHeight="1">
      <c r="A31" s="3" t="s">
        <v>17</v>
      </c>
    </row>
    <row r="32" ht="15.75" customHeight="1">
      <c r="A32" s="4"/>
    </row>
    <row r="33" ht="15.75" customHeight="1">
      <c r="A33" s="3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56"/>
    <col customWidth="1" min="3" max="3" width="8.78"/>
    <col customWidth="1" hidden="1" min="4" max="4" width="27.67"/>
    <col customWidth="1" min="5" max="5" width="6.67"/>
  </cols>
  <sheetData>
    <row r="1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>
      <c r="A2" s="6">
        <v>45897.80611111111</v>
      </c>
      <c r="B2" s="5" t="s">
        <v>24</v>
      </c>
      <c r="D2" s="5" t="s">
        <v>25</v>
      </c>
      <c r="E2" s="5" t="s">
        <v>26</v>
      </c>
    </row>
    <row r="3">
      <c r="A3" s="6">
        <v>45897.807800925926</v>
      </c>
      <c r="B3" s="5" t="s">
        <v>27</v>
      </c>
      <c r="C3" s="5" t="s">
        <v>28</v>
      </c>
      <c r="D3" s="5" t="s">
        <v>29</v>
      </c>
      <c r="E3" s="5" t="s">
        <v>26</v>
      </c>
    </row>
    <row r="4">
      <c r="A4" s="6">
        <v>45897.81018518518</v>
      </c>
      <c r="B4" s="5" t="s">
        <v>30</v>
      </c>
      <c r="C4" s="5" t="s">
        <v>31</v>
      </c>
      <c r="D4" s="5" t="s">
        <v>25</v>
      </c>
      <c r="E4" s="5" t="s">
        <v>26</v>
      </c>
    </row>
    <row r="5">
      <c r="A5" s="6">
        <v>45897.81180555555</v>
      </c>
      <c r="B5" s="5" t="s">
        <v>32</v>
      </c>
      <c r="C5" s="5" t="s">
        <v>33</v>
      </c>
      <c r="D5" s="5" t="s">
        <v>29</v>
      </c>
      <c r="E5" s="5" t="s">
        <v>26</v>
      </c>
    </row>
    <row r="6">
      <c r="A6" s="6">
        <v>45897.81182870371</v>
      </c>
      <c r="B6" s="5" t="s">
        <v>34</v>
      </c>
      <c r="D6" s="5" t="s">
        <v>29</v>
      </c>
      <c r="E6" s="5" t="s">
        <v>26</v>
      </c>
    </row>
    <row r="7">
      <c r="A7" s="6">
        <v>45897.821550925924</v>
      </c>
      <c r="B7" s="5" t="s">
        <v>35</v>
      </c>
      <c r="D7" s="5" t="s">
        <v>25</v>
      </c>
      <c r="E7" s="5" t="s">
        <v>26</v>
      </c>
    </row>
    <row r="8">
      <c r="A8" s="6">
        <v>45897.831666666665</v>
      </c>
      <c r="B8" s="5" t="s">
        <v>36</v>
      </c>
      <c r="C8" s="5" t="s">
        <v>37</v>
      </c>
      <c r="D8" s="5" t="s">
        <v>29</v>
      </c>
      <c r="E8" s="5" t="s">
        <v>26</v>
      </c>
    </row>
    <row r="9">
      <c r="A9" s="6">
        <v>45897.836226851854</v>
      </c>
      <c r="B9" s="5" t="s">
        <v>38</v>
      </c>
      <c r="D9" s="5" t="s">
        <v>39</v>
      </c>
      <c r="E9" s="5" t="s">
        <v>26</v>
      </c>
    </row>
    <row r="10">
      <c r="A10" s="6">
        <v>45897.84758101852</v>
      </c>
      <c r="B10" s="5" t="s">
        <v>40</v>
      </c>
      <c r="D10" s="5" t="s">
        <v>29</v>
      </c>
      <c r="E10" s="5" t="s">
        <v>26</v>
      </c>
    </row>
    <row r="11">
      <c r="A11" s="6">
        <v>45897.853217592594</v>
      </c>
      <c r="B11" s="5" t="s">
        <v>41</v>
      </c>
      <c r="C11" s="5" t="s">
        <v>42</v>
      </c>
      <c r="D11" s="5" t="s">
        <v>29</v>
      </c>
      <c r="E11" s="5" t="s">
        <v>26</v>
      </c>
    </row>
    <row r="12">
      <c r="A12" s="6">
        <v>45897.854317129626</v>
      </c>
      <c r="B12" s="5" t="s">
        <v>43</v>
      </c>
      <c r="D12" s="5" t="s">
        <v>29</v>
      </c>
      <c r="E12" s="5" t="s">
        <v>26</v>
      </c>
    </row>
    <row r="13">
      <c r="A13" s="6">
        <v>45897.86944444444</v>
      </c>
      <c r="B13" s="5" t="s">
        <v>44</v>
      </c>
      <c r="D13" s="5" t="s">
        <v>29</v>
      </c>
      <c r="E13" s="5" t="s">
        <v>26</v>
      </c>
    </row>
    <row r="14">
      <c r="A14" s="6">
        <v>45897.9269212963</v>
      </c>
      <c r="B14" s="5" t="s">
        <v>45</v>
      </c>
      <c r="D14" s="5" t="s">
        <v>29</v>
      </c>
      <c r="E14" s="5" t="s">
        <v>26</v>
      </c>
    </row>
    <row r="15">
      <c r="A15" s="6">
        <v>45897.93386574074</v>
      </c>
      <c r="B15" s="5" t="s">
        <v>46</v>
      </c>
      <c r="C15" s="5" t="s">
        <v>47</v>
      </c>
      <c r="D15" s="5" t="s">
        <v>29</v>
      </c>
      <c r="E15" s="5" t="s">
        <v>26</v>
      </c>
    </row>
    <row r="16">
      <c r="A16" s="6">
        <v>45897.94457175926</v>
      </c>
      <c r="B16" s="5" t="s">
        <v>48</v>
      </c>
      <c r="C16" s="5" t="s">
        <v>49</v>
      </c>
      <c r="D16" s="5" t="s">
        <v>29</v>
      </c>
      <c r="E16" s="5" t="s">
        <v>26</v>
      </c>
    </row>
    <row r="17">
      <c r="A17" s="6">
        <v>45897.96196759259</v>
      </c>
      <c r="B17" s="5" t="s">
        <v>50</v>
      </c>
      <c r="C17" s="5" t="s">
        <v>51</v>
      </c>
      <c r="D17" s="5" t="s">
        <v>29</v>
      </c>
      <c r="E17" s="5" t="s">
        <v>26</v>
      </c>
    </row>
    <row r="18">
      <c r="A18" s="6">
        <v>45897.96822916667</v>
      </c>
      <c r="B18" s="5" t="s">
        <v>52</v>
      </c>
      <c r="C18" s="5" t="s">
        <v>53</v>
      </c>
      <c r="D18" s="5" t="s">
        <v>25</v>
      </c>
      <c r="E18" s="5" t="s">
        <v>26</v>
      </c>
    </row>
    <row r="19">
      <c r="A19" s="6">
        <v>45897.99789351852</v>
      </c>
      <c r="B19" s="5" t="s">
        <v>54</v>
      </c>
      <c r="C19" s="5" t="s">
        <v>55</v>
      </c>
      <c r="D19" s="5" t="s">
        <v>29</v>
      </c>
      <c r="E19" s="5" t="s">
        <v>26</v>
      </c>
    </row>
    <row r="20">
      <c r="A20" s="6">
        <v>45898.03472222222</v>
      </c>
      <c r="B20" s="5" t="s">
        <v>56</v>
      </c>
      <c r="D20" s="5" t="s">
        <v>29</v>
      </c>
      <c r="E20" s="5" t="s">
        <v>26</v>
      </c>
    </row>
    <row r="21">
      <c r="A21" s="6">
        <v>45898.500659722224</v>
      </c>
      <c r="B21" s="5" t="s">
        <v>57</v>
      </c>
      <c r="C21" s="5" t="s">
        <v>58</v>
      </c>
      <c r="D21" s="5" t="s">
        <v>29</v>
      </c>
      <c r="E21" s="5" t="s">
        <v>26</v>
      </c>
    </row>
    <row r="22">
      <c r="A22" s="6">
        <v>45898.70334490741</v>
      </c>
      <c r="B22" s="5" t="s">
        <v>59</v>
      </c>
      <c r="C22" s="5" t="s">
        <v>60</v>
      </c>
      <c r="D22" s="5" t="s">
        <v>25</v>
      </c>
      <c r="E22" s="5" t="s">
        <v>26</v>
      </c>
    </row>
    <row r="23">
      <c r="A23" s="6">
        <v>45898.82059027778</v>
      </c>
      <c r="B23" s="5" t="s">
        <v>61</v>
      </c>
      <c r="D23" s="5" t="s">
        <v>29</v>
      </c>
      <c r="E23" s="5" t="s">
        <v>26</v>
      </c>
    </row>
    <row r="24">
      <c r="A24" s="6">
        <v>45898.857465277775</v>
      </c>
      <c r="B24" s="5" t="s">
        <v>62</v>
      </c>
      <c r="C24" s="5" t="s">
        <v>63</v>
      </c>
      <c r="D24" s="5" t="s">
        <v>29</v>
      </c>
      <c r="E24" s="5" t="s">
        <v>26</v>
      </c>
    </row>
    <row r="25">
      <c r="A25" s="6">
        <v>45899.54038194445</v>
      </c>
      <c r="B25" s="5" t="s">
        <v>64</v>
      </c>
      <c r="C25" s="5" t="s">
        <v>65</v>
      </c>
      <c r="D25" s="5" t="s">
        <v>25</v>
      </c>
      <c r="E25" s="5" t="s">
        <v>26</v>
      </c>
    </row>
    <row r="26">
      <c r="A26" s="6">
        <v>45901.523368055554</v>
      </c>
      <c r="B26" s="5" t="s">
        <v>66</v>
      </c>
      <c r="D26" s="5" t="s">
        <v>25</v>
      </c>
      <c r="E26" s="5" t="s">
        <v>26</v>
      </c>
    </row>
    <row r="27">
      <c r="A27" s="6">
        <v>45901.653599537036</v>
      </c>
      <c r="B27" s="5" t="s">
        <v>67</v>
      </c>
      <c r="C27" s="5" t="s">
        <v>68</v>
      </c>
      <c r="D27" s="5" t="s">
        <v>29</v>
      </c>
      <c r="E27" s="5" t="s">
        <v>26</v>
      </c>
    </row>
    <row r="28">
      <c r="A28" s="6">
        <v>45902.539826388886</v>
      </c>
      <c r="B28" s="5" t="s">
        <v>69</v>
      </c>
      <c r="D28" s="5" t="s">
        <v>25</v>
      </c>
      <c r="E28" s="5" t="s">
        <v>26</v>
      </c>
    </row>
    <row r="29">
      <c r="A29" s="6">
        <v>45902.650775462964</v>
      </c>
      <c r="B29" s="5" t="s">
        <v>70</v>
      </c>
      <c r="D29" s="5" t="s">
        <v>39</v>
      </c>
      <c r="E29" s="5" t="s">
        <v>26</v>
      </c>
    </row>
    <row r="30">
      <c r="A30" s="6">
        <v>45903.97185185185</v>
      </c>
      <c r="B30" s="5" t="s">
        <v>71</v>
      </c>
      <c r="C30" s="5" t="s">
        <v>72</v>
      </c>
      <c r="D30" s="5" t="s">
        <v>29</v>
      </c>
      <c r="E30" s="5" t="s">
        <v>26</v>
      </c>
    </row>
    <row r="31">
      <c r="A31" s="6">
        <v>45904.414560185185</v>
      </c>
      <c r="B31" s="5" t="s">
        <v>73</v>
      </c>
      <c r="C31" s="5" t="s">
        <v>74</v>
      </c>
      <c r="D31" s="5" t="s">
        <v>25</v>
      </c>
      <c r="E31" s="5" t="s">
        <v>26</v>
      </c>
    </row>
    <row r="32">
      <c r="A32" s="6">
        <v>45904.42290509259</v>
      </c>
      <c r="B32" s="5" t="s">
        <v>75</v>
      </c>
      <c r="D32" s="5" t="s">
        <v>29</v>
      </c>
      <c r="E32" s="5" t="s">
        <v>26</v>
      </c>
    </row>
    <row r="33">
      <c r="A33" s="6">
        <v>45904.51219907407</v>
      </c>
      <c r="B33" s="5" t="s">
        <v>76</v>
      </c>
      <c r="C33" s="5" t="s">
        <v>77</v>
      </c>
      <c r="D33" s="5" t="s">
        <v>29</v>
      </c>
      <c r="E33" s="5" t="s">
        <v>26</v>
      </c>
    </row>
    <row r="34">
      <c r="A34" s="6">
        <v>45904.517858796295</v>
      </c>
      <c r="B34" s="5" t="s">
        <v>78</v>
      </c>
      <c r="D34" s="5" t="s">
        <v>25</v>
      </c>
      <c r="E34" s="5" t="s">
        <v>26</v>
      </c>
    </row>
    <row r="35">
      <c r="A35" s="6">
        <v>45904.52564814815</v>
      </c>
      <c r="B35" s="5" t="s">
        <v>79</v>
      </c>
      <c r="C35" s="5" t="s">
        <v>80</v>
      </c>
      <c r="D35" s="5" t="s">
        <v>29</v>
      </c>
      <c r="E35" s="5" t="s">
        <v>26</v>
      </c>
    </row>
    <row r="36">
      <c r="A36" s="6">
        <v>45904.53003472222</v>
      </c>
      <c r="B36" s="5" t="s">
        <v>81</v>
      </c>
      <c r="C36" s="5" t="s">
        <v>82</v>
      </c>
      <c r="D36" s="5" t="s">
        <v>25</v>
      </c>
      <c r="E36" s="5" t="s">
        <v>26</v>
      </c>
    </row>
    <row r="37">
      <c r="A37" s="6">
        <v>45904.78555555556</v>
      </c>
      <c r="B37" s="5" t="s">
        <v>83</v>
      </c>
      <c r="C37" s="5" t="s">
        <v>84</v>
      </c>
      <c r="D37" s="5" t="s">
        <v>29</v>
      </c>
      <c r="E37" s="5" t="s">
        <v>26</v>
      </c>
    </row>
    <row r="38">
      <c r="A38" s="6">
        <v>45904.87194444444</v>
      </c>
      <c r="B38" s="5" t="s">
        <v>85</v>
      </c>
      <c r="C38" s="5" t="s">
        <v>86</v>
      </c>
      <c r="D38" s="5" t="s">
        <v>29</v>
      </c>
      <c r="E38" s="5" t="s">
        <v>26</v>
      </c>
    </row>
    <row r="39">
      <c r="A39" s="6">
        <v>45904.87436342592</v>
      </c>
      <c r="B39" s="5" t="s">
        <v>87</v>
      </c>
      <c r="C39" s="5" t="s">
        <v>88</v>
      </c>
      <c r="D39" s="5" t="s">
        <v>29</v>
      </c>
      <c r="E39" s="5" t="s">
        <v>26</v>
      </c>
    </row>
    <row r="40">
      <c r="A40" s="6">
        <v>45904.96480324074</v>
      </c>
      <c r="B40" s="5" t="s">
        <v>89</v>
      </c>
      <c r="D40" s="5" t="s">
        <v>29</v>
      </c>
      <c r="E40" s="5" t="s">
        <v>26</v>
      </c>
    </row>
    <row r="41">
      <c r="A41" s="6">
        <v>45905.011516203704</v>
      </c>
      <c r="B41" s="5" t="s">
        <v>90</v>
      </c>
      <c r="D41" s="5" t="s">
        <v>29</v>
      </c>
      <c r="E41" s="5" t="s">
        <v>26</v>
      </c>
    </row>
    <row r="42">
      <c r="A42" s="6">
        <v>45906.894791666666</v>
      </c>
      <c r="B42" s="5" t="s">
        <v>91</v>
      </c>
      <c r="C42" s="5" t="s">
        <v>92</v>
      </c>
      <c r="D42" s="5" t="s">
        <v>29</v>
      </c>
      <c r="E42" s="5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7.89"/>
    <col customWidth="1" min="2" max="2" width="18.22"/>
    <col customWidth="1" min="3" max="3" width="16.0"/>
    <col customWidth="1" min="4" max="4" width="13.67"/>
    <col customWidth="1" min="5" max="5" width="14.0"/>
    <col customWidth="1" min="6" max="6" width="10.44"/>
    <col customWidth="1" min="7" max="9" width="8.44"/>
    <col customWidth="1" min="10" max="10" width="10.11"/>
    <col customWidth="1" min="11" max="11" width="14.56"/>
    <col customWidth="1" min="12" max="12" width="13.89"/>
    <col customWidth="1" min="13" max="14" width="10.67"/>
    <col customWidth="1" min="15" max="15" width="16.0"/>
    <col customWidth="1" min="16" max="16" width="16.33"/>
    <col customWidth="1" min="17" max="17" width="14.0"/>
    <col customWidth="1" min="18" max="18" width="10.44"/>
    <col customWidth="1" min="19" max="21" width="8.44"/>
    <col customWidth="1" min="22" max="22" width="10.11"/>
    <col customWidth="1" min="23" max="23" width="14.56"/>
    <col customWidth="1" min="24" max="24" width="13.33"/>
    <col customWidth="1" min="25" max="26" width="10.67"/>
    <col customWidth="1" min="27" max="27" width="16.0"/>
    <col customWidth="1" min="28" max="28" width="16.33"/>
    <col customWidth="1" min="29" max="29" width="14.0"/>
    <col customWidth="1" min="30" max="30" width="10.44"/>
    <col customWidth="1" min="31" max="33" width="8.44"/>
    <col customWidth="1" min="34" max="34" width="10.11"/>
    <col customWidth="1" min="35" max="35" width="14.56"/>
    <col customWidth="1" min="36" max="36" width="13.89"/>
    <col customWidth="1" min="37" max="38" width="10.67"/>
    <col customWidth="1" min="39" max="39" width="16.0"/>
    <col customWidth="1" min="40" max="40" width="16.33"/>
    <col customWidth="1" min="41" max="41" width="14.0"/>
    <col customWidth="1" min="42" max="42" width="10.44"/>
    <col customWidth="1" min="43" max="45" width="8.44"/>
    <col customWidth="1" min="46" max="46" width="10.11"/>
    <col customWidth="1" min="47" max="47" width="14.56"/>
    <col customWidth="1" min="48" max="48" width="13.33"/>
    <col customWidth="1" min="49" max="50" width="10.67"/>
    <col customWidth="1" min="51" max="51" width="16.0"/>
    <col customWidth="1" min="52" max="52" width="16.33"/>
    <col customWidth="1" min="53" max="53" width="14.0"/>
    <col customWidth="1" min="54" max="54" width="10.44"/>
    <col customWidth="1" min="55" max="57" width="8.44"/>
    <col customWidth="1" min="58" max="58" width="10.11"/>
    <col customWidth="1" min="59" max="59" width="14.56"/>
    <col customWidth="1" min="60" max="60" width="13.89"/>
    <col customWidth="1" min="61" max="62" width="10.67"/>
    <col customWidth="1" min="63" max="63" width="16.0"/>
    <col customWidth="1" min="64" max="64" width="16.33"/>
    <col customWidth="1" min="65" max="65" width="14.0"/>
    <col customWidth="1" min="66" max="66" width="10.44"/>
    <col customWidth="1" min="67" max="69" width="8.44"/>
    <col customWidth="1" min="70" max="70" width="10.11"/>
    <col customWidth="1" min="71" max="71" width="14.56"/>
    <col customWidth="1" min="72" max="72" width="13.33"/>
    <col customWidth="1" min="73" max="74" width="10.67"/>
    <col customWidth="1" min="75" max="75" width="16.0"/>
    <col customWidth="1" min="76" max="76" width="16.33"/>
    <col customWidth="1" min="77" max="77" width="14.0"/>
    <col customWidth="1" min="78" max="78" width="10.44"/>
    <col customWidth="1" min="79" max="81" width="8.44"/>
    <col customWidth="1" min="82" max="82" width="10.11"/>
    <col customWidth="1" min="83" max="83" width="14.56"/>
    <col customWidth="1" min="84" max="84" width="13.89"/>
    <col customWidth="1" min="85" max="86" width="10.67"/>
    <col customWidth="1" min="87" max="87" width="16.0"/>
    <col customWidth="1" min="88" max="88" width="16.33"/>
    <col customWidth="1" min="89" max="89" width="14.0"/>
    <col customWidth="1" min="90" max="90" width="10.44"/>
    <col customWidth="1" min="91" max="93" width="8.44"/>
    <col customWidth="1" min="94" max="94" width="10.11"/>
    <col customWidth="1" min="95" max="95" width="14.56"/>
    <col customWidth="1" min="96" max="96" width="13.33"/>
    <col customWidth="1" min="97" max="98" width="10.67"/>
    <col customWidth="1" min="99" max="99" width="8.67"/>
    <col customWidth="1" min="100" max="100" width="11.22"/>
    <col customWidth="1" min="101" max="101" width="17.11"/>
    <col customWidth="1" min="102" max="102" width="10.44"/>
    <col customWidth="1" min="103" max="103" width="12.0"/>
    <col customWidth="1" min="104" max="104" width="7.0"/>
    <col customWidth="1" min="105" max="105" width="8.11"/>
    <col customWidth="1" min="106" max="106" width="8.89"/>
    <col customWidth="1" min="107" max="107" width="8.22"/>
    <col customWidth="1" min="108" max="108" width="10.56"/>
    <col customWidth="1" min="109" max="109" width="10.78"/>
  </cols>
  <sheetData>
    <row r="1" ht="24.75" hidden="1" customHeight="1">
      <c r="A1" s="7"/>
      <c r="B1" s="7"/>
      <c r="C1" s="8" t="s">
        <v>93</v>
      </c>
      <c r="O1" s="9" t="s">
        <v>94</v>
      </c>
      <c r="AA1" s="8" t="s">
        <v>95</v>
      </c>
      <c r="AM1" s="9" t="s">
        <v>96</v>
      </c>
      <c r="AY1" s="8" t="s">
        <v>97</v>
      </c>
      <c r="BK1" s="9" t="s">
        <v>98</v>
      </c>
      <c r="BW1" s="8" t="s">
        <v>99</v>
      </c>
      <c r="CI1" s="9" t="s">
        <v>100</v>
      </c>
      <c r="CU1" s="10"/>
      <c r="CV1" s="11"/>
      <c r="CW1" s="11"/>
      <c r="CX1" s="10"/>
      <c r="CY1" s="10"/>
      <c r="CZ1" s="11"/>
      <c r="DA1" s="11"/>
      <c r="DB1" s="11"/>
      <c r="DC1" s="11"/>
      <c r="DD1" s="11"/>
      <c r="DE1" s="11"/>
    </row>
    <row r="2" ht="22.5" customHeight="1">
      <c r="A2" s="12" t="s">
        <v>101</v>
      </c>
      <c r="B2" s="13" t="s">
        <v>102</v>
      </c>
      <c r="C2" s="14" t="s">
        <v>103</v>
      </c>
      <c r="D2" s="12" t="s">
        <v>104</v>
      </c>
      <c r="E2" s="12" t="s">
        <v>105</v>
      </c>
      <c r="F2" s="12" t="s">
        <v>106</v>
      </c>
      <c r="G2" s="12" t="s">
        <v>107</v>
      </c>
      <c r="H2" s="12" t="s">
        <v>108</v>
      </c>
      <c r="I2" s="12" t="s">
        <v>109</v>
      </c>
      <c r="J2" s="12" t="s">
        <v>110</v>
      </c>
      <c r="K2" s="12" t="s">
        <v>111</v>
      </c>
      <c r="L2" s="12" t="s">
        <v>112</v>
      </c>
      <c r="M2" s="12" t="s">
        <v>113</v>
      </c>
      <c r="N2" s="12" t="s">
        <v>114</v>
      </c>
      <c r="O2" s="14" t="s">
        <v>115</v>
      </c>
      <c r="P2" s="12" t="s">
        <v>116</v>
      </c>
      <c r="Q2" s="12" t="s">
        <v>117</v>
      </c>
      <c r="R2" s="12" t="s">
        <v>118</v>
      </c>
      <c r="S2" s="12" t="s">
        <v>119</v>
      </c>
      <c r="T2" s="12" t="s">
        <v>120</v>
      </c>
      <c r="U2" s="12" t="s">
        <v>121</v>
      </c>
      <c r="V2" s="12" t="s">
        <v>122</v>
      </c>
      <c r="W2" s="12" t="s">
        <v>123</v>
      </c>
      <c r="X2" s="12" t="s">
        <v>124</v>
      </c>
      <c r="Y2" s="12" t="s">
        <v>125</v>
      </c>
      <c r="Z2" s="12" t="s">
        <v>126</v>
      </c>
      <c r="AA2" s="14" t="s">
        <v>127</v>
      </c>
      <c r="AB2" s="12" t="s">
        <v>128</v>
      </c>
      <c r="AC2" s="12" t="s">
        <v>129</v>
      </c>
      <c r="AD2" s="12" t="s">
        <v>130</v>
      </c>
      <c r="AE2" s="12" t="s">
        <v>131</v>
      </c>
      <c r="AF2" s="12" t="s">
        <v>132</v>
      </c>
      <c r="AG2" s="12" t="s">
        <v>133</v>
      </c>
      <c r="AH2" s="12" t="s">
        <v>134</v>
      </c>
      <c r="AI2" s="12" t="s">
        <v>135</v>
      </c>
      <c r="AJ2" s="12" t="s">
        <v>136</v>
      </c>
      <c r="AK2" s="12" t="s">
        <v>137</v>
      </c>
      <c r="AL2" s="12" t="s">
        <v>138</v>
      </c>
      <c r="AM2" s="14" t="s">
        <v>139</v>
      </c>
      <c r="AN2" s="12" t="s">
        <v>140</v>
      </c>
      <c r="AO2" s="12" t="s">
        <v>141</v>
      </c>
      <c r="AP2" s="12" t="s">
        <v>142</v>
      </c>
      <c r="AQ2" s="12" t="s">
        <v>143</v>
      </c>
      <c r="AR2" s="12" t="s">
        <v>144</v>
      </c>
      <c r="AS2" s="12" t="s">
        <v>145</v>
      </c>
      <c r="AT2" s="12" t="s">
        <v>146</v>
      </c>
      <c r="AU2" s="12" t="s">
        <v>147</v>
      </c>
      <c r="AV2" s="12" t="s">
        <v>148</v>
      </c>
      <c r="AW2" s="12" t="s">
        <v>149</v>
      </c>
      <c r="AX2" s="12" t="s">
        <v>150</v>
      </c>
      <c r="AY2" s="14" t="s">
        <v>151</v>
      </c>
      <c r="AZ2" s="12" t="s">
        <v>152</v>
      </c>
      <c r="BA2" s="12" t="s">
        <v>153</v>
      </c>
      <c r="BB2" s="12" t="s">
        <v>154</v>
      </c>
      <c r="BC2" s="12" t="s">
        <v>155</v>
      </c>
      <c r="BD2" s="12" t="s">
        <v>156</v>
      </c>
      <c r="BE2" s="12" t="s">
        <v>157</v>
      </c>
      <c r="BF2" s="12" t="s">
        <v>158</v>
      </c>
      <c r="BG2" s="12" t="s">
        <v>159</v>
      </c>
      <c r="BH2" s="12" t="s">
        <v>160</v>
      </c>
      <c r="BI2" s="12" t="s">
        <v>161</v>
      </c>
      <c r="BJ2" s="12" t="s">
        <v>162</v>
      </c>
      <c r="BK2" s="14" t="s">
        <v>163</v>
      </c>
      <c r="BL2" s="12" t="s">
        <v>164</v>
      </c>
      <c r="BM2" s="12" t="s">
        <v>165</v>
      </c>
      <c r="BN2" s="12" t="s">
        <v>166</v>
      </c>
      <c r="BO2" s="12" t="s">
        <v>167</v>
      </c>
      <c r="BP2" s="12" t="s">
        <v>168</v>
      </c>
      <c r="BQ2" s="12" t="s">
        <v>169</v>
      </c>
      <c r="BR2" s="12" t="s">
        <v>170</v>
      </c>
      <c r="BS2" s="12" t="s">
        <v>171</v>
      </c>
      <c r="BT2" s="12" t="s">
        <v>172</v>
      </c>
      <c r="BU2" s="12" t="s">
        <v>173</v>
      </c>
      <c r="BV2" s="12" t="s">
        <v>174</v>
      </c>
      <c r="BW2" s="14" t="s">
        <v>175</v>
      </c>
      <c r="BX2" s="12" t="s">
        <v>176</v>
      </c>
      <c r="BY2" s="12" t="s">
        <v>177</v>
      </c>
      <c r="BZ2" s="12" t="s">
        <v>178</v>
      </c>
      <c r="CA2" s="12" t="s">
        <v>179</v>
      </c>
      <c r="CB2" s="12" t="s">
        <v>180</v>
      </c>
      <c r="CC2" s="12" t="s">
        <v>181</v>
      </c>
      <c r="CD2" s="12" t="s">
        <v>182</v>
      </c>
      <c r="CE2" s="12" t="s">
        <v>183</v>
      </c>
      <c r="CF2" s="12" t="s">
        <v>184</v>
      </c>
      <c r="CG2" s="12" t="s">
        <v>185</v>
      </c>
      <c r="CH2" s="12" t="s">
        <v>186</v>
      </c>
      <c r="CI2" s="14" t="s">
        <v>187</v>
      </c>
      <c r="CJ2" s="12" t="s">
        <v>188</v>
      </c>
      <c r="CK2" s="12" t="s">
        <v>189</v>
      </c>
      <c r="CL2" s="12" t="s">
        <v>190</v>
      </c>
      <c r="CM2" s="12" t="s">
        <v>191</v>
      </c>
      <c r="CN2" s="12" t="s">
        <v>192</v>
      </c>
      <c r="CO2" s="12" t="s">
        <v>193</v>
      </c>
      <c r="CP2" s="12" t="s">
        <v>194</v>
      </c>
      <c r="CQ2" s="12" t="s">
        <v>195</v>
      </c>
      <c r="CR2" s="12" t="s">
        <v>196</v>
      </c>
      <c r="CS2" s="12" t="s">
        <v>197</v>
      </c>
      <c r="CT2" s="12" t="s">
        <v>198</v>
      </c>
      <c r="CU2" s="15" t="s">
        <v>199</v>
      </c>
      <c r="CV2" s="16" t="s">
        <v>200</v>
      </c>
      <c r="CW2" s="17" t="s">
        <v>201</v>
      </c>
      <c r="CX2" s="17" t="s">
        <v>202</v>
      </c>
      <c r="CY2" s="15" t="s">
        <v>203</v>
      </c>
      <c r="CZ2" s="17" t="s">
        <v>204</v>
      </c>
      <c r="DA2" s="17" t="s">
        <v>205</v>
      </c>
      <c r="DB2" s="17" t="s">
        <v>206</v>
      </c>
      <c r="DC2" s="17" t="s">
        <v>207</v>
      </c>
      <c r="DD2" s="18" t="s">
        <v>208</v>
      </c>
      <c r="DE2" s="18" t="s">
        <v>209</v>
      </c>
    </row>
    <row r="3" ht="24.75" customHeight="1">
      <c r="A3" s="19" t="s">
        <v>210</v>
      </c>
      <c r="B3" s="20" t="s">
        <v>211</v>
      </c>
      <c r="C3" s="21" t="s">
        <v>212</v>
      </c>
      <c r="D3" s="22">
        <f t="shared" ref="D3:D64" si="4">SUM(E3:F3)+K3</f>
        <v>4</v>
      </c>
      <c r="E3" s="22">
        <f t="shared" ref="E3:E64" si="5">COUNTA(C3)*2</f>
        <v>2</v>
      </c>
      <c r="F3" s="22">
        <f t="shared" ref="F3:F64" si="6">(G3*2)+(H3*1)</f>
        <v>2</v>
      </c>
      <c r="G3" s="22">
        <f>IF(C3&lt;&gt;"",
    COUNTIFS(MATCH_INPUT!$K$2:$K$5,C3),
0)</f>
        <v>1</v>
      </c>
      <c r="H3" s="22">
        <f>IF(C3&lt;&gt;"",
    COUNTIFS(MATCH_INPUT!$F$2:$F$5, C3, MATCH_INPUT!$K$2:$K$5, "Draw") +
    COUNTIFS(MATCH_INPUT!$J$2:$J$5, C3, MATCH_INPUT!$K$2:$K$5, "Draw"),
0)</f>
        <v>0</v>
      </c>
      <c r="I3" s="22">
        <f>IF(C3&lt;&gt;"",
    COUNTIFS(MATCH_INPUT!$F$2:$F$5, C3, MATCH_INPUT!$K$2:$K$5, "&lt;&gt;"&amp;C3, MATCH_INPUT!$K$2:$K$5, "&lt;&gt;Draw", MATCH_INPUT!$K$2:$K$5, "&lt;&gt;""") +
    COUNTIFS(MATCH_INPUT!$J$2:$J$5, C3, MATCH_INPUT!$K$2:$K$5, "&lt;&gt;"&amp;C3, MATCH_INPUT!$K$2:$K$5, "&lt;&gt;Draw", MATCH_INPUT!$K$2:$K$5, "&lt;&gt;"""),
0)</f>
        <v>1</v>
      </c>
      <c r="J3" s="23" t="str">
        <f t="array" ref="J3">IFERROR(
  INDEX(PLAYER_STAT!E$2:E64, 
    MATCH(1, 
      (PLAYER_STAT!A$2:A64 = MATCH_DATES!$A$2) * (PLAYER_STAT!D$2:D64 = $B3), 
    0)
  ), 
  ""
)
</f>
        <v/>
      </c>
      <c r="K3" s="23" t="str">
        <f t="array" ref="K3">IFERROR(
  INDEX(PLAYER_STAT!F$2:F64, 
    MATCH(1, 
      (PLAYER_STAT!A$2:A64 = MATCH_DATES!$A$2) * (PLAYER_STAT!D$2:D64 = $B3), 
    0)
  ), 
  ""
)
</f>
        <v/>
      </c>
      <c r="L3" s="24" t="str">
        <f t="array" ref="L3">IFERROR(
  INDEX(PLAYER_STAT!G$2:G64, 
    MATCH(1, 
      (PLAYER_STAT!A$2:A64 = MATCH_DATES!$A$2) * (PLAYER_STAT!D$2:D64 = $B3), 
    0)
  ), 
  ""
)
</f>
        <v/>
      </c>
      <c r="M3" s="25">
        <f t="shared" ref="M3:M38" si="7">RANK(D3, D$3:D$39, 0)</f>
        <v>11</v>
      </c>
      <c r="N3" s="26" t="str">
        <f t="shared" ref="N3:N64" si="8">IF(M3&lt;1, "↑", IF(M3&gt;1, "↓", "="))</f>
        <v>↓</v>
      </c>
      <c r="O3" s="27" t="s">
        <v>213</v>
      </c>
      <c r="P3" s="28">
        <f t="shared" ref="P3:P64" si="9">SUM(Q3:R3)+D3+W3</f>
        <v>9</v>
      </c>
      <c r="Q3" s="28">
        <f t="shared" ref="Q3:Q64" si="10">COUNTA(O3)*2</f>
        <v>2</v>
      </c>
      <c r="R3" s="28">
        <f t="shared" ref="R3:R64" si="11">(S3*2)+(T3*1)</f>
        <v>3</v>
      </c>
      <c r="S3" s="28">
        <f>IF(O3&lt;&gt;"",
    COUNTIFS(MATCH_INPUT!$K$6:$K$9,O3),
0)</f>
        <v>1</v>
      </c>
      <c r="T3" s="28">
        <f>IF(O3&lt;&gt;"",
    COUNTIFS(MATCH_INPUT!$F$6:$F$9, O3, MATCH_INPUT!$K$6:$K$9, "Draw") +
    COUNTIFS(MATCH_INPUT!$J$6:$J$9, O3, MATCH_INPUT!$K$6:$K$9, "Draw"),
0)</f>
        <v>1</v>
      </c>
      <c r="U3" s="28">
        <f>IF(O3&lt;&gt;"",
    COUNTIFS(MATCH_INPUT!$F$6:$F$9, O3, MATCH_INPUT!$K$6:$K$9, "&lt;&gt;"&amp;O3, MATCH_INPUT!$K$6:$K$9, "&lt;&gt;Draw", MATCH_INPUT!$K$6:$K$9, "&lt;&gt;""") +
    COUNTIFS(MATCH_INPUT!$J$6:$J$9, O3, MATCH_INPUT!$K$6:$K$9, "&lt;&gt;"&amp;O3, MATCH_INPUT!$K$6:$K$9, "&lt;&gt;Draw", MATCH_INPUT!$K$6:$K$9, "&lt;&gt;"""),
0)</f>
        <v>0</v>
      </c>
      <c r="V3" s="29" t="str">
        <f t="array" ref="V3">IFERROR(
  INDEX(PLAYER_STAT!E$2:E64, 
    MATCH(1, 
      (PLAYER_STAT!A$2:A64 = MATCH_DATES!$A$3) * (PLAYER_STAT!D$2:D64 = $B3), 
    0)
  ), 
  ""
)
</f>
        <v/>
      </c>
      <c r="W3" s="29" t="str">
        <f t="array" ref="W3">IFERROR(
  INDEX(PLAYER_STAT!F$2:F64, 
    MATCH(1, 
      (PLAYER_STAT!A$2:A64 = MATCH_DATES!$A$3) * (PLAYER_STAT!D$2:D64 = $B3), 
    0)
  ), 
  ""
)
</f>
        <v/>
      </c>
      <c r="X3" s="30" t="str">
        <f t="array" ref="X3">IFERROR(
  INDEX(PLAYER_STAT!G$2:G64, 
    MATCH(1, 
      (PLAYER_STAT!A$2:A64 = MATCH_DATES!$A$3) * (PLAYER_STAT!D$2:D64 = $B3), 
    0)
  ), 
  ""
)
</f>
        <v/>
      </c>
      <c r="Y3" s="31">
        <f t="shared" ref="Y3:Y38" si="12">RANK(P3, P$3:P$38, 0)</f>
        <v>9</v>
      </c>
      <c r="Z3" s="32" t="str">
        <f t="shared" ref="Z3:Z64" si="13">IF(Y3&lt;M3, "↑", IF(Y3&gt;M3, "↓", "="))</f>
        <v>↑</v>
      </c>
      <c r="AA3" s="21" t="s">
        <v>214</v>
      </c>
      <c r="AB3" s="33">
        <f t="shared" ref="AB3:AB64" si="14">SUM(AC3:AD3)+P3+AI3</f>
        <v>13</v>
      </c>
      <c r="AC3" s="22">
        <f t="shared" ref="AC3:AC64" si="15">COUNTA(AA3)*2</f>
        <v>2</v>
      </c>
      <c r="AD3" s="22">
        <f t="shared" ref="AD3:AD64" si="16">SUM(AE3*2)+(AF3*1)</f>
        <v>2</v>
      </c>
      <c r="AE3" s="22">
        <f>IF(AA3&lt;&gt;"",
    COUNTIFS(MATCH_INPUT!$K$10:$K$13,AA3),
0)</f>
        <v>1</v>
      </c>
      <c r="AF3" s="22">
        <f>IF(AA3&lt;&gt;"",
    COUNTIFS(MATCH_INPUT!$F$10:$F$13, AA3, MATCH_INPUT!$K$10:$K$13, "Draw") +
    COUNTIFS(MATCH_INPUT!$J$10:$J$13, AA3, MATCH_INPUT!$K$10:$K$13, "Draw"),
0)</f>
        <v>0</v>
      </c>
      <c r="AG3" s="22">
        <f>IF(AA3&lt;&gt;"",
    COUNTIFS(MATCH_INPUT!$F$10:$F$13, AA3, MATCH_INPUT!$K$10:$K$13, "&lt;&gt;"&amp;AA3, MATCH_INPUT!$K$10:$K$13, "&lt;&gt;Draw", MATCH_INPUT!$K$10:$K$13, "&lt;&gt;""") +
    COUNTIFS(MATCH_INPUT!$J$10:$J$13, AA3, MATCH_INPUT!$K$10:$K$13, "&lt;&gt;"&amp;AA3, MATCH_INPUT!$K$10:$K$13, "&lt;&gt;Draw", MATCH_INPUT!$K$10:$K$13, "&lt;&gt;"""),
0)</f>
        <v>1</v>
      </c>
      <c r="AH3" s="23" t="str">
        <f t="array" ref="AH3">IFERROR(
  INDEX(PLAYER_STAT!E$2:E64, 
    MATCH(1, 
      (PLAYER_STAT!A$2:A64 = MATCH_DATES!$A$4) * (PLAYER_STAT!D$2:D64 = $B3), 
    0)
  ), 
  ""
)
</f>
        <v/>
      </c>
      <c r="AI3" s="23" t="str">
        <f t="array" ref="AI3">IFERROR(
  INDEX(PLAYER_STAT!F$2:F64, 
    MATCH(1, 
      (PLAYER_STAT!A$2:A64 = MATCH_DATES!$A$4) * (PLAYER_STAT!D$2:D64 = $B3), 
    0)
  ), 
  ""
)
</f>
        <v/>
      </c>
      <c r="AJ3" s="34" t="str">
        <f t="array" ref="AJ3">IFERROR(
  INDEX(PLAYER_STAT!G$2:G64, 
    MATCH(1, 
      (PLAYER_STAT!A$2:A64 = MATCH_DATES!$A$4) * (PLAYER_STAT!D$2:D64 = $B3), 
    0)
  ), 
  ""
)
</f>
        <v/>
      </c>
      <c r="AK3" s="25">
        <f t="shared" ref="AK3:AK38" si="17">RANK(AB3, AB$3:AB$38, 0)</f>
        <v>10</v>
      </c>
      <c r="AL3" s="26" t="str">
        <f t="shared" ref="AL3:AL64" si="18">IF(AK3&lt;Y3, "↑", IF(AK3&gt;Y3, "↓", "="))</f>
        <v>↓</v>
      </c>
      <c r="AM3" s="27" t="s">
        <v>214</v>
      </c>
      <c r="AN3" s="28">
        <f t="shared" ref="AN3:AN64" si="19">SUM(AO3:AP3)+AB3+AU3</f>
        <v>15</v>
      </c>
      <c r="AO3" s="28">
        <f t="shared" ref="AO3:AO64" si="20">COUNTA(AM3)*2</f>
        <v>2</v>
      </c>
      <c r="AP3" s="28">
        <f t="shared" ref="AP3:AP64" si="21">SUM(AQ3*2)+(AR3*1)</f>
        <v>0</v>
      </c>
      <c r="AQ3" s="28">
        <f>IF(AM3&lt;&gt;"",
    COUNTIFS(MATCH_INPUT!$K$14:$K$17,AM3),
0)</f>
        <v>0</v>
      </c>
      <c r="AR3" s="28">
        <f>IF(AM3&lt;&gt;"",
    COUNTIFS(MATCH_INPUT!$F$14:$F$17, AM3, MATCH_INPUT!$K$14:$K$17, "Draw") +
    COUNTIFS(MATCH_INPUT!$J$14:$J$17, AM3, MATCH_INPUT!$K$14:$K$17, "Draw"),
0)</f>
        <v>0</v>
      </c>
      <c r="AS3" s="28">
        <f>IF(AM3&lt;&gt;"",
    COUNTIFS(MATCH_INPUT!$F$14:$F$17, AM3, MATCH_INPUT!$K$14:$K$17, "&lt;&gt;"&amp;AM3, MATCH_INPUT!$K$14:$K$17, "&lt;&gt;Draw", MATCH_INPUT!$K$14:$K$17, "&lt;&gt;""") +
    COUNTIFS(MATCH_INPUT!$J$14:$J$17, AM3, MATCH_INPUT!$K$14:$K$17, "&lt;&gt;"&amp;AM3, MATCH_INPUT!$K$14:$K$17, "&lt;&gt;Draw", MATCH_INPUT!$K$14:$K$17, "&lt;&gt;"""),
0)</f>
        <v>2</v>
      </c>
      <c r="AT3" s="29" t="str">
        <f t="array" ref="AT3">IFERROR(
  INDEX(PLAYER_STAT!E$2:E64, 
    MATCH(1, 
      (PLAYER_STAT!A$2:A64 = MATCH_DATES!$A$5) * (PLAYER_STAT!D$2:D64 = $B3), 
    0)
  ), 
  ""
)
</f>
        <v/>
      </c>
      <c r="AU3" s="29" t="str">
        <f t="array" ref="AU3">IFERROR(
  INDEX(PLAYER_STAT!F$2:F64, 
    MATCH(1, 
      (PLAYER_STAT!A$2:A64 = MATCH_DATES!$A$5) * (PLAYER_STAT!D$2:D64 = $B3), 
    0)
  ), 
  ""
)
</f>
        <v/>
      </c>
      <c r="AV3" s="30" t="str">
        <f t="array" ref="AV3">IFERROR(
  INDEX(PLAYER_STAT!G$2:G64, 
    MATCH(1, 
      (PLAYER_STAT!A$2:A64 = MATCH_DATES!$A$5) * (PLAYER_STAT!D$2:D64 = $B3), 
    0)
  ), 
  ""
)
</f>
        <v/>
      </c>
      <c r="AW3" s="31">
        <f t="shared" ref="AW3:AW38" si="22">RANK(AN3, AN$3:AN$38, 0)</f>
        <v>16</v>
      </c>
      <c r="AX3" s="32" t="str">
        <f t="shared" ref="AX3:AX64" si="23">IF(AW3&lt;AK3, "↑", IF(AW3&gt;AK3, "↓", "="))</f>
        <v>↓</v>
      </c>
      <c r="AY3" s="21" t="s">
        <v>215</v>
      </c>
      <c r="AZ3" s="33">
        <f t="shared" ref="AZ3:AZ64" si="24">SUM(BA3:BB3)+BG3+AN3</f>
        <v>18</v>
      </c>
      <c r="BA3" s="22">
        <f t="shared" ref="BA3:BA64" si="25">COUNTA(AY3)*2</f>
        <v>2</v>
      </c>
      <c r="BB3" s="22">
        <f>SUM(BC3*2) + (BD3*1) + SUMIFS(MATCH_INPUT!$G$18:$G$21, MATCH_INPUT!$F$18:$F$21, AY3) + SUMIFS(MATCH_INPUT!$I$18:$I$21, MATCH_INPUT!$J$18:$J$21, AY3)
</f>
        <v>1</v>
      </c>
      <c r="BC3" s="22">
        <f>IF(AY3&lt;&gt;"",
    COUNTIFS(MATCH_INPUT!$K$18:$K$21,AY3),
0)</f>
        <v>0</v>
      </c>
      <c r="BD3" s="22">
        <f>IF(AY3&lt;&gt;"",
    COUNTIFS(MATCH_INPUT!$F$18:$F$21, AY3, MATCH_INPUT!$K$18:$K$21, "Draw") +
    COUNTIFS(MATCH_INPUT!$J$18:$J$21, AY3, MATCH_INPUT!$K$18:$K$21, "Draw"),
0)</f>
        <v>0</v>
      </c>
      <c r="BE3" s="22">
        <f>IF(AY3&lt;&gt;"",
    COUNTIFS(MATCH_INPUT!$F$18:$F$21, AY3, MATCH_INPUT!$K$18:$K$21, "&lt;&gt;"&amp;AY3, MATCH_INPUT!$K$18:$K$21, "&lt;&gt;Draw", MATCH_INPUT!$K$18:$K$21, "&lt;&gt;""") +
    COUNTIFS(MATCH_INPUT!$J$18:$J$21, AY3, MATCH_INPUT!$K$18:$K$21, "&lt;&gt;"&amp;AY3, MATCH_INPUT!$K$18:$K$21, "&lt;&gt;Draw", MATCH_INPUT!$K$18:$K$21, "&lt;&gt;"""),
0)</f>
        <v>2</v>
      </c>
      <c r="BF3" s="23" t="str">
        <f t="array" ref="BF3">IFERROR(
  INDEX(PLAYER_STAT!E$2:E64, 
    MATCH(1, 
      (PLAYER_STAT!A$2:A64 = MATCH_DATES!$A$6) * (PLAYER_STAT!D$2:D64 = $B3), 
    0)
  ), 
  ""
)
</f>
        <v/>
      </c>
      <c r="BG3" s="23" t="str">
        <f t="array" ref="BG3">IFERROR(
  INDEX(PLAYER_STAT!F$2:F64, 
    MATCH(1, 
      (PLAYER_STAT!A$2:A64 = MATCH_DATES!$A$6) * (PLAYER_STAT!D$2:D64 = $B3), 
    0)
  ), 
  ""
)
</f>
        <v/>
      </c>
      <c r="BH3" s="23" t="str">
        <f t="array" ref="BH3">IFERROR(
  INDEX(PLAYER_STAT!G$2:G64, 
    MATCH(1, 
      (PLAYER_STAT!A$2:A64 = MATCH_DATES!$A$6) * (PLAYER_STAT!D$2:D64 = $B3), 
    0)
  ), 
  ""
)
</f>
        <v/>
      </c>
      <c r="BI3" s="25">
        <f t="shared" ref="BI3:BI38" si="26">RANK(AZ3, AZ$3:AZ$38, 0)</f>
        <v>24</v>
      </c>
      <c r="BJ3" s="26" t="str">
        <f t="shared" ref="BJ3:BJ64" si="27">IF(BI3&lt;AW3, "↑", IF(BI3&gt;AW3, "↓", "="))</f>
        <v>↓</v>
      </c>
      <c r="BK3" s="27" t="s">
        <v>214</v>
      </c>
      <c r="BL3" s="28">
        <f t="shared" ref="BL3:BL64" si="28">SUM(BM3:BN3)+BS3+AZ3</f>
        <v>27</v>
      </c>
      <c r="BM3" s="28">
        <f t="shared" ref="BM3:BM64" si="29">COUNTA(BK3)*2</f>
        <v>2</v>
      </c>
      <c r="BN3" s="28">
        <f>SUM(BO3*2) + (BP3*1) + SUMIFS(MATCH_INPUT!$G$22:$G$25, MATCH_INPUT!$F$22:$F$25, BK3) + SUMIFS(MATCH_INPUT!$I$22:$I$25, MATCH_INPUT!$J$22:$J$25, BK3)
</f>
        <v>7</v>
      </c>
      <c r="BO3" s="28">
        <f>IF(BK3&lt;&gt;"",
    COUNTIFS(MATCH_INPUT!$K$22:$K$25,BK3),
0)</f>
        <v>1</v>
      </c>
      <c r="BP3" s="28">
        <f>IF(BK3&lt;&gt;"",
    COUNTIFS(MATCH_INPUT!$F$22:$F$25, BK3, MATCH_INPUT!$K$22:$K$25, "Draw") +
    COUNTIFS(MATCH_INPUT!$J$22:$J$25, BK3, MATCH_INPUT!$K$22:$K$25, "Draw"),
0)</f>
        <v>1</v>
      </c>
      <c r="BQ3" s="28">
        <f>IF(BK3&lt;&gt;"",
    COUNTIFS(MATCH_INPUT!$F$22:$F$25, BK3, MATCH_INPUT!$K$22:$K$25, "&lt;&gt;"&amp;BK3, MATCH_INPUT!$K$22:$K$25, "&lt;&gt;Draw", MATCH_INPUT!$K$22:$K$25, "&lt;&gt;""") +
    COUNTIFS(MATCH_INPUT!$J$22:$J$25, BK3, MATCH_INPUT!$K$22:$K$25, "&lt;&gt;"&amp;BK3, MATCH_INPUT!$K$22:$K$25, "&lt;&gt;Draw", MATCH_INPUT!$K$22:$K$25, "&lt;&gt;"""),
0)</f>
        <v>0</v>
      </c>
      <c r="BR3" s="29" t="str">
        <f t="array" ref="BR3">IFERROR(
  INDEX(PLAYER_STAT!E$2:E64, 
    MATCH(1, 
      (PLAYER_STAT!A$2:A64 = MATCH_DATES!$A$7) * (PLAYER_STAT!D$2:D64 = $B3), 
    0)
  ), 
  ""
)
</f>
        <v/>
      </c>
      <c r="BS3" s="29" t="str">
        <f t="array" ref="BS3">IFERROR(
  INDEX(PLAYER_STAT!F$2:F64, 
    MATCH(1, 
      (PLAYER_STAT!A$2:A64 = MATCH_DATES!$A$7) * (PLAYER_STAT!D$2:D64 = $B3), 
    0)
  ), 
  ""
)
</f>
        <v/>
      </c>
      <c r="BT3" s="30" t="str">
        <f t="array" ref="BT3">IFERROR(
  INDEX(PLAYER_STAT!G$2:G64, 
    MATCH(1, 
      (PLAYER_STAT!A$2:A64 = MATCH_DATES!$A$7) * (PLAYER_STAT!D$2:D64 = $B3), 
    0)
  ), 
  ""
)
</f>
        <v/>
      </c>
      <c r="BU3" s="31">
        <f t="shared" ref="BU3:BU38" si="30">RANK(BL3, BL$3:BL$38, 0)</f>
        <v>23</v>
      </c>
      <c r="BV3" s="32" t="str">
        <f t="shared" ref="BV3:BV64" si="31">IF(BU3&lt;BI3, "↑", IF(BU3&gt;BI3, "↓", "="))</f>
        <v>↑</v>
      </c>
      <c r="BW3" s="21" t="s">
        <v>214</v>
      </c>
      <c r="BX3" s="33">
        <f t="shared" ref="BX3:BX64" si="32">SUM(BY3:BZ3)+CE3+BL3</f>
        <v>30</v>
      </c>
      <c r="BY3" s="22">
        <f t="shared" ref="BY3:BY64" si="33">COUNTA(BW3)*2</f>
        <v>2</v>
      </c>
      <c r="BZ3" s="22">
        <f>SUM(CA3*2)+(CB3*1) + SUMIFS(MATCH_INPUT!$G$26:$G$29, MATCH_INPUT!$F$26:$F$29, BW3) + SUMIFS(MATCH_INPUT!$I$26:$I$29, MATCH_INPUT!$J$26:$J$29, BW3)
</f>
        <v>1</v>
      </c>
      <c r="CA3" s="22">
        <f>IF(BW3&lt;&gt;"",
    COUNTIFS(MATCH_INPUT!$K$26:$K$29,BW3),
0)</f>
        <v>0</v>
      </c>
      <c r="CB3" s="22">
        <f>IF(BW3&lt;&gt;"",
    COUNTIFS(MATCH_INPUT!$F$26:$F$29, BW3, MATCH_INPUT!$K$26:$K$29, "Draw") +
    COUNTIFS(MATCH_INPUT!$J$26:$J$29, BW3, MATCH_INPUT!$K$26:$K$29, "Draw"),
0)</f>
        <v>0</v>
      </c>
      <c r="CC3" s="22">
        <f>IF(BW3&lt;&gt;"",
    COUNTIFS(MATCH_INPUT!$F$26:$F$29, BW3, MATCH_INPUT!$K$26:$K$29, "&lt;&gt;"&amp;BW3, MATCH_INPUT!$K$26:$K$29, "&lt;&gt;Draw", MATCH_INPUT!$K$26:$K$29, "&lt;&gt;""") +
    COUNTIFS(MATCH_INPUT!$J$26:$J$29, BW3, MATCH_INPUT!$K$26:$K$29, "&lt;&gt;"&amp;BW3, MATCH_INPUT!$K$26:$K$29, "&lt;&gt;Draw", MATCH_INPUT!$K$26:$K$29, "&lt;&gt;"""),
0)</f>
        <v>2</v>
      </c>
      <c r="CD3" s="23" t="str">
        <f t="array" ref="CD3">IFERROR(
  INDEX(PLAYER_STAT!E$2:E64, 
    MATCH(1, 
      (PLAYER_STAT!A$2:A64 = MATCH_DATES!$A$8) * (PLAYER_STAT!D$2:D64 = $B3), 
    0)
  ), 
  ""
)
</f>
        <v/>
      </c>
      <c r="CE3" s="23" t="str">
        <f t="array" ref="CE3">IFERROR(
  INDEX(PLAYER_STAT!F$2:F64, 
    MATCH(1, 
      (PLAYER_STAT!A$2:A64 = MATCH_DATES!$A$8) * (PLAYER_STAT!D$2:D64 = $B3), 
    0)
  ), 
  ""
)
</f>
        <v/>
      </c>
      <c r="CF3" s="34" t="str">
        <f t="array" ref="CF3">IFERROR(
  INDEX(PLAYER_STAT!G$2:G64, 
    MATCH(1, 
      (PLAYER_STAT!A$2:A64 = MATCH_DATES!$A$8) * (PLAYER_STAT!D$2:D64 = $B3), 
    0)
  ), 
  ""
)
</f>
        <v/>
      </c>
      <c r="CG3" s="25">
        <f t="shared" ref="CG3:CG38" si="34">RANK(BX3, BX$3:BX$38, 0)</f>
        <v>25</v>
      </c>
      <c r="CH3" s="26" t="str">
        <f t="shared" ref="CH3:CH64" si="35">IF(CG3&lt;BU3, "↑", IF(CG3&gt;BU3, "↓", "="))</f>
        <v>↓</v>
      </c>
      <c r="CI3" s="27" t="s">
        <v>214</v>
      </c>
      <c r="CJ3" s="28">
        <f t="shared" ref="CJ3:CJ64" si="36">SUM(CK3:CL3)+CQ3+BX3</f>
        <v>39</v>
      </c>
      <c r="CK3" s="28">
        <f t="shared" ref="CK3:CK64" si="37">COUNTA(CI3)*2</f>
        <v>2</v>
      </c>
      <c r="CL3" s="28">
        <f>SUM(CM3*2)+(CN3*1) + SUMIFS(MATCH_INPUT!$G$30:$G$33, MATCH_INPUT!$F$30:$F$33, CI3) + SUMIFS(MATCH_INPUT!$I$30:$I$33, MATCH_INPUT!$J$30:$J$33, CI3)
</f>
        <v>7</v>
      </c>
      <c r="CM3" s="28">
        <f>IF(CI3&lt;&gt;"",
    COUNTIFS(MATCH_INPUT!$K$30:$K$33,CI3),
0)</f>
        <v>1</v>
      </c>
      <c r="CN3" s="28">
        <f>IF(CI3&lt;&gt;"",
    COUNTIFS(MATCH_INPUT!$F$30:$F$33, CI3, MATCH_INPUT!$K$30:$K$33, "Draw") +
    COUNTIFS(MATCH_INPUT!$J$30:$J$33, CI3, MATCH_INPUT!$K$30:$K$33, "Draw"),
0)</f>
        <v>1</v>
      </c>
      <c r="CO3" s="28">
        <f>IF(CI3&lt;&gt;"",
    COUNTIFS(MATCH_INPUT!$F$30:$F$33, CI3, MATCH_INPUT!$K$30:$K$33, "&lt;&gt;"&amp;CI3, MATCH_INPUT!$K$30:$K$33, "&lt;&gt;Draw", MATCH_INPUT!$K$30:$K$33, "&lt;&gt;""") +
    COUNTIFS(MATCH_INPUT!$J$30:$J$33, CI3, MATCH_INPUT!$K$30:$K$33, "&lt;&gt;"&amp;CI3, MATCH_INPUT!$K$30:$K$33, "&lt;&gt;Draw", MATCH_INPUT!$K$30:$K$33, "&lt;&gt;"""),
0)</f>
        <v>0</v>
      </c>
      <c r="CP3" s="29" t="str">
        <f t="array" ref="CP3">IFERROR(
  INDEX(PLAYER_STAT!E$2:E64, 
    MATCH(1, 
      (PLAYER_STAT!A$2:A64 = MATCH_DATES!$A$9) * (PLAYER_STAT!D$2:D64 = $B3), 
    0)
  ), 
  ""
)
</f>
        <v/>
      </c>
      <c r="CQ3" s="29" t="str">
        <f t="array" ref="CQ3">IFERROR(
  INDEX(PLAYER_STAT!F$2:F64, 
    MATCH(1, 
      (PLAYER_STAT!A$2:A64 = MATCH_DATES!$A$9) * (PLAYER_STAT!D$2:D64 = $B3), 
    0)
  ), 
  ""
)
</f>
        <v/>
      </c>
      <c r="CR3" s="29" t="str">
        <f t="array" ref="CR3">IFERROR(
  INDEX(PLAYER_STAT!G$2:G64, 
    MATCH(1, 
      (PLAYER_STAT!A$2:A64 = MATCH_DATES!$A$9) * (PLAYER_STAT!D$2:D64 = $B3), 
    0)
  ), 
  ""
)
</f>
        <v/>
      </c>
      <c r="CS3" s="35">
        <f t="shared" ref="CS3:CS38" si="38">RANK(CJ3, CJ$3:CJ$38, 0)</f>
        <v>25</v>
      </c>
      <c r="CT3" s="35" t="str">
        <f t="shared" ref="CT3:CT64" si="39">IF(CS3&lt;CG3, "↑", IF(CS3&gt;CG3, "↓", "="))</f>
        <v>=</v>
      </c>
      <c r="CU3" s="36">
        <f t="shared" ref="CU3:CU64" si="40">SUM(F3,R3,AD3,AP3,BB3,BN3,BZ3,CL3)</f>
        <v>23</v>
      </c>
      <c r="CV3" s="36" t="str">
        <f t="shared" ref="CV3:CW3" si="1">A3</f>
        <v>🍂🎃</v>
      </c>
      <c r="CW3" s="37" t="str">
        <f t="shared" si="1"/>
        <v>Alex 👬 Gus </v>
      </c>
      <c r="CX3" s="37">
        <f t="shared" ref="CX3:CX64" si="42">SUM(CU3,CY3,DD3)</f>
        <v>39</v>
      </c>
      <c r="CY3" s="36">
        <f>SUM(
  IF(AND(MATCH_DATES!$A$2 &lt;= TODAY(), NOW() &gt;= MATCH_DATES!$A$2 + TIME(22, 0, 0)), E3, 0),
  IF(AND(MATCH_DATES!$A$3 &lt;= TODAY(), NOW() &gt;= MATCH_DATES!$A$3 + TIME(22, 0, 0)), Q3, 0),
  IF(AND(MATCH_DATES!$A$4 &lt;= TODAY(), NOW() &gt;= MATCH_DATES!$A$4 + TIME(22, 0, 0)), AC3, 0),
  IF(AND(MATCH_DATES!$A$5 &lt;= TODAY(), NOW() &gt;= MATCH_DATES!$A$5 + TIME(22, 0, 0)), AO3, 0),
  IF(AND(MATCH_DATES!$A$6 &lt;= TODAY(), NOW() &gt;= MATCH_DATES!$A$6 + TIME(22, 0, 0)), BA3, 0),
  IF(AND(MATCH_DATES!$A$7 &lt;= TODAY(), NOW() &gt;= MATCH_DATES!$A$7 + TIME(22, 0, 0)), BM3, 0),
  IF(AND(MATCH_DATES!$A$8 &lt;= TODAY(), NOW() &gt;= MATCH_DATES!$A$8 + TIME(22, 0, 0)), BY3, 0),
  IF(AND(MATCH_DATES!$A$9 &lt;= TODAY(), NOW() &gt;= MATCH_DATES!$A$9 + TIME(22, 0, 0)), CK3, 0)
)
</f>
        <v>16</v>
      </c>
      <c r="CZ3" s="37">
        <f t="shared" ref="CZ3:DA3" si="2">SUM(G3,S3,AE3,AQ3,BC3,BO3,CA3,CM3)</f>
        <v>5</v>
      </c>
      <c r="DA3" s="37">
        <f t="shared" si="2"/>
        <v>3</v>
      </c>
      <c r="DB3" s="37">
        <f>SUM(
  IF(AND(MATCH_DATES!$A$2 &lt;= TODAY(), NOW() &gt;= MATCH_DATES!$A$2 + TIME(22, 0, 0)), I3, 0),
  IF(AND(MATCH_DATES!$A$3 &lt;= TODAY(), NOW() &gt;= MATCH_DATES!$A$3 + TIME(22, 0, 0)), U3, 0),
  IF(AND(MATCH_DATES!$A$4 &lt;= TODAY(), NOW() &gt;= MATCH_DATES!$A$4 + TIME(22, 0, 0)), AG3, 0),
  IF(AND(MATCH_DATES!$A$5 &lt;= TODAY(), NOW() &gt;= MATCH_DATES!$A$5 + TIME(22, 0, 0)), AS3, 0),
  IF(AND(MATCH_DATES!$A$6 &lt;= TODAY(), NOW() &gt;= MATCH_DATES!$A$6 + TIME(22, 0, 0)), BE3, 0),
  IF(AND(MATCH_DATES!$A$7 &lt;= TODAY(), NOW() &gt;= MATCH_DATES!$A$7 + TIME(22, 0, 0)), BQ3, 0),
  IF(AND(MATCH_DATES!$A$8 &lt;= TODAY(), NOW() &gt;= MATCH_DATES!$A$8 + TIME(22, 0, 0)), CC3, 0),
  IF(AND(MATCH_DATES!$A$9 &lt;= TODAY(), NOW() &gt;= MATCH_DATES!$A$9 + TIME(22, 0, 0)), CO3, 0)
)</f>
        <v>8</v>
      </c>
      <c r="DC3" s="37">
        <f t="shared" ref="DC3:DC64" si="44">sum(J3,V3,AH3,AT3,BF3,BR3,CD3,CP3)</f>
        <v>0</v>
      </c>
      <c r="DD3" s="37">
        <f t="shared" ref="DD3:DE3" si="3">SUM(K3,W3,AI3,AU3,BG3,BS3,CE3,CQ3)</f>
        <v>0</v>
      </c>
      <c r="DE3" s="37">
        <f t="shared" si="3"/>
        <v>0</v>
      </c>
    </row>
    <row r="4" ht="24.75" customHeight="1">
      <c r="A4" s="19" t="s">
        <v>210</v>
      </c>
      <c r="B4" s="38" t="s">
        <v>216</v>
      </c>
      <c r="C4" s="21" t="s">
        <v>213</v>
      </c>
      <c r="D4" s="22">
        <f t="shared" si="4"/>
        <v>4</v>
      </c>
      <c r="E4" s="22">
        <f t="shared" si="5"/>
        <v>2</v>
      </c>
      <c r="F4" s="22">
        <f t="shared" si="6"/>
        <v>2</v>
      </c>
      <c r="G4" s="22">
        <f>IF(C4&lt;&gt;"",
    COUNTIFS(MATCH_INPUT!$K$2:$K$5,C4),
0)</f>
        <v>1</v>
      </c>
      <c r="H4" s="22">
        <f>IF(C4&lt;&gt;"",
    COUNTIFS(MATCH_INPUT!$F$2:$F$5, C4, MATCH_INPUT!$K$2:$K$5, "Draw") +
    COUNTIFS(MATCH_INPUT!$J$2:$J$5, C4, MATCH_INPUT!$K$2:$K$5, "Draw"),
0)</f>
        <v>0</v>
      </c>
      <c r="I4" s="22">
        <f>IF(C4&lt;&gt;"",
    COUNTIFS(MATCH_INPUT!$F$2:$F$5, C4, MATCH_INPUT!$K$2:$K$5, "&lt;&gt;"&amp;C4, MATCH_INPUT!$K$2:$K$5, "&lt;&gt;Draw", MATCH_INPUT!$K$2:$K$5, "&lt;&gt;""") +
    COUNTIFS(MATCH_INPUT!$J$2:$J$5, C4, MATCH_INPUT!$K$2:$K$5, "&lt;&gt;"&amp;C4, MATCH_INPUT!$K$2:$K$5, "&lt;&gt;Draw", MATCH_INPUT!$K$2:$K$5, "&lt;&gt;"""),
0)</f>
        <v>1</v>
      </c>
      <c r="J4" s="23" t="str">
        <f t="array" ref="J4">IFERROR(
  INDEX(PLAYER_STAT!E$2:E64, 
    MATCH(1, 
      (PLAYER_STAT!A$2:A64 = MATCH_DATES!$A$2) * (PLAYER_STAT!D$2:D64 = $B4), 
    0)
  ), 
  ""
)
</f>
        <v/>
      </c>
      <c r="K4" s="23" t="str">
        <f t="array" ref="K4">IFERROR(
  INDEX(PLAYER_STAT!F$2:F64, 
    MATCH(1, 
      (PLAYER_STAT!A$2:A64 = MATCH_DATES!$A$2) * (PLAYER_STAT!D$2:D64 = $B4), 
    0)
  ), 
  ""
)
</f>
        <v/>
      </c>
      <c r="L4" s="24" t="str">
        <f t="array" ref="L4">IFERROR(
  INDEX(PLAYER_STAT!G$2:G64, 
    MATCH(1, 
      (PLAYER_STAT!A$2:A64 = MATCH_DATES!$A$2) * (PLAYER_STAT!D$2:D64 = $B4), 
    0)
  ), 
  ""
)
</f>
        <v/>
      </c>
      <c r="M4" s="25">
        <f t="shared" si="7"/>
        <v>11</v>
      </c>
      <c r="N4" s="26" t="str">
        <f t="shared" si="8"/>
        <v>↓</v>
      </c>
      <c r="O4" s="27" t="s">
        <v>212</v>
      </c>
      <c r="P4" s="28">
        <f t="shared" si="9"/>
        <v>7</v>
      </c>
      <c r="Q4" s="28">
        <f t="shared" si="10"/>
        <v>2</v>
      </c>
      <c r="R4" s="28">
        <f t="shared" si="11"/>
        <v>1</v>
      </c>
      <c r="S4" s="28">
        <f>IF(O4&lt;&gt;"",
    COUNTIFS(MATCH_INPUT!$K$6:$K$9,O4),
0)</f>
        <v>0</v>
      </c>
      <c r="T4" s="28">
        <f>IF(O4&lt;&gt;"",
    COUNTIFS(MATCH_INPUT!$F$6:$F$9, O4, MATCH_INPUT!$K$6:$K$9, "Draw") +
    COUNTIFS(MATCH_INPUT!$J$6:$J$9, O4, MATCH_INPUT!$K$6:$K$9, "Draw"),
0)</f>
        <v>1</v>
      </c>
      <c r="U4" s="28">
        <f>IF(O4&lt;&gt;"",
    COUNTIFS(MATCH_INPUT!$F$6:$F$9, O4, MATCH_INPUT!$K$6:$K$9, "&lt;&gt;"&amp;O4, MATCH_INPUT!$K$6:$K$9, "&lt;&gt;Draw", MATCH_INPUT!$K$6:$K$9, "&lt;&gt;""") +
    COUNTIFS(MATCH_INPUT!$J$6:$J$9, O4, MATCH_INPUT!$K$6:$K$9, "&lt;&gt;"&amp;O4, MATCH_INPUT!$K$6:$K$9, "&lt;&gt;Draw", MATCH_INPUT!$K$6:$K$9, "&lt;&gt;"""),
0)</f>
        <v>1</v>
      </c>
      <c r="V4" s="29" t="str">
        <f t="array" ref="V4">IFERROR(
  INDEX(PLAYER_STAT!E$2:E64, 
    MATCH(1, 
      (PLAYER_STAT!A$2:A64 = MATCH_DATES!$A$3) * (PLAYER_STAT!D$2:D64 = $B4), 
    0)
  ), 
  ""
)
</f>
        <v/>
      </c>
      <c r="W4" s="29" t="str">
        <f t="array" ref="W4">IFERROR(
  INDEX(PLAYER_STAT!F$2:F64, 
    MATCH(1, 
      (PLAYER_STAT!A$2:A64 = MATCH_DATES!$A$3) * (PLAYER_STAT!D$2:D64 = $B4), 
    0)
  ), 
  ""
)
</f>
        <v/>
      </c>
      <c r="X4" s="30" t="str">
        <f t="array" ref="X4">IFERROR(
  INDEX(PLAYER_STAT!G$2:G64, 
    MATCH(1, 
      (PLAYER_STAT!A$2:A64 = MATCH_DATES!$A$3) * (PLAYER_STAT!D$2:D64 = $B4), 
    0)
  ), 
  ""
)
</f>
        <v/>
      </c>
      <c r="Y4" s="31">
        <f t="shared" si="12"/>
        <v>20</v>
      </c>
      <c r="Z4" s="32" t="str">
        <f t="shared" si="13"/>
        <v>↓</v>
      </c>
      <c r="AA4" s="21" t="s">
        <v>215</v>
      </c>
      <c r="AB4" s="33">
        <f t="shared" si="14"/>
        <v>9</v>
      </c>
      <c r="AC4" s="22">
        <f t="shared" si="15"/>
        <v>2</v>
      </c>
      <c r="AD4" s="22">
        <f t="shared" si="16"/>
        <v>0</v>
      </c>
      <c r="AE4" s="22">
        <f>IF(AA4&lt;&gt;"",
    COUNTIFS(MATCH_INPUT!$K$10:$K$13,AA4),
0)</f>
        <v>0</v>
      </c>
      <c r="AF4" s="22">
        <f>IF(AA4&lt;&gt;"",
    COUNTIFS(MATCH_INPUT!$F$10:$F$13, AA4, MATCH_INPUT!$K$10:$K$13, "Draw") +
    COUNTIFS(MATCH_INPUT!$J$10:$J$13, AA4, MATCH_INPUT!$K$10:$K$13, "Draw"),
0)</f>
        <v>0</v>
      </c>
      <c r="AG4" s="22">
        <f>IF(AA4&lt;&gt;"",
    COUNTIFS(MATCH_INPUT!$F$10:$F$13, AA4, MATCH_INPUT!$K$10:$K$13, "&lt;&gt;"&amp;AA4, MATCH_INPUT!$K$10:$K$13, "&lt;&gt;Draw", MATCH_INPUT!$K$10:$K$13, "&lt;&gt;""") +
    COUNTIFS(MATCH_INPUT!$J$10:$J$13, AA4, MATCH_INPUT!$K$10:$K$13, "&lt;&gt;"&amp;AA4, MATCH_INPUT!$K$10:$K$13, "&lt;&gt;Draw", MATCH_INPUT!$K$10:$K$13, "&lt;&gt;"""),
0)</f>
        <v>2</v>
      </c>
      <c r="AH4" s="23" t="str">
        <f t="array" ref="AH4">IFERROR(
  INDEX(PLAYER_STAT!E$2:E64, 
    MATCH(1, 
      (PLAYER_STAT!A$2:A64 = MATCH_DATES!$A$4) * (PLAYER_STAT!D$2:D64 = $B4), 
    0)
  ), 
  ""
)
</f>
        <v/>
      </c>
      <c r="AI4" s="23" t="str">
        <f t="array" ref="AI4">IFERROR(
  INDEX(PLAYER_STAT!F$2:F64, 
    MATCH(1, 
      (PLAYER_STAT!A$2:A64 = MATCH_DATES!$A$4) * (PLAYER_STAT!D$2:D64 = $B4), 
    0)
  ), 
  ""
)
</f>
        <v/>
      </c>
      <c r="AJ4" s="34" t="str">
        <f t="array" ref="AJ4">IFERROR(
  INDEX(PLAYER_STAT!G$2:G64, 
    MATCH(1, 
      (PLAYER_STAT!A$2:A64 = MATCH_DATES!$A$4) * (PLAYER_STAT!D$2:D64 = $B4), 
    0)
  ), 
  ""
)
</f>
        <v/>
      </c>
      <c r="AK4" s="25">
        <f t="shared" si="17"/>
        <v>29</v>
      </c>
      <c r="AL4" s="26" t="str">
        <f t="shared" si="18"/>
        <v>↓</v>
      </c>
      <c r="AM4" s="27"/>
      <c r="AN4" s="28">
        <f t="shared" si="19"/>
        <v>9</v>
      </c>
      <c r="AO4" s="28">
        <f t="shared" si="20"/>
        <v>0</v>
      </c>
      <c r="AP4" s="28">
        <f t="shared" si="21"/>
        <v>0</v>
      </c>
      <c r="AQ4" s="28">
        <f>IF(AM4&lt;&gt;"",
    COUNTIFS(MATCH_INPUT!$K$14:$K$17,AM4),
0)</f>
        <v>0</v>
      </c>
      <c r="AR4" s="28">
        <f>IF(AM4&lt;&gt;"",
    COUNTIFS(MATCH_INPUT!$F$14:$F$17, AM4, MATCH_INPUT!$K$14:$K$17, "Draw") +
    COUNTIFS(MATCH_INPUT!$J$14:$J$17, AM4, MATCH_INPUT!$K$14:$K$17, "Draw"),
0)</f>
        <v>0</v>
      </c>
      <c r="AS4" s="28">
        <f>IF(AM4&lt;&gt;"",
    COUNTIFS(MATCH_INPUT!$F$14:$F$17, AM4, MATCH_INPUT!$K$14:$K$17, "&lt;&gt;"&amp;AM4, MATCH_INPUT!$K$14:$K$17, "&lt;&gt;Draw", MATCH_INPUT!$K$14:$K$17, "&lt;&gt;""") +
    COUNTIFS(MATCH_INPUT!$J$14:$J$17, AM4, MATCH_INPUT!$K$14:$K$17, "&lt;&gt;"&amp;AM4, MATCH_INPUT!$K$14:$K$17, "&lt;&gt;Draw", MATCH_INPUT!$K$14:$K$17, "&lt;&gt;"""),
0)</f>
        <v>0</v>
      </c>
      <c r="AT4" s="29" t="str">
        <f t="array" ref="AT4">IFERROR(
  INDEX(PLAYER_STAT!E$2:E64, 
    MATCH(1, 
      (PLAYER_STAT!A$2:A64 = MATCH_DATES!$A$5) * (PLAYER_STAT!D$2:D64 = $B4), 
    0)
  ), 
  ""
)
</f>
        <v/>
      </c>
      <c r="AU4" s="29" t="str">
        <f t="array" ref="AU4">IFERROR(
  INDEX(PLAYER_STAT!F$2:F64, 
    MATCH(1, 
      (PLAYER_STAT!A$2:A64 = MATCH_DATES!$A$5) * (PLAYER_STAT!D$2:D64 = $B4), 
    0)
  ), 
  ""
)
</f>
        <v/>
      </c>
      <c r="AV4" s="30" t="str">
        <f t="array" ref="AV4">IFERROR(
  INDEX(PLAYER_STAT!G$2:G64, 
    MATCH(1, 
      (PLAYER_STAT!A$2:A64 = MATCH_DATES!$A$5) * (PLAYER_STAT!D$2:D64 = $B4), 
    0)
  ), 
  ""
)
</f>
        <v/>
      </c>
      <c r="AW4" s="31">
        <f t="shared" si="22"/>
        <v>34</v>
      </c>
      <c r="AX4" s="32" t="str">
        <f t="shared" si="23"/>
        <v>↓</v>
      </c>
      <c r="AY4" s="21" t="s">
        <v>213</v>
      </c>
      <c r="AZ4" s="33">
        <f t="shared" si="24"/>
        <v>14</v>
      </c>
      <c r="BA4" s="22">
        <f t="shared" si="25"/>
        <v>2</v>
      </c>
      <c r="BB4" s="22">
        <f>SUM(BC4*2) + (BD4*1) + SUMIFS(MATCH_INPUT!$G$18:$G$21, MATCH_INPUT!$F$18:$F$21, AY4) + SUMIFS(MATCH_INPUT!$I$18:$I$21, MATCH_INPUT!$J$18:$J$21, AY4)
</f>
        <v>2</v>
      </c>
      <c r="BC4" s="22">
        <f>IF(AY4&lt;&gt;"",
    COUNTIFS(MATCH_INPUT!$K$18:$K$21,AY4),
0)</f>
        <v>0</v>
      </c>
      <c r="BD4" s="22">
        <f>IF(AY4&lt;&gt;"",
    COUNTIFS(MATCH_INPUT!$F$18:$F$21, AY4, MATCH_INPUT!$K$18:$K$21, "Draw") +
    COUNTIFS(MATCH_INPUT!$J$18:$J$21, AY4, MATCH_INPUT!$K$18:$K$21, "Draw"),
0)</f>
        <v>1</v>
      </c>
      <c r="BE4" s="22">
        <f>IF(AY4&lt;&gt;"",
    COUNTIFS(MATCH_INPUT!$F$18:$F$21, AY4, MATCH_INPUT!$K$18:$K$21, "&lt;&gt;"&amp;AY4, MATCH_INPUT!$K$18:$K$21, "&lt;&gt;Draw", MATCH_INPUT!$K$18:$K$21, "&lt;&gt;""") +
    COUNTIFS(MATCH_INPUT!$J$18:$J$21, AY4, MATCH_INPUT!$K$18:$K$21, "&lt;&gt;"&amp;AY4, MATCH_INPUT!$K$18:$K$21, "&lt;&gt;Draw", MATCH_INPUT!$K$18:$K$21, "&lt;&gt;"""),
0)</f>
        <v>1</v>
      </c>
      <c r="BF4" s="23">
        <f t="array" ref="BF4">IFERROR(
  INDEX(PLAYER_STAT!E$2:E64, 
    MATCH(1, 
      (PLAYER_STAT!A$2:A64 = MATCH_DATES!$A$6) * (PLAYER_STAT!D$2:D64 = $B4), 
    0)
  ), 
  ""
)
</f>
        <v>0</v>
      </c>
      <c r="BG4" s="23">
        <f t="array" ref="BG4">IFERROR(
  INDEX(PLAYER_STAT!F$2:F64, 
    MATCH(1, 
      (PLAYER_STAT!A$2:A64 = MATCH_DATES!$A$6) * (PLAYER_STAT!D$2:D64 = $B4), 
    0)
  ), 
  ""
)
</f>
        <v>1</v>
      </c>
      <c r="BH4" s="34">
        <f t="array" ref="BH4">IFERROR(
  INDEX(PLAYER_STAT!G$2:G64, 
    MATCH(1, 
      (PLAYER_STAT!A$2:A64 = MATCH_DATES!$A$6) * (PLAYER_STAT!D$2:D64 = $B4), 
    0)
  ), 
  ""
)
</f>
        <v>1</v>
      </c>
      <c r="BI4" s="25">
        <f t="shared" si="26"/>
        <v>32</v>
      </c>
      <c r="BJ4" s="26" t="str">
        <f t="shared" si="27"/>
        <v>↑</v>
      </c>
      <c r="BK4" s="27" t="s">
        <v>212</v>
      </c>
      <c r="BL4" s="28">
        <f t="shared" si="28"/>
        <v>17</v>
      </c>
      <c r="BM4" s="28">
        <f t="shared" si="29"/>
        <v>2</v>
      </c>
      <c r="BN4" s="28">
        <f>SUM(BO4*2) + (BP4*1) + SUMIFS(MATCH_INPUT!$G$22:$G$25, MATCH_INPUT!$F$22:$F$25, BK4) + SUMIFS(MATCH_INPUT!$I$22:$I$25, MATCH_INPUT!$J$22:$J$25, BK4)
</f>
        <v>0</v>
      </c>
      <c r="BO4" s="28">
        <f>IF(BK4&lt;&gt;"",
    COUNTIFS(MATCH_INPUT!$K$22:$K$25,BK4),
0)</f>
        <v>0</v>
      </c>
      <c r="BP4" s="28">
        <f>IF(BK4&lt;&gt;"",
    COUNTIFS(MATCH_INPUT!$F$22:$F$25, BK4, MATCH_INPUT!$K$22:$K$25, "Draw") +
    COUNTIFS(MATCH_INPUT!$J$22:$J$25, BK4, MATCH_INPUT!$K$22:$K$25, "Draw"),
0)</f>
        <v>0</v>
      </c>
      <c r="BQ4" s="28">
        <f>IF(BK4&lt;&gt;"",
    COUNTIFS(MATCH_INPUT!$F$22:$F$25, BK4, MATCH_INPUT!$K$22:$K$25, "&lt;&gt;"&amp;BK4, MATCH_INPUT!$K$22:$K$25, "&lt;&gt;Draw", MATCH_INPUT!$K$22:$K$25, "&lt;&gt;""") +
    COUNTIFS(MATCH_INPUT!$J$22:$J$25, BK4, MATCH_INPUT!$K$22:$K$25, "&lt;&gt;"&amp;BK4, MATCH_INPUT!$K$22:$K$25, "&lt;&gt;Draw", MATCH_INPUT!$K$22:$K$25, "&lt;&gt;"""),
0)</f>
        <v>2</v>
      </c>
      <c r="BR4" s="29">
        <f t="array" ref="BR4">IFERROR(
  INDEX(PLAYER_STAT!E$2:E64, 
    MATCH(1, 
      (PLAYER_STAT!A$2:A64 = MATCH_DATES!$A$7) * (PLAYER_STAT!D$2:D64 = $B4), 
    0)
  ), 
  ""
)
</f>
        <v>0</v>
      </c>
      <c r="BS4" s="29">
        <f t="array" ref="BS4">IFERROR(
  INDEX(PLAYER_STAT!F$2:F64, 
    MATCH(1, 
      (PLAYER_STAT!A$2:A64 = MATCH_DATES!$A$7) * (PLAYER_STAT!D$2:D64 = $B4), 
    0)
  ), 
  ""
)
</f>
        <v>1</v>
      </c>
      <c r="BT4" s="30">
        <f t="array" ref="BT4">IFERROR(
  INDEX(PLAYER_STAT!G$2:G64, 
    MATCH(1, 
      (PLAYER_STAT!A$2:A64 = MATCH_DATES!$A$7) * (PLAYER_STAT!D$2:D64 = $B4), 
    0)
  ), 
  ""
)
</f>
        <v>0</v>
      </c>
      <c r="BU4" s="31">
        <f t="shared" si="30"/>
        <v>33</v>
      </c>
      <c r="BV4" s="32" t="str">
        <f t="shared" si="31"/>
        <v>↓</v>
      </c>
      <c r="BW4" s="21"/>
      <c r="BX4" s="33">
        <f t="shared" si="32"/>
        <v>17</v>
      </c>
      <c r="BY4" s="22">
        <f t="shared" si="33"/>
        <v>0</v>
      </c>
      <c r="BZ4" s="22">
        <f>SUM(CA4*2)+(CB4*1) + SUMIFS(MATCH_INPUT!$G$26:$G$29, MATCH_INPUT!$F$26:$F$29, BW4) + SUMIFS(MATCH_INPUT!$I$26:$I$29, MATCH_INPUT!$J$26:$J$29, BW4)
</f>
        <v>0</v>
      </c>
      <c r="CA4" s="22">
        <f>IF(BW4&lt;&gt;"",
    COUNTIFS(MATCH_INPUT!$K$26:$K$29,BW4),
0)</f>
        <v>0</v>
      </c>
      <c r="CB4" s="22">
        <f>IF(BW4&lt;&gt;"",
    COUNTIFS(MATCH_INPUT!$F$26:$F$29, BW4, MATCH_INPUT!$K$26:$K$29, "Draw") +
    COUNTIFS(MATCH_INPUT!$J$26:$J$29, BW4, MATCH_INPUT!$K$26:$K$29, "Draw"),
0)</f>
        <v>0</v>
      </c>
      <c r="CC4" s="22">
        <f>IF(BW4&lt;&gt;"",
    COUNTIFS(MATCH_INPUT!$F$26:$F$29, BW4, MATCH_INPUT!$K$26:$K$29, "&lt;&gt;"&amp;BW4, MATCH_INPUT!$K$26:$K$29, "&lt;&gt;Draw", MATCH_INPUT!$K$26:$K$29, "&lt;&gt;""") +
    COUNTIFS(MATCH_INPUT!$J$26:$J$29, BW4, MATCH_INPUT!$K$26:$K$29, "&lt;&gt;"&amp;BW4, MATCH_INPUT!$K$26:$K$29, "&lt;&gt;Draw", MATCH_INPUT!$K$26:$K$29, "&lt;&gt;"""),
0)</f>
        <v>0</v>
      </c>
      <c r="CD4" s="23" t="str">
        <f t="array" ref="CD4">IFERROR(
  INDEX(PLAYER_STAT!E$2:E64, 
    MATCH(1, 
      (PLAYER_STAT!A$2:A64 = MATCH_DATES!$A$8) * (PLAYER_STAT!D$2:D64 = $B4), 
    0)
  ), 
  ""
)
</f>
        <v/>
      </c>
      <c r="CE4" s="23" t="str">
        <f t="array" ref="CE4">IFERROR(
  INDEX(PLAYER_STAT!F$2:F64, 
    MATCH(1, 
      (PLAYER_STAT!A$2:A64 = MATCH_DATES!$A$8) * (PLAYER_STAT!D$2:D64 = $B4), 
    0)
  ), 
  ""
)
</f>
        <v/>
      </c>
      <c r="CF4" s="34" t="str">
        <f t="array" ref="CF4">IFERROR(
  INDEX(PLAYER_STAT!G$2:G64, 
    MATCH(1, 
      (PLAYER_STAT!A$2:A64 = MATCH_DATES!$A$8) * (PLAYER_STAT!D$2:D64 = $B4), 
    0)
  ), 
  ""
)
</f>
        <v/>
      </c>
      <c r="CG4" s="25">
        <f t="shared" si="34"/>
        <v>35</v>
      </c>
      <c r="CH4" s="26" t="str">
        <f t="shared" si="35"/>
        <v>↓</v>
      </c>
      <c r="CI4" s="27" t="s">
        <v>212</v>
      </c>
      <c r="CJ4" s="28">
        <f t="shared" si="36"/>
        <v>28</v>
      </c>
      <c r="CK4" s="28">
        <f t="shared" si="37"/>
        <v>2</v>
      </c>
      <c r="CL4" s="28">
        <f>SUM(CM4*2)+(CN4*1) + SUMIFS(MATCH_INPUT!$G$30:$G$33, MATCH_INPUT!$F$30:$F$33, CI4) + SUMIFS(MATCH_INPUT!$I$30:$I$33, MATCH_INPUT!$J$30:$J$33, CI4)
</f>
        <v>9</v>
      </c>
      <c r="CM4" s="28">
        <f>IF(CI4&lt;&gt;"",
    COUNTIFS(MATCH_INPUT!$K$30:$K$33,CI4),
0)</f>
        <v>1</v>
      </c>
      <c r="CN4" s="28">
        <f>IF(CI4&lt;&gt;"",
    COUNTIFS(MATCH_INPUT!$F$30:$F$33, CI4, MATCH_INPUT!$K$30:$K$33, "Draw") +
    COUNTIFS(MATCH_INPUT!$J$30:$J$33, CI4, MATCH_INPUT!$K$30:$K$33, "Draw"),
0)</f>
        <v>1</v>
      </c>
      <c r="CO4" s="28">
        <f>IF(CI4&lt;&gt;"",
    COUNTIFS(MATCH_INPUT!$F$30:$F$33, CI4, MATCH_INPUT!$K$30:$K$33, "&lt;&gt;"&amp;CI4, MATCH_INPUT!$K$30:$K$33, "&lt;&gt;Draw", MATCH_INPUT!$K$30:$K$33, "&lt;&gt;""") +
    COUNTIFS(MATCH_INPUT!$J$30:$J$33, CI4, MATCH_INPUT!$K$30:$K$33, "&lt;&gt;"&amp;CI4, MATCH_INPUT!$K$30:$K$33, "&lt;&gt;Draw", MATCH_INPUT!$K$30:$K$33, "&lt;&gt;"""),
0)</f>
        <v>0</v>
      </c>
      <c r="CP4" s="29" t="str">
        <f t="array" ref="CP4">IFERROR(
  INDEX(PLAYER_STAT!E$2:E64, 
    MATCH(1, 
      (PLAYER_STAT!A$2:A64 = MATCH_DATES!$A$9) * (PLAYER_STAT!D$2:D64 = $B4), 
    0)
  ), 
  ""
)
</f>
        <v/>
      </c>
      <c r="CQ4" s="29" t="str">
        <f t="array" ref="CQ4">IFERROR(
  INDEX(PLAYER_STAT!F$2:F64, 
    MATCH(1, 
      (PLAYER_STAT!A$2:A64 = MATCH_DATES!$A$9) * (PLAYER_STAT!D$2:D64 = $B4), 
    0)
  ), 
  ""
)
</f>
        <v/>
      </c>
      <c r="CR4" s="29" t="str">
        <f t="array" ref="CR4">IFERROR(
  INDEX(PLAYER_STAT!G$2:G64, 
    MATCH(1, 
      (PLAYER_STAT!A$2:A64 = MATCH_DATES!$A$9) * (PLAYER_STAT!D$2:D64 = $B4), 
    0)
  ), 
  ""
)
</f>
        <v/>
      </c>
      <c r="CS4" s="35">
        <f t="shared" si="38"/>
        <v>34</v>
      </c>
      <c r="CT4" s="35" t="str">
        <f t="shared" si="39"/>
        <v>↑</v>
      </c>
      <c r="CU4" s="36">
        <f t="shared" si="40"/>
        <v>14</v>
      </c>
      <c r="CV4" s="36" t="str">
        <f t="shared" ref="CV4:CW4" si="41">A4</f>
        <v>🍂🎃</v>
      </c>
      <c r="CW4" s="37" t="str">
        <f t="shared" si="41"/>
        <v>Andrés 👬 López</v>
      </c>
      <c r="CX4" s="37">
        <f t="shared" si="42"/>
        <v>28</v>
      </c>
      <c r="CY4" s="36">
        <f>SUM(
  IF(AND(MATCH_DATES!$A$2 &lt;= TODAY(), NOW() &gt;= MATCH_DATES!$A$2 + TIME(22, 0, 0)), E4, 0),
  IF(AND(MATCH_DATES!$A$3 &lt;= TODAY(), NOW() &gt;= MATCH_DATES!$A$3 + TIME(22, 0, 0)), Q4, 0),
  IF(AND(MATCH_DATES!$A$4 &lt;= TODAY(), NOW() &gt;= MATCH_DATES!$A$4 + TIME(22, 0, 0)), AC4, 0),
  IF(AND(MATCH_DATES!$A$5 &lt;= TODAY(), NOW() &gt;= MATCH_DATES!$A$5 + TIME(22, 0, 0)), AO4, 0),
  IF(AND(MATCH_DATES!$A$6 &lt;= TODAY(), NOW() &gt;= MATCH_DATES!$A$6 + TIME(22, 0, 0)), BA4, 0),
  IF(AND(MATCH_DATES!$A$7 &lt;= TODAY(), NOW() &gt;= MATCH_DATES!$A$7 + TIME(22, 0, 0)), BM4, 0),
  IF(AND(MATCH_DATES!$A$8 &lt;= TODAY(), NOW() &gt;= MATCH_DATES!$A$8 + TIME(22, 0, 0)), BY4, 0),
  IF(AND(MATCH_DATES!$A$9 &lt;= TODAY(), NOW() &gt;= MATCH_DATES!$A$9 + TIME(22, 0, 0)), CK4, 0)
)
</f>
        <v>12</v>
      </c>
      <c r="CZ4" s="37">
        <f t="shared" ref="CZ4:DA4" si="43">SUM(G4,S4,AE4,AQ4,BC4,BO4,CA4,CM4)</f>
        <v>2</v>
      </c>
      <c r="DA4" s="37">
        <f t="shared" si="43"/>
        <v>3</v>
      </c>
      <c r="DB4" s="37">
        <f>SUM(
  IF(AND(MATCH_DATES!$A$2 &lt;= TODAY(), NOW() &gt;= MATCH_DATES!$A$2 + TIME(22, 0, 0)), I4, 0),
  IF(AND(MATCH_DATES!$A$3 &lt;= TODAY(), NOW() &gt;= MATCH_DATES!$A$3 + TIME(22, 0, 0)), U4, 0),
  IF(AND(MATCH_DATES!$A$4 &lt;= TODAY(), NOW() &gt;= MATCH_DATES!$A$4 + TIME(22, 0, 0)), AG4, 0),
  IF(AND(MATCH_DATES!$A$5 &lt;= TODAY(), NOW() &gt;= MATCH_DATES!$A$5 + TIME(22, 0, 0)), AS4, 0),
  IF(AND(MATCH_DATES!$A$6 &lt;= TODAY(), NOW() &gt;= MATCH_DATES!$A$6 + TIME(22, 0, 0)), BE4, 0),
  IF(AND(MATCH_DATES!$A$7 &lt;= TODAY(), NOW() &gt;= MATCH_DATES!$A$7 + TIME(22, 0, 0)), BQ4, 0),
  IF(AND(MATCH_DATES!$A$8 &lt;= TODAY(), NOW() &gt;= MATCH_DATES!$A$8 + TIME(22, 0, 0)), CC4, 0),
  IF(AND(MATCH_DATES!$A$9 &lt;= TODAY(), NOW() &gt;= MATCH_DATES!$A$9 + TIME(22, 0, 0)), CO4, 0)
)</f>
        <v>7</v>
      </c>
      <c r="DC4" s="37">
        <f t="shared" si="44"/>
        <v>0</v>
      </c>
      <c r="DD4" s="37">
        <f t="shared" ref="DD4:DE4" si="45">SUM(K4,W4,AI4,AU4,BG4,BS4,CE4,CQ4)</f>
        <v>2</v>
      </c>
      <c r="DE4" s="37">
        <f t="shared" si="45"/>
        <v>1</v>
      </c>
    </row>
    <row r="5" ht="24.75" customHeight="1">
      <c r="A5" s="19" t="s">
        <v>210</v>
      </c>
      <c r="B5" s="20" t="s">
        <v>217</v>
      </c>
      <c r="C5" s="21" t="s">
        <v>215</v>
      </c>
      <c r="D5" s="22">
        <f t="shared" si="4"/>
        <v>2</v>
      </c>
      <c r="E5" s="22">
        <f t="shared" si="5"/>
        <v>2</v>
      </c>
      <c r="F5" s="22">
        <f t="shared" si="6"/>
        <v>0</v>
      </c>
      <c r="G5" s="22">
        <f>IF(C5&lt;&gt;"",
    COUNTIFS(MATCH_INPUT!$K$2:$K$5,C5),
0)</f>
        <v>0</v>
      </c>
      <c r="H5" s="22">
        <f>IF(C5&lt;&gt;"",
    COUNTIFS(MATCH_INPUT!$F$2:$F$5, C5, MATCH_INPUT!$K$2:$K$5, "Draw") +
    COUNTIFS(MATCH_INPUT!$J$2:$J$5, C5, MATCH_INPUT!$K$2:$K$5, "Draw"),
0)</f>
        <v>0</v>
      </c>
      <c r="I5" s="22">
        <f>IF(C5&lt;&gt;"",
    COUNTIFS(MATCH_INPUT!$F$2:$F$5, C5, MATCH_INPUT!$K$2:$K$5, "&lt;&gt;"&amp;C5, MATCH_INPUT!$K$2:$K$5, "&lt;&gt;Draw", MATCH_INPUT!$K$2:$K$5, "&lt;&gt;""") +
    COUNTIFS(MATCH_INPUT!$J$2:$J$5, C5, MATCH_INPUT!$K$2:$K$5, "&lt;&gt;"&amp;C5, MATCH_INPUT!$K$2:$K$5, "&lt;&gt;Draw", MATCH_INPUT!$K$2:$K$5, "&lt;&gt;"""),
0)</f>
        <v>2</v>
      </c>
      <c r="J5" s="23" t="str">
        <f t="array" ref="J5">IFERROR(
  INDEX(PLAYER_STAT!E$2:E64, 
    MATCH(1, 
      (PLAYER_STAT!A$2:A64 = MATCH_DATES!$A$2) * (PLAYER_STAT!D$2:D64 = $B5), 
    0)
  ), 
  ""
)
</f>
        <v/>
      </c>
      <c r="K5" s="23" t="str">
        <f t="array" ref="K5">IFERROR(
  INDEX(PLAYER_STAT!F$2:F64, 
    MATCH(1, 
      (PLAYER_STAT!A$2:A64 = MATCH_DATES!$A$2) * (PLAYER_STAT!D$2:D64 = $B5), 
    0)
  ), 
  ""
)
</f>
        <v/>
      </c>
      <c r="L5" s="24" t="str">
        <f t="array" ref="L5">IFERROR(
  INDEX(PLAYER_STAT!G$2:G64, 
    MATCH(1, 
      (PLAYER_STAT!A$2:A64 = MATCH_DATES!$A$2) * (PLAYER_STAT!D$2:D64 = $B5), 
    0)
  ), 
  ""
)
</f>
        <v/>
      </c>
      <c r="M5" s="25">
        <f t="shared" si="7"/>
        <v>26</v>
      </c>
      <c r="N5" s="26" t="str">
        <f t="shared" si="8"/>
        <v>↓</v>
      </c>
      <c r="O5" s="27" t="s">
        <v>213</v>
      </c>
      <c r="P5" s="28">
        <f t="shared" si="9"/>
        <v>7</v>
      </c>
      <c r="Q5" s="28">
        <f t="shared" si="10"/>
        <v>2</v>
      </c>
      <c r="R5" s="28">
        <f t="shared" si="11"/>
        <v>3</v>
      </c>
      <c r="S5" s="28">
        <f>IF(O5&lt;&gt;"",
    COUNTIFS(MATCH_INPUT!$K$6:$K$9,O5),
0)</f>
        <v>1</v>
      </c>
      <c r="T5" s="28">
        <f>IF(O5&lt;&gt;"",
    COUNTIFS(MATCH_INPUT!$F$6:$F$9, O5, MATCH_INPUT!$K$6:$K$9, "Draw") +
    COUNTIFS(MATCH_INPUT!$J$6:$J$9, O5, MATCH_INPUT!$K$6:$K$9, "Draw"),
0)</f>
        <v>1</v>
      </c>
      <c r="U5" s="28">
        <f>IF(O5&lt;&gt;"",
    COUNTIFS(MATCH_INPUT!$F$6:$F$9, O5, MATCH_INPUT!$K$6:$K$9, "&lt;&gt;"&amp;O5, MATCH_INPUT!$K$6:$K$9, "&lt;&gt;Draw", MATCH_INPUT!$K$6:$K$9, "&lt;&gt;""") +
    COUNTIFS(MATCH_INPUT!$J$6:$J$9, O5, MATCH_INPUT!$K$6:$K$9, "&lt;&gt;"&amp;O5, MATCH_INPUT!$K$6:$K$9, "&lt;&gt;Draw", MATCH_INPUT!$K$6:$K$9, "&lt;&gt;"""),
0)</f>
        <v>0</v>
      </c>
      <c r="V5" s="29">
        <f t="array" ref="V5">IFERROR(
  INDEX(PLAYER_STAT!E$2:E64, 
    MATCH(1, 
      (PLAYER_STAT!A$2:A64 = MATCH_DATES!$A$3) * (PLAYER_STAT!D$2:D64 = $B5), 
    0)
  ), 
  ""
)
</f>
        <v>1</v>
      </c>
      <c r="W5" s="29">
        <f t="array" ref="W5">IFERROR(
  INDEX(PLAYER_STAT!F$2:F64, 
    MATCH(1, 
      (PLAYER_STAT!A$2:A64 = MATCH_DATES!$A$3) * (PLAYER_STAT!D$2:D64 = $B5), 
    0)
  ), 
  ""
)
</f>
        <v>0</v>
      </c>
      <c r="X5" s="30">
        <f t="array" ref="X5">IFERROR(
  INDEX(PLAYER_STAT!G$2:G64, 
    MATCH(1, 
      (PLAYER_STAT!A$2:A64 = MATCH_DATES!$A$3) * (PLAYER_STAT!D$2:D64 = $B5), 
    0)
  ), 
  ""
)
</f>
        <v>0</v>
      </c>
      <c r="Y5" s="31">
        <f t="shared" si="12"/>
        <v>20</v>
      </c>
      <c r="Z5" s="32" t="str">
        <f t="shared" si="13"/>
        <v>↑</v>
      </c>
      <c r="AA5" s="21" t="s">
        <v>212</v>
      </c>
      <c r="AB5" s="33">
        <f t="shared" si="14"/>
        <v>13</v>
      </c>
      <c r="AC5" s="22">
        <f t="shared" si="15"/>
        <v>2</v>
      </c>
      <c r="AD5" s="22">
        <f t="shared" si="16"/>
        <v>4</v>
      </c>
      <c r="AE5" s="22">
        <f>IF(AA5&lt;&gt;"",
    COUNTIFS(MATCH_INPUT!$K$10:$K$13,AA5),
0)</f>
        <v>2</v>
      </c>
      <c r="AF5" s="22">
        <f>IF(AA5&lt;&gt;"",
    COUNTIFS(MATCH_INPUT!$F$10:$F$13, AA5, MATCH_INPUT!$K$10:$K$13, "Draw") +
    COUNTIFS(MATCH_INPUT!$J$10:$J$13, AA5, MATCH_INPUT!$K$10:$K$13, "Draw"),
0)</f>
        <v>0</v>
      </c>
      <c r="AG5" s="22">
        <f>IF(AA5&lt;&gt;"",
    COUNTIFS(MATCH_INPUT!$F$10:$F$13, AA5, MATCH_INPUT!$K$10:$K$13, "&lt;&gt;"&amp;AA5, MATCH_INPUT!$K$10:$K$13, "&lt;&gt;Draw", MATCH_INPUT!$K$10:$K$13, "&lt;&gt;""") +
    COUNTIFS(MATCH_INPUT!$J$10:$J$13, AA5, MATCH_INPUT!$K$10:$K$13, "&lt;&gt;"&amp;AA5, MATCH_INPUT!$K$10:$K$13, "&lt;&gt;Draw", MATCH_INPUT!$K$10:$K$13, "&lt;&gt;"""),
0)</f>
        <v>0</v>
      </c>
      <c r="AH5" s="23">
        <f t="array" ref="AH5">IFERROR(
  INDEX(PLAYER_STAT!E$2:E64, 
    MATCH(1, 
      (PLAYER_STAT!A$2:A64 = MATCH_DATES!$A$4) * (PLAYER_STAT!D$2:D64 = $B5), 
    0)
  ), 
  ""
)
</f>
        <v>2</v>
      </c>
      <c r="AI5" s="23">
        <f t="array" ref="AI5">IFERROR(
  INDEX(PLAYER_STAT!F$2:F64, 
    MATCH(1, 
      (PLAYER_STAT!A$2:A64 = MATCH_DATES!$A$4) * (PLAYER_STAT!D$2:D64 = $B5), 
    0)
  ), 
  ""
)
</f>
        <v>0</v>
      </c>
      <c r="AJ5" s="34">
        <f t="array" ref="AJ5">IFERROR(
  INDEX(PLAYER_STAT!G$2:G64, 
    MATCH(1, 
      (PLAYER_STAT!A$2:A64 = MATCH_DATES!$A$4) * (PLAYER_STAT!D$2:D64 = $B5), 
    0)
  ), 
  ""
)
</f>
        <v>0</v>
      </c>
      <c r="AK5" s="25">
        <f t="shared" si="17"/>
        <v>10</v>
      </c>
      <c r="AL5" s="26" t="str">
        <f t="shared" si="18"/>
        <v>↑</v>
      </c>
      <c r="AM5" s="27" t="s">
        <v>214</v>
      </c>
      <c r="AN5" s="28">
        <f t="shared" si="19"/>
        <v>15</v>
      </c>
      <c r="AO5" s="28">
        <f t="shared" si="20"/>
        <v>2</v>
      </c>
      <c r="AP5" s="28">
        <f t="shared" si="21"/>
        <v>0</v>
      </c>
      <c r="AQ5" s="28">
        <f>IF(AM5&lt;&gt;"",
    COUNTIFS(MATCH_INPUT!$K$14:$K$17,AM5),
0)</f>
        <v>0</v>
      </c>
      <c r="AR5" s="28">
        <f>IF(AM5&lt;&gt;"",
    COUNTIFS(MATCH_INPUT!$F$14:$F$17, AM5, MATCH_INPUT!$K$14:$K$17, "Draw") +
    COUNTIFS(MATCH_INPUT!$J$14:$J$17, AM5, MATCH_INPUT!$K$14:$K$17, "Draw"),
0)</f>
        <v>0</v>
      </c>
      <c r="AS5" s="28">
        <f>IF(AM5&lt;&gt;"",
    COUNTIFS(MATCH_INPUT!$F$14:$F$17, AM5, MATCH_INPUT!$K$14:$K$17, "&lt;&gt;"&amp;AM5, MATCH_INPUT!$K$14:$K$17, "&lt;&gt;Draw", MATCH_INPUT!$K$14:$K$17, "&lt;&gt;""") +
    COUNTIFS(MATCH_INPUT!$J$14:$J$17, AM5, MATCH_INPUT!$K$14:$K$17, "&lt;&gt;"&amp;AM5, MATCH_INPUT!$K$14:$K$17, "&lt;&gt;Draw", MATCH_INPUT!$K$14:$K$17, "&lt;&gt;"""),
0)</f>
        <v>2</v>
      </c>
      <c r="AT5" s="29">
        <f t="array" ref="AT5">IFERROR(
  INDEX(PLAYER_STAT!E$2:E64, 
    MATCH(1, 
      (PLAYER_STAT!A$2:A64 = MATCH_DATES!$A$5) * (PLAYER_STAT!D$2:D64 = $B5), 
    0)
  ), 
  ""
)
</f>
        <v>1</v>
      </c>
      <c r="AU5" s="29">
        <f t="array" ref="AU5">IFERROR(
  INDEX(PLAYER_STAT!F$2:F64, 
    MATCH(1, 
      (PLAYER_STAT!A$2:A64 = MATCH_DATES!$A$5) * (PLAYER_STAT!D$2:D64 = $B5), 
    0)
  ), 
  ""
)
</f>
        <v>0</v>
      </c>
      <c r="AV5" s="30">
        <f t="array" ref="AV5">IFERROR(
  INDEX(PLAYER_STAT!G$2:G64, 
    MATCH(1, 
      (PLAYER_STAT!A$2:A64 = MATCH_DATES!$A$5) * (PLAYER_STAT!D$2:D64 = $B5), 
    0)
  ), 
  ""
)
</f>
        <v>0</v>
      </c>
      <c r="AW5" s="31">
        <f t="shared" si="22"/>
        <v>16</v>
      </c>
      <c r="AX5" s="32" t="str">
        <f t="shared" si="23"/>
        <v>↓</v>
      </c>
      <c r="AY5" s="21" t="s">
        <v>215</v>
      </c>
      <c r="AZ5" s="33">
        <f t="shared" si="24"/>
        <v>18</v>
      </c>
      <c r="BA5" s="22">
        <f t="shared" si="25"/>
        <v>2</v>
      </c>
      <c r="BB5" s="22">
        <f>SUM(BC5*2) + (BD5*1) + SUMIFS(MATCH_INPUT!$G$18:$G$21, MATCH_INPUT!$F$18:$F$21, AY5) + SUMIFS(MATCH_INPUT!$I$18:$I$21, MATCH_INPUT!$J$18:$J$21, AY5)
</f>
        <v>1</v>
      </c>
      <c r="BC5" s="22">
        <f>IF(AY5&lt;&gt;"",
    COUNTIFS(MATCH_INPUT!$K$18:$K$21,AY5),
0)</f>
        <v>0</v>
      </c>
      <c r="BD5" s="22">
        <f>IF(AY5&lt;&gt;"",
    COUNTIFS(MATCH_INPUT!$F$18:$F$21, AY5, MATCH_INPUT!$K$18:$K$21, "Draw") +
    COUNTIFS(MATCH_INPUT!$J$18:$J$21, AY5, MATCH_INPUT!$K$18:$K$21, "Draw"),
0)</f>
        <v>0</v>
      </c>
      <c r="BE5" s="22">
        <f>IF(AY5&lt;&gt;"",
    COUNTIFS(MATCH_INPUT!$F$18:$F$21, AY5, MATCH_INPUT!$K$18:$K$21, "&lt;&gt;"&amp;AY5, MATCH_INPUT!$K$18:$K$21, "&lt;&gt;Draw", MATCH_INPUT!$K$18:$K$21, "&lt;&gt;""") +
    COUNTIFS(MATCH_INPUT!$J$18:$J$21, AY5, MATCH_INPUT!$K$18:$K$21, "&lt;&gt;"&amp;AY5, MATCH_INPUT!$K$18:$K$21, "&lt;&gt;Draw", MATCH_INPUT!$K$18:$K$21, "&lt;&gt;"""),
0)</f>
        <v>2</v>
      </c>
      <c r="BF5" s="23" t="str">
        <f t="array" ref="BF5">IFERROR(
  INDEX(PLAYER_STAT!E$2:E64, 
    MATCH(1, 
      (PLAYER_STAT!A$2:A64 = MATCH_DATES!$A$6) * (PLAYER_STAT!D$2:D64 = $B5), 
    0)
  ), 
  ""
)
</f>
        <v/>
      </c>
      <c r="BG5" s="23" t="str">
        <f t="array" ref="BG5">IFERROR(
  INDEX(PLAYER_STAT!F$2:F64, 
    MATCH(1, 
      (PLAYER_STAT!A$2:A64 = MATCH_DATES!$A$6) * (PLAYER_STAT!D$2:D64 = $B5), 
    0)
  ), 
  ""
)
</f>
        <v/>
      </c>
      <c r="BH5" s="34" t="str">
        <f t="array" ref="BH5">IFERROR(
  INDEX(PLAYER_STAT!G$2:G64, 
    MATCH(1, 
      (PLAYER_STAT!A$2:A64 = MATCH_DATES!$A$6) * (PLAYER_STAT!D$2:D64 = $B5), 
    0)
  ), 
  ""
)
</f>
        <v/>
      </c>
      <c r="BI5" s="25">
        <f t="shared" si="26"/>
        <v>24</v>
      </c>
      <c r="BJ5" s="26" t="str">
        <f t="shared" si="27"/>
        <v>↓</v>
      </c>
      <c r="BK5" s="27" t="s">
        <v>215</v>
      </c>
      <c r="BL5" s="28">
        <f t="shared" si="28"/>
        <v>32</v>
      </c>
      <c r="BM5" s="28">
        <f t="shared" si="29"/>
        <v>2</v>
      </c>
      <c r="BN5" s="28">
        <f>SUM(BO5*2) + (BP5*1) + SUMIFS(MATCH_INPUT!$G$22:$G$25, MATCH_INPUT!$F$22:$F$25, BK5) + SUMIFS(MATCH_INPUT!$I$22:$I$25, MATCH_INPUT!$J$22:$J$25, BK5)
</f>
        <v>12</v>
      </c>
      <c r="BO5" s="28">
        <f>IF(BK5&lt;&gt;"",
    COUNTIFS(MATCH_INPUT!$K$22:$K$25,BK5),
0)</f>
        <v>2</v>
      </c>
      <c r="BP5" s="28">
        <f>IF(BK5&lt;&gt;"",
    COUNTIFS(MATCH_INPUT!$F$22:$F$25, BK5, MATCH_INPUT!$K$22:$K$25, "Draw") +
    COUNTIFS(MATCH_INPUT!$J$22:$J$25, BK5, MATCH_INPUT!$K$22:$K$25, "Draw"),
0)</f>
        <v>0</v>
      </c>
      <c r="BQ5" s="28">
        <f>IF(BK5&lt;&gt;"",
    COUNTIFS(MATCH_INPUT!$F$22:$F$25, BK5, MATCH_INPUT!$K$22:$K$25, "&lt;&gt;"&amp;BK5, MATCH_INPUT!$K$22:$K$25, "&lt;&gt;Draw", MATCH_INPUT!$K$22:$K$25, "&lt;&gt;""") +
    COUNTIFS(MATCH_INPUT!$J$22:$J$25, BK5, MATCH_INPUT!$K$22:$K$25, "&lt;&gt;"&amp;BK5, MATCH_INPUT!$K$22:$K$25, "&lt;&gt;Draw", MATCH_INPUT!$K$22:$K$25, "&lt;&gt;"""),
0)</f>
        <v>0</v>
      </c>
      <c r="BR5" s="29" t="str">
        <f t="array" ref="BR5">IFERROR(
  INDEX(PLAYER_STAT!E$2:E64, 
    MATCH(1, 
      (PLAYER_STAT!A$2:A64 = MATCH_DATES!$A$7) * (PLAYER_STAT!D$2:D64 = $B5), 
    0)
  ), 
  ""
)
</f>
        <v/>
      </c>
      <c r="BS5" s="29" t="str">
        <f t="array" ref="BS5">IFERROR(
  INDEX(PLAYER_STAT!F$2:F64, 
    MATCH(1, 
      (PLAYER_STAT!A$2:A64 = MATCH_DATES!$A$7) * (PLAYER_STAT!D$2:D64 = $B5), 
    0)
  ), 
  ""
)
</f>
        <v/>
      </c>
      <c r="BT5" s="30" t="str">
        <f t="array" ref="BT5">IFERROR(
  INDEX(PLAYER_STAT!G$2:G64, 
    MATCH(1, 
      (PLAYER_STAT!A$2:A64 = MATCH_DATES!$A$7) * (PLAYER_STAT!D$2:D64 = $B5), 
    0)
  ), 
  ""
)
</f>
        <v/>
      </c>
      <c r="BU5" s="31">
        <f t="shared" si="30"/>
        <v>15</v>
      </c>
      <c r="BV5" s="32" t="str">
        <f t="shared" si="31"/>
        <v>↑</v>
      </c>
      <c r="BW5" s="21" t="s">
        <v>215</v>
      </c>
      <c r="BX5" s="33">
        <f t="shared" si="32"/>
        <v>39</v>
      </c>
      <c r="BY5" s="22">
        <f t="shared" si="33"/>
        <v>2</v>
      </c>
      <c r="BZ5" s="22">
        <f>SUM(CA5*2)+(CB5*1) + SUMIFS(MATCH_INPUT!$G$26:$G$29, MATCH_INPUT!$F$26:$F$29, BW5) + SUMIFS(MATCH_INPUT!$I$26:$I$29, MATCH_INPUT!$J$26:$J$29, BW5)
</f>
        <v>5</v>
      </c>
      <c r="CA5" s="22">
        <f>IF(BW5&lt;&gt;"",
    COUNTIFS(MATCH_INPUT!$K$26:$K$29,BW5),
0)</f>
        <v>0</v>
      </c>
      <c r="CB5" s="22">
        <f>IF(BW5&lt;&gt;"",
    COUNTIFS(MATCH_INPUT!$F$26:$F$29, BW5, MATCH_INPUT!$K$26:$K$29, "Draw") +
    COUNTIFS(MATCH_INPUT!$J$26:$J$29, BW5, MATCH_INPUT!$K$26:$K$29, "Draw"),
0)</f>
        <v>1</v>
      </c>
      <c r="CC5" s="22">
        <f>IF(BW5&lt;&gt;"",
    COUNTIFS(MATCH_INPUT!$F$26:$F$29, BW5, MATCH_INPUT!$K$26:$K$29, "&lt;&gt;"&amp;BW5, MATCH_INPUT!$K$26:$K$29, "&lt;&gt;Draw", MATCH_INPUT!$K$26:$K$29, "&lt;&gt;""") +
    COUNTIFS(MATCH_INPUT!$J$26:$J$29, BW5, MATCH_INPUT!$K$26:$K$29, "&lt;&gt;"&amp;BW5, MATCH_INPUT!$K$26:$K$29, "&lt;&gt;Draw", MATCH_INPUT!$K$26:$K$29, "&lt;&gt;"""),
0)</f>
        <v>1</v>
      </c>
      <c r="CD5" s="23" t="str">
        <f t="array" ref="CD5">IFERROR(
  INDEX(PLAYER_STAT!E$2:E64, 
    MATCH(1, 
      (PLAYER_STAT!A$2:A64 = MATCH_DATES!$A$8) * (PLAYER_STAT!D$2:D64 = $B5), 
    0)
  ), 
  ""
)
</f>
        <v/>
      </c>
      <c r="CE5" s="23" t="str">
        <f t="array" ref="CE5">IFERROR(
  INDEX(PLAYER_STAT!F$2:F64, 
    MATCH(1, 
      (PLAYER_STAT!A$2:A64 = MATCH_DATES!$A$8) * (PLAYER_STAT!D$2:D64 = $B5), 
    0)
  ), 
  ""
)
</f>
        <v/>
      </c>
      <c r="CF5" s="34" t="str">
        <f t="array" ref="CF5">IFERROR(
  INDEX(PLAYER_STAT!G$2:G64, 
    MATCH(1, 
      (PLAYER_STAT!A$2:A64 = MATCH_DATES!$A$8) * (PLAYER_STAT!D$2:D64 = $B5), 
    0)
  ), 
  ""
)
</f>
        <v/>
      </c>
      <c r="CG5" s="25">
        <f t="shared" si="34"/>
        <v>16</v>
      </c>
      <c r="CH5" s="26" t="str">
        <f t="shared" si="35"/>
        <v>↓</v>
      </c>
      <c r="CI5" s="27" t="s">
        <v>214</v>
      </c>
      <c r="CJ5" s="28">
        <f t="shared" si="36"/>
        <v>48</v>
      </c>
      <c r="CK5" s="28">
        <f t="shared" si="37"/>
        <v>2</v>
      </c>
      <c r="CL5" s="28">
        <f>SUM(CM5*2)+(CN5*1) + SUMIFS(MATCH_INPUT!$G$30:$G$33, MATCH_INPUT!$F$30:$F$33, CI5) + SUMIFS(MATCH_INPUT!$I$30:$I$33, MATCH_INPUT!$J$30:$J$33, CI5)
</f>
        <v>7</v>
      </c>
      <c r="CM5" s="28">
        <f>IF(CI5&lt;&gt;"",
    COUNTIFS(MATCH_INPUT!$K$30:$K$33,CI5),
0)</f>
        <v>1</v>
      </c>
      <c r="CN5" s="28">
        <f>IF(CI5&lt;&gt;"",
    COUNTIFS(MATCH_INPUT!$F$30:$F$33, CI5, MATCH_INPUT!$K$30:$K$33, "Draw") +
    COUNTIFS(MATCH_INPUT!$J$30:$J$33, CI5, MATCH_INPUT!$K$30:$K$33, "Draw"),
0)</f>
        <v>1</v>
      </c>
      <c r="CO5" s="28">
        <f>IF(CI5&lt;&gt;"",
    COUNTIFS(MATCH_INPUT!$F$30:$F$33, CI5, MATCH_INPUT!$K$30:$K$33, "&lt;&gt;"&amp;CI5, MATCH_INPUT!$K$30:$K$33, "&lt;&gt;Draw", MATCH_INPUT!$K$30:$K$33, "&lt;&gt;""") +
    COUNTIFS(MATCH_INPUT!$J$30:$J$33, CI5, MATCH_INPUT!$K$30:$K$33, "&lt;&gt;"&amp;CI5, MATCH_INPUT!$K$30:$K$33, "&lt;&gt;Draw", MATCH_INPUT!$K$30:$K$33, "&lt;&gt;"""),
0)</f>
        <v>0</v>
      </c>
      <c r="CP5" s="29" t="str">
        <f t="array" ref="CP5">IFERROR(
  INDEX(PLAYER_STAT!E$2:E64, 
    MATCH(1, 
      (PLAYER_STAT!A$2:A64 = MATCH_DATES!$A$9) * (PLAYER_STAT!D$2:D64 = $B5), 
    0)
  ), 
  ""
)
</f>
        <v/>
      </c>
      <c r="CQ5" s="29" t="str">
        <f t="array" ref="CQ5">IFERROR(
  INDEX(PLAYER_STAT!F$2:F64, 
    MATCH(1, 
      (PLAYER_STAT!A$2:A64 = MATCH_DATES!$A$9) * (PLAYER_STAT!D$2:D64 = $B5), 
    0)
  ), 
  ""
)
</f>
        <v/>
      </c>
      <c r="CR5" s="29" t="str">
        <f t="array" ref="CR5">IFERROR(
  INDEX(PLAYER_STAT!G$2:G64, 
    MATCH(1, 
      (PLAYER_STAT!A$2:A64 = MATCH_DATES!$A$9) * (PLAYER_STAT!D$2:D64 = $B5), 
    0)
  ), 
  ""
)
</f>
        <v/>
      </c>
      <c r="CS5" s="35">
        <f t="shared" si="38"/>
        <v>16</v>
      </c>
      <c r="CT5" s="35" t="str">
        <f t="shared" si="39"/>
        <v>=</v>
      </c>
      <c r="CU5" s="36">
        <f t="shared" si="40"/>
        <v>32</v>
      </c>
      <c r="CV5" s="36" t="str">
        <f t="shared" ref="CV5:CW5" si="46">A5</f>
        <v>🍂🎃</v>
      </c>
      <c r="CW5" s="37" t="str">
        <f t="shared" si="46"/>
        <v>Carlos S</v>
      </c>
      <c r="CX5" s="37">
        <f t="shared" si="42"/>
        <v>48</v>
      </c>
      <c r="CY5" s="36">
        <f>SUM(
  IF(AND(MATCH_DATES!$A$2 &lt;= TODAY(), NOW() &gt;= MATCH_DATES!$A$2 + TIME(22, 0, 0)), E5, 0),
  IF(AND(MATCH_DATES!$A$3 &lt;= TODAY(), NOW() &gt;= MATCH_DATES!$A$3 + TIME(22, 0, 0)), Q5, 0),
  IF(AND(MATCH_DATES!$A$4 &lt;= TODAY(), NOW() &gt;= MATCH_DATES!$A$4 + TIME(22, 0, 0)), AC5, 0),
  IF(AND(MATCH_DATES!$A$5 &lt;= TODAY(), NOW() &gt;= MATCH_DATES!$A$5 + TIME(22, 0, 0)), AO5, 0),
  IF(AND(MATCH_DATES!$A$6 &lt;= TODAY(), NOW() &gt;= MATCH_DATES!$A$6 + TIME(22, 0, 0)), BA5, 0),
  IF(AND(MATCH_DATES!$A$7 &lt;= TODAY(), NOW() &gt;= MATCH_DATES!$A$7 + TIME(22, 0, 0)), BM5, 0),
  IF(AND(MATCH_DATES!$A$8 &lt;= TODAY(), NOW() &gt;= MATCH_DATES!$A$8 + TIME(22, 0, 0)), BY5, 0),
  IF(AND(MATCH_DATES!$A$9 &lt;= TODAY(), NOW() &gt;= MATCH_DATES!$A$9 + TIME(22, 0, 0)), CK5, 0)
)
</f>
        <v>16</v>
      </c>
      <c r="CZ5" s="37">
        <f t="shared" ref="CZ5:DA5" si="47">SUM(G5,S5,AE5,AQ5,BC5,BO5,CA5,CM5)</f>
        <v>6</v>
      </c>
      <c r="DA5" s="37">
        <f t="shared" si="47"/>
        <v>3</v>
      </c>
      <c r="DB5" s="37">
        <f>SUM(
  IF(AND(MATCH_DATES!$A$2 &lt;= TODAY(), NOW() &gt;= MATCH_DATES!$A$2 + TIME(22, 0, 0)), I5, 0),
  IF(AND(MATCH_DATES!$A$3 &lt;= TODAY(), NOW() &gt;= MATCH_DATES!$A$3 + TIME(22, 0, 0)), U5, 0),
  IF(AND(MATCH_DATES!$A$4 &lt;= TODAY(), NOW() &gt;= MATCH_DATES!$A$4 + TIME(22, 0, 0)), AG5, 0),
  IF(AND(MATCH_DATES!$A$5 &lt;= TODAY(), NOW() &gt;= MATCH_DATES!$A$5 + TIME(22, 0, 0)), AS5, 0),
  IF(AND(MATCH_DATES!$A$6 &lt;= TODAY(), NOW() &gt;= MATCH_DATES!$A$6 + TIME(22, 0, 0)), BE5, 0),
  IF(AND(MATCH_DATES!$A$7 &lt;= TODAY(), NOW() &gt;= MATCH_DATES!$A$7 + TIME(22, 0, 0)), BQ5, 0),
  IF(AND(MATCH_DATES!$A$8 &lt;= TODAY(), NOW() &gt;= MATCH_DATES!$A$8 + TIME(22, 0, 0)), CC5, 0),
  IF(AND(MATCH_DATES!$A$9 &lt;= TODAY(), NOW() &gt;= MATCH_DATES!$A$9 + TIME(22, 0, 0)), CO5, 0)
)</f>
        <v>7</v>
      </c>
      <c r="DC5" s="37">
        <f t="shared" si="44"/>
        <v>4</v>
      </c>
      <c r="DD5" s="37">
        <f t="shared" ref="DD5:DE5" si="48">SUM(K5,W5,AI5,AU5,BG5,BS5,CE5,CQ5)</f>
        <v>0</v>
      </c>
      <c r="DE5" s="37">
        <f t="shared" si="48"/>
        <v>0</v>
      </c>
    </row>
    <row r="6" ht="24.75" customHeight="1">
      <c r="A6" s="19" t="s">
        <v>210</v>
      </c>
      <c r="B6" s="39" t="s">
        <v>72</v>
      </c>
      <c r="C6" s="21" t="s">
        <v>215</v>
      </c>
      <c r="D6" s="22">
        <f t="shared" si="4"/>
        <v>2</v>
      </c>
      <c r="E6" s="22">
        <f t="shared" si="5"/>
        <v>2</v>
      </c>
      <c r="F6" s="22">
        <f t="shared" si="6"/>
        <v>0</v>
      </c>
      <c r="G6" s="22">
        <f>IF(C6&lt;&gt;"",
    COUNTIFS(MATCH_INPUT!$K$2:$K$5,C6),
0)</f>
        <v>0</v>
      </c>
      <c r="H6" s="22">
        <f>IF(C6&lt;&gt;"",
    COUNTIFS(MATCH_INPUT!$F$2:$F$5, C6, MATCH_INPUT!$K$2:$K$5, "Draw") +
    COUNTIFS(MATCH_INPUT!$J$2:$J$5, C6, MATCH_INPUT!$K$2:$K$5, "Draw"),
0)</f>
        <v>0</v>
      </c>
      <c r="I6" s="22">
        <f>IF(C6&lt;&gt;"",
    COUNTIFS(MATCH_INPUT!$F$2:$F$5, C6, MATCH_INPUT!$K$2:$K$5, "&lt;&gt;"&amp;C6, MATCH_INPUT!$K$2:$K$5, "&lt;&gt;Draw", MATCH_INPUT!$K$2:$K$5, "&lt;&gt;""") +
    COUNTIFS(MATCH_INPUT!$J$2:$J$5, C6, MATCH_INPUT!$K$2:$K$5, "&lt;&gt;"&amp;C6, MATCH_INPUT!$K$2:$K$5, "&lt;&gt;Draw", MATCH_INPUT!$K$2:$K$5, "&lt;&gt;"""),
0)</f>
        <v>2</v>
      </c>
      <c r="J6" s="23">
        <f t="array" ref="J6">IFERROR(
  INDEX(PLAYER_STAT!E$2:E64, 
    MATCH(1, 
      (PLAYER_STAT!A$2:A64 = MATCH_DATES!$A$2) * (PLAYER_STAT!D$2:D64 = $B6), 
    0)
  ), 
  ""
)
</f>
        <v>1</v>
      </c>
      <c r="K6" s="23">
        <f t="array" ref="K6">IFERROR(
  INDEX(PLAYER_STAT!F$2:F64, 
    MATCH(1, 
      (PLAYER_STAT!A$2:A64 = MATCH_DATES!$A$2) * (PLAYER_STAT!D$2:D64 = $B6), 
    0)
  ), 
  ""
)
</f>
        <v>0</v>
      </c>
      <c r="L6" s="24">
        <f t="array" ref="L6">IFERROR(
  INDEX(PLAYER_STAT!G$2:G64, 
    MATCH(1, 
      (PLAYER_STAT!A$2:A64 = MATCH_DATES!$A$2) * (PLAYER_STAT!D$2:D64 = $B6), 
    0)
  ), 
  ""
)
</f>
        <v>0</v>
      </c>
      <c r="M6" s="25">
        <f t="shared" si="7"/>
        <v>26</v>
      </c>
      <c r="N6" s="26" t="str">
        <f t="shared" si="8"/>
        <v>↓</v>
      </c>
      <c r="O6" s="27" t="s">
        <v>213</v>
      </c>
      <c r="P6" s="28">
        <f t="shared" si="9"/>
        <v>7</v>
      </c>
      <c r="Q6" s="28">
        <f t="shared" si="10"/>
        <v>2</v>
      </c>
      <c r="R6" s="28">
        <f t="shared" si="11"/>
        <v>3</v>
      </c>
      <c r="S6" s="28">
        <f>IF(O6&lt;&gt;"",
    COUNTIFS(MATCH_INPUT!$K$6:$K$9,O6),
0)</f>
        <v>1</v>
      </c>
      <c r="T6" s="28">
        <f>IF(O6&lt;&gt;"",
    COUNTIFS(MATCH_INPUT!$F$6:$F$9, O6, MATCH_INPUT!$K$6:$K$9, "Draw") +
    COUNTIFS(MATCH_INPUT!$J$6:$J$9, O6, MATCH_INPUT!$K$6:$K$9, "Draw"),
0)</f>
        <v>1</v>
      </c>
      <c r="U6" s="28">
        <f>IF(O6&lt;&gt;"",
    COUNTIFS(MATCH_INPUT!$F$6:$F$9, O6, MATCH_INPUT!$K$6:$K$9, "&lt;&gt;"&amp;O6, MATCH_INPUT!$K$6:$K$9, "&lt;&gt;Draw", MATCH_INPUT!$K$6:$K$9, "&lt;&gt;""") +
    COUNTIFS(MATCH_INPUT!$J$6:$J$9, O6, MATCH_INPUT!$K$6:$K$9, "&lt;&gt;"&amp;O6, MATCH_INPUT!$K$6:$K$9, "&lt;&gt;Draw", MATCH_INPUT!$K$6:$K$9, "&lt;&gt;"""),
0)</f>
        <v>0</v>
      </c>
      <c r="V6" s="29" t="str">
        <f t="array" ref="V6">IFERROR(
  INDEX(PLAYER_STAT!E$2:E64, 
    MATCH(1, 
      (PLAYER_STAT!A$2:A64 = MATCH_DATES!$A$3) * (PLAYER_STAT!D$2:D64 = $B6), 
    0)
  ), 
  ""
)
</f>
        <v/>
      </c>
      <c r="W6" s="29" t="str">
        <f t="array" ref="W6">IFERROR(
  INDEX(PLAYER_STAT!F$2:F64, 
    MATCH(1, 
      (PLAYER_STAT!A$2:A64 = MATCH_DATES!$A$3) * (PLAYER_STAT!D$2:D64 = $B6), 
    0)
  ), 
  ""
)
</f>
        <v/>
      </c>
      <c r="X6" s="30" t="str">
        <f t="array" ref="X6">IFERROR(
  INDEX(PLAYER_STAT!G$2:G64, 
    MATCH(1, 
      (PLAYER_STAT!A$2:A64 = MATCH_DATES!$A$3) * (PLAYER_STAT!D$2:D64 = $B6), 
    0)
  ), 
  ""
)
</f>
        <v/>
      </c>
      <c r="Y6" s="31">
        <f t="shared" si="12"/>
        <v>20</v>
      </c>
      <c r="Z6" s="32" t="str">
        <f t="shared" si="13"/>
        <v>↑</v>
      </c>
      <c r="AA6" s="21" t="s">
        <v>212</v>
      </c>
      <c r="AB6" s="33">
        <f t="shared" si="14"/>
        <v>13</v>
      </c>
      <c r="AC6" s="22">
        <f t="shared" si="15"/>
        <v>2</v>
      </c>
      <c r="AD6" s="22">
        <f t="shared" si="16"/>
        <v>4</v>
      </c>
      <c r="AE6" s="22">
        <f>IF(AA6&lt;&gt;"",
    COUNTIFS(MATCH_INPUT!$K$10:$K$13,AA6),
0)</f>
        <v>2</v>
      </c>
      <c r="AF6" s="22">
        <f>IF(AA6&lt;&gt;"",
    COUNTIFS(MATCH_INPUT!$F$10:$F$13, AA6, MATCH_INPUT!$K$10:$K$13, "Draw") +
    COUNTIFS(MATCH_INPUT!$J$10:$J$13, AA6, MATCH_INPUT!$K$10:$K$13, "Draw"),
0)</f>
        <v>0</v>
      </c>
      <c r="AG6" s="22">
        <f>IF(AA6&lt;&gt;"",
    COUNTIFS(MATCH_INPUT!$F$10:$F$13, AA6, MATCH_INPUT!$K$10:$K$13, "&lt;&gt;"&amp;AA6, MATCH_INPUT!$K$10:$K$13, "&lt;&gt;Draw", MATCH_INPUT!$K$10:$K$13, "&lt;&gt;""") +
    COUNTIFS(MATCH_INPUT!$J$10:$J$13, AA6, MATCH_INPUT!$K$10:$K$13, "&lt;&gt;"&amp;AA6, MATCH_INPUT!$K$10:$K$13, "&lt;&gt;Draw", MATCH_INPUT!$K$10:$K$13, "&lt;&gt;"""),
0)</f>
        <v>0</v>
      </c>
      <c r="AH6" s="23">
        <f t="array" ref="AH6">IFERROR(
  INDEX(PLAYER_STAT!E$2:E64, 
    MATCH(1, 
      (PLAYER_STAT!A$2:A64 = MATCH_DATES!$A$4) * (PLAYER_STAT!D$2:D64 = $B6), 
    0)
  ), 
  ""
)
</f>
        <v>1</v>
      </c>
      <c r="AI6" s="23">
        <f t="array" ref="AI6">IFERROR(
  INDEX(PLAYER_STAT!F$2:F64, 
    MATCH(1, 
      (PLAYER_STAT!A$2:A64 = MATCH_DATES!$A$4) * (PLAYER_STAT!D$2:D64 = $B6), 
    0)
  ), 
  ""
)
</f>
        <v>0</v>
      </c>
      <c r="AJ6" s="34">
        <f t="array" ref="AJ6">IFERROR(
  INDEX(PLAYER_STAT!G$2:G64, 
    MATCH(1, 
      (PLAYER_STAT!A$2:A64 = MATCH_DATES!$A$4) * (PLAYER_STAT!D$2:D64 = $B6), 
    0)
  ), 
  ""
)
</f>
        <v>0</v>
      </c>
      <c r="AK6" s="25">
        <f t="shared" si="17"/>
        <v>10</v>
      </c>
      <c r="AL6" s="26" t="str">
        <f t="shared" si="18"/>
        <v>↑</v>
      </c>
      <c r="AM6" s="27" t="s">
        <v>215</v>
      </c>
      <c r="AN6" s="28">
        <f t="shared" si="19"/>
        <v>17</v>
      </c>
      <c r="AO6" s="28">
        <f t="shared" si="20"/>
        <v>2</v>
      </c>
      <c r="AP6" s="28">
        <f t="shared" si="21"/>
        <v>2</v>
      </c>
      <c r="AQ6" s="28">
        <f>IF(AM6&lt;&gt;"",
    COUNTIFS(MATCH_INPUT!$K$14:$K$17,AM6),
0)</f>
        <v>1</v>
      </c>
      <c r="AR6" s="28">
        <f>IF(AM6&lt;&gt;"",
    COUNTIFS(MATCH_INPUT!$F$14:$F$17, AM6, MATCH_INPUT!$K$14:$K$17, "Draw") +
    COUNTIFS(MATCH_INPUT!$J$14:$J$17, AM6, MATCH_INPUT!$K$14:$K$17, "Draw"),
0)</f>
        <v>0</v>
      </c>
      <c r="AS6" s="28">
        <f>IF(AM6&lt;&gt;"",
    COUNTIFS(MATCH_INPUT!$F$14:$F$17, AM6, MATCH_INPUT!$K$14:$K$17, "&lt;&gt;"&amp;AM6, MATCH_INPUT!$K$14:$K$17, "&lt;&gt;Draw", MATCH_INPUT!$K$14:$K$17, "&lt;&gt;""") +
    COUNTIFS(MATCH_INPUT!$J$14:$J$17, AM6, MATCH_INPUT!$K$14:$K$17, "&lt;&gt;"&amp;AM6, MATCH_INPUT!$K$14:$K$17, "&lt;&gt;Draw", MATCH_INPUT!$K$14:$K$17, "&lt;&gt;"""),
0)</f>
        <v>1</v>
      </c>
      <c r="AT6" s="29">
        <f t="array" ref="AT6">IFERROR(
  INDEX(PLAYER_STAT!E$2:E64, 
    MATCH(1, 
      (PLAYER_STAT!A$2:A64 = MATCH_DATES!$A$5) * (PLAYER_STAT!D$2:D64 = $B6), 
    0)
  ), 
  ""
)
</f>
        <v>1</v>
      </c>
      <c r="AU6" s="29">
        <f t="array" ref="AU6">IFERROR(
  INDEX(PLAYER_STAT!F$2:F64, 
    MATCH(1, 
      (PLAYER_STAT!A$2:A64 = MATCH_DATES!$A$5) * (PLAYER_STAT!D$2:D64 = $B6), 
    0)
  ), 
  ""
)
</f>
        <v>0</v>
      </c>
      <c r="AV6" s="30">
        <f t="array" ref="AV6">IFERROR(
  INDEX(PLAYER_STAT!G$2:G64, 
    MATCH(1, 
      (PLAYER_STAT!A$2:A64 = MATCH_DATES!$A$5) * (PLAYER_STAT!D$2:D64 = $B6), 
    0)
  ), 
  ""
)
</f>
        <v>0</v>
      </c>
      <c r="AW6" s="31">
        <f t="shared" si="22"/>
        <v>11</v>
      </c>
      <c r="AX6" s="32" t="str">
        <f t="shared" si="23"/>
        <v>↓</v>
      </c>
      <c r="AY6" s="21" t="s">
        <v>214</v>
      </c>
      <c r="AZ6" s="33">
        <f t="shared" si="24"/>
        <v>28</v>
      </c>
      <c r="BA6" s="22">
        <f t="shared" si="25"/>
        <v>2</v>
      </c>
      <c r="BB6" s="22">
        <f>SUM(BC6*2) + (BD6*1) + SUMIFS(MATCH_INPUT!$G$18:$G$21, MATCH_INPUT!$F$18:$F$21, AY6) + SUMIFS(MATCH_INPUT!$I$18:$I$21, MATCH_INPUT!$J$18:$J$21, AY6)
</f>
        <v>9</v>
      </c>
      <c r="BC6" s="22">
        <f>IF(AY6&lt;&gt;"",
    COUNTIFS(MATCH_INPUT!$K$18:$K$21,AY6),
0)</f>
        <v>1</v>
      </c>
      <c r="BD6" s="22">
        <f>IF(AY6&lt;&gt;"",
    COUNTIFS(MATCH_INPUT!$F$18:$F$21, AY6, MATCH_INPUT!$K$18:$K$21, "Draw") +
    COUNTIFS(MATCH_INPUT!$J$18:$J$21, AY6, MATCH_INPUT!$K$18:$K$21, "Draw"),
0)</f>
        <v>1</v>
      </c>
      <c r="BE6" s="22">
        <f>IF(AY6&lt;&gt;"",
    COUNTIFS(MATCH_INPUT!$F$18:$F$21, AY6, MATCH_INPUT!$K$18:$K$21, "&lt;&gt;"&amp;AY6, MATCH_INPUT!$K$18:$K$21, "&lt;&gt;Draw", MATCH_INPUT!$K$18:$K$21, "&lt;&gt;""") +
    COUNTIFS(MATCH_INPUT!$J$18:$J$21, AY6, MATCH_INPUT!$K$18:$K$21, "&lt;&gt;"&amp;AY6, MATCH_INPUT!$K$18:$K$21, "&lt;&gt;Draw", MATCH_INPUT!$K$18:$K$21, "&lt;&gt;"""),
0)</f>
        <v>0</v>
      </c>
      <c r="BF6" s="23">
        <f t="array" ref="BF6">IFERROR(
  INDEX(PLAYER_STAT!E$2:E64, 
    MATCH(1, 
      (PLAYER_STAT!A$2:A64 = MATCH_DATES!$A$6) * (PLAYER_STAT!D$2:D64 = $B6), 
    0)
  ), 
  ""
)
</f>
        <v>2</v>
      </c>
      <c r="BG6" s="23">
        <f t="array" ref="BG6">IFERROR(
  INDEX(PLAYER_STAT!F$2:F64, 
    MATCH(1, 
      (PLAYER_STAT!A$2:A64 = MATCH_DATES!$A$6) * (PLAYER_STAT!D$2:D64 = $B6), 
    0)
  ), 
  ""
)
</f>
        <v>0</v>
      </c>
      <c r="BH6" s="34">
        <f t="array" ref="BH6">IFERROR(
  INDEX(PLAYER_STAT!G$2:G64, 
    MATCH(1, 
      (PLAYER_STAT!A$2:A64 = MATCH_DATES!$A$6) * (PLAYER_STAT!D$2:D64 = $B6), 
    0)
  ), 
  ""
)
</f>
        <v>0</v>
      </c>
      <c r="BI6" s="25">
        <f t="shared" si="26"/>
        <v>7</v>
      </c>
      <c r="BJ6" s="26" t="str">
        <f t="shared" si="27"/>
        <v>↑</v>
      </c>
      <c r="BK6" s="27" t="s">
        <v>212</v>
      </c>
      <c r="BL6" s="28">
        <f t="shared" si="28"/>
        <v>30</v>
      </c>
      <c r="BM6" s="28">
        <f t="shared" si="29"/>
        <v>2</v>
      </c>
      <c r="BN6" s="28">
        <f>SUM(BO6*2) + (BP6*1) + SUMIFS(MATCH_INPUT!$G$22:$G$25, MATCH_INPUT!$F$22:$F$25, BK6) + SUMIFS(MATCH_INPUT!$I$22:$I$25, MATCH_INPUT!$J$22:$J$25, BK6)
</f>
        <v>0</v>
      </c>
      <c r="BO6" s="28">
        <f>IF(BK6&lt;&gt;"",
    COUNTIFS(MATCH_INPUT!$K$22:$K$25,BK6),
0)</f>
        <v>0</v>
      </c>
      <c r="BP6" s="28">
        <f>IF(BK6&lt;&gt;"",
    COUNTIFS(MATCH_INPUT!$F$22:$F$25, BK6, MATCH_INPUT!$K$22:$K$25, "Draw") +
    COUNTIFS(MATCH_INPUT!$J$22:$J$25, BK6, MATCH_INPUT!$K$22:$K$25, "Draw"),
0)</f>
        <v>0</v>
      </c>
      <c r="BQ6" s="28">
        <f>IF(BK6&lt;&gt;"",
    COUNTIFS(MATCH_INPUT!$F$22:$F$25, BK6, MATCH_INPUT!$K$22:$K$25, "&lt;&gt;"&amp;BK6, MATCH_INPUT!$K$22:$K$25, "&lt;&gt;Draw", MATCH_INPUT!$K$22:$K$25, "&lt;&gt;""") +
    COUNTIFS(MATCH_INPUT!$J$22:$J$25, BK6, MATCH_INPUT!$K$22:$K$25, "&lt;&gt;"&amp;BK6, MATCH_INPUT!$K$22:$K$25, "&lt;&gt;Draw", MATCH_INPUT!$K$22:$K$25, "&lt;&gt;"""),
0)</f>
        <v>2</v>
      </c>
      <c r="BR6" s="29" t="str">
        <f t="array" ref="BR6">IFERROR(
  INDEX(PLAYER_STAT!E$2:E64, 
    MATCH(1, 
      (PLAYER_STAT!A$2:A64 = MATCH_DATES!$A$7) * (PLAYER_STAT!D$2:D64 = $B6), 
    0)
  ), 
  ""
)
</f>
        <v/>
      </c>
      <c r="BS6" s="29" t="str">
        <f t="array" ref="BS6">IFERROR(
  INDEX(PLAYER_STAT!F$2:F64, 
    MATCH(1, 
      (PLAYER_STAT!A$2:A64 = MATCH_DATES!$A$7) * (PLAYER_STAT!D$2:D64 = $B6), 
    0)
  ), 
  ""
)
</f>
        <v/>
      </c>
      <c r="BT6" s="30" t="str">
        <f t="array" ref="BT6">IFERROR(
  INDEX(PLAYER_STAT!G$2:G64, 
    MATCH(1, 
      (PLAYER_STAT!A$2:A64 = MATCH_DATES!$A$7) * (PLAYER_STAT!D$2:D64 = $B6), 
    0)
  ), 
  ""
)
</f>
        <v/>
      </c>
      <c r="BU6" s="31">
        <f t="shared" si="30"/>
        <v>17</v>
      </c>
      <c r="BV6" s="32" t="str">
        <f t="shared" si="31"/>
        <v>↓</v>
      </c>
      <c r="BW6" s="21" t="s">
        <v>214</v>
      </c>
      <c r="BX6" s="33">
        <f t="shared" si="32"/>
        <v>33</v>
      </c>
      <c r="BY6" s="22">
        <f t="shared" si="33"/>
        <v>2</v>
      </c>
      <c r="BZ6" s="22">
        <f>SUM(CA6*2)+(CB6*1) + SUMIFS(MATCH_INPUT!$G$26:$G$29, MATCH_INPUT!$F$26:$F$29, BW6) + SUMIFS(MATCH_INPUT!$I$26:$I$29, MATCH_INPUT!$J$26:$J$29, BW6)
</f>
        <v>1</v>
      </c>
      <c r="CA6" s="22">
        <f>IF(BW6&lt;&gt;"",
    COUNTIFS(MATCH_INPUT!$K$26:$K$29,BW6),
0)</f>
        <v>0</v>
      </c>
      <c r="CB6" s="22">
        <f>IF(BW6&lt;&gt;"",
    COUNTIFS(MATCH_INPUT!$F$26:$F$29, BW6, MATCH_INPUT!$K$26:$K$29, "Draw") +
    COUNTIFS(MATCH_INPUT!$J$26:$J$29, BW6, MATCH_INPUT!$K$26:$K$29, "Draw"),
0)</f>
        <v>0</v>
      </c>
      <c r="CC6" s="22">
        <f>IF(BW6&lt;&gt;"",
    COUNTIFS(MATCH_INPUT!$F$26:$F$29, BW6, MATCH_INPUT!$K$26:$K$29, "&lt;&gt;"&amp;BW6, MATCH_INPUT!$K$26:$K$29, "&lt;&gt;Draw", MATCH_INPUT!$K$26:$K$29, "&lt;&gt;""") +
    COUNTIFS(MATCH_INPUT!$J$26:$J$29, BW6, MATCH_INPUT!$K$26:$K$29, "&lt;&gt;"&amp;BW6, MATCH_INPUT!$K$26:$K$29, "&lt;&gt;Draw", MATCH_INPUT!$K$26:$K$29, "&lt;&gt;"""),
0)</f>
        <v>2</v>
      </c>
      <c r="CD6" s="23" t="str">
        <f t="array" ref="CD6">IFERROR(
  INDEX(PLAYER_STAT!E$2:E64, 
    MATCH(1, 
      (PLAYER_STAT!A$2:A64 = MATCH_DATES!$A$8) * (PLAYER_STAT!D$2:D64 = $B6), 
    0)
  ), 
  ""
)
</f>
        <v/>
      </c>
      <c r="CE6" s="23" t="str">
        <f t="array" ref="CE6">IFERROR(
  INDEX(PLAYER_STAT!F$2:F64, 
    MATCH(1, 
      (PLAYER_STAT!A$2:A64 = MATCH_DATES!$A$8) * (PLAYER_STAT!D$2:D64 = $B6), 
    0)
  ), 
  ""
)
</f>
        <v/>
      </c>
      <c r="CF6" s="34" t="str">
        <f t="array" ref="CF6">IFERROR(
  INDEX(PLAYER_STAT!G$2:G64, 
    MATCH(1, 
      (PLAYER_STAT!A$2:A64 = MATCH_DATES!$A$8) * (PLAYER_STAT!D$2:D64 = $B6), 
    0)
  ), 
  ""
)
</f>
        <v/>
      </c>
      <c r="CG6" s="25">
        <f t="shared" si="34"/>
        <v>23</v>
      </c>
      <c r="CH6" s="26" t="str">
        <f t="shared" si="35"/>
        <v>↓</v>
      </c>
      <c r="CI6" s="27" t="s">
        <v>213</v>
      </c>
      <c r="CJ6" s="28">
        <f t="shared" si="36"/>
        <v>43</v>
      </c>
      <c r="CK6" s="28">
        <f t="shared" si="37"/>
        <v>2</v>
      </c>
      <c r="CL6" s="28">
        <f>SUM(CM6*2)+(CN6*1) + SUMIFS(MATCH_INPUT!$G$30:$G$33, MATCH_INPUT!$F$30:$F$33, CI6) + SUMIFS(MATCH_INPUT!$I$30:$I$33, MATCH_INPUT!$J$30:$J$33, CI6)
</f>
        <v>8</v>
      </c>
      <c r="CM6" s="28">
        <f>IF(CI6&lt;&gt;"",
    COUNTIFS(MATCH_INPUT!$K$30:$K$33,CI6),
0)</f>
        <v>1</v>
      </c>
      <c r="CN6" s="28">
        <f>IF(CI6&lt;&gt;"",
    COUNTIFS(MATCH_INPUT!$F$30:$F$33, CI6, MATCH_INPUT!$K$30:$K$33, "Draw") +
    COUNTIFS(MATCH_INPUT!$J$30:$J$33, CI6, MATCH_INPUT!$K$30:$K$33, "Draw"),
0)</f>
        <v>0</v>
      </c>
      <c r="CO6" s="28">
        <f>IF(CI6&lt;&gt;"",
    COUNTIFS(MATCH_INPUT!$F$30:$F$33, CI6, MATCH_INPUT!$K$30:$K$33, "&lt;&gt;"&amp;CI6, MATCH_INPUT!$K$30:$K$33, "&lt;&gt;Draw", MATCH_INPUT!$K$30:$K$33, "&lt;&gt;""") +
    COUNTIFS(MATCH_INPUT!$J$30:$J$33, CI6, MATCH_INPUT!$K$30:$K$33, "&lt;&gt;"&amp;CI6, MATCH_INPUT!$K$30:$K$33, "&lt;&gt;Draw", MATCH_INPUT!$K$30:$K$33, "&lt;&gt;"""),
0)</f>
        <v>1</v>
      </c>
      <c r="CP6" s="29" t="str">
        <f t="array" ref="CP6">IFERROR(
  INDEX(PLAYER_STAT!E$2:E64, 
    MATCH(1, 
      (PLAYER_STAT!A$2:A64 = MATCH_DATES!$A$9) * (PLAYER_STAT!D$2:D64 = $B6), 
    0)
  ), 
  ""
)
</f>
        <v/>
      </c>
      <c r="CQ6" s="29" t="str">
        <f t="array" ref="CQ6">IFERROR(
  INDEX(PLAYER_STAT!F$2:F64, 
    MATCH(1, 
      (PLAYER_STAT!A$2:A64 = MATCH_DATES!$A$9) * (PLAYER_STAT!D$2:D64 = $B6), 
    0)
  ), 
  ""
)
</f>
        <v/>
      </c>
      <c r="CR6" s="29" t="str">
        <f t="array" ref="CR6">IFERROR(
  INDEX(PLAYER_STAT!G$2:G64, 
    MATCH(1, 
      (PLAYER_STAT!A$2:A64 = MATCH_DATES!$A$9) * (PLAYER_STAT!D$2:D64 = $B6), 
    0)
  ), 
  ""
)
</f>
        <v/>
      </c>
      <c r="CS6" s="35">
        <f t="shared" si="38"/>
        <v>21</v>
      </c>
      <c r="CT6" s="35" t="str">
        <f t="shared" si="39"/>
        <v>↑</v>
      </c>
      <c r="CU6" s="36">
        <f t="shared" si="40"/>
        <v>27</v>
      </c>
      <c r="CV6" s="36" t="str">
        <f t="shared" ref="CV6:CW6" si="49">A6</f>
        <v>🍂🎃</v>
      </c>
      <c r="CW6" s="37" t="str">
        <f t="shared" si="49"/>
        <v>Chato</v>
      </c>
      <c r="CX6" s="37">
        <f t="shared" si="42"/>
        <v>43</v>
      </c>
      <c r="CY6" s="36">
        <f>SUM(
  IF(AND(MATCH_DATES!$A$2 &lt;= TODAY(), NOW() &gt;= MATCH_DATES!$A$2 + TIME(22, 0, 0)), E6, 0),
  IF(AND(MATCH_DATES!$A$3 &lt;= TODAY(), NOW() &gt;= MATCH_DATES!$A$3 + TIME(22, 0, 0)), Q6, 0),
  IF(AND(MATCH_DATES!$A$4 &lt;= TODAY(), NOW() &gt;= MATCH_DATES!$A$4 + TIME(22, 0, 0)), AC6, 0),
  IF(AND(MATCH_DATES!$A$5 &lt;= TODAY(), NOW() &gt;= MATCH_DATES!$A$5 + TIME(22, 0, 0)), AO6, 0),
  IF(AND(MATCH_DATES!$A$6 &lt;= TODAY(), NOW() &gt;= MATCH_DATES!$A$6 + TIME(22, 0, 0)), BA6, 0),
  IF(AND(MATCH_DATES!$A$7 &lt;= TODAY(), NOW() &gt;= MATCH_DATES!$A$7 + TIME(22, 0, 0)), BM6, 0),
  IF(AND(MATCH_DATES!$A$8 &lt;= TODAY(), NOW() &gt;= MATCH_DATES!$A$8 + TIME(22, 0, 0)), BY6, 0),
  IF(AND(MATCH_DATES!$A$9 &lt;= TODAY(), NOW() &gt;= MATCH_DATES!$A$9 + TIME(22, 0, 0)), CK6, 0)
)
</f>
        <v>16</v>
      </c>
      <c r="CZ6" s="37">
        <f t="shared" ref="CZ6:DA6" si="50">SUM(G6,S6,AE6,AQ6,BC6,BO6,CA6,CM6)</f>
        <v>6</v>
      </c>
      <c r="DA6" s="37">
        <f t="shared" si="50"/>
        <v>2</v>
      </c>
      <c r="DB6" s="37">
        <f>SUM(
  IF(AND(MATCH_DATES!$A$2 &lt;= TODAY(), NOW() &gt;= MATCH_DATES!$A$2 + TIME(22, 0, 0)), I6, 0),
  IF(AND(MATCH_DATES!$A$3 &lt;= TODAY(), NOW() &gt;= MATCH_DATES!$A$3 + TIME(22, 0, 0)), U6, 0),
  IF(AND(MATCH_DATES!$A$4 &lt;= TODAY(), NOW() &gt;= MATCH_DATES!$A$4 + TIME(22, 0, 0)), AG6, 0),
  IF(AND(MATCH_DATES!$A$5 &lt;= TODAY(), NOW() &gt;= MATCH_DATES!$A$5 + TIME(22, 0, 0)), AS6, 0),
  IF(AND(MATCH_DATES!$A$6 &lt;= TODAY(), NOW() &gt;= MATCH_DATES!$A$6 + TIME(22, 0, 0)), BE6, 0),
  IF(AND(MATCH_DATES!$A$7 &lt;= TODAY(), NOW() &gt;= MATCH_DATES!$A$7 + TIME(22, 0, 0)), BQ6, 0),
  IF(AND(MATCH_DATES!$A$8 &lt;= TODAY(), NOW() &gt;= MATCH_DATES!$A$8 + TIME(22, 0, 0)), CC6, 0),
  IF(AND(MATCH_DATES!$A$9 &lt;= TODAY(), NOW() &gt;= MATCH_DATES!$A$9 + TIME(22, 0, 0)), CO6, 0)
)</f>
        <v>8</v>
      </c>
      <c r="DC6" s="37">
        <f t="shared" si="44"/>
        <v>5</v>
      </c>
      <c r="DD6" s="37">
        <f t="shared" ref="DD6:DE6" si="51">SUM(K6,W6,AI6,AU6,BG6,BS6,CE6,CQ6)</f>
        <v>0</v>
      </c>
      <c r="DE6" s="37">
        <f t="shared" si="51"/>
        <v>0</v>
      </c>
    </row>
    <row r="7" ht="24.75" customHeight="1">
      <c r="A7" s="19" t="s">
        <v>210</v>
      </c>
      <c r="B7" s="38" t="s">
        <v>218</v>
      </c>
      <c r="C7" s="21"/>
      <c r="D7" s="22">
        <f t="shared" si="4"/>
        <v>0</v>
      </c>
      <c r="E7" s="22">
        <f t="shared" si="5"/>
        <v>0</v>
      </c>
      <c r="F7" s="22">
        <f t="shared" si="6"/>
        <v>0</v>
      </c>
      <c r="G7" s="22">
        <f>IF(C7&lt;&gt;"",
    COUNTIFS(MATCH_INPUT!$K$2:$K$5,C7),
0)</f>
        <v>0</v>
      </c>
      <c r="H7" s="22">
        <f>IF(C7&lt;&gt;"",
    COUNTIFS(MATCH_INPUT!$F$2:$F$5, C7, MATCH_INPUT!$K$2:$K$5, "Draw") +
    COUNTIFS(MATCH_INPUT!$J$2:$J$5, C7, MATCH_INPUT!$K$2:$K$5, "Draw"),
0)</f>
        <v>0</v>
      </c>
      <c r="I7" s="22">
        <f>IF(C7&lt;&gt;"",
    COUNTIFS(MATCH_INPUT!$F$2:$F$5, C7, MATCH_INPUT!$K$2:$K$5, "&lt;&gt;"&amp;C7, MATCH_INPUT!$K$2:$K$5, "&lt;&gt;Draw", MATCH_INPUT!$K$2:$K$5, "&lt;&gt;""") +
    COUNTIFS(MATCH_INPUT!$J$2:$J$5, C7, MATCH_INPUT!$K$2:$K$5, "&lt;&gt;"&amp;C7, MATCH_INPUT!$K$2:$K$5, "&lt;&gt;Draw", MATCH_INPUT!$K$2:$K$5, "&lt;&gt;"""),
0)</f>
        <v>0</v>
      </c>
      <c r="J7" s="23" t="str">
        <f t="array" ref="J7">IFERROR(
  INDEX(PLAYER_STAT!E$2:E64, 
    MATCH(1, 
      (PLAYER_STAT!A$2:A64 = MATCH_DATES!$A$2) * (PLAYER_STAT!D$2:D64 = $B7), 
    0)
  ), 
  ""
)
</f>
        <v/>
      </c>
      <c r="K7" s="23" t="str">
        <f t="array" ref="K7">IFERROR(
  INDEX(PLAYER_STAT!F$2:F64, 
    MATCH(1, 
      (PLAYER_STAT!A$2:A64 = MATCH_DATES!$A$2) * (PLAYER_STAT!D$2:D64 = $B7), 
    0)
  ), 
  ""
)
</f>
        <v/>
      </c>
      <c r="L7" s="24" t="str">
        <f t="array" ref="L7">IFERROR(
  INDEX(PLAYER_STAT!G$2:G64, 
    MATCH(1, 
      (PLAYER_STAT!A$2:A64 = MATCH_DATES!$A$2) * (PLAYER_STAT!D$2:D64 = $B7), 
    0)
  ), 
  ""
)
</f>
        <v/>
      </c>
      <c r="M7" s="25">
        <f t="shared" si="7"/>
        <v>33</v>
      </c>
      <c r="N7" s="26" t="str">
        <f t="shared" si="8"/>
        <v>↓</v>
      </c>
      <c r="O7" s="27" t="s">
        <v>212</v>
      </c>
      <c r="P7" s="28">
        <f t="shared" si="9"/>
        <v>3</v>
      </c>
      <c r="Q7" s="28">
        <f t="shared" si="10"/>
        <v>2</v>
      </c>
      <c r="R7" s="28">
        <f t="shared" si="11"/>
        <v>1</v>
      </c>
      <c r="S7" s="28">
        <f>IF(O7&lt;&gt;"",
    COUNTIFS(MATCH_INPUT!$K$6:$K$9,O7),
0)</f>
        <v>0</v>
      </c>
      <c r="T7" s="28">
        <f>IF(O7&lt;&gt;"",
    COUNTIFS(MATCH_INPUT!$F$6:$F$9, O7, MATCH_INPUT!$K$6:$K$9, "Draw") +
    COUNTIFS(MATCH_INPUT!$J$6:$J$9, O7, MATCH_INPUT!$K$6:$K$9, "Draw"),
0)</f>
        <v>1</v>
      </c>
      <c r="U7" s="28">
        <f>IF(O7&lt;&gt;"",
    COUNTIFS(MATCH_INPUT!$F$6:$F$9, O7, MATCH_INPUT!$K$6:$K$9, "&lt;&gt;"&amp;O7, MATCH_INPUT!$K$6:$K$9, "&lt;&gt;Draw", MATCH_INPUT!$K$6:$K$9, "&lt;&gt;""") +
    COUNTIFS(MATCH_INPUT!$J$6:$J$9, O7, MATCH_INPUT!$K$6:$K$9, "&lt;&gt;"&amp;O7, MATCH_INPUT!$K$6:$K$9, "&lt;&gt;Draw", MATCH_INPUT!$K$6:$K$9, "&lt;&gt;"""),
0)</f>
        <v>1</v>
      </c>
      <c r="V7" s="29" t="str">
        <f t="array" ref="V7">IFERROR(
  INDEX(PLAYER_STAT!E$2:E64, 
    MATCH(1, 
      (PLAYER_STAT!A$2:A64 = MATCH_DATES!$A$3) * (PLAYER_STAT!D$2:D64 = $B7), 
    0)
  ), 
  ""
)
</f>
        <v/>
      </c>
      <c r="W7" s="29" t="str">
        <f t="array" ref="W7">IFERROR(
  INDEX(PLAYER_STAT!F$2:F64, 
    MATCH(1, 
      (PLAYER_STAT!A$2:A64 = MATCH_DATES!$A$3) * (PLAYER_STAT!D$2:D64 = $B7), 
    0)
  ), 
  ""
)
</f>
        <v/>
      </c>
      <c r="X7" s="30" t="str">
        <f t="array" ref="X7">IFERROR(
  INDEX(PLAYER_STAT!G$2:G64, 
    MATCH(1, 
      (PLAYER_STAT!A$2:A64 = MATCH_DATES!$A$3) * (PLAYER_STAT!D$2:D64 = $B7), 
    0)
  ), 
  ""
)
</f>
        <v/>
      </c>
      <c r="Y7" s="31">
        <f t="shared" si="12"/>
        <v>34</v>
      </c>
      <c r="Z7" s="32" t="str">
        <f t="shared" si="13"/>
        <v>↓</v>
      </c>
      <c r="AA7" s="21"/>
      <c r="AB7" s="33">
        <f t="shared" si="14"/>
        <v>3</v>
      </c>
      <c r="AC7" s="22">
        <f t="shared" si="15"/>
        <v>0</v>
      </c>
      <c r="AD7" s="22">
        <f t="shared" si="16"/>
        <v>0</v>
      </c>
      <c r="AE7" s="22">
        <f>IF(AA7&lt;&gt;"",
    COUNTIFS(MATCH_INPUT!$K$10:$K$13,AA7),
0)</f>
        <v>0</v>
      </c>
      <c r="AF7" s="22">
        <f>IF(AA7&lt;&gt;"",
    COUNTIFS(MATCH_INPUT!$F$10:$F$13, AA7, MATCH_INPUT!$K$10:$K$13, "Draw") +
    COUNTIFS(MATCH_INPUT!$J$10:$J$13, AA7, MATCH_INPUT!$K$10:$K$13, "Draw"),
0)</f>
        <v>0</v>
      </c>
      <c r="AG7" s="22">
        <f>IF(AA7&lt;&gt;"",
    COUNTIFS(MATCH_INPUT!$F$10:$F$13, AA7, MATCH_INPUT!$K$10:$K$13, "&lt;&gt;"&amp;AA7, MATCH_INPUT!$K$10:$K$13, "&lt;&gt;Draw", MATCH_INPUT!$K$10:$K$13, "&lt;&gt;""") +
    COUNTIFS(MATCH_INPUT!$J$10:$J$13, AA7, MATCH_INPUT!$K$10:$K$13, "&lt;&gt;"&amp;AA7, MATCH_INPUT!$K$10:$K$13, "&lt;&gt;Draw", MATCH_INPUT!$K$10:$K$13, "&lt;&gt;"""),
0)</f>
        <v>0</v>
      </c>
      <c r="AH7" s="23" t="str">
        <f t="array" ref="AH7">IFERROR(
  INDEX(PLAYER_STAT!E$2:E64, 
    MATCH(1, 
      (PLAYER_STAT!A$2:A64 = MATCH_DATES!$A$4) * (PLAYER_STAT!D$2:D64 = $B7), 
    0)
  ), 
  ""
)
</f>
        <v/>
      </c>
      <c r="AI7" s="23" t="str">
        <f t="array" ref="AI7">IFERROR(
  INDEX(PLAYER_STAT!F$2:F64, 
    MATCH(1, 
      (PLAYER_STAT!A$2:A64 = MATCH_DATES!$A$4) * (PLAYER_STAT!D$2:D64 = $B7), 
    0)
  ), 
  ""
)
</f>
        <v/>
      </c>
      <c r="AJ7" s="34" t="str">
        <f t="array" ref="AJ7">IFERROR(
  INDEX(PLAYER_STAT!G$2:G64, 
    MATCH(1, 
      (PLAYER_STAT!A$2:A64 = MATCH_DATES!$A$4) * (PLAYER_STAT!D$2:D64 = $B7), 
    0)
  ), 
  ""
)
</f>
        <v/>
      </c>
      <c r="AK7" s="25">
        <f t="shared" si="17"/>
        <v>36</v>
      </c>
      <c r="AL7" s="26" t="str">
        <f t="shared" si="18"/>
        <v>↓</v>
      </c>
      <c r="AM7" s="27"/>
      <c r="AN7" s="28">
        <f t="shared" si="19"/>
        <v>3</v>
      </c>
      <c r="AO7" s="28">
        <f t="shared" si="20"/>
        <v>0</v>
      </c>
      <c r="AP7" s="28">
        <f t="shared" si="21"/>
        <v>0</v>
      </c>
      <c r="AQ7" s="28">
        <f>IF(AM7&lt;&gt;"",
    COUNTIFS(MATCH_INPUT!$K$14:$K$17,AM7),
0)</f>
        <v>0</v>
      </c>
      <c r="AR7" s="28">
        <f>IF(AM7&lt;&gt;"",
    COUNTIFS(MATCH_INPUT!$F$14:$F$17, AM7, MATCH_INPUT!$K$14:$K$17, "Draw") +
    COUNTIFS(MATCH_INPUT!$J$14:$J$17, AM7, MATCH_INPUT!$K$14:$K$17, "Draw"),
0)</f>
        <v>0</v>
      </c>
      <c r="AS7" s="28">
        <f>IF(AM7&lt;&gt;"",
    COUNTIFS(MATCH_INPUT!$F$14:$F$17, AM7, MATCH_INPUT!$K$14:$K$17, "&lt;&gt;"&amp;AM7, MATCH_INPUT!$K$14:$K$17, "&lt;&gt;Draw", MATCH_INPUT!$K$14:$K$17, "&lt;&gt;""") +
    COUNTIFS(MATCH_INPUT!$J$14:$J$17, AM7, MATCH_INPUT!$K$14:$K$17, "&lt;&gt;"&amp;AM7, MATCH_INPUT!$K$14:$K$17, "&lt;&gt;Draw", MATCH_INPUT!$K$14:$K$17, "&lt;&gt;"""),
0)</f>
        <v>0</v>
      </c>
      <c r="AT7" s="29" t="str">
        <f t="array" ref="AT7">IFERROR(
  INDEX(PLAYER_STAT!E$2:E64, 
    MATCH(1, 
      (PLAYER_STAT!A$2:A64 = MATCH_DATES!$A$5) * (PLAYER_STAT!D$2:D64 = $B7), 
    0)
  ), 
  ""
)
</f>
        <v/>
      </c>
      <c r="AU7" s="29" t="str">
        <f t="array" ref="AU7">IFERROR(
  INDEX(PLAYER_STAT!F$2:F64, 
    MATCH(1, 
      (PLAYER_STAT!A$2:A64 = MATCH_DATES!$A$5) * (PLAYER_STAT!D$2:D64 = $B7), 
    0)
  ), 
  ""
)
</f>
        <v/>
      </c>
      <c r="AV7" s="30" t="str">
        <f t="array" ref="AV7">IFERROR(
  INDEX(PLAYER_STAT!G$2:G64, 
    MATCH(1, 
      (PLAYER_STAT!A$2:A64 = MATCH_DATES!$A$5) * (PLAYER_STAT!D$2:D64 = $B7), 
    0)
  ), 
  ""
)
</f>
        <v/>
      </c>
      <c r="AW7" s="31">
        <f t="shared" si="22"/>
        <v>36</v>
      </c>
      <c r="AX7" s="32" t="str">
        <f t="shared" si="23"/>
        <v>=</v>
      </c>
      <c r="AY7" s="21" t="s">
        <v>215</v>
      </c>
      <c r="AZ7" s="33">
        <f t="shared" si="24"/>
        <v>7</v>
      </c>
      <c r="BA7" s="22">
        <f t="shared" si="25"/>
        <v>2</v>
      </c>
      <c r="BB7" s="22">
        <f>SUM(BC7*2) + (BD7*1) + SUMIFS(MATCH_INPUT!$G$18:$G$21, MATCH_INPUT!$F$18:$F$21, AY7) + SUMIFS(MATCH_INPUT!$I$18:$I$21, MATCH_INPUT!$J$18:$J$21, AY7)
</f>
        <v>1</v>
      </c>
      <c r="BC7" s="22">
        <f>IF(AY7&lt;&gt;"",
    COUNTIFS(MATCH_INPUT!$K$18:$K$21,AY7),
0)</f>
        <v>0</v>
      </c>
      <c r="BD7" s="22">
        <f>IF(AY7&lt;&gt;"",
    COUNTIFS(MATCH_INPUT!$F$18:$F$21, AY7, MATCH_INPUT!$K$18:$K$21, "Draw") +
    COUNTIFS(MATCH_INPUT!$J$18:$J$21, AY7, MATCH_INPUT!$K$18:$K$21, "Draw"),
0)</f>
        <v>0</v>
      </c>
      <c r="BE7" s="22">
        <f>IF(AY7&lt;&gt;"",
    COUNTIFS(MATCH_INPUT!$F$18:$F$21, AY7, MATCH_INPUT!$K$18:$K$21, "&lt;&gt;"&amp;AY7, MATCH_INPUT!$K$18:$K$21, "&lt;&gt;Draw", MATCH_INPUT!$K$18:$K$21, "&lt;&gt;""") +
    COUNTIFS(MATCH_INPUT!$J$18:$J$21, AY7, MATCH_INPUT!$K$18:$K$21, "&lt;&gt;"&amp;AY7, MATCH_INPUT!$K$18:$K$21, "&lt;&gt;Draw", MATCH_INPUT!$K$18:$K$21, "&lt;&gt;"""),
0)</f>
        <v>2</v>
      </c>
      <c r="BF7" s="23">
        <f t="array" ref="BF7">IFERROR(
  INDEX(PLAYER_STAT!E$2:E64, 
    MATCH(1, 
      (PLAYER_STAT!A$2:A64 = MATCH_DATES!$A$6) * (PLAYER_STAT!D$2:D64 = $B7), 
    0)
  ), 
  ""
)
</f>
        <v>0</v>
      </c>
      <c r="BG7" s="23">
        <f t="array" ref="BG7">IFERROR(
  INDEX(PLAYER_STAT!F$2:F64, 
    MATCH(1, 
      (PLAYER_STAT!A$2:A64 = MATCH_DATES!$A$6) * (PLAYER_STAT!D$2:D64 = $B7), 
    0)
  ), 
  ""
)
</f>
        <v>1</v>
      </c>
      <c r="BH7" s="34">
        <f t="array" ref="BH7">IFERROR(
  INDEX(PLAYER_STAT!G$2:G64, 
    MATCH(1, 
      (PLAYER_STAT!A$2:A64 = MATCH_DATES!$A$6) * (PLAYER_STAT!D$2:D64 = $B7), 
    0)
  ), 
  ""
)
</f>
        <v>0</v>
      </c>
      <c r="BI7" s="25">
        <f t="shared" si="26"/>
        <v>36</v>
      </c>
      <c r="BJ7" s="26" t="str">
        <f t="shared" si="27"/>
        <v>=</v>
      </c>
      <c r="BK7" s="27" t="s">
        <v>213</v>
      </c>
      <c r="BL7" s="28">
        <f t="shared" si="28"/>
        <v>11</v>
      </c>
      <c r="BM7" s="28">
        <f t="shared" si="29"/>
        <v>2</v>
      </c>
      <c r="BN7" s="28">
        <f>SUM(BO7*2) + (BP7*1) + SUMIFS(MATCH_INPUT!$G$22:$G$25, MATCH_INPUT!$F$22:$F$25, BK7) + SUMIFS(MATCH_INPUT!$I$22:$I$25, MATCH_INPUT!$J$22:$J$25, BK7)
</f>
        <v>2</v>
      </c>
      <c r="BO7" s="28">
        <f>IF(BK7&lt;&gt;"",
    COUNTIFS(MATCH_INPUT!$K$22:$K$25,BK7),
0)</f>
        <v>0</v>
      </c>
      <c r="BP7" s="28">
        <f>IF(BK7&lt;&gt;"",
    COUNTIFS(MATCH_INPUT!$F$22:$F$25, BK7, MATCH_INPUT!$K$22:$K$25, "Draw") +
    COUNTIFS(MATCH_INPUT!$J$22:$J$25, BK7, MATCH_INPUT!$K$22:$K$25, "Draw"),
0)</f>
        <v>1</v>
      </c>
      <c r="BQ7" s="28">
        <f>IF(BK7&lt;&gt;"",
    COUNTIFS(MATCH_INPUT!$F$22:$F$25, BK7, MATCH_INPUT!$K$22:$K$25, "&lt;&gt;"&amp;BK7, MATCH_INPUT!$K$22:$K$25, "&lt;&gt;Draw", MATCH_INPUT!$K$22:$K$25, "&lt;&gt;""") +
    COUNTIFS(MATCH_INPUT!$J$22:$J$25, BK7, MATCH_INPUT!$K$22:$K$25, "&lt;&gt;"&amp;BK7, MATCH_INPUT!$K$22:$K$25, "&lt;&gt;Draw", MATCH_INPUT!$K$22:$K$25, "&lt;&gt;"""),
0)</f>
        <v>1</v>
      </c>
      <c r="BR7" s="29" t="str">
        <f t="array" ref="BR7">IFERROR(
  INDEX(PLAYER_STAT!E$2:E64, 
    MATCH(1, 
      (PLAYER_STAT!A$2:A64 = MATCH_DATES!$A$7) * (PLAYER_STAT!D$2:D64 = $B7), 
    0)
  ), 
  ""
)
</f>
        <v/>
      </c>
      <c r="BS7" s="29" t="str">
        <f t="array" ref="BS7">IFERROR(
  INDEX(PLAYER_STAT!F$2:F64, 
    MATCH(1, 
      (PLAYER_STAT!A$2:A64 = MATCH_DATES!$A$7) * (PLAYER_STAT!D$2:D64 = $B7), 
    0)
  ), 
  ""
)
</f>
        <v/>
      </c>
      <c r="BT7" s="30" t="str">
        <f t="array" ref="BT7">IFERROR(
  INDEX(PLAYER_STAT!G$2:G64, 
    MATCH(1, 
      (PLAYER_STAT!A$2:A64 = MATCH_DATES!$A$7) * (PLAYER_STAT!D$2:D64 = $B7), 
    0)
  ), 
  ""
)
</f>
        <v/>
      </c>
      <c r="BU7" s="31">
        <f t="shared" si="30"/>
        <v>36</v>
      </c>
      <c r="BV7" s="32" t="str">
        <f t="shared" si="31"/>
        <v>=</v>
      </c>
      <c r="BW7" s="21" t="s">
        <v>213</v>
      </c>
      <c r="BX7" s="33">
        <f t="shared" si="32"/>
        <v>28</v>
      </c>
      <c r="BY7" s="22">
        <f t="shared" si="33"/>
        <v>2</v>
      </c>
      <c r="BZ7" s="22">
        <f>SUM(CA7*2)+(CB7*1) + SUMIFS(MATCH_INPUT!$G$26:$G$29, MATCH_INPUT!$F$26:$F$29, BW7) + SUMIFS(MATCH_INPUT!$I$26:$I$29, MATCH_INPUT!$J$26:$J$29, BW7)
</f>
        <v>14</v>
      </c>
      <c r="CA7" s="22">
        <f>IF(BW7&lt;&gt;"",
    COUNTIFS(MATCH_INPUT!$K$26:$K$29,BW7),
0)</f>
        <v>2</v>
      </c>
      <c r="CB7" s="22">
        <f>IF(BW7&lt;&gt;"",
    COUNTIFS(MATCH_INPUT!$F$26:$F$29, BW7, MATCH_INPUT!$K$26:$K$29, "Draw") +
    COUNTIFS(MATCH_INPUT!$J$26:$J$29, BW7, MATCH_INPUT!$K$26:$K$29, "Draw"),
0)</f>
        <v>0</v>
      </c>
      <c r="CC7" s="22">
        <f>IF(BW7&lt;&gt;"",
    COUNTIFS(MATCH_INPUT!$F$26:$F$29, BW7, MATCH_INPUT!$K$26:$K$29, "&lt;&gt;"&amp;BW7, MATCH_INPUT!$K$26:$K$29, "&lt;&gt;Draw", MATCH_INPUT!$K$26:$K$29, "&lt;&gt;""") +
    COUNTIFS(MATCH_INPUT!$J$26:$J$29, BW7, MATCH_INPUT!$K$26:$K$29, "&lt;&gt;"&amp;BW7, MATCH_INPUT!$K$26:$K$29, "&lt;&gt;Draw", MATCH_INPUT!$K$26:$K$29, "&lt;&gt;"""),
0)</f>
        <v>0</v>
      </c>
      <c r="CD7" s="23">
        <f t="array" ref="CD7">IFERROR(
  INDEX(PLAYER_STAT!E$2:E64, 
    MATCH(1, 
      (PLAYER_STAT!A$2:A64 = MATCH_DATES!$A$8) * (PLAYER_STAT!D$2:D64 = $B7), 
    0)
  ), 
  ""
)
</f>
        <v>0</v>
      </c>
      <c r="CE7" s="23">
        <f t="array" ref="CE7">IFERROR(
  INDEX(PLAYER_STAT!F$2:F64, 
    MATCH(1, 
      (PLAYER_STAT!A$2:A64 = MATCH_DATES!$A$8) * (PLAYER_STAT!D$2:D64 = $B7), 
    0)
  ), 
  ""
)
</f>
        <v>1</v>
      </c>
      <c r="CF7" s="34">
        <f t="array" ref="CF7">IFERROR(
  INDEX(PLAYER_STAT!G$2:G64, 
    MATCH(1, 
      (PLAYER_STAT!A$2:A64 = MATCH_DATES!$A$8) * (PLAYER_STAT!D$2:D64 = $B7), 
    0)
  ), 
  ""
)
</f>
        <v>1</v>
      </c>
      <c r="CG7" s="25">
        <f t="shared" si="34"/>
        <v>27</v>
      </c>
      <c r="CH7" s="26" t="str">
        <f t="shared" si="35"/>
        <v>↑</v>
      </c>
      <c r="CI7" s="27" t="s">
        <v>215</v>
      </c>
      <c r="CJ7" s="28">
        <f t="shared" si="36"/>
        <v>34</v>
      </c>
      <c r="CK7" s="28">
        <f t="shared" si="37"/>
        <v>2</v>
      </c>
      <c r="CL7" s="28">
        <f>SUM(CM7*2)+(CN7*1) + SUMIFS(MATCH_INPUT!$G$30:$G$33, MATCH_INPUT!$F$30:$F$33, CI7) + SUMIFS(MATCH_INPUT!$I$30:$I$33, MATCH_INPUT!$J$30:$J$33, CI7)
</f>
        <v>4</v>
      </c>
      <c r="CM7" s="28">
        <f>IF(CI7&lt;&gt;"",
    COUNTIFS(MATCH_INPUT!$K$30:$K$33,CI7),
0)</f>
        <v>0</v>
      </c>
      <c r="CN7" s="28">
        <f>IF(CI7&lt;&gt;"",
    COUNTIFS(MATCH_INPUT!$F$30:$F$33, CI7, MATCH_INPUT!$K$30:$K$33, "Draw") +
    COUNTIFS(MATCH_INPUT!$J$30:$J$33, CI7, MATCH_INPUT!$K$30:$K$33, "Draw"),
0)</f>
        <v>0</v>
      </c>
      <c r="CO7" s="28">
        <f>IF(CI7&lt;&gt;"",
    COUNTIFS(MATCH_INPUT!$F$30:$F$33, CI7, MATCH_INPUT!$K$30:$K$33, "&lt;&gt;"&amp;CI7, MATCH_INPUT!$K$30:$K$33, "&lt;&gt;Draw", MATCH_INPUT!$K$30:$K$33, "&lt;&gt;""") +
    COUNTIFS(MATCH_INPUT!$J$30:$J$33, CI7, MATCH_INPUT!$K$30:$K$33, "&lt;&gt;"&amp;CI7, MATCH_INPUT!$K$30:$K$33, "&lt;&gt;Draw", MATCH_INPUT!$K$30:$K$33, "&lt;&gt;"""),
0)</f>
        <v>2</v>
      </c>
      <c r="CP7" s="29" t="str">
        <f t="array" ref="CP7">IFERROR(
  INDEX(PLAYER_STAT!E$2:E64, 
    MATCH(1, 
      (PLAYER_STAT!A$2:A64 = MATCH_DATES!$A$9) * (PLAYER_STAT!D$2:D64 = $B7), 
    0)
  ), 
  ""
)
</f>
        <v/>
      </c>
      <c r="CQ7" s="29" t="str">
        <f t="array" ref="CQ7">IFERROR(
  INDEX(PLAYER_STAT!F$2:F64, 
    MATCH(1, 
      (PLAYER_STAT!A$2:A64 = MATCH_DATES!$A$9) * (PLAYER_STAT!D$2:D64 = $B7), 
    0)
  ), 
  ""
)
</f>
        <v/>
      </c>
      <c r="CR7" s="29" t="str">
        <f t="array" ref="CR7">IFERROR(
  INDEX(PLAYER_STAT!G$2:G64, 
    MATCH(1, 
      (PLAYER_STAT!A$2:A64 = MATCH_DATES!$A$9) * (PLAYER_STAT!D$2:D64 = $B7), 
    0)
  ), 
  ""
)
</f>
        <v/>
      </c>
      <c r="CS7" s="35">
        <f t="shared" si="38"/>
        <v>30</v>
      </c>
      <c r="CT7" s="35" t="str">
        <f t="shared" si="39"/>
        <v>↓</v>
      </c>
      <c r="CU7" s="36">
        <f t="shared" si="40"/>
        <v>22</v>
      </c>
      <c r="CV7" s="36" t="str">
        <f t="shared" ref="CV7:CW7" si="52">A7</f>
        <v>🍂🎃</v>
      </c>
      <c r="CW7" s="37" t="str">
        <f t="shared" si="52"/>
        <v>Chavito 👬 Coti</v>
      </c>
      <c r="CX7" s="37">
        <f t="shared" si="42"/>
        <v>34</v>
      </c>
      <c r="CY7" s="36">
        <f>SUM(
  IF(AND(MATCH_DATES!$A$2 &lt;= TODAY(), NOW() &gt;= MATCH_DATES!$A$2 + TIME(22, 0, 0)), E7, 0),
  IF(AND(MATCH_DATES!$A$3 &lt;= TODAY(), NOW() &gt;= MATCH_DATES!$A$3 + TIME(22, 0, 0)), Q7, 0),
  IF(AND(MATCH_DATES!$A$4 &lt;= TODAY(), NOW() &gt;= MATCH_DATES!$A$4 + TIME(22, 0, 0)), AC7, 0),
  IF(AND(MATCH_DATES!$A$5 &lt;= TODAY(), NOW() &gt;= MATCH_DATES!$A$5 + TIME(22, 0, 0)), AO7, 0),
  IF(AND(MATCH_DATES!$A$6 &lt;= TODAY(), NOW() &gt;= MATCH_DATES!$A$6 + TIME(22, 0, 0)), BA7, 0),
  IF(AND(MATCH_DATES!$A$7 &lt;= TODAY(), NOW() &gt;= MATCH_DATES!$A$7 + TIME(22, 0, 0)), BM7, 0),
  IF(AND(MATCH_DATES!$A$8 &lt;= TODAY(), NOW() &gt;= MATCH_DATES!$A$8 + TIME(22, 0, 0)), BY7, 0),
  IF(AND(MATCH_DATES!$A$9 &lt;= TODAY(), NOW() &gt;= MATCH_DATES!$A$9 + TIME(22, 0, 0)), CK7, 0)
)
</f>
        <v>10</v>
      </c>
      <c r="CZ7" s="37">
        <f t="shared" ref="CZ7:DA7" si="53">SUM(G7,S7,AE7,AQ7,BC7,BO7,CA7,CM7)</f>
        <v>2</v>
      </c>
      <c r="DA7" s="37">
        <f t="shared" si="53"/>
        <v>2</v>
      </c>
      <c r="DB7" s="37">
        <f>SUM(
  IF(AND(MATCH_DATES!$A$2 &lt;= TODAY(), NOW() &gt;= MATCH_DATES!$A$2 + TIME(22, 0, 0)), I7, 0),
  IF(AND(MATCH_DATES!$A$3 &lt;= TODAY(), NOW() &gt;= MATCH_DATES!$A$3 + TIME(22, 0, 0)), U7, 0),
  IF(AND(MATCH_DATES!$A$4 &lt;= TODAY(), NOW() &gt;= MATCH_DATES!$A$4 + TIME(22, 0, 0)), AG7, 0),
  IF(AND(MATCH_DATES!$A$5 &lt;= TODAY(), NOW() &gt;= MATCH_DATES!$A$5 + TIME(22, 0, 0)), AS7, 0),
  IF(AND(MATCH_DATES!$A$6 &lt;= TODAY(), NOW() &gt;= MATCH_DATES!$A$6 + TIME(22, 0, 0)), BE7, 0),
  IF(AND(MATCH_DATES!$A$7 &lt;= TODAY(), NOW() &gt;= MATCH_DATES!$A$7 + TIME(22, 0, 0)), BQ7, 0),
  IF(AND(MATCH_DATES!$A$8 &lt;= TODAY(), NOW() &gt;= MATCH_DATES!$A$8 + TIME(22, 0, 0)), CC7, 0),
  IF(AND(MATCH_DATES!$A$9 &lt;= TODAY(), NOW() &gt;= MATCH_DATES!$A$9 + TIME(22, 0, 0)), CO7, 0)
)</f>
        <v>6</v>
      </c>
      <c r="DC7" s="37">
        <f t="shared" si="44"/>
        <v>0</v>
      </c>
      <c r="DD7" s="37">
        <f t="shared" ref="DD7:DE7" si="54">SUM(K7,W7,AI7,AU7,BG7,BS7,CE7,CQ7)</f>
        <v>2</v>
      </c>
      <c r="DE7" s="37">
        <f t="shared" si="54"/>
        <v>1</v>
      </c>
    </row>
    <row r="8" ht="24.75" customHeight="1">
      <c r="A8" s="19" t="s">
        <v>210</v>
      </c>
      <c r="B8" s="38" t="s">
        <v>219</v>
      </c>
      <c r="C8" s="21" t="s">
        <v>214</v>
      </c>
      <c r="D8" s="22">
        <f t="shared" si="4"/>
        <v>6</v>
      </c>
      <c r="E8" s="22">
        <f t="shared" si="5"/>
        <v>2</v>
      </c>
      <c r="F8" s="22">
        <f t="shared" si="6"/>
        <v>4</v>
      </c>
      <c r="G8" s="22">
        <f>IF(C8&lt;&gt;"",
    COUNTIFS(MATCH_INPUT!$K$2:$K$5,C8),
0)</f>
        <v>2</v>
      </c>
      <c r="H8" s="22">
        <f>IF(C8&lt;&gt;"",
    COUNTIFS(MATCH_INPUT!$F$2:$F$5, C8, MATCH_INPUT!$K$2:$K$5, "Draw") +
    COUNTIFS(MATCH_INPUT!$J$2:$J$5, C8, MATCH_INPUT!$K$2:$K$5, "Draw"),
0)</f>
        <v>0</v>
      </c>
      <c r="I8" s="22">
        <f>IF(C8&lt;&gt;"",
    COUNTIFS(MATCH_INPUT!$F$2:$F$5, C8, MATCH_INPUT!$K$2:$K$5, "&lt;&gt;"&amp;C8, MATCH_INPUT!$K$2:$K$5, "&lt;&gt;Draw", MATCH_INPUT!$K$2:$K$5, "&lt;&gt;""") +
    COUNTIFS(MATCH_INPUT!$J$2:$J$5, C8, MATCH_INPUT!$K$2:$K$5, "&lt;&gt;"&amp;C8, MATCH_INPUT!$K$2:$K$5, "&lt;&gt;Draw", MATCH_INPUT!$K$2:$K$5, "&lt;&gt;"""),
0)</f>
        <v>0</v>
      </c>
      <c r="J8" s="23" t="str">
        <f t="array" ref="J8">IFERROR(
  INDEX(PLAYER_STAT!E$2:E64, 
    MATCH(1, 
      (PLAYER_STAT!A$2:A64 = MATCH_DATES!$A$2) * (PLAYER_STAT!D$2:D64 = $B8), 
    0)
  ), 
  ""
)
</f>
        <v/>
      </c>
      <c r="K8" s="23" t="str">
        <f t="array" ref="K8">IFERROR(
  INDEX(PLAYER_STAT!F$2:F64, 
    MATCH(1, 
      (PLAYER_STAT!A$2:A64 = MATCH_DATES!$A$2) * (PLAYER_STAT!D$2:D64 = $B8), 
    0)
  ), 
  ""
)
</f>
        <v/>
      </c>
      <c r="L8" s="24" t="str">
        <f t="array" ref="L8">IFERROR(
  INDEX(PLAYER_STAT!G$2:G64, 
    MATCH(1, 
      (PLAYER_STAT!A$2:A64 = MATCH_DATES!$A$2) * (PLAYER_STAT!D$2:D64 = $B8), 
    0)
  ), 
  ""
)
</f>
        <v/>
      </c>
      <c r="M8" s="25">
        <f t="shared" si="7"/>
        <v>2</v>
      </c>
      <c r="N8" s="26" t="str">
        <f t="shared" si="8"/>
        <v>↓</v>
      </c>
      <c r="O8" s="27" t="s">
        <v>214</v>
      </c>
      <c r="P8" s="28">
        <f t="shared" si="9"/>
        <v>10</v>
      </c>
      <c r="Q8" s="28">
        <f t="shared" si="10"/>
        <v>2</v>
      </c>
      <c r="R8" s="28">
        <f t="shared" si="11"/>
        <v>2</v>
      </c>
      <c r="S8" s="28">
        <f>IF(O8&lt;&gt;"",
    COUNTIFS(MATCH_INPUT!$K$6:$K$9,O8),
0)</f>
        <v>0</v>
      </c>
      <c r="T8" s="28">
        <f>IF(O8&lt;&gt;"",
    COUNTIFS(MATCH_INPUT!$F$6:$F$9, O8, MATCH_INPUT!$K$6:$K$9, "Draw") +
    COUNTIFS(MATCH_INPUT!$J$6:$J$9, O8, MATCH_INPUT!$K$6:$K$9, "Draw"),
0)</f>
        <v>2</v>
      </c>
      <c r="U8" s="28">
        <f>IF(O8&lt;&gt;"",
    COUNTIFS(MATCH_INPUT!$F$6:$F$9, O8, MATCH_INPUT!$K$6:$K$9, "&lt;&gt;"&amp;O8, MATCH_INPUT!$K$6:$K$9, "&lt;&gt;Draw", MATCH_INPUT!$K$6:$K$9, "&lt;&gt;""") +
    COUNTIFS(MATCH_INPUT!$J$6:$J$9, O8, MATCH_INPUT!$K$6:$K$9, "&lt;&gt;"&amp;O8, MATCH_INPUT!$K$6:$K$9, "&lt;&gt;Draw", MATCH_INPUT!$K$6:$K$9, "&lt;&gt;"""),
0)</f>
        <v>0</v>
      </c>
      <c r="V8" s="29" t="str">
        <f t="array" ref="V8">IFERROR(
  INDEX(PLAYER_STAT!E$2:E64, 
    MATCH(1, 
      (PLAYER_STAT!A$2:A64 = MATCH_DATES!$A$3) * (PLAYER_STAT!D$2:D64 = $B8), 
    0)
  ), 
  ""
)
</f>
        <v/>
      </c>
      <c r="W8" s="29" t="str">
        <f t="array" ref="W8">IFERROR(
  INDEX(PLAYER_STAT!F$2:F64, 
    MATCH(1, 
      (PLAYER_STAT!A$2:A64 = MATCH_DATES!$A$3) * (PLAYER_STAT!D$2:D64 = $B8), 
    0)
  ), 
  ""
)
</f>
        <v/>
      </c>
      <c r="X8" s="30" t="str">
        <f t="array" ref="X8">IFERROR(
  INDEX(PLAYER_STAT!G$2:G64, 
    MATCH(1, 
      (PLAYER_STAT!A$2:A64 = MATCH_DATES!$A$3) * (PLAYER_STAT!D$2:D64 = $B8), 
    0)
  ), 
  ""
)
</f>
        <v/>
      </c>
      <c r="Y8" s="31">
        <f t="shared" si="12"/>
        <v>4</v>
      </c>
      <c r="Z8" s="32" t="str">
        <f t="shared" si="13"/>
        <v>↓</v>
      </c>
      <c r="AA8" s="21"/>
      <c r="AB8" s="33">
        <f t="shared" si="14"/>
        <v>10</v>
      </c>
      <c r="AC8" s="22">
        <f t="shared" si="15"/>
        <v>0</v>
      </c>
      <c r="AD8" s="22">
        <f t="shared" si="16"/>
        <v>0</v>
      </c>
      <c r="AE8" s="22">
        <f>IF(AA8&lt;&gt;"",
    COUNTIFS(MATCH_INPUT!$K$10:$K$13,AA8),
0)</f>
        <v>0</v>
      </c>
      <c r="AF8" s="22">
        <f>IF(AA8&lt;&gt;"",
    COUNTIFS(MATCH_INPUT!$F$10:$F$13, AA8, MATCH_INPUT!$K$10:$K$13, "Draw") +
    COUNTIFS(MATCH_INPUT!$J$10:$J$13, AA8, MATCH_INPUT!$K$10:$K$13, "Draw"),
0)</f>
        <v>0</v>
      </c>
      <c r="AG8" s="22">
        <f>IF(AA8&lt;&gt;"",
    COUNTIFS(MATCH_INPUT!$F$10:$F$13, AA8, MATCH_INPUT!$K$10:$K$13, "&lt;&gt;"&amp;AA8, MATCH_INPUT!$K$10:$K$13, "&lt;&gt;Draw", MATCH_INPUT!$K$10:$K$13, "&lt;&gt;""") +
    COUNTIFS(MATCH_INPUT!$J$10:$J$13, AA8, MATCH_INPUT!$K$10:$K$13, "&lt;&gt;"&amp;AA8, MATCH_INPUT!$K$10:$K$13, "&lt;&gt;Draw", MATCH_INPUT!$K$10:$K$13, "&lt;&gt;"""),
0)</f>
        <v>0</v>
      </c>
      <c r="AH8" s="23" t="str">
        <f t="array" ref="AH8">IFERROR(
  INDEX(PLAYER_STAT!E$2:E64, 
    MATCH(1, 
      (PLAYER_STAT!A$2:A64 = MATCH_DATES!$A$4) * (PLAYER_STAT!D$2:D64 = $B8), 
    0)
  ), 
  ""
)
</f>
        <v/>
      </c>
      <c r="AI8" s="23" t="str">
        <f t="array" ref="AI8">IFERROR(
  INDEX(PLAYER_STAT!F$2:F64, 
    MATCH(1, 
      (PLAYER_STAT!A$2:A64 = MATCH_DATES!$A$4) * (PLAYER_STAT!D$2:D64 = $B8), 
    0)
  ), 
  ""
)
</f>
        <v/>
      </c>
      <c r="AJ8" s="34" t="str">
        <f t="array" ref="AJ8">IFERROR(
  INDEX(PLAYER_STAT!G$2:G64, 
    MATCH(1, 
      (PLAYER_STAT!A$2:A64 = MATCH_DATES!$A$4) * (PLAYER_STAT!D$2:D64 = $B8), 
    0)
  ), 
  ""
)
</f>
        <v/>
      </c>
      <c r="AK8" s="25">
        <f t="shared" si="17"/>
        <v>25</v>
      </c>
      <c r="AL8" s="26" t="str">
        <f t="shared" si="18"/>
        <v>↓</v>
      </c>
      <c r="AM8" s="27" t="s">
        <v>214</v>
      </c>
      <c r="AN8" s="28">
        <f t="shared" si="19"/>
        <v>12</v>
      </c>
      <c r="AO8" s="28">
        <f t="shared" si="20"/>
        <v>2</v>
      </c>
      <c r="AP8" s="28">
        <f t="shared" si="21"/>
        <v>0</v>
      </c>
      <c r="AQ8" s="28">
        <f>IF(AM8&lt;&gt;"",
    COUNTIFS(MATCH_INPUT!$K$14:$K$17,AM8),
0)</f>
        <v>0</v>
      </c>
      <c r="AR8" s="28">
        <f>IF(AM8&lt;&gt;"",
    COUNTIFS(MATCH_INPUT!$F$14:$F$17, AM8, MATCH_INPUT!$K$14:$K$17, "Draw") +
    COUNTIFS(MATCH_INPUT!$J$14:$J$17, AM8, MATCH_INPUT!$K$14:$K$17, "Draw"),
0)</f>
        <v>0</v>
      </c>
      <c r="AS8" s="28">
        <f>IF(AM8&lt;&gt;"",
    COUNTIFS(MATCH_INPUT!$F$14:$F$17, AM8, MATCH_INPUT!$K$14:$K$17, "&lt;&gt;"&amp;AM8, MATCH_INPUT!$K$14:$K$17, "&lt;&gt;Draw", MATCH_INPUT!$K$14:$K$17, "&lt;&gt;""") +
    COUNTIFS(MATCH_INPUT!$J$14:$J$17, AM8, MATCH_INPUT!$K$14:$K$17, "&lt;&gt;"&amp;AM8, MATCH_INPUT!$K$14:$K$17, "&lt;&gt;Draw", MATCH_INPUT!$K$14:$K$17, "&lt;&gt;"""),
0)</f>
        <v>2</v>
      </c>
      <c r="AT8" s="29" t="str">
        <f t="array" ref="AT8">IFERROR(
  INDEX(PLAYER_STAT!E$2:E64, 
    MATCH(1, 
      (PLAYER_STAT!A$2:A64 = MATCH_DATES!$A$5) * (PLAYER_STAT!D$2:D64 = $B8), 
    0)
  ), 
  ""
)
</f>
        <v/>
      </c>
      <c r="AU8" s="29" t="str">
        <f t="array" ref="AU8">IFERROR(
  INDEX(PLAYER_STAT!F$2:F64, 
    MATCH(1, 
      (PLAYER_STAT!A$2:A64 = MATCH_DATES!$A$5) * (PLAYER_STAT!D$2:D64 = $B8), 
    0)
  ), 
  ""
)
</f>
        <v/>
      </c>
      <c r="AV8" s="30" t="str">
        <f t="array" ref="AV8">IFERROR(
  INDEX(PLAYER_STAT!G$2:G64, 
    MATCH(1, 
      (PLAYER_STAT!A$2:A64 = MATCH_DATES!$A$5) * (PLAYER_STAT!D$2:D64 = $B8), 
    0)
  ), 
  ""
)
</f>
        <v/>
      </c>
      <c r="AW8" s="31">
        <f t="shared" si="22"/>
        <v>27</v>
      </c>
      <c r="AX8" s="32" t="str">
        <f t="shared" si="23"/>
        <v>↓</v>
      </c>
      <c r="AY8" s="21"/>
      <c r="AZ8" s="33">
        <f t="shared" si="24"/>
        <v>12</v>
      </c>
      <c r="BA8" s="22">
        <f t="shared" si="25"/>
        <v>0</v>
      </c>
      <c r="BB8" s="22">
        <f>SUM(BC8*2) + (BD8*1) + SUMIFS(MATCH_INPUT!$G$18:$G$21, MATCH_INPUT!$F$18:$F$21, AY8) + SUMIFS(MATCH_INPUT!$I$18:$I$21, MATCH_INPUT!$J$18:$J$21, AY8)
</f>
        <v>0</v>
      </c>
      <c r="BC8" s="22">
        <f>IF(AY8&lt;&gt;"",
    COUNTIFS(MATCH_INPUT!$K$18:$K$21,AY8),
0)</f>
        <v>0</v>
      </c>
      <c r="BD8" s="22">
        <f>IF(AY8&lt;&gt;"",
    COUNTIFS(MATCH_INPUT!$F$18:$F$21, AY8, MATCH_INPUT!$K$18:$K$21, "Draw") +
    COUNTIFS(MATCH_INPUT!$J$18:$J$21, AY8, MATCH_INPUT!$K$18:$K$21, "Draw"),
0)</f>
        <v>0</v>
      </c>
      <c r="BE8" s="22">
        <f>IF(AY8&lt;&gt;"",
    COUNTIFS(MATCH_INPUT!$F$18:$F$21, AY8, MATCH_INPUT!$K$18:$K$21, "&lt;&gt;"&amp;AY8, MATCH_INPUT!$K$18:$K$21, "&lt;&gt;Draw", MATCH_INPUT!$K$18:$K$21, "&lt;&gt;""") +
    COUNTIFS(MATCH_INPUT!$J$18:$J$21, AY8, MATCH_INPUT!$K$18:$K$21, "&lt;&gt;"&amp;AY8, MATCH_INPUT!$K$18:$K$21, "&lt;&gt;Draw", MATCH_INPUT!$K$18:$K$21, "&lt;&gt;"""),
0)</f>
        <v>0</v>
      </c>
      <c r="BF8" s="23" t="str">
        <f t="array" ref="BF8">IFERROR(
  INDEX(PLAYER_STAT!E$2:E64, 
    MATCH(1, 
      (PLAYER_STAT!A$2:A64 = MATCH_DATES!$A$6) * (PLAYER_STAT!D$2:D64 = $B8), 
    0)
  ), 
  ""
)
</f>
        <v/>
      </c>
      <c r="BG8" s="23" t="str">
        <f t="array" ref="BG8">IFERROR(
  INDEX(PLAYER_STAT!F$2:F64, 
    MATCH(1, 
      (PLAYER_STAT!A$2:A64 = MATCH_DATES!$A$6) * (PLAYER_STAT!D$2:D64 = $B8), 
    0)
  ), 
  ""
)
</f>
        <v/>
      </c>
      <c r="BH8" s="34" t="str">
        <f t="array" ref="BH8">IFERROR(
  INDEX(PLAYER_STAT!G$2:G64, 
    MATCH(1, 
      (PLAYER_STAT!A$2:A64 = MATCH_DATES!$A$6) * (PLAYER_STAT!D$2:D64 = $B8), 
    0)
  ), 
  ""
)
</f>
        <v/>
      </c>
      <c r="BI8" s="25">
        <f t="shared" si="26"/>
        <v>35</v>
      </c>
      <c r="BJ8" s="26" t="str">
        <f t="shared" si="27"/>
        <v>↓</v>
      </c>
      <c r="BK8" s="27" t="s">
        <v>215</v>
      </c>
      <c r="BL8" s="28">
        <f t="shared" si="28"/>
        <v>26</v>
      </c>
      <c r="BM8" s="28">
        <f t="shared" si="29"/>
        <v>2</v>
      </c>
      <c r="BN8" s="28">
        <f>SUM(BO8*2) + (BP8*1) + SUMIFS(MATCH_INPUT!$G$22:$G$25, MATCH_INPUT!$F$22:$F$25, BK8) + SUMIFS(MATCH_INPUT!$I$22:$I$25, MATCH_INPUT!$J$22:$J$25, BK8)
</f>
        <v>12</v>
      </c>
      <c r="BO8" s="28">
        <f>IF(BK8&lt;&gt;"",
    COUNTIFS(MATCH_INPUT!$K$22:$K$25,BK8),
0)</f>
        <v>2</v>
      </c>
      <c r="BP8" s="28">
        <f>IF(BK8&lt;&gt;"",
    COUNTIFS(MATCH_INPUT!$F$22:$F$25, BK8, MATCH_INPUT!$K$22:$K$25, "Draw") +
    COUNTIFS(MATCH_INPUT!$J$22:$J$25, BK8, MATCH_INPUT!$K$22:$K$25, "Draw"),
0)</f>
        <v>0</v>
      </c>
      <c r="BQ8" s="28">
        <f>IF(BK8&lt;&gt;"",
    COUNTIFS(MATCH_INPUT!$F$22:$F$25, BK8, MATCH_INPUT!$K$22:$K$25, "&lt;&gt;"&amp;BK8, MATCH_INPUT!$K$22:$K$25, "&lt;&gt;Draw", MATCH_INPUT!$K$22:$K$25, "&lt;&gt;""") +
    COUNTIFS(MATCH_INPUT!$J$22:$J$25, BK8, MATCH_INPUT!$K$22:$K$25, "&lt;&gt;"&amp;BK8, MATCH_INPUT!$K$22:$K$25, "&lt;&gt;Draw", MATCH_INPUT!$K$22:$K$25, "&lt;&gt;"""),
0)</f>
        <v>0</v>
      </c>
      <c r="BR8" s="29" t="str">
        <f t="array" ref="BR8">IFERROR(
  INDEX(PLAYER_STAT!E$2:E64, 
    MATCH(1, 
      (PLAYER_STAT!A$2:A64 = MATCH_DATES!$A$7) * (PLAYER_STAT!D$2:D64 = $B8), 
    0)
  ), 
  ""
)
</f>
        <v/>
      </c>
      <c r="BS8" s="29" t="str">
        <f t="array" ref="BS8">IFERROR(
  INDEX(PLAYER_STAT!F$2:F64, 
    MATCH(1, 
      (PLAYER_STAT!A$2:A64 = MATCH_DATES!$A$7) * (PLAYER_STAT!D$2:D64 = $B8), 
    0)
  ), 
  ""
)
</f>
        <v/>
      </c>
      <c r="BT8" s="30" t="str">
        <f t="array" ref="BT8">IFERROR(
  INDEX(PLAYER_STAT!G$2:G64, 
    MATCH(1, 
      (PLAYER_STAT!A$2:A64 = MATCH_DATES!$A$7) * (PLAYER_STAT!D$2:D64 = $B8), 
    0)
  ), 
  ""
)
</f>
        <v/>
      </c>
      <c r="BU8" s="31">
        <f t="shared" si="30"/>
        <v>25</v>
      </c>
      <c r="BV8" s="32" t="str">
        <f t="shared" si="31"/>
        <v>↑</v>
      </c>
      <c r="BW8" s="21" t="s">
        <v>212</v>
      </c>
      <c r="BX8" s="33">
        <f t="shared" si="32"/>
        <v>34</v>
      </c>
      <c r="BY8" s="22">
        <f t="shared" si="33"/>
        <v>2</v>
      </c>
      <c r="BZ8" s="22">
        <f>SUM(CA8*2)+(CB8*1) + SUMIFS(MATCH_INPUT!$G$26:$G$29, MATCH_INPUT!$F$26:$F$29, BW8) + SUMIFS(MATCH_INPUT!$I$26:$I$29, MATCH_INPUT!$J$26:$J$29, BW8)
</f>
        <v>6</v>
      </c>
      <c r="CA8" s="22">
        <f>IF(BW8&lt;&gt;"",
    COUNTIFS(MATCH_INPUT!$K$26:$K$29,BW8),
0)</f>
        <v>1</v>
      </c>
      <c r="CB8" s="22">
        <f>IF(BW8&lt;&gt;"",
    COUNTIFS(MATCH_INPUT!$F$26:$F$29, BW8, MATCH_INPUT!$K$26:$K$29, "Draw") +
    COUNTIFS(MATCH_INPUT!$J$26:$J$29, BW8, MATCH_INPUT!$K$26:$K$29, "Draw"),
0)</f>
        <v>1</v>
      </c>
      <c r="CC8" s="22">
        <f>IF(BW8&lt;&gt;"",
    COUNTIFS(MATCH_INPUT!$F$26:$F$29, BW8, MATCH_INPUT!$K$26:$K$29, "&lt;&gt;"&amp;BW8, MATCH_INPUT!$K$26:$K$29, "&lt;&gt;Draw", MATCH_INPUT!$K$26:$K$29, "&lt;&gt;""") +
    COUNTIFS(MATCH_INPUT!$J$26:$J$29, BW8, MATCH_INPUT!$K$26:$K$29, "&lt;&gt;"&amp;BW8, MATCH_INPUT!$K$26:$K$29, "&lt;&gt;Draw", MATCH_INPUT!$K$26:$K$29, "&lt;&gt;"""),
0)</f>
        <v>0</v>
      </c>
      <c r="CD8" s="23" t="str">
        <f t="array" ref="CD8">IFERROR(
  INDEX(PLAYER_STAT!E$2:E64, 
    MATCH(1, 
      (PLAYER_STAT!A$2:A64 = MATCH_DATES!$A$8) * (PLAYER_STAT!D$2:D64 = $B8), 
    0)
  ), 
  ""
)
</f>
        <v/>
      </c>
      <c r="CE8" s="23" t="str">
        <f t="array" ref="CE8">IFERROR(
  INDEX(PLAYER_STAT!F$2:F64, 
    MATCH(1, 
      (PLAYER_STAT!A$2:A64 = MATCH_DATES!$A$8) * (PLAYER_STAT!D$2:D64 = $B8), 
    0)
  ), 
  ""
)
</f>
        <v/>
      </c>
      <c r="CF8" s="34" t="str">
        <f t="array" ref="CF8">IFERROR(
  INDEX(PLAYER_STAT!G$2:G64, 
    MATCH(1, 
      (PLAYER_STAT!A$2:A64 = MATCH_DATES!$A$8) * (PLAYER_STAT!D$2:D64 = $B8), 
    0)
  ), 
  ""
)
</f>
        <v/>
      </c>
      <c r="CG8" s="25">
        <f t="shared" si="34"/>
        <v>22</v>
      </c>
      <c r="CH8" s="26" t="str">
        <f t="shared" si="35"/>
        <v>↑</v>
      </c>
      <c r="CI8" s="27" t="s">
        <v>212</v>
      </c>
      <c r="CJ8" s="28">
        <f t="shared" si="36"/>
        <v>45</v>
      </c>
      <c r="CK8" s="28">
        <f t="shared" si="37"/>
        <v>2</v>
      </c>
      <c r="CL8" s="28">
        <f>SUM(CM8*2)+(CN8*1) + SUMIFS(MATCH_INPUT!$G$30:$G$33, MATCH_INPUT!$F$30:$F$33, CI8) + SUMIFS(MATCH_INPUT!$I$30:$I$33, MATCH_INPUT!$J$30:$J$33, CI8)
</f>
        <v>9</v>
      </c>
      <c r="CM8" s="28">
        <f>IF(CI8&lt;&gt;"",
    COUNTIFS(MATCH_INPUT!$K$30:$K$33,CI8),
0)</f>
        <v>1</v>
      </c>
      <c r="CN8" s="28">
        <f>IF(CI8&lt;&gt;"",
    COUNTIFS(MATCH_INPUT!$F$30:$F$33, CI8, MATCH_INPUT!$K$30:$K$33, "Draw") +
    COUNTIFS(MATCH_INPUT!$J$30:$J$33, CI8, MATCH_INPUT!$K$30:$K$33, "Draw"),
0)</f>
        <v>1</v>
      </c>
      <c r="CO8" s="28">
        <f>IF(CI8&lt;&gt;"",
    COUNTIFS(MATCH_INPUT!$F$30:$F$33, CI8, MATCH_INPUT!$K$30:$K$33, "&lt;&gt;"&amp;CI8, MATCH_INPUT!$K$30:$K$33, "&lt;&gt;Draw", MATCH_INPUT!$K$30:$K$33, "&lt;&gt;""") +
    COUNTIFS(MATCH_INPUT!$J$30:$J$33, CI8, MATCH_INPUT!$K$30:$K$33, "&lt;&gt;"&amp;CI8, MATCH_INPUT!$K$30:$K$33, "&lt;&gt;Draw", MATCH_INPUT!$K$30:$K$33, "&lt;&gt;"""),
0)</f>
        <v>0</v>
      </c>
      <c r="CP8" s="29" t="str">
        <f t="array" ref="CP8">IFERROR(
  INDEX(PLAYER_STAT!E$2:E64, 
    MATCH(1, 
      (PLAYER_STAT!A$2:A64 = MATCH_DATES!$A$9) * (PLAYER_STAT!D$2:D64 = $B8), 
    0)
  ), 
  ""
)
</f>
        <v/>
      </c>
      <c r="CQ8" s="29" t="str">
        <f t="array" ref="CQ8">IFERROR(
  INDEX(PLAYER_STAT!F$2:F64, 
    MATCH(1, 
      (PLAYER_STAT!A$2:A64 = MATCH_DATES!$A$9) * (PLAYER_STAT!D$2:D64 = $B8), 
    0)
  ), 
  ""
)
</f>
        <v/>
      </c>
      <c r="CR8" s="29" t="str">
        <f t="array" ref="CR8">IFERROR(
  INDEX(PLAYER_STAT!G$2:G64, 
    MATCH(1, 
      (PLAYER_STAT!A$2:A64 = MATCH_DATES!$A$9) * (PLAYER_STAT!D$2:D64 = $B8), 
    0)
  ), 
  ""
)
</f>
        <v/>
      </c>
      <c r="CS8" s="35">
        <f t="shared" si="38"/>
        <v>20</v>
      </c>
      <c r="CT8" s="35" t="str">
        <f t="shared" si="39"/>
        <v>↑</v>
      </c>
      <c r="CU8" s="36">
        <f t="shared" si="40"/>
        <v>33</v>
      </c>
      <c r="CV8" s="36" t="str">
        <f t="shared" ref="CV8:CW8" si="55">A8</f>
        <v>🍂🎃</v>
      </c>
      <c r="CW8" s="37" t="str">
        <f t="shared" si="55"/>
        <v>Chilas 👬 Calin</v>
      </c>
      <c r="CX8" s="37">
        <f t="shared" si="42"/>
        <v>45</v>
      </c>
      <c r="CY8" s="36">
        <f>SUM(
  IF(AND(MATCH_DATES!$A$2 &lt;= TODAY(), NOW() &gt;= MATCH_DATES!$A$2 + TIME(22, 0, 0)), E8, 0),
  IF(AND(MATCH_DATES!$A$3 &lt;= TODAY(), NOW() &gt;= MATCH_DATES!$A$3 + TIME(22, 0, 0)), Q8, 0),
  IF(AND(MATCH_DATES!$A$4 &lt;= TODAY(), NOW() &gt;= MATCH_DATES!$A$4 + TIME(22, 0, 0)), AC8, 0),
  IF(AND(MATCH_DATES!$A$5 &lt;= TODAY(), NOW() &gt;= MATCH_DATES!$A$5 + TIME(22, 0, 0)), AO8, 0),
  IF(AND(MATCH_DATES!$A$6 &lt;= TODAY(), NOW() &gt;= MATCH_DATES!$A$6 + TIME(22, 0, 0)), BA8, 0),
  IF(AND(MATCH_DATES!$A$7 &lt;= TODAY(), NOW() &gt;= MATCH_DATES!$A$7 + TIME(22, 0, 0)), BM8, 0),
  IF(AND(MATCH_DATES!$A$8 &lt;= TODAY(), NOW() &gt;= MATCH_DATES!$A$8 + TIME(22, 0, 0)), BY8, 0),
  IF(AND(MATCH_DATES!$A$9 &lt;= TODAY(), NOW() &gt;= MATCH_DATES!$A$9 + TIME(22, 0, 0)), CK8, 0)
)
</f>
        <v>12</v>
      </c>
      <c r="CZ8" s="37">
        <f t="shared" ref="CZ8:DA8" si="56">SUM(G8,S8,AE8,AQ8,BC8,BO8,CA8,CM8)</f>
        <v>6</v>
      </c>
      <c r="DA8" s="37">
        <f t="shared" si="56"/>
        <v>4</v>
      </c>
      <c r="DB8" s="37">
        <f>SUM(
  IF(AND(MATCH_DATES!$A$2 &lt;= TODAY(), NOW() &gt;= MATCH_DATES!$A$2 + TIME(22, 0, 0)), I8, 0),
  IF(AND(MATCH_DATES!$A$3 &lt;= TODAY(), NOW() &gt;= MATCH_DATES!$A$3 + TIME(22, 0, 0)), U8, 0),
  IF(AND(MATCH_DATES!$A$4 &lt;= TODAY(), NOW() &gt;= MATCH_DATES!$A$4 + TIME(22, 0, 0)), AG8, 0),
  IF(AND(MATCH_DATES!$A$5 &lt;= TODAY(), NOW() &gt;= MATCH_DATES!$A$5 + TIME(22, 0, 0)), AS8, 0),
  IF(AND(MATCH_DATES!$A$6 &lt;= TODAY(), NOW() &gt;= MATCH_DATES!$A$6 + TIME(22, 0, 0)), BE8, 0),
  IF(AND(MATCH_DATES!$A$7 &lt;= TODAY(), NOW() &gt;= MATCH_DATES!$A$7 + TIME(22, 0, 0)), BQ8, 0),
  IF(AND(MATCH_DATES!$A$8 &lt;= TODAY(), NOW() &gt;= MATCH_DATES!$A$8 + TIME(22, 0, 0)), CC8, 0),
  IF(AND(MATCH_DATES!$A$9 &lt;= TODAY(), NOW() &gt;= MATCH_DATES!$A$9 + TIME(22, 0, 0)), CO8, 0)
)</f>
        <v>2</v>
      </c>
      <c r="DC8" s="37">
        <f t="shared" si="44"/>
        <v>0</v>
      </c>
      <c r="DD8" s="37">
        <f t="shared" ref="DD8:DE8" si="57">SUM(K8,W8,AI8,AU8,BG8,BS8,CE8,CQ8)</f>
        <v>0</v>
      </c>
      <c r="DE8" s="37">
        <f t="shared" si="57"/>
        <v>0</v>
      </c>
    </row>
    <row r="9" ht="24.75" customHeight="1">
      <c r="A9" s="19" t="s">
        <v>210</v>
      </c>
      <c r="B9" s="20" t="s">
        <v>49</v>
      </c>
      <c r="C9" s="21" t="s">
        <v>214</v>
      </c>
      <c r="D9" s="22">
        <f t="shared" si="4"/>
        <v>6</v>
      </c>
      <c r="E9" s="22">
        <f t="shared" si="5"/>
        <v>2</v>
      </c>
      <c r="F9" s="22">
        <f t="shared" si="6"/>
        <v>4</v>
      </c>
      <c r="G9" s="22">
        <f>IF(C9&lt;&gt;"",
    COUNTIFS(MATCH_INPUT!$K$2:$K$5,C9),
0)</f>
        <v>2</v>
      </c>
      <c r="H9" s="22">
        <f>IF(C9&lt;&gt;"",
    COUNTIFS(MATCH_INPUT!$F$2:$F$5, C9, MATCH_INPUT!$K$2:$K$5, "Draw") +
    COUNTIFS(MATCH_INPUT!$J$2:$J$5, C9, MATCH_INPUT!$K$2:$K$5, "Draw"),
0)</f>
        <v>0</v>
      </c>
      <c r="I9" s="22">
        <f>IF(C9&lt;&gt;"",
    COUNTIFS(MATCH_INPUT!$F$2:$F$5, C9, MATCH_INPUT!$K$2:$K$5, "&lt;&gt;"&amp;C9, MATCH_INPUT!$K$2:$K$5, "&lt;&gt;Draw", MATCH_INPUT!$K$2:$K$5, "&lt;&gt;""") +
    COUNTIFS(MATCH_INPUT!$J$2:$J$5, C9, MATCH_INPUT!$K$2:$K$5, "&lt;&gt;"&amp;C9, MATCH_INPUT!$K$2:$K$5, "&lt;&gt;Draw", MATCH_INPUT!$K$2:$K$5, "&lt;&gt;"""),
0)</f>
        <v>0</v>
      </c>
      <c r="J9" s="23" t="str">
        <f t="array" ref="J9">IFERROR(
  INDEX(PLAYER_STAT!E$2:E64, 
    MATCH(1, 
      (PLAYER_STAT!A$2:A64 = MATCH_DATES!$A$2) * (PLAYER_STAT!D$2:D64 = $B9), 
    0)
  ), 
  ""
)
</f>
        <v/>
      </c>
      <c r="K9" s="23" t="str">
        <f t="array" ref="K9">IFERROR(
  INDEX(PLAYER_STAT!F$2:F64, 
    MATCH(1, 
      (PLAYER_STAT!A$2:A64 = MATCH_DATES!$A$2) * (PLAYER_STAT!D$2:D64 = $B9), 
    0)
  ), 
  ""
)
</f>
        <v/>
      </c>
      <c r="L9" s="24" t="str">
        <f t="array" ref="L9">IFERROR(
  INDEX(PLAYER_STAT!G$2:G64, 
    MATCH(1, 
      (PLAYER_STAT!A$2:A64 = MATCH_DATES!$A$2) * (PLAYER_STAT!D$2:D64 = $B9), 
    0)
  ), 
  ""
)
</f>
        <v/>
      </c>
      <c r="M9" s="25">
        <f t="shared" si="7"/>
        <v>2</v>
      </c>
      <c r="N9" s="26" t="str">
        <f t="shared" si="8"/>
        <v>↓</v>
      </c>
      <c r="O9" s="27" t="s">
        <v>213</v>
      </c>
      <c r="P9" s="28">
        <f t="shared" si="9"/>
        <v>11</v>
      </c>
      <c r="Q9" s="28">
        <f t="shared" si="10"/>
        <v>2</v>
      </c>
      <c r="R9" s="28">
        <f t="shared" si="11"/>
        <v>3</v>
      </c>
      <c r="S9" s="28">
        <f>IF(O9&lt;&gt;"",
    COUNTIFS(MATCH_INPUT!$K$6:$K$9,O9),
0)</f>
        <v>1</v>
      </c>
      <c r="T9" s="28">
        <f>IF(O9&lt;&gt;"",
    COUNTIFS(MATCH_INPUT!$F$6:$F$9, O9, MATCH_INPUT!$K$6:$K$9, "Draw") +
    COUNTIFS(MATCH_INPUT!$J$6:$J$9, O9, MATCH_INPUT!$K$6:$K$9, "Draw"),
0)</f>
        <v>1</v>
      </c>
      <c r="U9" s="28">
        <f>IF(O9&lt;&gt;"",
    COUNTIFS(MATCH_INPUT!$F$6:$F$9, O9, MATCH_INPUT!$K$6:$K$9, "&lt;&gt;"&amp;O9, MATCH_INPUT!$K$6:$K$9, "&lt;&gt;Draw", MATCH_INPUT!$K$6:$K$9, "&lt;&gt;""") +
    COUNTIFS(MATCH_INPUT!$J$6:$J$9, O9, MATCH_INPUT!$K$6:$K$9, "&lt;&gt;"&amp;O9, MATCH_INPUT!$K$6:$K$9, "&lt;&gt;Draw", MATCH_INPUT!$K$6:$K$9, "&lt;&gt;"""),
0)</f>
        <v>0</v>
      </c>
      <c r="V9" s="29" t="str">
        <f t="array" ref="V9">IFERROR(
  INDEX(PLAYER_STAT!E$2:E64, 
    MATCH(1, 
      (PLAYER_STAT!A$2:A64 = MATCH_DATES!$A$3) * (PLAYER_STAT!D$2:D64 = $B9), 
    0)
  ), 
  ""
)
</f>
        <v/>
      </c>
      <c r="W9" s="29" t="str">
        <f t="array" ref="W9">IFERROR(
  INDEX(PLAYER_STAT!F$2:F64, 
    MATCH(1, 
      (PLAYER_STAT!A$2:A64 = MATCH_DATES!$A$3) * (PLAYER_STAT!D$2:D64 = $B9), 
    0)
  ), 
  ""
)
</f>
        <v/>
      </c>
      <c r="X9" s="30" t="str">
        <f t="array" ref="X9">IFERROR(
  INDEX(PLAYER_STAT!G$2:G64, 
    MATCH(1, 
      (PLAYER_STAT!A$2:A64 = MATCH_DATES!$A$3) * (PLAYER_STAT!D$2:D64 = $B9), 
    0)
  ), 
  ""
)
</f>
        <v/>
      </c>
      <c r="Y9" s="31">
        <f t="shared" si="12"/>
        <v>1</v>
      </c>
      <c r="Z9" s="32" t="str">
        <f t="shared" si="13"/>
        <v>↑</v>
      </c>
      <c r="AA9" s="21" t="s">
        <v>213</v>
      </c>
      <c r="AB9" s="33">
        <f t="shared" si="14"/>
        <v>15</v>
      </c>
      <c r="AC9" s="22">
        <f t="shared" si="15"/>
        <v>2</v>
      </c>
      <c r="AD9" s="22">
        <f t="shared" si="16"/>
        <v>2</v>
      </c>
      <c r="AE9" s="22">
        <f>IF(AA9&lt;&gt;"",
    COUNTIFS(MATCH_INPUT!$K$10:$K$13,AA9),
0)</f>
        <v>1</v>
      </c>
      <c r="AF9" s="22">
        <f>IF(AA9&lt;&gt;"",
    COUNTIFS(MATCH_INPUT!$F$10:$F$13, AA9, MATCH_INPUT!$K$10:$K$13, "Draw") +
    COUNTIFS(MATCH_INPUT!$J$10:$J$13, AA9, MATCH_INPUT!$K$10:$K$13, "Draw"),
0)</f>
        <v>0</v>
      </c>
      <c r="AG9" s="22">
        <f>IF(AA9&lt;&gt;"",
    COUNTIFS(MATCH_INPUT!$F$10:$F$13, AA9, MATCH_INPUT!$K$10:$K$13, "&lt;&gt;"&amp;AA9, MATCH_INPUT!$K$10:$K$13, "&lt;&gt;Draw", MATCH_INPUT!$K$10:$K$13, "&lt;&gt;""") +
    COUNTIFS(MATCH_INPUT!$J$10:$J$13, AA9, MATCH_INPUT!$K$10:$K$13, "&lt;&gt;"&amp;AA9, MATCH_INPUT!$K$10:$K$13, "&lt;&gt;Draw", MATCH_INPUT!$K$10:$K$13, "&lt;&gt;"""),
0)</f>
        <v>1</v>
      </c>
      <c r="AH9" s="23" t="str">
        <f t="array" ref="AH9">IFERROR(
  INDEX(PLAYER_STAT!E$2:E64, 
    MATCH(1, 
      (PLAYER_STAT!A$2:A64 = MATCH_DATES!$A$4) * (PLAYER_STAT!D$2:D64 = $B9), 
    0)
  ), 
  ""
)
</f>
        <v/>
      </c>
      <c r="AI9" s="23" t="str">
        <f t="array" ref="AI9">IFERROR(
  INDEX(PLAYER_STAT!F$2:F64, 
    MATCH(1, 
      (PLAYER_STAT!A$2:A64 = MATCH_DATES!$A$4) * (PLAYER_STAT!D$2:D64 = $B9), 
    0)
  ), 
  ""
)
</f>
        <v/>
      </c>
      <c r="AJ9" s="34" t="str">
        <f t="array" ref="AJ9">IFERROR(
  INDEX(PLAYER_STAT!G$2:G64, 
    MATCH(1, 
      (PLAYER_STAT!A$2:A64 = MATCH_DATES!$A$4) * (PLAYER_STAT!D$2:D64 = $B9), 
    0)
  ), 
  ""
)
</f>
        <v/>
      </c>
      <c r="AK9" s="25">
        <f t="shared" si="17"/>
        <v>1</v>
      </c>
      <c r="AL9" s="26" t="str">
        <f t="shared" si="18"/>
        <v>=</v>
      </c>
      <c r="AM9" s="27" t="s">
        <v>213</v>
      </c>
      <c r="AN9" s="28">
        <f t="shared" si="19"/>
        <v>19</v>
      </c>
      <c r="AO9" s="28">
        <f t="shared" si="20"/>
        <v>2</v>
      </c>
      <c r="AP9" s="28">
        <f t="shared" si="21"/>
        <v>2</v>
      </c>
      <c r="AQ9" s="28">
        <f>IF(AM9&lt;&gt;"",
    COUNTIFS(MATCH_INPUT!$K$14:$K$17,AM9),
0)</f>
        <v>1</v>
      </c>
      <c r="AR9" s="28">
        <f>IF(AM9&lt;&gt;"",
    COUNTIFS(MATCH_INPUT!$F$14:$F$17, AM9, MATCH_INPUT!$K$14:$K$17, "Draw") +
    COUNTIFS(MATCH_INPUT!$J$14:$J$17, AM9, MATCH_INPUT!$K$14:$K$17, "Draw"),
0)</f>
        <v>0</v>
      </c>
      <c r="AS9" s="28">
        <f>IF(AM9&lt;&gt;"",
    COUNTIFS(MATCH_INPUT!$F$14:$F$17, AM9, MATCH_INPUT!$K$14:$K$17, "&lt;&gt;"&amp;AM9, MATCH_INPUT!$K$14:$K$17, "&lt;&gt;Draw", MATCH_INPUT!$K$14:$K$17, "&lt;&gt;""") +
    COUNTIFS(MATCH_INPUT!$J$14:$J$17, AM9, MATCH_INPUT!$K$14:$K$17, "&lt;&gt;"&amp;AM9, MATCH_INPUT!$K$14:$K$17, "&lt;&gt;Draw", MATCH_INPUT!$K$14:$K$17, "&lt;&gt;"""),
0)</f>
        <v>1</v>
      </c>
      <c r="AT9" s="29" t="str">
        <f t="array" ref="AT9">IFERROR(
  INDEX(PLAYER_STAT!E$2:E64, 
    MATCH(1, 
      (PLAYER_STAT!A$2:A64 = MATCH_DATES!$A$5) * (PLAYER_STAT!D$2:D64 = $B9), 
    0)
  ), 
  ""
)
</f>
        <v/>
      </c>
      <c r="AU9" s="29" t="str">
        <f t="array" ref="AU9">IFERROR(
  INDEX(PLAYER_STAT!F$2:F64, 
    MATCH(1, 
      (PLAYER_STAT!A$2:A64 = MATCH_DATES!$A$5) * (PLAYER_STAT!D$2:D64 = $B9), 
    0)
  ), 
  ""
)
</f>
        <v/>
      </c>
      <c r="AV9" s="30" t="str">
        <f t="array" ref="AV9">IFERROR(
  INDEX(PLAYER_STAT!G$2:G64, 
    MATCH(1, 
      (PLAYER_STAT!A$2:A64 = MATCH_DATES!$A$5) * (PLAYER_STAT!D$2:D64 = $B9), 
    0)
  ), 
  ""
)
</f>
        <v/>
      </c>
      <c r="AW9" s="31">
        <f t="shared" si="22"/>
        <v>4</v>
      </c>
      <c r="AX9" s="32" t="str">
        <f t="shared" si="23"/>
        <v>↓</v>
      </c>
      <c r="AY9" s="21"/>
      <c r="AZ9" s="33">
        <f t="shared" si="24"/>
        <v>19</v>
      </c>
      <c r="BA9" s="22">
        <f t="shared" si="25"/>
        <v>0</v>
      </c>
      <c r="BB9" s="22">
        <f>SUM(BC9*2) + (BD9*1) + SUMIFS(MATCH_INPUT!$G$18:$G$21, MATCH_INPUT!$F$18:$F$21, AY9) + SUMIFS(MATCH_INPUT!$I$18:$I$21, MATCH_INPUT!$J$18:$J$21, AY9)
</f>
        <v>0</v>
      </c>
      <c r="BC9" s="22">
        <f>IF(AY9&lt;&gt;"",
    COUNTIFS(MATCH_INPUT!$K$18:$K$21,AY9),
0)</f>
        <v>0</v>
      </c>
      <c r="BD9" s="22">
        <f>IF(AY9&lt;&gt;"",
    COUNTIFS(MATCH_INPUT!$F$18:$F$21, AY9, MATCH_INPUT!$K$18:$K$21, "Draw") +
    COUNTIFS(MATCH_INPUT!$J$18:$J$21, AY9, MATCH_INPUT!$K$18:$K$21, "Draw"),
0)</f>
        <v>0</v>
      </c>
      <c r="BE9" s="22">
        <f>IF(AY9&lt;&gt;"",
    COUNTIFS(MATCH_INPUT!$F$18:$F$21, AY9, MATCH_INPUT!$K$18:$K$21, "&lt;&gt;"&amp;AY9, MATCH_INPUT!$K$18:$K$21, "&lt;&gt;Draw", MATCH_INPUT!$K$18:$K$21, "&lt;&gt;""") +
    COUNTIFS(MATCH_INPUT!$J$18:$J$21, AY9, MATCH_INPUT!$K$18:$K$21, "&lt;&gt;"&amp;AY9, MATCH_INPUT!$K$18:$K$21, "&lt;&gt;Draw", MATCH_INPUT!$K$18:$K$21, "&lt;&gt;"""),
0)</f>
        <v>0</v>
      </c>
      <c r="BF9" s="23" t="str">
        <f t="array" ref="BF9">IFERROR(
  INDEX(PLAYER_STAT!E$2:E64, 
    MATCH(1, 
      (PLAYER_STAT!A$2:A64 = MATCH_DATES!$A$6) * (PLAYER_STAT!D$2:D64 = $B9), 
    0)
  ), 
  ""
)
</f>
        <v/>
      </c>
      <c r="BG9" s="23" t="str">
        <f t="array" ref="BG9">IFERROR(
  INDEX(PLAYER_STAT!F$2:F64, 
    MATCH(1, 
      (PLAYER_STAT!A$2:A64 = MATCH_DATES!$A$6) * (PLAYER_STAT!D$2:D64 = $B9), 
    0)
  ), 
  ""
)
</f>
        <v/>
      </c>
      <c r="BH9" s="34" t="str">
        <f t="array" ref="BH9">IFERROR(
  INDEX(PLAYER_STAT!G$2:G64, 
    MATCH(1, 
      (PLAYER_STAT!A$2:A64 = MATCH_DATES!$A$6) * (PLAYER_STAT!D$2:D64 = $B9), 
    0)
  ), 
  ""
)
</f>
        <v/>
      </c>
      <c r="BI9" s="25">
        <f t="shared" si="26"/>
        <v>21</v>
      </c>
      <c r="BJ9" s="26" t="str">
        <f t="shared" si="27"/>
        <v>↓</v>
      </c>
      <c r="BK9" s="27" t="s">
        <v>214</v>
      </c>
      <c r="BL9" s="28">
        <f t="shared" si="28"/>
        <v>28</v>
      </c>
      <c r="BM9" s="28">
        <f t="shared" si="29"/>
        <v>2</v>
      </c>
      <c r="BN9" s="28">
        <f>SUM(BO9*2) + (BP9*1) + SUMIFS(MATCH_INPUT!$G$22:$G$25, MATCH_INPUT!$F$22:$F$25, BK9) + SUMIFS(MATCH_INPUT!$I$22:$I$25, MATCH_INPUT!$J$22:$J$25, BK9)
</f>
        <v>7</v>
      </c>
      <c r="BO9" s="28">
        <f>IF(BK9&lt;&gt;"",
    COUNTIFS(MATCH_INPUT!$K$22:$K$25,BK9),
0)</f>
        <v>1</v>
      </c>
      <c r="BP9" s="28">
        <f>IF(BK9&lt;&gt;"",
    COUNTIFS(MATCH_INPUT!$F$22:$F$25, BK9, MATCH_INPUT!$K$22:$K$25, "Draw") +
    COUNTIFS(MATCH_INPUT!$J$22:$J$25, BK9, MATCH_INPUT!$K$22:$K$25, "Draw"),
0)</f>
        <v>1</v>
      </c>
      <c r="BQ9" s="28">
        <f>IF(BK9&lt;&gt;"",
    COUNTIFS(MATCH_INPUT!$F$22:$F$25, BK9, MATCH_INPUT!$K$22:$K$25, "&lt;&gt;"&amp;BK9, MATCH_INPUT!$K$22:$K$25, "&lt;&gt;Draw", MATCH_INPUT!$K$22:$K$25, "&lt;&gt;""") +
    COUNTIFS(MATCH_INPUT!$J$22:$J$25, BK9, MATCH_INPUT!$K$22:$K$25, "&lt;&gt;"&amp;BK9, MATCH_INPUT!$K$22:$K$25, "&lt;&gt;Draw", MATCH_INPUT!$K$22:$K$25, "&lt;&gt;"""),
0)</f>
        <v>0</v>
      </c>
      <c r="BR9" s="29" t="str">
        <f t="array" ref="BR9">IFERROR(
  INDEX(PLAYER_STAT!E$2:E64, 
    MATCH(1, 
      (PLAYER_STAT!A$2:A64 = MATCH_DATES!$A$7) * (PLAYER_STAT!D$2:D64 = $B9), 
    0)
  ), 
  ""
)
</f>
        <v/>
      </c>
      <c r="BS9" s="29" t="str">
        <f t="array" ref="BS9">IFERROR(
  INDEX(PLAYER_STAT!F$2:F64, 
    MATCH(1, 
      (PLAYER_STAT!A$2:A64 = MATCH_DATES!$A$7) * (PLAYER_STAT!D$2:D64 = $B9), 
    0)
  ), 
  ""
)
</f>
        <v/>
      </c>
      <c r="BT9" s="30" t="str">
        <f t="array" ref="BT9">IFERROR(
  INDEX(PLAYER_STAT!G$2:G64, 
    MATCH(1, 
      (PLAYER_STAT!A$2:A64 = MATCH_DATES!$A$7) * (PLAYER_STAT!D$2:D64 = $B9), 
    0)
  ), 
  ""
)
</f>
        <v/>
      </c>
      <c r="BU9" s="31">
        <f t="shared" si="30"/>
        <v>21</v>
      </c>
      <c r="BV9" s="32" t="str">
        <f t="shared" si="31"/>
        <v>=</v>
      </c>
      <c r="BW9" s="21" t="s">
        <v>213</v>
      </c>
      <c r="BX9" s="33">
        <f t="shared" si="32"/>
        <v>44</v>
      </c>
      <c r="BY9" s="22">
        <f t="shared" si="33"/>
        <v>2</v>
      </c>
      <c r="BZ9" s="22">
        <f>SUM(CA9*2)+(CB9*1) + SUMIFS(MATCH_INPUT!$G$26:$G$29, MATCH_INPUT!$F$26:$F$29, BW9) + SUMIFS(MATCH_INPUT!$I$26:$I$29, MATCH_INPUT!$J$26:$J$29, BW9)
</f>
        <v>14</v>
      </c>
      <c r="CA9" s="22">
        <f>IF(BW9&lt;&gt;"",
    COUNTIFS(MATCH_INPUT!$K$26:$K$29,BW9),
0)</f>
        <v>2</v>
      </c>
      <c r="CB9" s="22">
        <f>IF(BW9&lt;&gt;"",
    COUNTIFS(MATCH_INPUT!$F$26:$F$29, BW9, MATCH_INPUT!$K$26:$K$29, "Draw") +
    COUNTIFS(MATCH_INPUT!$J$26:$J$29, BW9, MATCH_INPUT!$K$26:$K$29, "Draw"),
0)</f>
        <v>0</v>
      </c>
      <c r="CC9" s="22">
        <f>IF(BW9&lt;&gt;"",
    COUNTIFS(MATCH_INPUT!$F$26:$F$29, BW9, MATCH_INPUT!$K$26:$K$29, "&lt;&gt;"&amp;BW9, MATCH_INPUT!$K$26:$K$29, "&lt;&gt;Draw", MATCH_INPUT!$K$26:$K$29, "&lt;&gt;""") +
    COUNTIFS(MATCH_INPUT!$J$26:$J$29, BW9, MATCH_INPUT!$K$26:$K$29, "&lt;&gt;"&amp;BW9, MATCH_INPUT!$K$26:$K$29, "&lt;&gt;Draw", MATCH_INPUT!$K$26:$K$29, "&lt;&gt;"""),
0)</f>
        <v>0</v>
      </c>
      <c r="CD9" s="23">
        <f t="array" ref="CD9">IFERROR(
  INDEX(PLAYER_STAT!E$2:E64, 
    MATCH(1, 
      (PLAYER_STAT!A$2:A64 = MATCH_DATES!$A$8) * (PLAYER_STAT!D$2:D64 = $B9), 
    0)
  ), 
  ""
)
</f>
        <v>0</v>
      </c>
      <c r="CE9" s="23">
        <f t="array" ref="CE9">IFERROR(
  INDEX(PLAYER_STAT!F$2:F64, 
    MATCH(1, 
      (PLAYER_STAT!A$2:A64 = MATCH_DATES!$A$8) * (PLAYER_STAT!D$2:D64 = $B9), 
    0)
  ), 
  ""
)
</f>
        <v>0</v>
      </c>
      <c r="CF9" s="34">
        <f t="array" ref="CF9">IFERROR(
  INDEX(PLAYER_STAT!G$2:G64, 
    MATCH(1, 
      (PLAYER_STAT!A$2:A64 = MATCH_DATES!$A$8) * (PLAYER_STAT!D$2:D64 = $B9), 
    0)
  ), 
  ""
)
</f>
        <v>0</v>
      </c>
      <c r="CG9" s="25">
        <f t="shared" si="34"/>
        <v>9</v>
      </c>
      <c r="CH9" s="26" t="str">
        <f t="shared" si="35"/>
        <v>↑</v>
      </c>
      <c r="CI9" s="27" t="s">
        <v>214</v>
      </c>
      <c r="CJ9" s="28">
        <f t="shared" si="36"/>
        <v>53</v>
      </c>
      <c r="CK9" s="28">
        <f t="shared" si="37"/>
        <v>2</v>
      </c>
      <c r="CL9" s="28">
        <f>SUM(CM9*2)+(CN9*1) + SUMIFS(MATCH_INPUT!$G$30:$G$33, MATCH_INPUT!$F$30:$F$33, CI9) + SUMIFS(MATCH_INPUT!$I$30:$I$33, MATCH_INPUT!$J$30:$J$33, CI9)
</f>
        <v>7</v>
      </c>
      <c r="CM9" s="28">
        <f>IF(CI9&lt;&gt;"",
    COUNTIFS(MATCH_INPUT!$K$30:$K$33,CI9),
0)</f>
        <v>1</v>
      </c>
      <c r="CN9" s="28">
        <f>IF(CI9&lt;&gt;"",
    COUNTIFS(MATCH_INPUT!$F$30:$F$33, CI9, MATCH_INPUT!$K$30:$K$33, "Draw") +
    COUNTIFS(MATCH_INPUT!$J$30:$J$33, CI9, MATCH_INPUT!$K$30:$K$33, "Draw"),
0)</f>
        <v>1</v>
      </c>
      <c r="CO9" s="28">
        <f>IF(CI9&lt;&gt;"",
    COUNTIFS(MATCH_INPUT!$F$30:$F$33, CI9, MATCH_INPUT!$K$30:$K$33, "&lt;&gt;"&amp;CI9, MATCH_INPUT!$K$30:$K$33, "&lt;&gt;Draw", MATCH_INPUT!$K$30:$K$33, "&lt;&gt;""") +
    COUNTIFS(MATCH_INPUT!$J$30:$J$33, CI9, MATCH_INPUT!$K$30:$K$33, "&lt;&gt;"&amp;CI9, MATCH_INPUT!$K$30:$K$33, "&lt;&gt;Draw", MATCH_INPUT!$K$30:$K$33, "&lt;&gt;"""),
0)</f>
        <v>0</v>
      </c>
      <c r="CP9" s="29" t="str">
        <f t="array" ref="CP9">IFERROR(
  INDEX(PLAYER_STAT!E$2:E64, 
    MATCH(1, 
      (PLAYER_STAT!A$2:A64 = MATCH_DATES!$A$9) * (PLAYER_STAT!D$2:D64 = $B9), 
    0)
  ), 
  ""
)
</f>
        <v/>
      </c>
      <c r="CQ9" s="29" t="str">
        <f t="array" ref="CQ9">IFERROR(
  INDEX(PLAYER_STAT!F$2:F64, 
    MATCH(1, 
      (PLAYER_STAT!A$2:A64 = MATCH_DATES!$A$9) * (PLAYER_STAT!D$2:D64 = $B9), 
    0)
  ), 
  ""
)
</f>
        <v/>
      </c>
      <c r="CR9" s="29" t="str">
        <f t="array" ref="CR9">IFERROR(
  INDEX(PLAYER_STAT!G$2:G64, 
    MATCH(1, 
      (PLAYER_STAT!A$2:A64 = MATCH_DATES!$A$9) * (PLAYER_STAT!D$2:D64 = $B9), 
    0)
  ), 
  ""
)
</f>
        <v/>
      </c>
      <c r="CS9" s="35">
        <f t="shared" si="38"/>
        <v>9</v>
      </c>
      <c r="CT9" s="35" t="str">
        <f t="shared" si="39"/>
        <v>=</v>
      </c>
      <c r="CU9" s="36">
        <f t="shared" si="40"/>
        <v>39</v>
      </c>
      <c r="CV9" s="36" t="str">
        <f t="shared" ref="CV9:CW9" si="58">A9</f>
        <v>🍂🎃</v>
      </c>
      <c r="CW9" s="37" t="str">
        <f t="shared" si="58"/>
        <v>Cuñis</v>
      </c>
      <c r="CX9" s="37">
        <f t="shared" si="42"/>
        <v>53</v>
      </c>
      <c r="CY9" s="36">
        <f>SUM(
  IF(AND(MATCH_DATES!$A$2 &lt;= TODAY(), NOW() &gt;= MATCH_DATES!$A$2 + TIME(22, 0, 0)), E9, 0),
  IF(AND(MATCH_DATES!$A$3 &lt;= TODAY(), NOW() &gt;= MATCH_DATES!$A$3 + TIME(22, 0, 0)), Q9, 0),
  IF(AND(MATCH_DATES!$A$4 &lt;= TODAY(), NOW() &gt;= MATCH_DATES!$A$4 + TIME(22, 0, 0)), AC9, 0),
  IF(AND(MATCH_DATES!$A$5 &lt;= TODAY(), NOW() &gt;= MATCH_DATES!$A$5 + TIME(22, 0, 0)), AO9, 0),
  IF(AND(MATCH_DATES!$A$6 &lt;= TODAY(), NOW() &gt;= MATCH_DATES!$A$6 + TIME(22, 0, 0)), BA9, 0),
  IF(AND(MATCH_DATES!$A$7 &lt;= TODAY(), NOW() &gt;= MATCH_DATES!$A$7 + TIME(22, 0, 0)), BM9, 0),
  IF(AND(MATCH_DATES!$A$8 &lt;= TODAY(), NOW() &gt;= MATCH_DATES!$A$8 + TIME(22, 0, 0)), BY9, 0),
  IF(AND(MATCH_DATES!$A$9 &lt;= TODAY(), NOW() &gt;= MATCH_DATES!$A$9 + TIME(22, 0, 0)), CK9, 0)
)
</f>
        <v>14</v>
      </c>
      <c r="CZ9" s="37">
        <f t="shared" ref="CZ9:DA9" si="59">SUM(G9,S9,AE9,AQ9,BC9,BO9,CA9,CM9)</f>
        <v>9</v>
      </c>
      <c r="DA9" s="37">
        <f t="shared" si="59"/>
        <v>3</v>
      </c>
      <c r="DB9" s="37">
        <f>SUM(
  IF(AND(MATCH_DATES!$A$2 &lt;= TODAY(), NOW() &gt;= MATCH_DATES!$A$2 + TIME(22, 0, 0)), I9, 0),
  IF(AND(MATCH_DATES!$A$3 &lt;= TODAY(), NOW() &gt;= MATCH_DATES!$A$3 + TIME(22, 0, 0)), U9, 0),
  IF(AND(MATCH_DATES!$A$4 &lt;= TODAY(), NOW() &gt;= MATCH_DATES!$A$4 + TIME(22, 0, 0)), AG9, 0),
  IF(AND(MATCH_DATES!$A$5 &lt;= TODAY(), NOW() &gt;= MATCH_DATES!$A$5 + TIME(22, 0, 0)), AS9, 0),
  IF(AND(MATCH_DATES!$A$6 &lt;= TODAY(), NOW() &gt;= MATCH_DATES!$A$6 + TIME(22, 0, 0)), BE9, 0),
  IF(AND(MATCH_DATES!$A$7 &lt;= TODAY(), NOW() &gt;= MATCH_DATES!$A$7 + TIME(22, 0, 0)), BQ9, 0),
  IF(AND(MATCH_DATES!$A$8 &lt;= TODAY(), NOW() &gt;= MATCH_DATES!$A$8 + TIME(22, 0, 0)), CC9, 0),
  IF(AND(MATCH_DATES!$A$9 &lt;= TODAY(), NOW() &gt;= MATCH_DATES!$A$9 + TIME(22, 0, 0)), CO9, 0)
)</f>
        <v>2</v>
      </c>
      <c r="DC9" s="37">
        <f t="shared" si="44"/>
        <v>0</v>
      </c>
      <c r="DD9" s="37">
        <f t="shared" ref="DD9:DE9" si="60">SUM(K9,W9,AI9,AU9,BG9,BS9,CE9,CQ9)</f>
        <v>0</v>
      </c>
      <c r="DE9" s="37">
        <f t="shared" si="60"/>
        <v>0</v>
      </c>
    </row>
    <row r="10" ht="24.75" customHeight="1">
      <c r="A10" s="19" t="s">
        <v>210</v>
      </c>
      <c r="B10" s="20" t="s">
        <v>220</v>
      </c>
      <c r="C10" s="21" t="s">
        <v>212</v>
      </c>
      <c r="D10" s="22">
        <f t="shared" si="4"/>
        <v>4</v>
      </c>
      <c r="E10" s="22">
        <f t="shared" si="5"/>
        <v>2</v>
      </c>
      <c r="F10" s="22">
        <f t="shared" si="6"/>
        <v>2</v>
      </c>
      <c r="G10" s="22">
        <f>IF(C10&lt;&gt;"",
    COUNTIFS(MATCH_INPUT!$K$2:$K$5,C10),
0)</f>
        <v>1</v>
      </c>
      <c r="H10" s="22">
        <f>IF(C10&lt;&gt;"",
    COUNTIFS(MATCH_INPUT!$F$2:$F$5, C10, MATCH_INPUT!$K$2:$K$5, "Draw") +
    COUNTIFS(MATCH_INPUT!$J$2:$J$5, C10, MATCH_INPUT!$K$2:$K$5, "Draw"),
0)</f>
        <v>0</v>
      </c>
      <c r="I10" s="22">
        <f>IF(C10&lt;&gt;"",
    COUNTIFS(MATCH_INPUT!$F$2:$F$5, C10, MATCH_INPUT!$K$2:$K$5, "&lt;&gt;"&amp;C10, MATCH_INPUT!$K$2:$K$5, "&lt;&gt;Draw", MATCH_INPUT!$K$2:$K$5, "&lt;&gt;""") +
    COUNTIFS(MATCH_INPUT!$J$2:$J$5, C10, MATCH_INPUT!$K$2:$K$5, "&lt;&gt;"&amp;C10, MATCH_INPUT!$K$2:$K$5, "&lt;&gt;Draw", MATCH_INPUT!$K$2:$K$5, "&lt;&gt;"""),
0)</f>
        <v>1</v>
      </c>
      <c r="J10" s="23" t="str">
        <f t="array" ref="J10">IFERROR(
  INDEX(PLAYER_STAT!E$2:E64, 
    MATCH(1, 
      (PLAYER_STAT!A$2:A64 = MATCH_DATES!$A$2) * (PLAYER_STAT!D$2:D64 = $B10), 
    0)
  ), 
  ""
)
</f>
        <v/>
      </c>
      <c r="K10" s="23" t="str">
        <f t="array" ref="K10">IFERROR(
  INDEX(PLAYER_STAT!F$2:F64, 
    MATCH(1, 
      (PLAYER_STAT!A$2:A64 = MATCH_DATES!$A$2) * (PLAYER_STAT!D$2:D64 = $B10), 
    0)
  ), 
  ""
)
</f>
        <v/>
      </c>
      <c r="L10" s="24" t="str">
        <f t="array" ref="L10">IFERROR(
  INDEX(PLAYER_STAT!G$2:G64, 
    MATCH(1, 
      (PLAYER_STAT!A$2:A64 = MATCH_DATES!$A$2) * (PLAYER_STAT!D$2:D64 = $B10), 
    0)
  ), 
  ""
)
</f>
        <v/>
      </c>
      <c r="M10" s="25">
        <f t="shared" si="7"/>
        <v>11</v>
      </c>
      <c r="N10" s="26" t="str">
        <f t="shared" si="8"/>
        <v>↓</v>
      </c>
      <c r="O10" s="27" t="s">
        <v>212</v>
      </c>
      <c r="P10" s="28">
        <f t="shared" si="9"/>
        <v>7</v>
      </c>
      <c r="Q10" s="28">
        <f t="shared" si="10"/>
        <v>2</v>
      </c>
      <c r="R10" s="28">
        <f t="shared" si="11"/>
        <v>1</v>
      </c>
      <c r="S10" s="28">
        <f>IF(O10&lt;&gt;"",
    COUNTIFS(MATCH_INPUT!$K$6:$K$9,O10),
0)</f>
        <v>0</v>
      </c>
      <c r="T10" s="28">
        <f>IF(O10&lt;&gt;"",
    COUNTIFS(MATCH_INPUT!$F$6:$F$9, O10, MATCH_INPUT!$K$6:$K$9, "Draw") +
    COUNTIFS(MATCH_INPUT!$J$6:$J$9, O10, MATCH_INPUT!$K$6:$K$9, "Draw"),
0)</f>
        <v>1</v>
      </c>
      <c r="U10" s="28">
        <f>IF(O10&lt;&gt;"",
    COUNTIFS(MATCH_INPUT!$F$6:$F$9, O10, MATCH_INPUT!$K$6:$K$9, "&lt;&gt;"&amp;O10, MATCH_INPUT!$K$6:$K$9, "&lt;&gt;Draw", MATCH_INPUT!$K$6:$K$9, "&lt;&gt;""") +
    COUNTIFS(MATCH_INPUT!$J$6:$J$9, O10, MATCH_INPUT!$K$6:$K$9, "&lt;&gt;"&amp;O10, MATCH_INPUT!$K$6:$K$9, "&lt;&gt;Draw", MATCH_INPUT!$K$6:$K$9, "&lt;&gt;"""),
0)</f>
        <v>1</v>
      </c>
      <c r="V10" s="29" t="str">
        <f t="array" ref="V10">IFERROR(
  INDEX(PLAYER_STAT!E$2:E64, 
    MATCH(1, 
      (PLAYER_STAT!A$2:A64 = MATCH_DATES!$A$3) * (PLAYER_STAT!D$2:D64 = $B10), 
    0)
  ), 
  ""
)
</f>
        <v/>
      </c>
      <c r="W10" s="29" t="str">
        <f t="array" ref="W10">IFERROR(
  INDEX(PLAYER_STAT!F$2:F64, 
    MATCH(1, 
      (PLAYER_STAT!A$2:A64 = MATCH_DATES!$A$3) * (PLAYER_STAT!D$2:D64 = $B10), 
    0)
  ), 
  ""
)
</f>
        <v/>
      </c>
      <c r="X10" s="30" t="str">
        <f t="array" ref="X10">IFERROR(
  INDEX(PLAYER_STAT!G$2:G64, 
    MATCH(1, 
      (PLAYER_STAT!A$2:A64 = MATCH_DATES!$A$3) * (PLAYER_STAT!D$2:D64 = $B10), 
    0)
  ), 
  ""
)
</f>
        <v/>
      </c>
      <c r="Y10" s="31">
        <f t="shared" si="12"/>
        <v>20</v>
      </c>
      <c r="Z10" s="32" t="str">
        <f t="shared" si="13"/>
        <v>↓</v>
      </c>
      <c r="AA10" s="21" t="s">
        <v>213</v>
      </c>
      <c r="AB10" s="33">
        <f t="shared" si="14"/>
        <v>11</v>
      </c>
      <c r="AC10" s="22">
        <f t="shared" si="15"/>
        <v>2</v>
      </c>
      <c r="AD10" s="22">
        <f t="shared" si="16"/>
        <v>2</v>
      </c>
      <c r="AE10" s="22">
        <f>IF(AA10&lt;&gt;"",
    COUNTIFS(MATCH_INPUT!$K$10:$K$13,AA10),
0)</f>
        <v>1</v>
      </c>
      <c r="AF10" s="22">
        <f>IF(AA10&lt;&gt;"",
    COUNTIFS(MATCH_INPUT!$F$10:$F$13, AA10, MATCH_INPUT!$K$10:$K$13, "Draw") +
    COUNTIFS(MATCH_INPUT!$J$10:$J$13, AA10, MATCH_INPUT!$K$10:$K$13, "Draw"),
0)</f>
        <v>0</v>
      </c>
      <c r="AG10" s="22">
        <f>IF(AA10&lt;&gt;"",
    COUNTIFS(MATCH_INPUT!$F$10:$F$13, AA10, MATCH_INPUT!$K$10:$K$13, "&lt;&gt;"&amp;AA10, MATCH_INPUT!$K$10:$K$13, "&lt;&gt;Draw", MATCH_INPUT!$K$10:$K$13, "&lt;&gt;""") +
    COUNTIFS(MATCH_INPUT!$J$10:$J$13, AA10, MATCH_INPUT!$K$10:$K$13, "&lt;&gt;"&amp;AA10, MATCH_INPUT!$K$10:$K$13, "&lt;&gt;Draw", MATCH_INPUT!$K$10:$K$13, "&lt;&gt;"""),
0)</f>
        <v>1</v>
      </c>
      <c r="AH10" s="23" t="str">
        <f t="array" ref="AH10">IFERROR(
  INDEX(PLAYER_STAT!E$2:E64, 
    MATCH(1, 
      (PLAYER_STAT!A$2:A64 = MATCH_DATES!$A$4) * (PLAYER_STAT!D$2:D64 = $B10), 
    0)
  ), 
  ""
)
</f>
        <v/>
      </c>
      <c r="AI10" s="23" t="str">
        <f t="array" ref="AI10">IFERROR(
  INDEX(PLAYER_STAT!F$2:F64, 
    MATCH(1, 
      (PLAYER_STAT!A$2:A64 = MATCH_DATES!$A$4) * (PLAYER_STAT!D$2:D64 = $B10), 
    0)
  ), 
  ""
)
</f>
        <v/>
      </c>
      <c r="AJ10" s="34" t="str">
        <f t="array" ref="AJ10">IFERROR(
  INDEX(PLAYER_STAT!G$2:G64, 
    MATCH(1, 
      (PLAYER_STAT!A$2:A64 = MATCH_DATES!$A$4) * (PLAYER_STAT!D$2:D64 = $B10), 
    0)
  ), 
  ""
)
</f>
        <v/>
      </c>
      <c r="AK10" s="25">
        <f t="shared" si="17"/>
        <v>21</v>
      </c>
      <c r="AL10" s="26" t="str">
        <f t="shared" si="18"/>
        <v>↓</v>
      </c>
      <c r="AM10" s="27"/>
      <c r="AN10" s="28">
        <f t="shared" si="19"/>
        <v>11</v>
      </c>
      <c r="AO10" s="28">
        <f t="shared" si="20"/>
        <v>0</v>
      </c>
      <c r="AP10" s="28">
        <f t="shared" si="21"/>
        <v>0</v>
      </c>
      <c r="AQ10" s="28">
        <f>IF(AM10&lt;&gt;"",
    COUNTIFS(MATCH_INPUT!$K$14:$K$17,AM10),
0)</f>
        <v>0</v>
      </c>
      <c r="AR10" s="28">
        <f>IF(AM10&lt;&gt;"",
    COUNTIFS(MATCH_INPUT!$F$14:$F$17, AM10, MATCH_INPUT!$K$14:$K$17, "Draw") +
    COUNTIFS(MATCH_INPUT!$J$14:$J$17, AM10, MATCH_INPUT!$K$14:$K$17, "Draw"),
0)</f>
        <v>0</v>
      </c>
      <c r="AS10" s="28">
        <f>IF(AM10&lt;&gt;"",
    COUNTIFS(MATCH_INPUT!$F$14:$F$17, AM10, MATCH_INPUT!$K$14:$K$17, "&lt;&gt;"&amp;AM10, MATCH_INPUT!$K$14:$K$17, "&lt;&gt;Draw", MATCH_INPUT!$K$14:$K$17, "&lt;&gt;""") +
    COUNTIFS(MATCH_INPUT!$J$14:$J$17, AM10, MATCH_INPUT!$K$14:$K$17, "&lt;&gt;"&amp;AM10, MATCH_INPUT!$K$14:$K$17, "&lt;&gt;Draw", MATCH_INPUT!$K$14:$K$17, "&lt;&gt;"""),
0)</f>
        <v>0</v>
      </c>
      <c r="AT10" s="29" t="str">
        <f t="array" ref="AT10">IFERROR(
  INDEX(PLAYER_STAT!E$2:E64, 
    MATCH(1, 
      (PLAYER_STAT!A$2:A64 = MATCH_DATES!$A$5) * (PLAYER_STAT!D$2:D64 = $B10), 
    0)
  ), 
  ""
)
</f>
        <v/>
      </c>
      <c r="AU10" s="29" t="str">
        <f t="array" ref="AU10">IFERROR(
  INDEX(PLAYER_STAT!F$2:F64, 
    MATCH(1, 
      (PLAYER_STAT!A$2:A64 = MATCH_DATES!$A$5) * (PLAYER_STAT!D$2:D64 = $B10), 
    0)
  ), 
  ""
)
</f>
        <v/>
      </c>
      <c r="AV10" s="30" t="str">
        <f t="array" ref="AV10">IFERROR(
  INDEX(PLAYER_STAT!G$2:G64, 
    MATCH(1, 
      (PLAYER_STAT!A$2:A64 = MATCH_DATES!$A$5) * (PLAYER_STAT!D$2:D64 = $B10), 
    0)
  ), 
  ""
)
</f>
        <v/>
      </c>
      <c r="AW10" s="31">
        <f t="shared" si="22"/>
        <v>29</v>
      </c>
      <c r="AX10" s="32" t="str">
        <f t="shared" si="23"/>
        <v>↓</v>
      </c>
      <c r="AY10" s="21" t="s">
        <v>213</v>
      </c>
      <c r="AZ10" s="33">
        <f t="shared" si="24"/>
        <v>15</v>
      </c>
      <c r="BA10" s="22">
        <f t="shared" si="25"/>
        <v>2</v>
      </c>
      <c r="BB10" s="22">
        <f>SUM(BC10*2) + (BD10*1) + SUMIFS(MATCH_INPUT!$G$18:$G$21, MATCH_INPUT!$F$18:$F$21, AY10) + SUMIFS(MATCH_INPUT!$I$18:$I$21, MATCH_INPUT!$J$18:$J$21, AY10)
</f>
        <v>2</v>
      </c>
      <c r="BC10" s="22">
        <f>IF(AY10&lt;&gt;"",
    COUNTIFS(MATCH_INPUT!$K$18:$K$21,AY10),
0)</f>
        <v>0</v>
      </c>
      <c r="BD10" s="22">
        <f>IF(AY10&lt;&gt;"",
    COUNTIFS(MATCH_INPUT!$F$18:$F$21, AY10, MATCH_INPUT!$K$18:$K$21, "Draw") +
    COUNTIFS(MATCH_INPUT!$J$18:$J$21, AY10, MATCH_INPUT!$K$18:$K$21, "Draw"),
0)</f>
        <v>1</v>
      </c>
      <c r="BE10" s="22">
        <f>IF(AY10&lt;&gt;"",
    COUNTIFS(MATCH_INPUT!$F$18:$F$21, AY10, MATCH_INPUT!$K$18:$K$21, "&lt;&gt;"&amp;AY10, MATCH_INPUT!$K$18:$K$21, "&lt;&gt;Draw", MATCH_INPUT!$K$18:$K$21, "&lt;&gt;""") +
    COUNTIFS(MATCH_INPUT!$J$18:$J$21, AY10, MATCH_INPUT!$K$18:$K$21, "&lt;&gt;"&amp;AY10, MATCH_INPUT!$K$18:$K$21, "&lt;&gt;Draw", MATCH_INPUT!$K$18:$K$21, "&lt;&gt;"""),
0)</f>
        <v>1</v>
      </c>
      <c r="BF10" s="23" t="str">
        <f t="array" ref="BF10">IFERROR(
  INDEX(PLAYER_STAT!E$2:E64, 
    MATCH(1, 
      (PLAYER_STAT!A$2:A64 = MATCH_DATES!$A$6) * (PLAYER_STAT!D$2:D64 = $B10), 
    0)
  ), 
  ""
)
</f>
        <v/>
      </c>
      <c r="BG10" s="23" t="str">
        <f t="array" ref="BG10">IFERROR(
  INDEX(PLAYER_STAT!F$2:F64, 
    MATCH(1, 
      (PLAYER_STAT!A$2:A64 = MATCH_DATES!$A$6) * (PLAYER_STAT!D$2:D64 = $B10), 
    0)
  ), 
  ""
)
</f>
        <v/>
      </c>
      <c r="BH10" s="34" t="str">
        <f t="array" ref="BH10">IFERROR(
  INDEX(PLAYER_STAT!G$2:G64, 
    MATCH(1, 
      (PLAYER_STAT!A$2:A64 = MATCH_DATES!$A$6) * (PLAYER_STAT!D$2:D64 = $B10), 
    0)
  ), 
  ""
)
</f>
        <v/>
      </c>
      <c r="BI10" s="25">
        <f t="shared" si="26"/>
        <v>31</v>
      </c>
      <c r="BJ10" s="26" t="str">
        <f t="shared" si="27"/>
        <v>↓</v>
      </c>
      <c r="BK10" s="27" t="s">
        <v>212</v>
      </c>
      <c r="BL10" s="28">
        <f t="shared" si="28"/>
        <v>17</v>
      </c>
      <c r="BM10" s="28">
        <f t="shared" si="29"/>
        <v>2</v>
      </c>
      <c r="BN10" s="28">
        <f>SUM(BO10*2) + (BP10*1) + SUMIFS(MATCH_INPUT!$G$22:$G$25, MATCH_INPUT!$F$22:$F$25, BK10) + SUMIFS(MATCH_INPUT!$I$22:$I$25, MATCH_INPUT!$J$22:$J$25, BK10)
</f>
        <v>0</v>
      </c>
      <c r="BO10" s="28">
        <f>IF(BK10&lt;&gt;"",
    COUNTIFS(MATCH_INPUT!$K$22:$K$25,BK10),
0)</f>
        <v>0</v>
      </c>
      <c r="BP10" s="28">
        <f>IF(BK10&lt;&gt;"",
    COUNTIFS(MATCH_INPUT!$F$22:$F$25, BK10, MATCH_INPUT!$K$22:$K$25, "Draw") +
    COUNTIFS(MATCH_INPUT!$J$22:$J$25, BK10, MATCH_INPUT!$K$22:$K$25, "Draw"),
0)</f>
        <v>0</v>
      </c>
      <c r="BQ10" s="28">
        <f>IF(BK10&lt;&gt;"",
    COUNTIFS(MATCH_INPUT!$F$22:$F$25, BK10, MATCH_INPUT!$K$22:$K$25, "&lt;&gt;"&amp;BK10, MATCH_INPUT!$K$22:$K$25, "&lt;&gt;Draw", MATCH_INPUT!$K$22:$K$25, "&lt;&gt;""") +
    COUNTIFS(MATCH_INPUT!$J$22:$J$25, BK10, MATCH_INPUT!$K$22:$K$25, "&lt;&gt;"&amp;BK10, MATCH_INPUT!$K$22:$K$25, "&lt;&gt;Draw", MATCH_INPUT!$K$22:$K$25, "&lt;&gt;"""),
0)</f>
        <v>2</v>
      </c>
      <c r="BR10" s="29" t="str">
        <f t="array" ref="BR10">IFERROR(
  INDEX(PLAYER_STAT!E$2:E64, 
    MATCH(1, 
      (PLAYER_STAT!A$2:A64 = MATCH_DATES!$A$7) * (PLAYER_STAT!D$2:D64 = $B10), 
    0)
  ), 
  ""
)
</f>
        <v/>
      </c>
      <c r="BS10" s="29" t="str">
        <f t="array" ref="BS10">IFERROR(
  INDEX(PLAYER_STAT!F$2:F64, 
    MATCH(1, 
      (PLAYER_STAT!A$2:A64 = MATCH_DATES!$A$7) * (PLAYER_STAT!D$2:D64 = $B10), 
    0)
  ), 
  ""
)
</f>
        <v/>
      </c>
      <c r="BT10" s="30" t="str">
        <f t="array" ref="BT10">IFERROR(
  INDEX(PLAYER_STAT!G$2:G64, 
    MATCH(1, 
      (PLAYER_STAT!A$2:A64 = MATCH_DATES!$A$7) * (PLAYER_STAT!D$2:D64 = $B10), 
    0)
  ), 
  ""
)
</f>
        <v/>
      </c>
      <c r="BU10" s="31">
        <f t="shared" si="30"/>
        <v>33</v>
      </c>
      <c r="BV10" s="32" t="str">
        <f t="shared" si="31"/>
        <v>↓</v>
      </c>
      <c r="BW10" s="21" t="s">
        <v>212</v>
      </c>
      <c r="BX10" s="33">
        <f t="shared" si="32"/>
        <v>25</v>
      </c>
      <c r="BY10" s="22">
        <f t="shared" si="33"/>
        <v>2</v>
      </c>
      <c r="BZ10" s="22">
        <f>SUM(CA10*2)+(CB10*1) + SUMIFS(MATCH_INPUT!$G$26:$G$29, MATCH_INPUT!$F$26:$F$29, BW10) + SUMIFS(MATCH_INPUT!$I$26:$I$29, MATCH_INPUT!$J$26:$J$29, BW10)
</f>
        <v>6</v>
      </c>
      <c r="CA10" s="22">
        <f>IF(BW10&lt;&gt;"",
    COUNTIFS(MATCH_INPUT!$K$26:$K$29,BW10),
0)</f>
        <v>1</v>
      </c>
      <c r="CB10" s="22">
        <f>IF(BW10&lt;&gt;"",
    COUNTIFS(MATCH_INPUT!$F$26:$F$29, BW10, MATCH_INPUT!$K$26:$K$29, "Draw") +
    COUNTIFS(MATCH_INPUT!$J$26:$J$29, BW10, MATCH_INPUT!$K$26:$K$29, "Draw"),
0)</f>
        <v>1</v>
      </c>
      <c r="CC10" s="22">
        <f>IF(BW10&lt;&gt;"",
    COUNTIFS(MATCH_INPUT!$F$26:$F$29, BW10, MATCH_INPUT!$K$26:$K$29, "&lt;&gt;"&amp;BW10, MATCH_INPUT!$K$26:$K$29, "&lt;&gt;Draw", MATCH_INPUT!$K$26:$K$29, "&lt;&gt;""") +
    COUNTIFS(MATCH_INPUT!$J$26:$J$29, BW10, MATCH_INPUT!$K$26:$K$29, "&lt;&gt;"&amp;BW10, MATCH_INPUT!$K$26:$K$29, "&lt;&gt;Draw", MATCH_INPUT!$K$26:$K$29, "&lt;&gt;"""),
0)</f>
        <v>0</v>
      </c>
      <c r="CD10" s="23" t="str">
        <f t="array" ref="CD10">IFERROR(
  INDEX(PLAYER_STAT!E$2:E64, 
    MATCH(1, 
      (PLAYER_STAT!A$2:A64 = MATCH_DATES!$A$8) * (PLAYER_STAT!D$2:D64 = $B10), 
    0)
  ), 
  ""
)
</f>
        <v/>
      </c>
      <c r="CE10" s="23" t="str">
        <f t="array" ref="CE10">IFERROR(
  INDEX(PLAYER_STAT!F$2:F64, 
    MATCH(1, 
      (PLAYER_STAT!A$2:A64 = MATCH_DATES!$A$8) * (PLAYER_STAT!D$2:D64 = $B10), 
    0)
  ), 
  ""
)
</f>
        <v/>
      </c>
      <c r="CF10" s="34" t="str">
        <f t="array" ref="CF10">IFERROR(
  INDEX(PLAYER_STAT!G$2:G64, 
    MATCH(1, 
      (PLAYER_STAT!A$2:A64 = MATCH_DATES!$A$8) * (PLAYER_STAT!D$2:D64 = $B10), 
    0)
  ), 
  ""
)
</f>
        <v/>
      </c>
      <c r="CG10" s="25">
        <f t="shared" si="34"/>
        <v>32</v>
      </c>
      <c r="CH10" s="26" t="str">
        <f t="shared" si="35"/>
        <v>↑</v>
      </c>
      <c r="CI10" s="27" t="s">
        <v>214</v>
      </c>
      <c r="CJ10" s="28">
        <f t="shared" si="36"/>
        <v>34</v>
      </c>
      <c r="CK10" s="28">
        <f t="shared" si="37"/>
        <v>2</v>
      </c>
      <c r="CL10" s="28">
        <f>SUM(CM10*2)+(CN10*1) + SUMIFS(MATCH_INPUT!$G$30:$G$33, MATCH_INPUT!$F$30:$F$33, CI10) + SUMIFS(MATCH_INPUT!$I$30:$I$33, MATCH_INPUT!$J$30:$J$33, CI10)
</f>
        <v>7</v>
      </c>
      <c r="CM10" s="28">
        <f>IF(CI10&lt;&gt;"",
    COUNTIFS(MATCH_INPUT!$K$30:$K$33,CI10),
0)</f>
        <v>1</v>
      </c>
      <c r="CN10" s="28">
        <f>IF(CI10&lt;&gt;"",
    COUNTIFS(MATCH_INPUT!$F$30:$F$33, CI10, MATCH_INPUT!$K$30:$K$33, "Draw") +
    COUNTIFS(MATCH_INPUT!$J$30:$J$33, CI10, MATCH_INPUT!$K$30:$K$33, "Draw"),
0)</f>
        <v>1</v>
      </c>
      <c r="CO10" s="28">
        <f>IF(CI10&lt;&gt;"",
    COUNTIFS(MATCH_INPUT!$F$30:$F$33, CI10, MATCH_INPUT!$K$30:$K$33, "&lt;&gt;"&amp;CI10, MATCH_INPUT!$K$30:$K$33, "&lt;&gt;Draw", MATCH_INPUT!$K$30:$K$33, "&lt;&gt;""") +
    COUNTIFS(MATCH_INPUT!$J$30:$J$33, CI10, MATCH_INPUT!$K$30:$K$33, "&lt;&gt;"&amp;CI10, MATCH_INPUT!$K$30:$K$33, "&lt;&gt;Draw", MATCH_INPUT!$K$30:$K$33, "&lt;&gt;"""),
0)</f>
        <v>0</v>
      </c>
      <c r="CP10" s="29" t="str">
        <f t="array" ref="CP10">IFERROR(
  INDEX(PLAYER_STAT!E$2:E64, 
    MATCH(1, 
      (PLAYER_STAT!A$2:A64 = MATCH_DATES!$A$9) * (PLAYER_STAT!D$2:D64 = $B10), 
    0)
  ), 
  ""
)
</f>
        <v/>
      </c>
      <c r="CQ10" s="29" t="str">
        <f t="array" ref="CQ10">IFERROR(
  INDEX(PLAYER_STAT!F$2:F64, 
    MATCH(1, 
      (PLAYER_STAT!A$2:A64 = MATCH_DATES!$A$9) * (PLAYER_STAT!D$2:D64 = $B10), 
    0)
  ), 
  ""
)
</f>
        <v/>
      </c>
      <c r="CR10" s="29" t="str">
        <f t="array" ref="CR10">IFERROR(
  INDEX(PLAYER_STAT!G$2:G64, 
    MATCH(1, 
      (PLAYER_STAT!A$2:A64 = MATCH_DATES!$A$9) * (PLAYER_STAT!D$2:D64 = $B10), 
    0)
  ), 
  ""
)
</f>
        <v/>
      </c>
      <c r="CS10" s="35">
        <f t="shared" si="38"/>
        <v>30</v>
      </c>
      <c r="CT10" s="35" t="str">
        <f t="shared" si="39"/>
        <v>↑</v>
      </c>
      <c r="CU10" s="36">
        <f t="shared" si="40"/>
        <v>20</v>
      </c>
      <c r="CV10" s="36" t="str">
        <f t="shared" ref="CV10:CW10" si="61">A10</f>
        <v>🍂🎃</v>
      </c>
      <c r="CW10" s="37" t="str">
        <f t="shared" si="61"/>
        <v>David</v>
      </c>
      <c r="CX10" s="37">
        <f t="shared" si="42"/>
        <v>34</v>
      </c>
      <c r="CY10" s="36">
        <f>SUM(
  IF(AND(MATCH_DATES!$A$2 &lt;= TODAY(), NOW() &gt;= MATCH_DATES!$A$2 + TIME(22, 0, 0)), E10, 0),
  IF(AND(MATCH_DATES!$A$3 &lt;= TODAY(), NOW() &gt;= MATCH_DATES!$A$3 + TIME(22, 0, 0)), Q10, 0),
  IF(AND(MATCH_DATES!$A$4 &lt;= TODAY(), NOW() &gt;= MATCH_DATES!$A$4 + TIME(22, 0, 0)), AC10, 0),
  IF(AND(MATCH_DATES!$A$5 &lt;= TODAY(), NOW() &gt;= MATCH_DATES!$A$5 + TIME(22, 0, 0)), AO10, 0),
  IF(AND(MATCH_DATES!$A$6 &lt;= TODAY(), NOW() &gt;= MATCH_DATES!$A$6 + TIME(22, 0, 0)), BA10, 0),
  IF(AND(MATCH_DATES!$A$7 &lt;= TODAY(), NOW() &gt;= MATCH_DATES!$A$7 + TIME(22, 0, 0)), BM10, 0),
  IF(AND(MATCH_DATES!$A$8 &lt;= TODAY(), NOW() &gt;= MATCH_DATES!$A$8 + TIME(22, 0, 0)), BY10, 0),
  IF(AND(MATCH_DATES!$A$9 &lt;= TODAY(), NOW() &gt;= MATCH_DATES!$A$9 + TIME(22, 0, 0)), CK10, 0)
)
</f>
        <v>14</v>
      </c>
      <c r="CZ10" s="37">
        <f t="shared" ref="CZ10:DA10" si="62">SUM(G10,S10,AE10,AQ10,BC10,BO10,CA10,CM10)</f>
        <v>4</v>
      </c>
      <c r="DA10" s="37">
        <f t="shared" si="62"/>
        <v>4</v>
      </c>
      <c r="DB10" s="37">
        <f>SUM(
  IF(AND(MATCH_DATES!$A$2 &lt;= TODAY(), NOW() &gt;= MATCH_DATES!$A$2 + TIME(22, 0, 0)), I10, 0),
  IF(AND(MATCH_DATES!$A$3 &lt;= TODAY(), NOW() &gt;= MATCH_DATES!$A$3 + TIME(22, 0, 0)), U10, 0),
  IF(AND(MATCH_DATES!$A$4 &lt;= TODAY(), NOW() &gt;= MATCH_DATES!$A$4 + TIME(22, 0, 0)), AG10, 0),
  IF(AND(MATCH_DATES!$A$5 &lt;= TODAY(), NOW() &gt;= MATCH_DATES!$A$5 + TIME(22, 0, 0)), AS10, 0),
  IF(AND(MATCH_DATES!$A$6 &lt;= TODAY(), NOW() &gt;= MATCH_DATES!$A$6 + TIME(22, 0, 0)), BE10, 0),
  IF(AND(MATCH_DATES!$A$7 &lt;= TODAY(), NOW() &gt;= MATCH_DATES!$A$7 + TIME(22, 0, 0)), BQ10, 0),
  IF(AND(MATCH_DATES!$A$8 &lt;= TODAY(), NOW() &gt;= MATCH_DATES!$A$8 + TIME(22, 0, 0)), CC10, 0),
  IF(AND(MATCH_DATES!$A$9 &lt;= TODAY(), NOW() &gt;= MATCH_DATES!$A$9 + TIME(22, 0, 0)), CO10, 0)
)</f>
        <v>6</v>
      </c>
      <c r="DC10" s="37">
        <f t="shared" si="44"/>
        <v>0</v>
      </c>
      <c r="DD10" s="37">
        <f t="shared" ref="DD10:DE10" si="63">SUM(K10,W10,AI10,AU10,BG10,BS10,CE10,CQ10)</f>
        <v>0</v>
      </c>
      <c r="DE10" s="37">
        <f t="shared" si="63"/>
        <v>0</v>
      </c>
    </row>
    <row r="11" ht="24.75" customHeight="1">
      <c r="A11" s="19" t="s">
        <v>210</v>
      </c>
      <c r="B11" s="38" t="s">
        <v>221</v>
      </c>
      <c r="C11" s="21" t="s">
        <v>215</v>
      </c>
      <c r="D11" s="22">
        <f t="shared" si="4"/>
        <v>2</v>
      </c>
      <c r="E11" s="22">
        <f t="shared" si="5"/>
        <v>2</v>
      </c>
      <c r="F11" s="22">
        <f t="shared" si="6"/>
        <v>0</v>
      </c>
      <c r="G11" s="22">
        <f>IF(C11&lt;&gt;"",
    COUNTIFS(MATCH_INPUT!$K$2:$K$5,C11),
0)</f>
        <v>0</v>
      </c>
      <c r="H11" s="22">
        <f>IF(C11&lt;&gt;"",
    COUNTIFS(MATCH_INPUT!$F$2:$F$5, C11, MATCH_INPUT!$K$2:$K$5, "Draw") +
    COUNTIFS(MATCH_INPUT!$J$2:$J$5, C11, MATCH_INPUT!$K$2:$K$5, "Draw"),
0)</f>
        <v>0</v>
      </c>
      <c r="I11" s="22">
        <f>IF(C11&lt;&gt;"",
    COUNTIFS(MATCH_INPUT!$F$2:$F$5, C11, MATCH_INPUT!$K$2:$K$5, "&lt;&gt;"&amp;C11, MATCH_INPUT!$K$2:$K$5, "&lt;&gt;Draw", MATCH_INPUT!$K$2:$K$5, "&lt;&gt;""") +
    COUNTIFS(MATCH_INPUT!$J$2:$J$5, C11, MATCH_INPUT!$K$2:$K$5, "&lt;&gt;"&amp;C11, MATCH_INPUT!$K$2:$K$5, "&lt;&gt;Draw", MATCH_INPUT!$K$2:$K$5, "&lt;&gt;"""),
0)</f>
        <v>2</v>
      </c>
      <c r="J11" s="23" t="str">
        <f t="array" ref="J11">IFERROR(
  INDEX(PLAYER_STAT!E$2:E64, 
    MATCH(1, 
      (PLAYER_STAT!A$2:A64 = MATCH_DATES!$A$2) * (PLAYER_STAT!D$2:D64 = $B11), 
    0)
  ), 
  ""
)
</f>
        <v/>
      </c>
      <c r="K11" s="23" t="str">
        <f t="array" ref="K11">IFERROR(
  INDEX(PLAYER_STAT!F$2:F64, 
    MATCH(1, 
      (PLAYER_STAT!A$2:A64 = MATCH_DATES!$A$2) * (PLAYER_STAT!D$2:D64 = $B11), 
    0)
  ), 
  ""
)
</f>
        <v/>
      </c>
      <c r="L11" s="24" t="str">
        <f t="array" ref="L11">IFERROR(
  INDEX(PLAYER_STAT!G$2:G64, 
    MATCH(1, 
      (PLAYER_STAT!A$2:A64 = MATCH_DATES!$A$2) * (PLAYER_STAT!D$2:D64 = $B11), 
    0)
  ), 
  ""
)
</f>
        <v/>
      </c>
      <c r="M11" s="25">
        <f t="shared" si="7"/>
        <v>26</v>
      </c>
      <c r="N11" s="26" t="str">
        <f t="shared" si="8"/>
        <v>↓</v>
      </c>
      <c r="O11" s="27" t="s">
        <v>212</v>
      </c>
      <c r="P11" s="28">
        <f t="shared" si="9"/>
        <v>5</v>
      </c>
      <c r="Q11" s="28">
        <f t="shared" si="10"/>
        <v>2</v>
      </c>
      <c r="R11" s="28">
        <f t="shared" si="11"/>
        <v>1</v>
      </c>
      <c r="S11" s="28">
        <f>IF(O11&lt;&gt;"",
    COUNTIFS(MATCH_INPUT!$K$6:$K$9,O11),
0)</f>
        <v>0</v>
      </c>
      <c r="T11" s="28">
        <f>IF(O11&lt;&gt;"",
    COUNTIFS(MATCH_INPUT!$F$6:$F$9, O11, MATCH_INPUT!$K$6:$K$9, "Draw") +
    COUNTIFS(MATCH_INPUT!$J$6:$J$9, O11, MATCH_INPUT!$K$6:$K$9, "Draw"),
0)</f>
        <v>1</v>
      </c>
      <c r="U11" s="28">
        <f>IF(O11&lt;&gt;"",
    COUNTIFS(MATCH_INPUT!$F$6:$F$9, O11, MATCH_INPUT!$K$6:$K$9, "&lt;&gt;"&amp;O11, MATCH_INPUT!$K$6:$K$9, "&lt;&gt;Draw", MATCH_INPUT!$K$6:$K$9, "&lt;&gt;""") +
    COUNTIFS(MATCH_INPUT!$J$6:$J$9, O11, MATCH_INPUT!$K$6:$K$9, "&lt;&gt;"&amp;O11, MATCH_INPUT!$K$6:$K$9, "&lt;&gt;Draw", MATCH_INPUT!$K$6:$K$9, "&lt;&gt;"""),
0)</f>
        <v>1</v>
      </c>
      <c r="V11" s="29" t="str">
        <f t="array" ref="V11">IFERROR(
  INDEX(PLAYER_STAT!E$2:E64, 
    MATCH(1, 
      (PLAYER_STAT!A$2:A64 = MATCH_DATES!$A$3) * (PLAYER_STAT!D$2:D64 = $B11), 
    0)
  ), 
  ""
)
</f>
        <v/>
      </c>
      <c r="W11" s="29" t="str">
        <f t="array" ref="W11">IFERROR(
  INDEX(PLAYER_STAT!F$2:F64, 
    MATCH(1, 
      (PLAYER_STAT!A$2:A64 = MATCH_DATES!$A$3) * (PLAYER_STAT!D$2:D64 = $B11), 
    0)
  ), 
  ""
)
</f>
        <v/>
      </c>
      <c r="X11" s="30" t="str">
        <f t="array" ref="X11">IFERROR(
  INDEX(PLAYER_STAT!G$2:G64, 
    MATCH(1, 
      (PLAYER_STAT!A$2:A64 = MATCH_DATES!$A$3) * (PLAYER_STAT!D$2:D64 = $B11), 
    0)
  ), 
  ""
)
</f>
        <v/>
      </c>
      <c r="Y11" s="31">
        <f t="shared" si="12"/>
        <v>30</v>
      </c>
      <c r="Z11" s="32" t="str">
        <f t="shared" si="13"/>
        <v>↓</v>
      </c>
      <c r="AA11" s="21" t="s">
        <v>212</v>
      </c>
      <c r="AB11" s="33">
        <f t="shared" si="14"/>
        <v>11</v>
      </c>
      <c r="AC11" s="22">
        <f t="shared" si="15"/>
        <v>2</v>
      </c>
      <c r="AD11" s="22">
        <f t="shared" si="16"/>
        <v>4</v>
      </c>
      <c r="AE11" s="22">
        <f>IF(AA11&lt;&gt;"",
    COUNTIFS(MATCH_INPUT!$K$10:$K$13,AA11),
0)</f>
        <v>2</v>
      </c>
      <c r="AF11" s="22">
        <f>IF(AA11&lt;&gt;"",
    COUNTIFS(MATCH_INPUT!$F$10:$F$13, AA11, MATCH_INPUT!$K$10:$K$13, "Draw") +
    COUNTIFS(MATCH_INPUT!$J$10:$J$13, AA11, MATCH_INPUT!$K$10:$K$13, "Draw"),
0)</f>
        <v>0</v>
      </c>
      <c r="AG11" s="22">
        <f>IF(AA11&lt;&gt;"",
    COUNTIFS(MATCH_INPUT!$F$10:$F$13, AA11, MATCH_INPUT!$K$10:$K$13, "&lt;&gt;"&amp;AA11, MATCH_INPUT!$K$10:$K$13, "&lt;&gt;Draw", MATCH_INPUT!$K$10:$K$13, "&lt;&gt;""") +
    COUNTIFS(MATCH_INPUT!$J$10:$J$13, AA11, MATCH_INPUT!$K$10:$K$13, "&lt;&gt;"&amp;AA11, MATCH_INPUT!$K$10:$K$13, "&lt;&gt;Draw", MATCH_INPUT!$K$10:$K$13, "&lt;&gt;"""),
0)</f>
        <v>0</v>
      </c>
      <c r="AH11" s="23" t="str">
        <f t="array" ref="AH11">IFERROR(
  INDEX(PLAYER_STAT!E$2:E64, 
    MATCH(1, 
      (PLAYER_STAT!A$2:A64 = MATCH_DATES!$A$4) * (PLAYER_STAT!D$2:D64 = $B11), 
    0)
  ), 
  ""
)
</f>
        <v/>
      </c>
      <c r="AI11" s="23" t="str">
        <f t="array" ref="AI11">IFERROR(
  INDEX(PLAYER_STAT!F$2:F64, 
    MATCH(1, 
      (PLAYER_STAT!A$2:A64 = MATCH_DATES!$A$4) * (PLAYER_STAT!D$2:D64 = $B11), 
    0)
  ), 
  ""
)
</f>
        <v/>
      </c>
      <c r="AJ11" s="34" t="str">
        <f t="array" ref="AJ11">IFERROR(
  INDEX(PLAYER_STAT!G$2:G64, 
    MATCH(1, 
      (PLAYER_STAT!A$2:A64 = MATCH_DATES!$A$4) * (PLAYER_STAT!D$2:D64 = $B11), 
    0)
  ), 
  ""
)
</f>
        <v/>
      </c>
      <c r="AK11" s="25">
        <f t="shared" si="17"/>
        <v>21</v>
      </c>
      <c r="AL11" s="26" t="str">
        <f t="shared" si="18"/>
        <v>↑</v>
      </c>
      <c r="AM11" s="27" t="s">
        <v>215</v>
      </c>
      <c r="AN11" s="28">
        <f t="shared" si="19"/>
        <v>15</v>
      </c>
      <c r="AO11" s="28">
        <f t="shared" si="20"/>
        <v>2</v>
      </c>
      <c r="AP11" s="28">
        <f t="shared" si="21"/>
        <v>2</v>
      </c>
      <c r="AQ11" s="28">
        <f>IF(AM11&lt;&gt;"",
    COUNTIFS(MATCH_INPUT!$K$14:$K$17,AM11),
0)</f>
        <v>1</v>
      </c>
      <c r="AR11" s="28">
        <f>IF(AM11&lt;&gt;"",
    COUNTIFS(MATCH_INPUT!$F$14:$F$17, AM11, MATCH_INPUT!$K$14:$K$17, "Draw") +
    COUNTIFS(MATCH_INPUT!$J$14:$J$17, AM11, MATCH_INPUT!$K$14:$K$17, "Draw"),
0)</f>
        <v>0</v>
      </c>
      <c r="AS11" s="28">
        <f>IF(AM11&lt;&gt;"",
    COUNTIFS(MATCH_INPUT!$F$14:$F$17, AM11, MATCH_INPUT!$K$14:$K$17, "&lt;&gt;"&amp;AM11, MATCH_INPUT!$K$14:$K$17, "&lt;&gt;Draw", MATCH_INPUT!$K$14:$K$17, "&lt;&gt;""") +
    COUNTIFS(MATCH_INPUT!$J$14:$J$17, AM11, MATCH_INPUT!$K$14:$K$17, "&lt;&gt;"&amp;AM11, MATCH_INPUT!$K$14:$K$17, "&lt;&gt;Draw", MATCH_INPUT!$K$14:$K$17, "&lt;&gt;"""),
0)</f>
        <v>1</v>
      </c>
      <c r="AT11" s="29" t="str">
        <f t="array" ref="AT11">IFERROR(
  INDEX(PLAYER_STAT!E$2:E64, 
    MATCH(1, 
      (PLAYER_STAT!A$2:A64 = MATCH_DATES!$A$5) * (PLAYER_STAT!D$2:D64 = $B11), 
    0)
  ), 
  ""
)
</f>
        <v/>
      </c>
      <c r="AU11" s="29" t="str">
        <f t="array" ref="AU11">IFERROR(
  INDEX(PLAYER_STAT!F$2:F64, 
    MATCH(1, 
      (PLAYER_STAT!A$2:A64 = MATCH_DATES!$A$5) * (PLAYER_STAT!D$2:D64 = $B11), 
    0)
  ), 
  ""
)
</f>
        <v/>
      </c>
      <c r="AV11" s="30" t="str">
        <f t="array" ref="AV11">IFERROR(
  INDEX(PLAYER_STAT!G$2:G64, 
    MATCH(1, 
      (PLAYER_STAT!A$2:A64 = MATCH_DATES!$A$5) * (PLAYER_STAT!D$2:D64 = $B11), 
    0)
  ), 
  ""
)
</f>
        <v/>
      </c>
      <c r="AW11" s="31">
        <f t="shared" si="22"/>
        <v>16</v>
      </c>
      <c r="AX11" s="32" t="str">
        <f t="shared" si="23"/>
        <v>↑</v>
      </c>
      <c r="AY11" s="21" t="s">
        <v>212</v>
      </c>
      <c r="AZ11" s="33">
        <f t="shared" si="24"/>
        <v>28</v>
      </c>
      <c r="BA11" s="22">
        <f t="shared" si="25"/>
        <v>2</v>
      </c>
      <c r="BB11" s="22">
        <f>SUM(BC11*2) + (BD11*1) + SUMIFS(MATCH_INPUT!$G$18:$G$21, MATCH_INPUT!$F$18:$F$21, AY11) + SUMIFS(MATCH_INPUT!$I$18:$I$21, MATCH_INPUT!$J$18:$J$21, AY11)
</f>
        <v>11</v>
      </c>
      <c r="BC11" s="22">
        <f>IF(AY11&lt;&gt;"",
    COUNTIFS(MATCH_INPUT!$K$18:$K$21,AY11),
0)</f>
        <v>2</v>
      </c>
      <c r="BD11" s="22">
        <f>IF(AY11&lt;&gt;"",
    COUNTIFS(MATCH_INPUT!$F$18:$F$21, AY11, MATCH_INPUT!$K$18:$K$21, "Draw") +
    COUNTIFS(MATCH_INPUT!$J$18:$J$21, AY11, MATCH_INPUT!$K$18:$K$21, "Draw"),
0)</f>
        <v>0</v>
      </c>
      <c r="BE11" s="22">
        <f>IF(AY11&lt;&gt;"",
    COUNTIFS(MATCH_INPUT!$F$18:$F$21, AY11, MATCH_INPUT!$K$18:$K$21, "&lt;&gt;"&amp;AY11, MATCH_INPUT!$K$18:$K$21, "&lt;&gt;Draw", MATCH_INPUT!$K$18:$K$21, "&lt;&gt;""") +
    COUNTIFS(MATCH_INPUT!$J$18:$J$21, AY11, MATCH_INPUT!$K$18:$K$21, "&lt;&gt;"&amp;AY11, MATCH_INPUT!$K$18:$K$21, "&lt;&gt;Draw", MATCH_INPUT!$K$18:$K$21, "&lt;&gt;"""),
0)</f>
        <v>0</v>
      </c>
      <c r="BF11" s="23" t="str">
        <f t="array" ref="BF11">IFERROR(
  INDEX(PLAYER_STAT!E$2:E64, 
    MATCH(1, 
      (PLAYER_STAT!A$2:A64 = MATCH_DATES!$A$6) * (PLAYER_STAT!D$2:D64 = $B11), 
    0)
  ), 
  ""
)
</f>
        <v/>
      </c>
      <c r="BG11" s="23" t="str">
        <f t="array" ref="BG11">IFERROR(
  INDEX(PLAYER_STAT!F$2:F64, 
    MATCH(1, 
      (PLAYER_STAT!A$2:A64 = MATCH_DATES!$A$6) * (PLAYER_STAT!D$2:D64 = $B11), 
    0)
  ), 
  ""
)
</f>
        <v/>
      </c>
      <c r="BH11" s="34" t="str">
        <f t="array" ref="BH11">IFERROR(
  INDEX(PLAYER_STAT!G$2:G64, 
    MATCH(1, 
      (PLAYER_STAT!A$2:A64 = MATCH_DATES!$A$6) * (PLAYER_STAT!D$2:D64 = $B11), 
    0)
  ), 
  ""
)
</f>
        <v/>
      </c>
      <c r="BI11" s="25">
        <f t="shared" si="26"/>
        <v>7</v>
      </c>
      <c r="BJ11" s="26" t="str">
        <f t="shared" si="27"/>
        <v>↑</v>
      </c>
      <c r="BK11" s="27" t="s">
        <v>215</v>
      </c>
      <c r="BL11" s="28">
        <f t="shared" si="28"/>
        <v>42</v>
      </c>
      <c r="BM11" s="28">
        <f t="shared" si="29"/>
        <v>2</v>
      </c>
      <c r="BN11" s="28">
        <f>SUM(BO11*2) + (BP11*1) + SUMIFS(MATCH_INPUT!$G$22:$G$25, MATCH_INPUT!$F$22:$F$25, BK11) + SUMIFS(MATCH_INPUT!$I$22:$I$25, MATCH_INPUT!$J$22:$J$25, BK11)
</f>
        <v>12</v>
      </c>
      <c r="BO11" s="28">
        <f>IF(BK11&lt;&gt;"",
    COUNTIFS(MATCH_INPUT!$K$22:$K$25,BK11),
0)</f>
        <v>2</v>
      </c>
      <c r="BP11" s="28">
        <f>IF(BK11&lt;&gt;"",
    COUNTIFS(MATCH_INPUT!$F$22:$F$25, BK11, MATCH_INPUT!$K$22:$K$25, "Draw") +
    COUNTIFS(MATCH_INPUT!$J$22:$J$25, BK11, MATCH_INPUT!$K$22:$K$25, "Draw"),
0)</f>
        <v>0</v>
      </c>
      <c r="BQ11" s="28">
        <f>IF(BK11&lt;&gt;"",
    COUNTIFS(MATCH_INPUT!$F$22:$F$25, BK11, MATCH_INPUT!$K$22:$K$25, "&lt;&gt;"&amp;BK11, MATCH_INPUT!$K$22:$K$25, "&lt;&gt;Draw", MATCH_INPUT!$K$22:$K$25, "&lt;&gt;""") +
    COUNTIFS(MATCH_INPUT!$J$22:$J$25, BK11, MATCH_INPUT!$K$22:$K$25, "&lt;&gt;"&amp;BK11, MATCH_INPUT!$K$22:$K$25, "&lt;&gt;Draw", MATCH_INPUT!$K$22:$K$25, "&lt;&gt;"""),
0)</f>
        <v>0</v>
      </c>
      <c r="BR11" s="29">
        <f t="array" ref="BR11">IFERROR(
  INDEX(PLAYER_STAT!E$2:E64, 
    MATCH(1, 
      (PLAYER_STAT!A$2:A64 = MATCH_DATES!$A$7) * (PLAYER_STAT!D$2:D64 = $B11), 
    0)
  ), 
  ""
)
</f>
        <v>4</v>
      </c>
      <c r="BS11" s="29">
        <f t="array" ref="BS11">IFERROR(
  INDEX(PLAYER_STAT!F$2:F64, 
    MATCH(1, 
      (PLAYER_STAT!A$2:A64 = MATCH_DATES!$A$7) * (PLAYER_STAT!D$2:D64 = $B11), 
    0)
  ), 
  ""
)
</f>
        <v>0</v>
      </c>
      <c r="BT11" s="30">
        <f t="array" ref="BT11">IFERROR(
  INDEX(PLAYER_STAT!G$2:G64, 
    MATCH(1, 
      (PLAYER_STAT!A$2:A64 = MATCH_DATES!$A$7) * (PLAYER_STAT!D$2:D64 = $B11), 
    0)
  ), 
  ""
)
</f>
        <v>0</v>
      </c>
      <c r="BU11" s="31">
        <f t="shared" si="30"/>
        <v>2</v>
      </c>
      <c r="BV11" s="32" t="str">
        <f t="shared" si="31"/>
        <v>↑</v>
      </c>
      <c r="BW11" s="21" t="s">
        <v>212</v>
      </c>
      <c r="BX11" s="33">
        <f t="shared" si="32"/>
        <v>50</v>
      </c>
      <c r="BY11" s="22">
        <f t="shared" si="33"/>
        <v>2</v>
      </c>
      <c r="BZ11" s="22">
        <f>SUM(CA11*2)+(CB11*1) + SUMIFS(MATCH_INPUT!$G$26:$G$29, MATCH_INPUT!$F$26:$F$29, BW11) + SUMIFS(MATCH_INPUT!$I$26:$I$29, MATCH_INPUT!$J$26:$J$29, BW11)
</f>
        <v>6</v>
      </c>
      <c r="CA11" s="22">
        <f>IF(BW11&lt;&gt;"",
    COUNTIFS(MATCH_INPUT!$K$26:$K$29,BW11),
0)</f>
        <v>1</v>
      </c>
      <c r="CB11" s="22">
        <f>IF(BW11&lt;&gt;"",
    COUNTIFS(MATCH_INPUT!$F$26:$F$29, BW11, MATCH_INPUT!$K$26:$K$29, "Draw") +
    COUNTIFS(MATCH_INPUT!$J$26:$J$29, BW11, MATCH_INPUT!$K$26:$K$29, "Draw"),
0)</f>
        <v>1</v>
      </c>
      <c r="CC11" s="22">
        <f>IF(BW11&lt;&gt;"",
    COUNTIFS(MATCH_INPUT!$F$26:$F$29, BW11, MATCH_INPUT!$K$26:$K$29, "&lt;&gt;"&amp;BW11, MATCH_INPUT!$K$26:$K$29, "&lt;&gt;Draw", MATCH_INPUT!$K$26:$K$29, "&lt;&gt;""") +
    COUNTIFS(MATCH_INPUT!$J$26:$J$29, BW11, MATCH_INPUT!$K$26:$K$29, "&lt;&gt;"&amp;BW11, MATCH_INPUT!$K$26:$K$29, "&lt;&gt;Draw", MATCH_INPUT!$K$26:$K$29, "&lt;&gt;"""),
0)</f>
        <v>0</v>
      </c>
      <c r="CD11" s="23">
        <f t="array" ref="CD11">IFERROR(
  INDEX(PLAYER_STAT!E$2:E64, 
    MATCH(1, 
      (PLAYER_STAT!A$2:A64 = MATCH_DATES!$A$8) * (PLAYER_STAT!D$2:D64 = $B11), 
    0)
  ), 
  ""
)
</f>
        <v>1</v>
      </c>
      <c r="CE11" s="23">
        <f t="array" ref="CE11">IFERROR(
  INDEX(PLAYER_STAT!F$2:F64, 
    MATCH(1, 
      (PLAYER_STAT!A$2:A64 = MATCH_DATES!$A$8) * (PLAYER_STAT!D$2:D64 = $B11), 
    0)
  ), 
  ""
)
</f>
        <v>0</v>
      </c>
      <c r="CF11" s="34">
        <f t="array" ref="CF11">IFERROR(
  INDEX(PLAYER_STAT!G$2:G64, 
    MATCH(1, 
      (PLAYER_STAT!A$2:A64 = MATCH_DATES!$A$8) * (PLAYER_STAT!D$2:D64 = $B11), 
    0)
  ), 
  ""
)
</f>
        <v>0</v>
      </c>
      <c r="CG11" s="25">
        <f t="shared" si="34"/>
        <v>5</v>
      </c>
      <c r="CH11" s="26" t="str">
        <f t="shared" si="35"/>
        <v>↓</v>
      </c>
      <c r="CI11" s="27" t="s">
        <v>215</v>
      </c>
      <c r="CJ11" s="28">
        <f t="shared" si="36"/>
        <v>56</v>
      </c>
      <c r="CK11" s="28">
        <f t="shared" si="37"/>
        <v>2</v>
      </c>
      <c r="CL11" s="28">
        <f>SUM(CM11*2)+(CN11*1) + SUMIFS(MATCH_INPUT!$G$30:$G$33, MATCH_INPUT!$F$30:$F$33, CI11) + SUMIFS(MATCH_INPUT!$I$30:$I$33, MATCH_INPUT!$J$30:$J$33, CI11)
</f>
        <v>4</v>
      </c>
      <c r="CM11" s="28">
        <f>IF(CI11&lt;&gt;"",
    COUNTIFS(MATCH_INPUT!$K$30:$K$33,CI11),
0)</f>
        <v>0</v>
      </c>
      <c r="CN11" s="28">
        <f>IF(CI11&lt;&gt;"",
    COUNTIFS(MATCH_INPUT!$F$30:$F$33, CI11, MATCH_INPUT!$K$30:$K$33, "Draw") +
    COUNTIFS(MATCH_INPUT!$J$30:$J$33, CI11, MATCH_INPUT!$K$30:$K$33, "Draw"),
0)</f>
        <v>0</v>
      </c>
      <c r="CO11" s="28">
        <f>IF(CI11&lt;&gt;"",
    COUNTIFS(MATCH_INPUT!$F$30:$F$33, CI11, MATCH_INPUT!$K$30:$K$33, "&lt;&gt;"&amp;CI11, MATCH_INPUT!$K$30:$K$33, "&lt;&gt;Draw", MATCH_INPUT!$K$30:$K$33, "&lt;&gt;""") +
    COUNTIFS(MATCH_INPUT!$J$30:$J$33, CI11, MATCH_INPUT!$K$30:$K$33, "&lt;&gt;"&amp;CI11, MATCH_INPUT!$K$30:$K$33, "&lt;&gt;Draw", MATCH_INPUT!$K$30:$K$33, "&lt;&gt;"""),
0)</f>
        <v>2</v>
      </c>
      <c r="CP11" s="29" t="str">
        <f t="array" ref="CP11">IFERROR(
  INDEX(PLAYER_STAT!E$2:E64, 
    MATCH(1, 
      (PLAYER_STAT!A$2:A64 = MATCH_DATES!$A$9) * (PLAYER_STAT!D$2:D64 = $B11), 
    0)
  ), 
  ""
)
</f>
        <v/>
      </c>
      <c r="CQ11" s="29" t="str">
        <f t="array" ref="CQ11">IFERROR(
  INDEX(PLAYER_STAT!F$2:F64, 
    MATCH(1, 
      (PLAYER_STAT!A$2:A64 = MATCH_DATES!$A$9) * (PLAYER_STAT!D$2:D64 = $B11), 
    0)
  ), 
  ""
)
</f>
        <v/>
      </c>
      <c r="CR11" s="29" t="str">
        <f t="array" ref="CR11">IFERROR(
  INDEX(PLAYER_STAT!G$2:G64, 
    MATCH(1, 
      (PLAYER_STAT!A$2:A64 = MATCH_DATES!$A$9) * (PLAYER_STAT!D$2:D64 = $B11), 
    0)
  ), 
  ""
)
</f>
        <v/>
      </c>
      <c r="CS11" s="35">
        <f t="shared" si="38"/>
        <v>6</v>
      </c>
      <c r="CT11" s="35" t="str">
        <f t="shared" si="39"/>
        <v>↓</v>
      </c>
      <c r="CU11" s="36">
        <f t="shared" si="40"/>
        <v>40</v>
      </c>
      <c r="CV11" s="36" t="str">
        <f t="shared" ref="CV11:CW11" si="64">A11</f>
        <v>🍂🎃</v>
      </c>
      <c r="CW11" s="37" t="str">
        <f t="shared" si="64"/>
        <v>Eder 👬 Honorio</v>
      </c>
      <c r="CX11" s="37">
        <f t="shared" si="42"/>
        <v>56</v>
      </c>
      <c r="CY11" s="36">
        <f>SUM(
  IF(AND(MATCH_DATES!$A$2 &lt;= TODAY(), NOW() &gt;= MATCH_DATES!$A$2 + TIME(22, 0, 0)), E11, 0),
  IF(AND(MATCH_DATES!$A$3 &lt;= TODAY(), NOW() &gt;= MATCH_DATES!$A$3 + TIME(22, 0, 0)), Q11, 0),
  IF(AND(MATCH_DATES!$A$4 &lt;= TODAY(), NOW() &gt;= MATCH_DATES!$A$4 + TIME(22, 0, 0)), AC11, 0),
  IF(AND(MATCH_DATES!$A$5 &lt;= TODAY(), NOW() &gt;= MATCH_DATES!$A$5 + TIME(22, 0, 0)), AO11, 0),
  IF(AND(MATCH_DATES!$A$6 &lt;= TODAY(), NOW() &gt;= MATCH_DATES!$A$6 + TIME(22, 0, 0)), BA11, 0),
  IF(AND(MATCH_DATES!$A$7 &lt;= TODAY(), NOW() &gt;= MATCH_DATES!$A$7 + TIME(22, 0, 0)), BM11, 0),
  IF(AND(MATCH_DATES!$A$8 &lt;= TODAY(), NOW() &gt;= MATCH_DATES!$A$8 + TIME(22, 0, 0)), BY11, 0),
  IF(AND(MATCH_DATES!$A$9 &lt;= TODAY(), NOW() &gt;= MATCH_DATES!$A$9 + TIME(22, 0, 0)), CK11, 0)
)
</f>
        <v>16</v>
      </c>
      <c r="CZ11" s="37">
        <f t="shared" ref="CZ11:DA11" si="65">SUM(G11,S11,AE11,AQ11,BC11,BO11,CA11,CM11)</f>
        <v>8</v>
      </c>
      <c r="DA11" s="37">
        <f t="shared" si="65"/>
        <v>2</v>
      </c>
      <c r="DB11" s="37">
        <f>SUM(
  IF(AND(MATCH_DATES!$A$2 &lt;= TODAY(), NOW() &gt;= MATCH_DATES!$A$2 + TIME(22, 0, 0)), I11, 0),
  IF(AND(MATCH_DATES!$A$3 &lt;= TODAY(), NOW() &gt;= MATCH_DATES!$A$3 + TIME(22, 0, 0)), U11, 0),
  IF(AND(MATCH_DATES!$A$4 &lt;= TODAY(), NOW() &gt;= MATCH_DATES!$A$4 + TIME(22, 0, 0)), AG11, 0),
  IF(AND(MATCH_DATES!$A$5 &lt;= TODAY(), NOW() &gt;= MATCH_DATES!$A$5 + TIME(22, 0, 0)), AS11, 0),
  IF(AND(MATCH_DATES!$A$6 &lt;= TODAY(), NOW() &gt;= MATCH_DATES!$A$6 + TIME(22, 0, 0)), BE11, 0),
  IF(AND(MATCH_DATES!$A$7 &lt;= TODAY(), NOW() &gt;= MATCH_DATES!$A$7 + TIME(22, 0, 0)), BQ11, 0),
  IF(AND(MATCH_DATES!$A$8 &lt;= TODAY(), NOW() &gt;= MATCH_DATES!$A$8 + TIME(22, 0, 0)), CC11, 0),
  IF(AND(MATCH_DATES!$A$9 &lt;= TODAY(), NOW() &gt;= MATCH_DATES!$A$9 + TIME(22, 0, 0)), CO11, 0)
)</f>
        <v>6</v>
      </c>
      <c r="DC11" s="37">
        <f t="shared" si="44"/>
        <v>5</v>
      </c>
      <c r="DD11" s="37">
        <f t="shared" ref="DD11:DE11" si="66">SUM(K11,W11,AI11,AU11,BG11,BS11,CE11,CQ11)</f>
        <v>0</v>
      </c>
      <c r="DE11" s="37">
        <f t="shared" si="66"/>
        <v>0</v>
      </c>
    </row>
    <row r="12" ht="24.75" customHeight="1">
      <c r="A12" s="19" t="s">
        <v>210</v>
      </c>
      <c r="B12" s="20" t="s">
        <v>222</v>
      </c>
      <c r="C12" s="21"/>
      <c r="D12" s="22">
        <f t="shared" si="4"/>
        <v>0</v>
      </c>
      <c r="E12" s="22">
        <f t="shared" si="5"/>
        <v>0</v>
      </c>
      <c r="F12" s="22">
        <f t="shared" si="6"/>
        <v>0</v>
      </c>
      <c r="G12" s="22">
        <f>IF(C12&lt;&gt;"",
    COUNTIFS(MATCH_INPUT!$K$2:$K$5,C12),
0)</f>
        <v>0</v>
      </c>
      <c r="H12" s="22">
        <f>IF(C12&lt;&gt;"",
    COUNTIFS(MATCH_INPUT!$F$2:$F$5, C12, MATCH_INPUT!$K$2:$K$5, "Draw") +
    COUNTIFS(MATCH_INPUT!$J$2:$J$5, C12, MATCH_INPUT!$K$2:$K$5, "Draw"),
0)</f>
        <v>0</v>
      </c>
      <c r="I12" s="22">
        <f>IF(C12&lt;&gt;"",
    COUNTIFS(MATCH_INPUT!$F$2:$F$5, C12, MATCH_INPUT!$K$2:$K$5, "&lt;&gt;"&amp;C12, MATCH_INPUT!$K$2:$K$5, "&lt;&gt;Draw", MATCH_INPUT!$K$2:$K$5, "&lt;&gt;""") +
    COUNTIFS(MATCH_INPUT!$J$2:$J$5, C12, MATCH_INPUT!$K$2:$K$5, "&lt;&gt;"&amp;C12, MATCH_INPUT!$K$2:$K$5, "&lt;&gt;Draw", MATCH_INPUT!$K$2:$K$5, "&lt;&gt;"""),
0)</f>
        <v>0</v>
      </c>
      <c r="J12" s="23" t="str">
        <f t="array" ref="J12">IFERROR(
  INDEX(PLAYER_STAT!E$2:E64, 
    MATCH(1, 
      (PLAYER_STAT!A$2:A64 = MATCH_DATES!$A$2) * (PLAYER_STAT!D$2:D64 = $B12), 
    0)
  ), 
  ""
)
</f>
        <v/>
      </c>
      <c r="K12" s="23" t="str">
        <f t="array" ref="K12">IFERROR(
  INDEX(PLAYER_STAT!F$2:F64, 
    MATCH(1, 
      (PLAYER_STAT!A$2:A64 = MATCH_DATES!$A$2) * (PLAYER_STAT!D$2:D64 = $B12), 
    0)
  ), 
  ""
)
</f>
        <v/>
      </c>
      <c r="L12" s="24" t="str">
        <f t="array" ref="L12">IFERROR(
  INDEX(PLAYER_STAT!G$2:G64, 
    MATCH(1, 
      (PLAYER_STAT!A$2:A64 = MATCH_DATES!$A$2) * (PLAYER_STAT!D$2:D64 = $B12), 
    0)
  ), 
  ""
)
</f>
        <v/>
      </c>
      <c r="M12" s="25">
        <f t="shared" si="7"/>
        <v>33</v>
      </c>
      <c r="N12" s="26" t="str">
        <f t="shared" si="8"/>
        <v>↓</v>
      </c>
      <c r="O12" s="27" t="s">
        <v>214</v>
      </c>
      <c r="P12" s="28">
        <f t="shared" si="9"/>
        <v>4</v>
      </c>
      <c r="Q12" s="28">
        <f t="shared" si="10"/>
        <v>2</v>
      </c>
      <c r="R12" s="28">
        <f t="shared" si="11"/>
        <v>2</v>
      </c>
      <c r="S12" s="28">
        <f>IF(O12&lt;&gt;"",
    COUNTIFS(MATCH_INPUT!$K$6:$K$9,O12),
0)</f>
        <v>0</v>
      </c>
      <c r="T12" s="28">
        <f>IF(O12&lt;&gt;"",
    COUNTIFS(MATCH_INPUT!$F$6:$F$9, O12, MATCH_INPUT!$K$6:$K$9, "Draw") +
    COUNTIFS(MATCH_INPUT!$J$6:$J$9, O12, MATCH_INPUT!$K$6:$K$9, "Draw"),
0)</f>
        <v>2</v>
      </c>
      <c r="U12" s="28">
        <f>IF(O12&lt;&gt;"",
    COUNTIFS(MATCH_INPUT!$F$6:$F$9, O12, MATCH_INPUT!$K$6:$K$9, "&lt;&gt;"&amp;O12, MATCH_INPUT!$K$6:$K$9, "&lt;&gt;Draw", MATCH_INPUT!$K$6:$K$9, "&lt;&gt;""") +
    COUNTIFS(MATCH_INPUT!$J$6:$J$9, O12, MATCH_INPUT!$K$6:$K$9, "&lt;&gt;"&amp;O12, MATCH_INPUT!$K$6:$K$9, "&lt;&gt;Draw", MATCH_INPUT!$K$6:$K$9, "&lt;&gt;"""),
0)</f>
        <v>0</v>
      </c>
      <c r="V12" s="29" t="str">
        <f t="array" ref="V12">IFERROR(
  INDEX(PLAYER_STAT!E$2:E64, 
    MATCH(1, 
      (PLAYER_STAT!A$2:A64 = MATCH_DATES!$A$3) * (PLAYER_STAT!D$2:D64 = $B12), 
    0)
  ), 
  ""
)
</f>
        <v/>
      </c>
      <c r="W12" s="29" t="str">
        <f t="array" ref="W12">IFERROR(
  INDEX(PLAYER_STAT!F$2:F64, 
    MATCH(1, 
      (PLAYER_STAT!A$2:A64 = MATCH_DATES!$A$3) * (PLAYER_STAT!D$2:D64 = $B12), 
    0)
  ), 
  ""
)
</f>
        <v/>
      </c>
      <c r="X12" s="30" t="str">
        <f t="array" ref="X12">IFERROR(
  INDEX(PLAYER_STAT!G$2:G64, 
    MATCH(1, 
      (PLAYER_STAT!A$2:A64 = MATCH_DATES!$A$3) * (PLAYER_STAT!D$2:D64 = $B12), 
    0)
  ), 
  ""
)
</f>
        <v/>
      </c>
      <c r="Y12" s="31">
        <f t="shared" si="12"/>
        <v>32</v>
      </c>
      <c r="Z12" s="32" t="str">
        <f t="shared" si="13"/>
        <v>↑</v>
      </c>
      <c r="AA12" s="21" t="s">
        <v>215</v>
      </c>
      <c r="AB12" s="33">
        <f t="shared" si="14"/>
        <v>6</v>
      </c>
      <c r="AC12" s="22">
        <f t="shared" si="15"/>
        <v>2</v>
      </c>
      <c r="AD12" s="22">
        <f t="shared" si="16"/>
        <v>0</v>
      </c>
      <c r="AE12" s="22">
        <f>IF(AA12&lt;&gt;"",
    COUNTIFS(MATCH_INPUT!$K$10:$K$13,AA12),
0)</f>
        <v>0</v>
      </c>
      <c r="AF12" s="22">
        <f>IF(AA12&lt;&gt;"",
    COUNTIFS(MATCH_INPUT!$F$10:$F$13, AA12, MATCH_INPUT!$K$10:$K$13, "Draw") +
    COUNTIFS(MATCH_INPUT!$J$10:$J$13, AA12, MATCH_INPUT!$K$10:$K$13, "Draw"),
0)</f>
        <v>0</v>
      </c>
      <c r="AG12" s="22">
        <f>IF(AA12&lt;&gt;"",
    COUNTIFS(MATCH_INPUT!$F$10:$F$13, AA12, MATCH_INPUT!$K$10:$K$13, "&lt;&gt;"&amp;AA12, MATCH_INPUT!$K$10:$K$13, "&lt;&gt;Draw", MATCH_INPUT!$K$10:$K$13, "&lt;&gt;""") +
    COUNTIFS(MATCH_INPUT!$J$10:$J$13, AA12, MATCH_INPUT!$K$10:$K$13, "&lt;&gt;"&amp;AA12, MATCH_INPUT!$K$10:$K$13, "&lt;&gt;Draw", MATCH_INPUT!$K$10:$K$13, "&lt;&gt;"""),
0)</f>
        <v>2</v>
      </c>
      <c r="AH12" s="23" t="str">
        <f t="array" ref="AH12">IFERROR(
  INDEX(PLAYER_STAT!E$2:E64, 
    MATCH(1, 
      (PLAYER_STAT!A$2:A64 = MATCH_DATES!$A$4) * (PLAYER_STAT!D$2:D64 = $B12), 
    0)
  ), 
  ""
)
</f>
        <v/>
      </c>
      <c r="AI12" s="23" t="str">
        <f t="array" ref="AI12">IFERROR(
  INDEX(PLAYER_STAT!F$2:F64, 
    MATCH(1, 
      (PLAYER_STAT!A$2:A64 = MATCH_DATES!$A$4) * (PLAYER_STAT!D$2:D64 = $B12), 
    0)
  ), 
  ""
)
</f>
        <v/>
      </c>
      <c r="AJ12" s="34" t="str">
        <f t="array" ref="AJ12">IFERROR(
  INDEX(PLAYER_STAT!G$2:G64, 
    MATCH(1, 
      (PLAYER_STAT!A$2:A64 = MATCH_DATES!$A$4) * (PLAYER_STAT!D$2:D64 = $B12), 
    0)
  ), 
  ""
)
</f>
        <v/>
      </c>
      <c r="AK12" s="25">
        <f t="shared" si="17"/>
        <v>34</v>
      </c>
      <c r="AL12" s="26" t="str">
        <f t="shared" si="18"/>
        <v>↓</v>
      </c>
      <c r="AM12" s="27" t="s">
        <v>213</v>
      </c>
      <c r="AN12" s="28">
        <f t="shared" si="19"/>
        <v>10</v>
      </c>
      <c r="AO12" s="28">
        <f t="shared" si="20"/>
        <v>2</v>
      </c>
      <c r="AP12" s="28">
        <f t="shared" si="21"/>
        <v>2</v>
      </c>
      <c r="AQ12" s="28">
        <f>IF(AM12&lt;&gt;"",
    COUNTIFS(MATCH_INPUT!$K$14:$K$17,AM12),
0)</f>
        <v>1</v>
      </c>
      <c r="AR12" s="28">
        <f>IF(AM12&lt;&gt;"",
    COUNTIFS(MATCH_INPUT!$F$14:$F$17, AM12, MATCH_INPUT!$K$14:$K$17, "Draw") +
    COUNTIFS(MATCH_INPUT!$J$14:$J$17, AM12, MATCH_INPUT!$K$14:$K$17, "Draw"),
0)</f>
        <v>0</v>
      </c>
      <c r="AS12" s="28">
        <f>IF(AM12&lt;&gt;"",
    COUNTIFS(MATCH_INPUT!$F$14:$F$17, AM12, MATCH_INPUT!$K$14:$K$17, "&lt;&gt;"&amp;AM12, MATCH_INPUT!$K$14:$K$17, "&lt;&gt;Draw", MATCH_INPUT!$K$14:$K$17, "&lt;&gt;""") +
    COUNTIFS(MATCH_INPUT!$J$14:$J$17, AM12, MATCH_INPUT!$K$14:$K$17, "&lt;&gt;"&amp;AM12, MATCH_INPUT!$K$14:$K$17, "&lt;&gt;Draw", MATCH_INPUT!$K$14:$K$17, "&lt;&gt;"""),
0)</f>
        <v>1</v>
      </c>
      <c r="AT12" s="29" t="str">
        <f t="array" ref="AT12">IFERROR(
  INDEX(PLAYER_STAT!E$2:E64, 
    MATCH(1, 
      (PLAYER_STAT!A$2:A64 = MATCH_DATES!$A$5) * (PLAYER_STAT!D$2:D64 = $B12), 
    0)
  ), 
  ""
)
</f>
        <v/>
      </c>
      <c r="AU12" s="29" t="str">
        <f t="array" ref="AU12">IFERROR(
  INDEX(PLAYER_STAT!F$2:F64, 
    MATCH(1, 
      (PLAYER_STAT!A$2:A64 = MATCH_DATES!$A$5) * (PLAYER_STAT!D$2:D64 = $B12), 
    0)
  ), 
  ""
)
</f>
        <v/>
      </c>
      <c r="AV12" s="30" t="str">
        <f t="array" ref="AV12">IFERROR(
  INDEX(PLAYER_STAT!G$2:G64, 
    MATCH(1, 
      (PLAYER_STAT!A$2:A64 = MATCH_DATES!$A$5) * (PLAYER_STAT!D$2:D64 = $B12), 
    0)
  ), 
  ""
)
</f>
        <v/>
      </c>
      <c r="AW12" s="31">
        <f t="shared" si="22"/>
        <v>32</v>
      </c>
      <c r="AX12" s="32" t="str">
        <f t="shared" si="23"/>
        <v>↑</v>
      </c>
      <c r="AY12" s="21" t="s">
        <v>215</v>
      </c>
      <c r="AZ12" s="33">
        <f t="shared" si="24"/>
        <v>13</v>
      </c>
      <c r="BA12" s="22">
        <f t="shared" si="25"/>
        <v>2</v>
      </c>
      <c r="BB12" s="22">
        <f>SUM(BC12*2) + (BD12*1) + SUMIFS(MATCH_INPUT!$G$18:$G$21, MATCH_INPUT!$F$18:$F$21, AY12) + SUMIFS(MATCH_INPUT!$I$18:$I$21, MATCH_INPUT!$J$18:$J$21, AY12)
</f>
        <v>1</v>
      </c>
      <c r="BC12" s="22">
        <f>IF(AY12&lt;&gt;"",
    COUNTIFS(MATCH_INPUT!$K$18:$K$21,AY12),
0)</f>
        <v>0</v>
      </c>
      <c r="BD12" s="22">
        <f>IF(AY12&lt;&gt;"",
    COUNTIFS(MATCH_INPUT!$F$18:$F$21, AY12, MATCH_INPUT!$K$18:$K$21, "Draw") +
    COUNTIFS(MATCH_INPUT!$J$18:$J$21, AY12, MATCH_INPUT!$K$18:$K$21, "Draw"),
0)</f>
        <v>0</v>
      </c>
      <c r="BE12" s="22">
        <f>IF(AY12&lt;&gt;"",
    COUNTIFS(MATCH_INPUT!$F$18:$F$21, AY12, MATCH_INPUT!$K$18:$K$21, "&lt;&gt;"&amp;AY12, MATCH_INPUT!$K$18:$K$21, "&lt;&gt;Draw", MATCH_INPUT!$K$18:$K$21, "&lt;&gt;""") +
    COUNTIFS(MATCH_INPUT!$J$18:$J$21, AY12, MATCH_INPUT!$K$18:$K$21, "&lt;&gt;"&amp;AY12, MATCH_INPUT!$K$18:$K$21, "&lt;&gt;Draw", MATCH_INPUT!$K$18:$K$21, "&lt;&gt;"""),
0)</f>
        <v>2</v>
      </c>
      <c r="BF12" s="23" t="str">
        <f t="array" ref="BF12">IFERROR(
  INDEX(PLAYER_STAT!E$2:E64, 
    MATCH(1, 
      (PLAYER_STAT!A$2:A64 = MATCH_DATES!$A$6) * (PLAYER_STAT!D$2:D64 = $B12), 
    0)
  ), 
  ""
)
</f>
        <v/>
      </c>
      <c r="BG12" s="23" t="str">
        <f t="array" ref="BG12">IFERROR(
  INDEX(PLAYER_STAT!F$2:F64, 
    MATCH(1, 
      (PLAYER_STAT!A$2:A64 = MATCH_DATES!$A$6) * (PLAYER_STAT!D$2:D64 = $B12), 
    0)
  ), 
  ""
)
</f>
        <v/>
      </c>
      <c r="BH12" s="34" t="str">
        <f t="array" ref="BH12">IFERROR(
  INDEX(PLAYER_STAT!G$2:G64, 
    MATCH(1, 
      (PLAYER_STAT!A$2:A64 = MATCH_DATES!$A$6) * (PLAYER_STAT!D$2:D64 = $B12), 
    0)
  ), 
  ""
)
</f>
        <v/>
      </c>
      <c r="BI12" s="25">
        <f t="shared" si="26"/>
        <v>34</v>
      </c>
      <c r="BJ12" s="26" t="str">
        <f t="shared" si="27"/>
        <v>↓</v>
      </c>
      <c r="BK12" s="27" t="s">
        <v>212</v>
      </c>
      <c r="BL12" s="28">
        <f t="shared" si="28"/>
        <v>15</v>
      </c>
      <c r="BM12" s="28">
        <f t="shared" si="29"/>
        <v>2</v>
      </c>
      <c r="BN12" s="28">
        <f>SUM(BO12*2) + (BP12*1) + SUMIFS(MATCH_INPUT!$G$22:$G$25, MATCH_INPUT!$F$22:$F$25, BK12) + SUMIFS(MATCH_INPUT!$I$22:$I$25, MATCH_INPUT!$J$22:$J$25, BK12)
</f>
        <v>0</v>
      </c>
      <c r="BO12" s="28">
        <f>IF(BK12&lt;&gt;"",
    COUNTIFS(MATCH_INPUT!$K$22:$K$25,BK12),
0)</f>
        <v>0</v>
      </c>
      <c r="BP12" s="28">
        <f>IF(BK12&lt;&gt;"",
    COUNTIFS(MATCH_INPUT!$F$22:$F$25, BK12, MATCH_INPUT!$K$22:$K$25, "Draw") +
    COUNTIFS(MATCH_INPUT!$J$22:$J$25, BK12, MATCH_INPUT!$K$22:$K$25, "Draw"),
0)</f>
        <v>0</v>
      </c>
      <c r="BQ12" s="28">
        <f>IF(BK12&lt;&gt;"",
    COUNTIFS(MATCH_INPUT!$F$22:$F$25, BK12, MATCH_INPUT!$K$22:$K$25, "&lt;&gt;"&amp;BK12, MATCH_INPUT!$K$22:$K$25, "&lt;&gt;Draw", MATCH_INPUT!$K$22:$K$25, "&lt;&gt;""") +
    COUNTIFS(MATCH_INPUT!$J$22:$J$25, BK12, MATCH_INPUT!$K$22:$K$25, "&lt;&gt;"&amp;BK12, MATCH_INPUT!$K$22:$K$25, "&lt;&gt;Draw", MATCH_INPUT!$K$22:$K$25, "&lt;&gt;"""),
0)</f>
        <v>2</v>
      </c>
      <c r="BR12" s="29" t="str">
        <f t="array" ref="BR12">IFERROR(
  INDEX(PLAYER_STAT!E$2:E64, 
    MATCH(1, 
      (PLAYER_STAT!A$2:A64 = MATCH_DATES!$A$7) * (PLAYER_STAT!D$2:D64 = $B12), 
    0)
  ), 
  ""
)
</f>
        <v/>
      </c>
      <c r="BS12" s="29" t="str">
        <f t="array" ref="BS12">IFERROR(
  INDEX(PLAYER_STAT!F$2:F64, 
    MATCH(1, 
      (PLAYER_STAT!A$2:A64 = MATCH_DATES!$A$7) * (PLAYER_STAT!D$2:D64 = $B12), 
    0)
  ), 
  ""
)
</f>
        <v/>
      </c>
      <c r="BT12" s="30" t="str">
        <f t="array" ref="BT12">IFERROR(
  INDEX(PLAYER_STAT!G$2:G64, 
    MATCH(1, 
      (PLAYER_STAT!A$2:A64 = MATCH_DATES!$A$7) * (PLAYER_STAT!D$2:D64 = $B12), 
    0)
  ), 
  ""
)
</f>
        <v/>
      </c>
      <c r="BU12" s="31">
        <f t="shared" si="30"/>
        <v>35</v>
      </c>
      <c r="BV12" s="32" t="str">
        <f t="shared" si="31"/>
        <v>↓</v>
      </c>
      <c r="BW12" s="21"/>
      <c r="BX12" s="33">
        <f t="shared" si="32"/>
        <v>15</v>
      </c>
      <c r="BY12" s="22">
        <f t="shared" si="33"/>
        <v>0</v>
      </c>
      <c r="BZ12" s="22">
        <f>SUM(CA12*2)+(CB12*1) + SUMIFS(MATCH_INPUT!$G$26:$G$29, MATCH_INPUT!$F$26:$F$29, BW12) + SUMIFS(MATCH_INPUT!$I$26:$I$29, MATCH_INPUT!$J$26:$J$29, BW12)
</f>
        <v>0</v>
      </c>
      <c r="CA12" s="22">
        <f>IF(BW12&lt;&gt;"",
    COUNTIFS(MATCH_INPUT!$K$26:$K$29,BW12),
0)</f>
        <v>0</v>
      </c>
      <c r="CB12" s="22">
        <f>IF(BW12&lt;&gt;"",
    COUNTIFS(MATCH_INPUT!$F$26:$F$29, BW12, MATCH_INPUT!$K$26:$K$29, "Draw") +
    COUNTIFS(MATCH_INPUT!$J$26:$J$29, BW12, MATCH_INPUT!$K$26:$K$29, "Draw"),
0)</f>
        <v>0</v>
      </c>
      <c r="CC12" s="22">
        <f>IF(BW12&lt;&gt;"",
    COUNTIFS(MATCH_INPUT!$F$26:$F$29, BW12, MATCH_INPUT!$K$26:$K$29, "&lt;&gt;"&amp;BW12, MATCH_INPUT!$K$26:$K$29, "&lt;&gt;Draw", MATCH_INPUT!$K$26:$K$29, "&lt;&gt;""") +
    COUNTIFS(MATCH_INPUT!$J$26:$J$29, BW12, MATCH_INPUT!$K$26:$K$29, "&lt;&gt;"&amp;BW12, MATCH_INPUT!$K$26:$K$29, "&lt;&gt;Draw", MATCH_INPUT!$K$26:$K$29, "&lt;&gt;"""),
0)</f>
        <v>0</v>
      </c>
      <c r="CD12" s="23" t="str">
        <f t="array" ref="CD12">IFERROR(
  INDEX(PLAYER_STAT!E$2:E64, 
    MATCH(1, 
      (PLAYER_STAT!A$2:A64 = MATCH_DATES!$A$8) * (PLAYER_STAT!D$2:D64 = $B12), 
    0)
  ), 
  ""
)
</f>
        <v/>
      </c>
      <c r="CE12" s="23" t="str">
        <f t="array" ref="CE12">IFERROR(
  INDEX(PLAYER_STAT!F$2:F64, 
    MATCH(1, 
      (PLAYER_STAT!A$2:A64 = MATCH_DATES!$A$8) * (PLAYER_STAT!D$2:D64 = $B12), 
    0)
  ), 
  ""
)
</f>
        <v/>
      </c>
      <c r="CF12" s="34" t="str">
        <f t="array" ref="CF12">IFERROR(
  INDEX(PLAYER_STAT!G$2:G64, 
    MATCH(1, 
      (PLAYER_STAT!A$2:A64 = MATCH_DATES!$A$8) * (PLAYER_STAT!D$2:D64 = $B12), 
    0)
  ), 
  ""
)
</f>
        <v/>
      </c>
      <c r="CG12" s="25">
        <f t="shared" si="34"/>
        <v>36</v>
      </c>
      <c r="CH12" s="26" t="str">
        <f t="shared" si="35"/>
        <v>↓</v>
      </c>
      <c r="CI12" s="27" t="s">
        <v>215</v>
      </c>
      <c r="CJ12" s="28">
        <f t="shared" si="36"/>
        <v>21</v>
      </c>
      <c r="CK12" s="28">
        <f t="shared" si="37"/>
        <v>2</v>
      </c>
      <c r="CL12" s="28">
        <f>SUM(CM12*2)+(CN12*1) + SUMIFS(MATCH_INPUT!$G$30:$G$33, MATCH_INPUT!$F$30:$F$33, CI12) + SUMIFS(MATCH_INPUT!$I$30:$I$33, MATCH_INPUT!$J$30:$J$33, CI12)
</f>
        <v>4</v>
      </c>
      <c r="CM12" s="28">
        <f>IF(CI12&lt;&gt;"",
    COUNTIFS(MATCH_INPUT!$K$30:$K$33,CI12),
0)</f>
        <v>0</v>
      </c>
      <c r="CN12" s="28">
        <f>IF(CI12&lt;&gt;"",
    COUNTIFS(MATCH_INPUT!$F$30:$F$33, CI12, MATCH_INPUT!$K$30:$K$33, "Draw") +
    COUNTIFS(MATCH_INPUT!$J$30:$J$33, CI12, MATCH_INPUT!$K$30:$K$33, "Draw"),
0)</f>
        <v>0</v>
      </c>
      <c r="CO12" s="28">
        <f>IF(CI12&lt;&gt;"",
    COUNTIFS(MATCH_INPUT!$F$30:$F$33, CI12, MATCH_INPUT!$K$30:$K$33, "&lt;&gt;"&amp;CI12, MATCH_INPUT!$K$30:$K$33, "&lt;&gt;Draw", MATCH_INPUT!$K$30:$K$33, "&lt;&gt;""") +
    COUNTIFS(MATCH_INPUT!$J$30:$J$33, CI12, MATCH_INPUT!$K$30:$K$33, "&lt;&gt;"&amp;CI12, MATCH_INPUT!$K$30:$K$33, "&lt;&gt;Draw", MATCH_INPUT!$K$30:$K$33, "&lt;&gt;"""),
0)</f>
        <v>2</v>
      </c>
      <c r="CP12" s="29" t="str">
        <f t="array" ref="CP12">IFERROR(
  INDEX(PLAYER_STAT!E$2:E64, 
    MATCH(1, 
      (PLAYER_STAT!A$2:A64 = MATCH_DATES!$A$9) * (PLAYER_STAT!D$2:D64 = $B12), 
    0)
  ), 
  ""
)
</f>
        <v/>
      </c>
      <c r="CQ12" s="29" t="str">
        <f t="array" ref="CQ12">IFERROR(
  INDEX(PLAYER_STAT!F$2:F64, 
    MATCH(1, 
      (PLAYER_STAT!A$2:A64 = MATCH_DATES!$A$9) * (PLAYER_STAT!D$2:D64 = $B12), 
    0)
  ), 
  ""
)
</f>
        <v/>
      </c>
      <c r="CR12" s="29" t="str">
        <f t="array" ref="CR12">IFERROR(
  INDEX(PLAYER_STAT!G$2:G64, 
    MATCH(1, 
      (PLAYER_STAT!A$2:A64 = MATCH_DATES!$A$9) * (PLAYER_STAT!D$2:D64 = $B12), 
    0)
  ), 
  ""
)
</f>
        <v/>
      </c>
      <c r="CS12" s="35">
        <f t="shared" si="38"/>
        <v>36</v>
      </c>
      <c r="CT12" s="35" t="str">
        <f t="shared" si="39"/>
        <v>=</v>
      </c>
      <c r="CU12" s="36">
        <f t="shared" si="40"/>
        <v>9</v>
      </c>
      <c r="CV12" s="36" t="str">
        <f t="shared" ref="CV12:CW12" si="67">A12</f>
        <v>🍂🎃</v>
      </c>
      <c r="CW12" s="37" t="str">
        <f t="shared" si="67"/>
        <v>Efraín</v>
      </c>
      <c r="CX12" s="37">
        <f t="shared" si="42"/>
        <v>21</v>
      </c>
      <c r="CY12" s="36">
        <f>SUM(
  IF(AND(MATCH_DATES!$A$2 &lt;= TODAY(), NOW() &gt;= MATCH_DATES!$A$2 + TIME(22, 0, 0)), E12, 0),
  IF(AND(MATCH_DATES!$A$3 &lt;= TODAY(), NOW() &gt;= MATCH_DATES!$A$3 + TIME(22, 0, 0)), Q12, 0),
  IF(AND(MATCH_DATES!$A$4 &lt;= TODAY(), NOW() &gt;= MATCH_DATES!$A$4 + TIME(22, 0, 0)), AC12, 0),
  IF(AND(MATCH_DATES!$A$5 &lt;= TODAY(), NOW() &gt;= MATCH_DATES!$A$5 + TIME(22, 0, 0)), AO12, 0),
  IF(AND(MATCH_DATES!$A$6 &lt;= TODAY(), NOW() &gt;= MATCH_DATES!$A$6 + TIME(22, 0, 0)), BA12, 0),
  IF(AND(MATCH_DATES!$A$7 &lt;= TODAY(), NOW() &gt;= MATCH_DATES!$A$7 + TIME(22, 0, 0)), BM12, 0),
  IF(AND(MATCH_DATES!$A$8 &lt;= TODAY(), NOW() &gt;= MATCH_DATES!$A$8 + TIME(22, 0, 0)), BY12, 0),
  IF(AND(MATCH_DATES!$A$9 &lt;= TODAY(), NOW() &gt;= MATCH_DATES!$A$9 + TIME(22, 0, 0)), CK12, 0)
)
</f>
        <v>12</v>
      </c>
      <c r="CZ12" s="37">
        <f t="shared" ref="CZ12:DA12" si="68">SUM(G12,S12,AE12,AQ12,BC12,BO12,CA12,CM12)</f>
        <v>1</v>
      </c>
      <c r="DA12" s="37">
        <f t="shared" si="68"/>
        <v>2</v>
      </c>
      <c r="DB12" s="37">
        <f>SUM(
  IF(AND(MATCH_DATES!$A$2 &lt;= TODAY(), NOW() &gt;= MATCH_DATES!$A$2 + TIME(22, 0, 0)), I12, 0),
  IF(AND(MATCH_DATES!$A$3 &lt;= TODAY(), NOW() &gt;= MATCH_DATES!$A$3 + TIME(22, 0, 0)), U12, 0),
  IF(AND(MATCH_DATES!$A$4 &lt;= TODAY(), NOW() &gt;= MATCH_DATES!$A$4 + TIME(22, 0, 0)), AG12, 0),
  IF(AND(MATCH_DATES!$A$5 &lt;= TODAY(), NOW() &gt;= MATCH_DATES!$A$5 + TIME(22, 0, 0)), AS12, 0),
  IF(AND(MATCH_DATES!$A$6 &lt;= TODAY(), NOW() &gt;= MATCH_DATES!$A$6 + TIME(22, 0, 0)), BE12, 0),
  IF(AND(MATCH_DATES!$A$7 &lt;= TODAY(), NOW() &gt;= MATCH_DATES!$A$7 + TIME(22, 0, 0)), BQ12, 0),
  IF(AND(MATCH_DATES!$A$8 &lt;= TODAY(), NOW() &gt;= MATCH_DATES!$A$8 + TIME(22, 0, 0)), CC12, 0),
  IF(AND(MATCH_DATES!$A$9 &lt;= TODAY(), NOW() &gt;= MATCH_DATES!$A$9 + TIME(22, 0, 0)), CO12, 0)
)</f>
        <v>9</v>
      </c>
      <c r="DC12" s="37">
        <f t="shared" si="44"/>
        <v>0</v>
      </c>
      <c r="DD12" s="37">
        <f t="shared" ref="DD12:DE12" si="69">SUM(K12,W12,AI12,AU12,BG12,BS12,CE12,CQ12)</f>
        <v>0</v>
      </c>
      <c r="DE12" s="37">
        <f t="shared" si="69"/>
        <v>0</v>
      </c>
    </row>
    <row r="13" ht="24.75" customHeight="1">
      <c r="A13" s="19" t="s">
        <v>210</v>
      </c>
      <c r="B13" s="20" t="s">
        <v>223</v>
      </c>
      <c r="C13" s="21" t="s">
        <v>214</v>
      </c>
      <c r="D13" s="22">
        <f t="shared" si="4"/>
        <v>7</v>
      </c>
      <c r="E13" s="22">
        <f t="shared" si="5"/>
        <v>2</v>
      </c>
      <c r="F13" s="22">
        <f t="shared" si="6"/>
        <v>4</v>
      </c>
      <c r="G13" s="22">
        <f>IF(C13&lt;&gt;"",
    COUNTIFS(MATCH_INPUT!$K$2:$K$5,C13),
0)</f>
        <v>2</v>
      </c>
      <c r="H13" s="22">
        <f>IF(C13&lt;&gt;"",
    COUNTIFS(MATCH_INPUT!$F$2:$F$5, C13, MATCH_INPUT!$K$2:$K$5, "Draw") +
    COUNTIFS(MATCH_INPUT!$J$2:$J$5, C13, MATCH_INPUT!$K$2:$K$5, "Draw"),
0)</f>
        <v>0</v>
      </c>
      <c r="I13" s="22">
        <f>IF(C13&lt;&gt;"",
    COUNTIFS(MATCH_INPUT!$F$2:$F$5, C13, MATCH_INPUT!$K$2:$K$5, "&lt;&gt;"&amp;C13, MATCH_INPUT!$K$2:$K$5, "&lt;&gt;Draw", MATCH_INPUT!$K$2:$K$5, "&lt;&gt;""") +
    COUNTIFS(MATCH_INPUT!$J$2:$J$5, C13, MATCH_INPUT!$K$2:$K$5, "&lt;&gt;"&amp;C13, MATCH_INPUT!$K$2:$K$5, "&lt;&gt;Draw", MATCH_INPUT!$K$2:$K$5, "&lt;&gt;"""),
0)</f>
        <v>0</v>
      </c>
      <c r="J13" s="23">
        <f t="array" ref="J13">IFERROR(
  INDEX(PLAYER_STAT!E$2:E64, 
    MATCH(1, 
      (PLAYER_STAT!A$2:A64 = MATCH_DATES!$A$2) * (PLAYER_STAT!D$2:D64 = $B13), 
    0)
  ), 
  ""
)
</f>
        <v>0</v>
      </c>
      <c r="K13" s="23">
        <f t="array" ref="K13">IFERROR(
  INDEX(PLAYER_STAT!F$2:F64, 
    MATCH(1, 
      (PLAYER_STAT!A$2:A64 = MATCH_DATES!$A$2) * (PLAYER_STAT!D$2:D64 = $B13), 
    0)
  ), 
  ""
)
</f>
        <v>1</v>
      </c>
      <c r="L13" s="24">
        <f t="array" ref="L13">IFERROR(
  INDEX(PLAYER_STAT!G$2:G64, 
    MATCH(1, 
      (PLAYER_STAT!A$2:A64 = MATCH_DATES!$A$2) * (PLAYER_STAT!D$2:D64 = $B13), 
    0)
  ), 
  ""
)
</f>
        <v>1</v>
      </c>
      <c r="M13" s="25">
        <f t="shared" si="7"/>
        <v>1</v>
      </c>
      <c r="N13" s="26" t="str">
        <f t="shared" si="8"/>
        <v>=</v>
      </c>
      <c r="O13" s="27"/>
      <c r="P13" s="28">
        <f t="shared" si="9"/>
        <v>7</v>
      </c>
      <c r="Q13" s="28">
        <f t="shared" si="10"/>
        <v>0</v>
      </c>
      <c r="R13" s="28">
        <f t="shared" si="11"/>
        <v>0</v>
      </c>
      <c r="S13" s="28">
        <f>IF(O13&lt;&gt;"",
    COUNTIFS(MATCH_INPUT!$K$6:$K$9,O13),
0)</f>
        <v>0</v>
      </c>
      <c r="T13" s="28">
        <f>IF(O13&lt;&gt;"",
    COUNTIFS(MATCH_INPUT!$F$6:$F$9, O13, MATCH_INPUT!$K$6:$K$9, "Draw") +
    COUNTIFS(MATCH_INPUT!$J$6:$J$9, O13, MATCH_INPUT!$K$6:$K$9, "Draw"),
0)</f>
        <v>0</v>
      </c>
      <c r="U13" s="28">
        <f>IF(O13&lt;&gt;"",
    COUNTIFS(MATCH_INPUT!$F$6:$F$9, O13, MATCH_INPUT!$K$6:$K$9, "&lt;&gt;"&amp;O13, MATCH_INPUT!$K$6:$K$9, "&lt;&gt;Draw", MATCH_INPUT!$K$6:$K$9, "&lt;&gt;""") +
    COUNTIFS(MATCH_INPUT!$J$6:$J$9, O13, MATCH_INPUT!$K$6:$K$9, "&lt;&gt;"&amp;O13, MATCH_INPUT!$K$6:$K$9, "&lt;&gt;Draw", MATCH_INPUT!$K$6:$K$9, "&lt;&gt;"""),
0)</f>
        <v>0</v>
      </c>
      <c r="V13" s="29" t="str">
        <f t="array" ref="V13">IFERROR(
  INDEX(PLAYER_STAT!E$2:E64, 
    MATCH(1, 
      (PLAYER_STAT!A$2:A64 = MATCH_DATES!$A$3) * (PLAYER_STAT!D$2:D64 = $B13), 
    0)
  ), 
  ""
)
</f>
        <v/>
      </c>
      <c r="W13" s="29" t="str">
        <f t="array" ref="W13">IFERROR(
  INDEX(PLAYER_STAT!F$2:F64, 
    MATCH(1, 
      (PLAYER_STAT!A$2:A64 = MATCH_DATES!$A$3) * (PLAYER_STAT!D$2:D64 = $B13), 
    0)
  ), 
  ""
)
</f>
        <v/>
      </c>
      <c r="X13" s="30" t="str">
        <f t="array" ref="X13">IFERROR(
  INDEX(PLAYER_STAT!G$2:G64, 
    MATCH(1, 
      (PLAYER_STAT!A$2:A64 = MATCH_DATES!$A$3) * (PLAYER_STAT!D$2:D64 = $B13), 
    0)
  ), 
  ""
)
</f>
        <v/>
      </c>
      <c r="Y13" s="31">
        <f t="shared" si="12"/>
        <v>20</v>
      </c>
      <c r="Z13" s="32" t="str">
        <f t="shared" si="13"/>
        <v>↓</v>
      </c>
      <c r="AA13" s="21" t="s">
        <v>214</v>
      </c>
      <c r="AB13" s="33">
        <f t="shared" si="14"/>
        <v>11</v>
      </c>
      <c r="AC13" s="22">
        <f t="shared" si="15"/>
        <v>2</v>
      </c>
      <c r="AD13" s="22">
        <f t="shared" si="16"/>
        <v>2</v>
      </c>
      <c r="AE13" s="22">
        <f>IF(AA13&lt;&gt;"",
    COUNTIFS(MATCH_INPUT!$K$10:$K$13,AA13),
0)</f>
        <v>1</v>
      </c>
      <c r="AF13" s="22">
        <f>IF(AA13&lt;&gt;"",
    COUNTIFS(MATCH_INPUT!$F$10:$F$13, AA13, MATCH_INPUT!$K$10:$K$13, "Draw") +
    COUNTIFS(MATCH_INPUT!$J$10:$J$13, AA13, MATCH_INPUT!$K$10:$K$13, "Draw"),
0)</f>
        <v>0</v>
      </c>
      <c r="AG13" s="22">
        <f>IF(AA13&lt;&gt;"",
    COUNTIFS(MATCH_INPUT!$F$10:$F$13, AA13, MATCH_INPUT!$K$10:$K$13, "&lt;&gt;"&amp;AA13, MATCH_INPUT!$K$10:$K$13, "&lt;&gt;Draw", MATCH_INPUT!$K$10:$K$13, "&lt;&gt;""") +
    COUNTIFS(MATCH_INPUT!$J$10:$J$13, AA13, MATCH_INPUT!$K$10:$K$13, "&lt;&gt;"&amp;AA13, MATCH_INPUT!$K$10:$K$13, "&lt;&gt;Draw", MATCH_INPUT!$K$10:$K$13, "&lt;&gt;"""),
0)</f>
        <v>1</v>
      </c>
      <c r="AH13" s="23" t="str">
        <f t="array" ref="AH13">IFERROR(
  INDEX(PLAYER_STAT!E$2:E64, 
    MATCH(1, 
      (PLAYER_STAT!A$2:A64 = MATCH_DATES!$A$4) * (PLAYER_STAT!D$2:D64 = $B13), 
    0)
  ), 
  ""
)
</f>
        <v/>
      </c>
      <c r="AI13" s="23" t="str">
        <f t="array" ref="AI13">IFERROR(
  INDEX(PLAYER_STAT!F$2:F64, 
    MATCH(1, 
      (PLAYER_STAT!A$2:A64 = MATCH_DATES!$A$4) * (PLAYER_STAT!D$2:D64 = $B13), 
    0)
  ), 
  ""
)
</f>
        <v/>
      </c>
      <c r="AJ13" s="34" t="str">
        <f t="array" ref="AJ13">IFERROR(
  INDEX(PLAYER_STAT!G$2:G64, 
    MATCH(1, 
      (PLAYER_STAT!A$2:A64 = MATCH_DATES!$A$4) * (PLAYER_STAT!D$2:D64 = $B13), 
    0)
  ), 
  ""
)
</f>
        <v/>
      </c>
      <c r="AK13" s="25">
        <f t="shared" si="17"/>
        <v>21</v>
      </c>
      <c r="AL13" s="26" t="str">
        <f t="shared" si="18"/>
        <v>↓</v>
      </c>
      <c r="AM13" s="27" t="s">
        <v>215</v>
      </c>
      <c r="AN13" s="28">
        <f t="shared" si="19"/>
        <v>15</v>
      </c>
      <c r="AO13" s="28">
        <f t="shared" si="20"/>
        <v>2</v>
      </c>
      <c r="AP13" s="28">
        <f t="shared" si="21"/>
        <v>2</v>
      </c>
      <c r="AQ13" s="28">
        <f>IF(AM13&lt;&gt;"",
    COUNTIFS(MATCH_INPUT!$K$14:$K$17,AM13),
0)</f>
        <v>1</v>
      </c>
      <c r="AR13" s="28">
        <f>IF(AM13&lt;&gt;"",
    COUNTIFS(MATCH_INPUT!$F$14:$F$17, AM13, MATCH_INPUT!$K$14:$K$17, "Draw") +
    COUNTIFS(MATCH_INPUT!$J$14:$J$17, AM13, MATCH_INPUT!$K$14:$K$17, "Draw"),
0)</f>
        <v>0</v>
      </c>
      <c r="AS13" s="28">
        <f>IF(AM13&lt;&gt;"",
    COUNTIFS(MATCH_INPUT!$F$14:$F$17, AM13, MATCH_INPUT!$K$14:$K$17, "&lt;&gt;"&amp;AM13, MATCH_INPUT!$K$14:$K$17, "&lt;&gt;Draw", MATCH_INPUT!$K$14:$K$17, "&lt;&gt;""") +
    COUNTIFS(MATCH_INPUT!$J$14:$J$17, AM13, MATCH_INPUT!$K$14:$K$17, "&lt;&gt;"&amp;AM13, MATCH_INPUT!$K$14:$K$17, "&lt;&gt;Draw", MATCH_INPUT!$K$14:$K$17, "&lt;&gt;"""),
0)</f>
        <v>1</v>
      </c>
      <c r="AT13" s="29" t="str">
        <f t="array" ref="AT13">IFERROR(
  INDEX(PLAYER_STAT!E$2:E64, 
    MATCH(1, 
      (PLAYER_STAT!A$2:A64 = MATCH_DATES!$A$5) * (PLAYER_STAT!D$2:D64 = $B13), 
    0)
  ), 
  ""
)
</f>
        <v/>
      </c>
      <c r="AU13" s="29" t="str">
        <f t="array" ref="AU13">IFERROR(
  INDEX(PLAYER_STAT!F$2:F64, 
    MATCH(1, 
      (PLAYER_STAT!A$2:A64 = MATCH_DATES!$A$5) * (PLAYER_STAT!D$2:D64 = $B13), 
    0)
  ), 
  ""
)
</f>
        <v/>
      </c>
      <c r="AV13" s="30" t="str">
        <f t="array" ref="AV13">IFERROR(
  INDEX(PLAYER_STAT!G$2:G64, 
    MATCH(1, 
      (PLAYER_STAT!A$2:A64 = MATCH_DATES!$A$5) * (PLAYER_STAT!D$2:D64 = $B13), 
    0)
  ), 
  ""
)
</f>
        <v/>
      </c>
      <c r="AW13" s="31">
        <f t="shared" si="22"/>
        <v>16</v>
      </c>
      <c r="AX13" s="32" t="str">
        <f t="shared" si="23"/>
        <v>↑</v>
      </c>
      <c r="AY13" s="21" t="s">
        <v>215</v>
      </c>
      <c r="AZ13" s="33">
        <f t="shared" si="24"/>
        <v>18</v>
      </c>
      <c r="BA13" s="22">
        <f t="shared" si="25"/>
        <v>2</v>
      </c>
      <c r="BB13" s="22">
        <f>SUM(BC13*2) + (BD13*1) + SUMIFS(MATCH_INPUT!$G$18:$G$21, MATCH_INPUT!$F$18:$F$21, AY13) + SUMIFS(MATCH_INPUT!$I$18:$I$21, MATCH_INPUT!$J$18:$J$21, AY13)
</f>
        <v>1</v>
      </c>
      <c r="BC13" s="22">
        <f>IF(AY13&lt;&gt;"",
    COUNTIFS(MATCH_INPUT!$K$18:$K$21,AY13),
0)</f>
        <v>0</v>
      </c>
      <c r="BD13" s="22">
        <f>IF(AY13&lt;&gt;"",
    COUNTIFS(MATCH_INPUT!$F$18:$F$21, AY13, MATCH_INPUT!$K$18:$K$21, "Draw") +
    COUNTIFS(MATCH_INPUT!$J$18:$J$21, AY13, MATCH_INPUT!$K$18:$K$21, "Draw"),
0)</f>
        <v>0</v>
      </c>
      <c r="BE13" s="22">
        <f>IF(AY13&lt;&gt;"",
    COUNTIFS(MATCH_INPUT!$F$18:$F$21, AY13, MATCH_INPUT!$K$18:$K$21, "&lt;&gt;"&amp;AY13, MATCH_INPUT!$K$18:$K$21, "&lt;&gt;Draw", MATCH_INPUT!$K$18:$K$21, "&lt;&gt;""") +
    COUNTIFS(MATCH_INPUT!$J$18:$J$21, AY13, MATCH_INPUT!$K$18:$K$21, "&lt;&gt;"&amp;AY13, MATCH_INPUT!$K$18:$K$21, "&lt;&gt;Draw", MATCH_INPUT!$K$18:$K$21, "&lt;&gt;"""),
0)</f>
        <v>2</v>
      </c>
      <c r="BF13" s="23" t="str">
        <f t="array" ref="BF13">IFERROR(
  INDEX(PLAYER_STAT!E$2:E64, 
    MATCH(1, 
      (PLAYER_STAT!A$2:A64 = MATCH_DATES!$A$6) * (PLAYER_STAT!D$2:D64 = $B13), 
    0)
  ), 
  ""
)
</f>
        <v/>
      </c>
      <c r="BG13" s="23" t="str">
        <f t="array" ref="BG13">IFERROR(
  INDEX(PLAYER_STAT!F$2:F64, 
    MATCH(1, 
      (PLAYER_STAT!A$2:A64 = MATCH_DATES!$A$6) * (PLAYER_STAT!D$2:D64 = $B13), 
    0)
  ), 
  ""
)
</f>
        <v/>
      </c>
      <c r="BH13" s="34" t="str">
        <f t="array" ref="BH13">IFERROR(
  INDEX(PLAYER_STAT!G$2:G64, 
    MATCH(1, 
      (PLAYER_STAT!A$2:A64 = MATCH_DATES!$A$6) * (PLAYER_STAT!D$2:D64 = $B13), 
    0)
  ), 
  ""
)
</f>
        <v/>
      </c>
      <c r="BI13" s="25">
        <f t="shared" si="26"/>
        <v>24</v>
      </c>
      <c r="BJ13" s="26" t="str">
        <f t="shared" si="27"/>
        <v>↓</v>
      </c>
      <c r="BK13" s="27"/>
      <c r="BL13" s="28">
        <f t="shared" si="28"/>
        <v>18</v>
      </c>
      <c r="BM13" s="28">
        <f t="shared" si="29"/>
        <v>0</v>
      </c>
      <c r="BN13" s="28">
        <f>SUM(BO13*2) + (BP13*1) + SUMIFS(MATCH_INPUT!$G$22:$G$25, MATCH_INPUT!$F$22:$F$25, BK13) + SUMIFS(MATCH_INPUT!$I$22:$I$25, MATCH_INPUT!$J$22:$J$25, BK13)
</f>
        <v>0</v>
      </c>
      <c r="BO13" s="28">
        <f>IF(BK13&lt;&gt;"",
    COUNTIFS(MATCH_INPUT!$K$22:$K$25,BK13),
0)</f>
        <v>0</v>
      </c>
      <c r="BP13" s="28">
        <f>IF(BK13&lt;&gt;"",
    COUNTIFS(MATCH_INPUT!$F$22:$F$25, BK13, MATCH_INPUT!$K$22:$K$25, "Draw") +
    COUNTIFS(MATCH_INPUT!$J$22:$J$25, BK13, MATCH_INPUT!$K$22:$K$25, "Draw"),
0)</f>
        <v>0</v>
      </c>
      <c r="BQ13" s="28">
        <f>IF(BK13&lt;&gt;"",
    COUNTIFS(MATCH_INPUT!$F$22:$F$25, BK13, MATCH_INPUT!$K$22:$K$25, "&lt;&gt;"&amp;BK13, MATCH_INPUT!$K$22:$K$25, "&lt;&gt;Draw", MATCH_INPUT!$K$22:$K$25, "&lt;&gt;""") +
    COUNTIFS(MATCH_INPUT!$J$22:$J$25, BK13, MATCH_INPUT!$K$22:$K$25, "&lt;&gt;"&amp;BK13, MATCH_INPUT!$K$22:$K$25, "&lt;&gt;Draw", MATCH_INPUT!$K$22:$K$25, "&lt;&gt;"""),
0)</f>
        <v>0</v>
      </c>
      <c r="BR13" s="29" t="str">
        <f t="array" ref="BR13">IFERROR(
  INDEX(PLAYER_STAT!E$2:E64, 
    MATCH(1, 
      (PLAYER_STAT!A$2:A64 = MATCH_DATES!$A$7) * (PLAYER_STAT!D$2:D64 = $B13), 
    0)
  ), 
  ""
)
</f>
        <v/>
      </c>
      <c r="BS13" s="29" t="str">
        <f t="array" ref="BS13">IFERROR(
  INDEX(PLAYER_STAT!F$2:F64, 
    MATCH(1, 
      (PLAYER_STAT!A$2:A64 = MATCH_DATES!$A$7) * (PLAYER_STAT!D$2:D64 = $B13), 
    0)
  ), 
  ""
)
</f>
        <v/>
      </c>
      <c r="BT13" s="30" t="str">
        <f t="array" ref="BT13">IFERROR(
  INDEX(PLAYER_STAT!G$2:G64, 
    MATCH(1, 
      (PLAYER_STAT!A$2:A64 = MATCH_DATES!$A$7) * (PLAYER_STAT!D$2:D64 = $B13), 
    0)
  ), 
  ""
)
</f>
        <v/>
      </c>
      <c r="BU13" s="31">
        <f t="shared" si="30"/>
        <v>31</v>
      </c>
      <c r="BV13" s="32" t="str">
        <f t="shared" si="31"/>
        <v>↓</v>
      </c>
      <c r="BW13" s="21" t="s">
        <v>212</v>
      </c>
      <c r="BX13" s="33">
        <f t="shared" si="32"/>
        <v>26</v>
      </c>
      <c r="BY13" s="22">
        <f t="shared" si="33"/>
        <v>2</v>
      </c>
      <c r="BZ13" s="22">
        <f>SUM(CA13*2)+(CB13*1) + SUMIFS(MATCH_INPUT!$G$26:$G$29, MATCH_INPUT!$F$26:$F$29, BW13) + SUMIFS(MATCH_INPUT!$I$26:$I$29, MATCH_INPUT!$J$26:$J$29, BW13)
</f>
        <v>6</v>
      </c>
      <c r="CA13" s="22">
        <f>IF(BW13&lt;&gt;"",
    COUNTIFS(MATCH_INPUT!$K$26:$K$29,BW13),
0)</f>
        <v>1</v>
      </c>
      <c r="CB13" s="22">
        <f>IF(BW13&lt;&gt;"",
    COUNTIFS(MATCH_INPUT!$F$26:$F$29, BW13, MATCH_INPUT!$K$26:$K$29, "Draw") +
    COUNTIFS(MATCH_INPUT!$J$26:$J$29, BW13, MATCH_INPUT!$K$26:$K$29, "Draw"),
0)</f>
        <v>1</v>
      </c>
      <c r="CC13" s="22">
        <f>IF(BW13&lt;&gt;"",
    COUNTIFS(MATCH_INPUT!$F$26:$F$29, BW13, MATCH_INPUT!$K$26:$K$29, "&lt;&gt;"&amp;BW13, MATCH_INPUT!$K$26:$K$29, "&lt;&gt;Draw", MATCH_INPUT!$K$26:$K$29, "&lt;&gt;""") +
    COUNTIFS(MATCH_INPUT!$J$26:$J$29, BW13, MATCH_INPUT!$K$26:$K$29, "&lt;&gt;"&amp;BW13, MATCH_INPUT!$K$26:$K$29, "&lt;&gt;Draw", MATCH_INPUT!$K$26:$K$29, "&lt;&gt;"""),
0)</f>
        <v>0</v>
      </c>
      <c r="CD13" s="23" t="str">
        <f t="array" ref="CD13">IFERROR(
  INDEX(PLAYER_STAT!E$2:E64, 
    MATCH(1, 
      (PLAYER_STAT!A$2:A64 = MATCH_DATES!$A$8) * (PLAYER_STAT!D$2:D64 = $B13), 
    0)
  ), 
  ""
)
</f>
        <v/>
      </c>
      <c r="CE13" s="23" t="str">
        <f t="array" ref="CE13">IFERROR(
  INDEX(PLAYER_STAT!F$2:F64, 
    MATCH(1, 
      (PLAYER_STAT!A$2:A64 = MATCH_DATES!$A$8) * (PLAYER_STAT!D$2:D64 = $B13), 
    0)
  ), 
  ""
)
</f>
        <v/>
      </c>
      <c r="CF13" s="34" t="str">
        <f t="array" ref="CF13">IFERROR(
  INDEX(PLAYER_STAT!G$2:G64, 
    MATCH(1, 
      (PLAYER_STAT!A$2:A64 = MATCH_DATES!$A$8) * (PLAYER_STAT!D$2:D64 = $B13), 
    0)
  ), 
  ""
)
</f>
        <v/>
      </c>
      <c r="CG13" s="25">
        <f t="shared" si="34"/>
        <v>29</v>
      </c>
      <c r="CH13" s="26" t="str">
        <f t="shared" si="35"/>
        <v>↑</v>
      </c>
      <c r="CI13" s="27" t="s">
        <v>212</v>
      </c>
      <c r="CJ13" s="28">
        <f t="shared" si="36"/>
        <v>37</v>
      </c>
      <c r="CK13" s="28">
        <f t="shared" si="37"/>
        <v>2</v>
      </c>
      <c r="CL13" s="28">
        <f>SUM(CM13*2)+(CN13*1) + SUMIFS(MATCH_INPUT!$G$30:$G$33, MATCH_INPUT!$F$30:$F$33, CI13) + SUMIFS(MATCH_INPUT!$I$30:$I$33, MATCH_INPUT!$J$30:$J$33, CI13)
</f>
        <v>9</v>
      </c>
      <c r="CM13" s="28">
        <f>IF(CI13&lt;&gt;"",
    COUNTIFS(MATCH_INPUT!$K$30:$K$33,CI13),
0)</f>
        <v>1</v>
      </c>
      <c r="CN13" s="28">
        <f>IF(CI13&lt;&gt;"",
    COUNTIFS(MATCH_INPUT!$F$30:$F$33, CI13, MATCH_INPUT!$K$30:$K$33, "Draw") +
    COUNTIFS(MATCH_INPUT!$J$30:$J$33, CI13, MATCH_INPUT!$K$30:$K$33, "Draw"),
0)</f>
        <v>1</v>
      </c>
      <c r="CO13" s="28">
        <f>IF(CI13&lt;&gt;"",
    COUNTIFS(MATCH_INPUT!$F$30:$F$33, CI13, MATCH_INPUT!$K$30:$K$33, "&lt;&gt;"&amp;CI13, MATCH_INPUT!$K$30:$K$33, "&lt;&gt;Draw", MATCH_INPUT!$K$30:$K$33, "&lt;&gt;""") +
    COUNTIFS(MATCH_INPUT!$J$30:$J$33, CI13, MATCH_INPUT!$K$30:$K$33, "&lt;&gt;"&amp;CI13, MATCH_INPUT!$K$30:$K$33, "&lt;&gt;Draw", MATCH_INPUT!$K$30:$K$33, "&lt;&gt;"""),
0)</f>
        <v>0</v>
      </c>
      <c r="CP13" s="29" t="str">
        <f t="array" ref="CP13">IFERROR(
  INDEX(PLAYER_STAT!E$2:E64, 
    MATCH(1, 
      (PLAYER_STAT!A$2:A64 = MATCH_DATES!$A$9) * (PLAYER_STAT!D$2:D64 = $B13), 
    0)
  ), 
  ""
)
</f>
        <v/>
      </c>
      <c r="CQ13" s="29" t="str">
        <f t="array" ref="CQ13">IFERROR(
  INDEX(PLAYER_STAT!F$2:F64, 
    MATCH(1, 
      (PLAYER_STAT!A$2:A64 = MATCH_DATES!$A$9) * (PLAYER_STAT!D$2:D64 = $B13), 
    0)
  ), 
  ""
)
</f>
        <v/>
      </c>
      <c r="CR13" s="29" t="str">
        <f t="array" ref="CR13">IFERROR(
  INDEX(PLAYER_STAT!G$2:G64, 
    MATCH(1, 
      (PLAYER_STAT!A$2:A64 = MATCH_DATES!$A$9) * (PLAYER_STAT!D$2:D64 = $B13), 
    0)
  ), 
  ""
)
</f>
        <v/>
      </c>
      <c r="CS13" s="35">
        <f t="shared" si="38"/>
        <v>28</v>
      </c>
      <c r="CT13" s="35" t="str">
        <f t="shared" si="39"/>
        <v>↑</v>
      </c>
      <c r="CU13" s="36">
        <f t="shared" si="40"/>
        <v>24</v>
      </c>
      <c r="CV13" s="36" t="str">
        <f t="shared" ref="CV13:CW13" si="70">A13</f>
        <v>🍂🎃</v>
      </c>
      <c r="CW13" s="37" t="str">
        <f t="shared" si="70"/>
        <v>Enerson</v>
      </c>
      <c r="CX13" s="37">
        <f t="shared" si="42"/>
        <v>37</v>
      </c>
      <c r="CY13" s="36">
        <f>SUM(
  IF(AND(MATCH_DATES!$A$2 &lt;= TODAY(), NOW() &gt;= MATCH_DATES!$A$2 + TIME(22, 0, 0)), E13, 0),
  IF(AND(MATCH_DATES!$A$3 &lt;= TODAY(), NOW() &gt;= MATCH_DATES!$A$3 + TIME(22, 0, 0)), Q13, 0),
  IF(AND(MATCH_DATES!$A$4 &lt;= TODAY(), NOW() &gt;= MATCH_DATES!$A$4 + TIME(22, 0, 0)), AC13, 0),
  IF(AND(MATCH_DATES!$A$5 &lt;= TODAY(), NOW() &gt;= MATCH_DATES!$A$5 + TIME(22, 0, 0)), AO13, 0),
  IF(AND(MATCH_DATES!$A$6 &lt;= TODAY(), NOW() &gt;= MATCH_DATES!$A$6 + TIME(22, 0, 0)), BA13, 0),
  IF(AND(MATCH_DATES!$A$7 &lt;= TODAY(), NOW() &gt;= MATCH_DATES!$A$7 + TIME(22, 0, 0)), BM13, 0),
  IF(AND(MATCH_DATES!$A$8 &lt;= TODAY(), NOW() &gt;= MATCH_DATES!$A$8 + TIME(22, 0, 0)), BY13, 0),
  IF(AND(MATCH_DATES!$A$9 &lt;= TODAY(), NOW() &gt;= MATCH_DATES!$A$9 + TIME(22, 0, 0)), CK13, 0)
)
</f>
        <v>12</v>
      </c>
      <c r="CZ13" s="37">
        <f t="shared" ref="CZ13:DA13" si="71">SUM(G13,S13,AE13,AQ13,BC13,BO13,CA13,CM13)</f>
        <v>6</v>
      </c>
      <c r="DA13" s="37">
        <f t="shared" si="71"/>
        <v>2</v>
      </c>
      <c r="DB13" s="37">
        <f>SUM(
  IF(AND(MATCH_DATES!$A$2 &lt;= TODAY(), NOW() &gt;= MATCH_DATES!$A$2 + TIME(22, 0, 0)), I13, 0),
  IF(AND(MATCH_DATES!$A$3 &lt;= TODAY(), NOW() &gt;= MATCH_DATES!$A$3 + TIME(22, 0, 0)), U13, 0),
  IF(AND(MATCH_DATES!$A$4 &lt;= TODAY(), NOW() &gt;= MATCH_DATES!$A$4 + TIME(22, 0, 0)), AG13, 0),
  IF(AND(MATCH_DATES!$A$5 &lt;= TODAY(), NOW() &gt;= MATCH_DATES!$A$5 + TIME(22, 0, 0)), AS13, 0),
  IF(AND(MATCH_DATES!$A$6 &lt;= TODAY(), NOW() &gt;= MATCH_DATES!$A$6 + TIME(22, 0, 0)), BE13, 0),
  IF(AND(MATCH_DATES!$A$7 &lt;= TODAY(), NOW() &gt;= MATCH_DATES!$A$7 + TIME(22, 0, 0)), BQ13, 0),
  IF(AND(MATCH_DATES!$A$8 &lt;= TODAY(), NOW() &gt;= MATCH_DATES!$A$8 + TIME(22, 0, 0)), CC13, 0),
  IF(AND(MATCH_DATES!$A$9 &lt;= TODAY(), NOW() &gt;= MATCH_DATES!$A$9 + TIME(22, 0, 0)), CO13, 0)
)</f>
        <v>4</v>
      </c>
      <c r="DC13" s="37">
        <f t="shared" si="44"/>
        <v>0</v>
      </c>
      <c r="DD13" s="37">
        <f t="shared" ref="DD13:DE13" si="72">SUM(K13,W13,AI13,AU13,BG13,BS13,CE13,CQ13)</f>
        <v>1</v>
      </c>
      <c r="DE13" s="37">
        <f t="shared" si="72"/>
        <v>1</v>
      </c>
    </row>
    <row r="14" ht="24.75" customHeight="1">
      <c r="A14" s="19" t="s">
        <v>210</v>
      </c>
      <c r="B14" s="40" t="s">
        <v>224</v>
      </c>
      <c r="C14" s="21" t="s">
        <v>212</v>
      </c>
      <c r="D14" s="22">
        <f t="shared" si="4"/>
        <v>4</v>
      </c>
      <c r="E14" s="22">
        <f t="shared" si="5"/>
        <v>2</v>
      </c>
      <c r="F14" s="22">
        <f t="shared" si="6"/>
        <v>2</v>
      </c>
      <c r="G14" s="22">
        <f>IF(C14&lt;&gt;"",
    COUNTIFS(MATCH_INPUT!$K$2:$K$5,C14),
0)</f>
        <v>1</v>
      </c>
      <c r="H14" s="22">
        <f>IF(C14&lt;&gt;"",
    COUNTIFS(MATCH_INPUT!$F$2:$F$5, C14, MATCH_INPUT!$K$2:$K$5, "Draw") +
    COUNTIFS(MATCH_INPUT!$J$2:$J$5, C14, MATCH_INPUT!$K$2:$K$5, "Draw"),
0)</f>
        <v>0</v>
      </c>
      <c r="I14" s="22">
        <f>IF(C14&lt;&gt;"",
    COUNTIFS(MATCH_INPUT!$F$2:$F$5, C14, MATCH_INPUT!$K$2:$K$5, "&lt;&gt;"&amp;C14, MATCH_INPUT!$K$2:$K$5, "&lt;&gt;Draw", MATCH_INPUT!$K$2:$K$5, "&lt;&gt;""") +
    COUNTIFS(MATCH_INPUT!$J$2:$J$5, C14, MATCH_INPUT!$K$2:$K$5, "&lt;&gt;"&amp;C14, MATCH_INPUT!$K$2:$K$5, "&lt;&gt;Draw", MATCH_INPUT!$K$2:$K$5, "&lt;&gt;"""),
0)</f>
        <v>1</v>
      </c>
      <c r="J14" s="23" t="str">
        <f t="array" ref="J14">IFERROR(
  INDEX(PLAYER_STAT!E$2:E64, 
    MATCH(1, 
      (PLAYER_STAT!A$2:A64 = MATCH_DATES!$A$2) * (PLAYER_STAT!D$2:D64 = $B14), 
    0)
  ), 
  ""
)
</f>
        <v/>
      </c>
      <c r="K14" s="23" t="str">
        <f t="array" ref="K14">IFERROR(
  INDEX(PLAYER_STAT!F$2:F64, 
    MATCH(1, 
      (PLAYER_STAT!A$2:A64 = MATCH_DATES!$A$2) * (PLAYER_STAT!D$2:D64 = $B14), 
    0)
  ), 
  ""
)
</f>
        <v/>
      </c>
      <c r="L14" s="24" t="str">
        <f t="array" ref="L14">IFERROR(
  INDEX(PLAYER_STAT!G$2:G64, 
    MATCH(1, 
      (PLAYER_STAT!A$2:A64 = MATCH_DATES!$A$2) * (PLAYER_STAT!D$2:D64 = $B14), 
    0)
  ), 
  ""
)
</f>
        <v/>
      </c>
      <c r="M14" s="25">
        <f t="shared" si="7"/>
        <v>11</v>
      </c>
      <c r="N14" s="26" t="str">
        <f t="shared" si="8"/>
        <v>↓</v>
      </c>
      <c r="O14" s="27" t="s">
        <v>213</v>
      </c>
      <c r="P14" s="28">
        <f t="shared" si="9"/>
        <v>9</v>
      </c>
      <c r="Q14" s="28">
        <f t="shared" si="10"/>
        <v>2</v>
      </c>
      <c r="R14" s="28">
        <f t="shared" si="11"/>
        <v>3</v>
      </c>
      <c r="S14" s="28">
        <f>IF(O14&lt;&gt;"",
    COUNTIFS(MATCH_INPUT!$K$6:$K$9,O14),
0)</f>
        <v>1</v>
      </c>
      <c r="T14" s="28">
        <f>IF(O14&lt;&gt;"",
    COUNTIFS(MATCH_INPUT!$F$6:$F$9, O14, MATCH_INPUT!$K$6:$K$9, "Draw") +
    COUNTIFS(MATCH_INPUT!$J$6:$J$9, O14, MATCH_INPUT!$K$6:$K$9, "Draw"),
0)</f>
        <v>1</v>
      </c>
      <c r="U14" s="28">
        <f>IF(O14&lt;&gt;"",
    COUNTIFS(MATCH_INPUT!$F$6:$F$9, O14, MATCH_INPUT!$K$6:$K$9, "&lt;&gt;"&amp;O14, MATCH_INPUT!$K$6:$K$9, "&lt;&gt;Draw", MATCH_INPUT!$K$6:$K$9, "&lt;&gt;""") +
    COUNTIFS(MATCH_INPUT!$J$6:$J$9, O14, MATCH_INPUT!$K$6:$K$9, "&lt;&gt;"&amp;O14, MATCH_INPUT!$K$6:$K$9, "&lt;&gt;Draw", MATCH_INPUT!$K$6:$K$9, "&lt;&gt;"""),
0)</f>
        <v>0</v>
      </c>
      <c r="V14" s="29" t="str">
        <f t="array" ref="V14">IFERROR(
  INDEX(PLAYER_STAT!E$2:E64, 
    MATCH(1, 
      (PLAYER_STAT!A$2:A64 = MATCH_DATES!$A$3) * (PLAYER_STAT!D$2:D64 = $B14), 
    0)
  ), 
  ""
)
</f>
        <v/>
      </c>
      <c r="W14" s="29" t="str">
        <f t="array" ref="W14">IFERROR(
  INDEX(PLAYER_STAT!F$2:F64, 
    MATCH(1, 
      (PLAYER_STAT!A$2:A64 = MATCH_DATES!$A$3) * (PLAYER_STAT!D$2:D64 = $B14), 
    0)
  ), 
  ""
)
</f>
        <v/>
      </c>
      <c r="X14" s="30" t="str">
        <f t="array" ref="X14">IFERROR(
  INDEX(PLAYER_STAT!G$2:G64, 
    MATCH(1, 
      (PLAYER_STAT!A$2:A64 = MATCH_DATES!$A$3) * (PLAYER_STAT!D$2:D64 = $B14), 
    0)
  ), 
  ""
)
</f>
        <v/>
      </c>
      <c r="Y14" s="31">
        <f t="shared" si="12"/>
        <v>9</v>
      </c>
      <c r="Z14" s="32" t="str">
        <f t="shared" si="13"/>
        <v>↑</v>
      </c>
      <c r="AA14" s="21" t="s">
        <v>212</v>
      </c>
      <c r="AB14" s="33">
        <f t="shared" si="14"/>
        <v>15</v>
      </c>
      <c r="AC14" s="22">
        <f t="shared" si="15"/>
        <v>2</v>
      </c>
      <c r="AD14" s="22">
        <f t="shared" si="16"/>
        <v>4</v>
      </c>
      <c r="AE14" s="22">
        <f>IF(AA14&lt;&gt;"",
    COUNTIFS(MATCH_INPUT!$K$10:$K$13,AA14),
0)</f>
        <v>2</v>
      </c>
      <c r="AF14" s="22">
        <f>IF(AA14&lt;&gt;"",
    COUNTIFS(MATCH_INPUT!$F$10:$F$13, AA14, MATCH_INPUT!$K$10:$K$13, "Draw") +
    COUNTIFS(MATCH_INPUT!$J$10:$J$13, AA14, MATCH_INPUT!$K$10:$K$13, "Draw"),
0)</f>
        <v>0</v>
      </c>
      <c r="AG14" s="22">
        <f>IF(AA14&lt;&gt;"",
    COUNTIFS(MATCH_INPUT!$F$10:$F$13, AA14, MATCH_INPUT!$K$10:$K$13, "&lt;&gt;"&amp;AA14, MATCH_INPUT!$K$10:$K$13, "&lt;&gt;Draw", MATCH_INPUT!$K$10:$K$13, "&lt;&gt;""") +
    COUNTIFS(MATCH_INPUT!$J$10:$J$13, AA14, MATCH_INPUT!$K$10:$K$13, "&lt;&gt;"&amp;AA14, MATCH_INPUT!$K$10:$K$13, "&lt;&gt;Draw", MATCH_INPUT!$K$10:$K$13, "&lt;&gt;"""),
0)</f>
        <v>0</v>
      </c>
      <c r="AH14" s="23" t="str">
        <f t="array" ref="AH14">IFERROR(
  INDEX(PLAYER_STAT!E$2:E64, 
    MATCH(1, 
      (PLAYER_STAT!A$2:A64 = MATCH_DATES!$A$4) * (PLAYER_STAT!D$2:D64 = $B14), 
    0)
  ), 
  ""
)
</f>
        <v/>
      </c>
      <c r="AI14" s="23" t="str">
        <f t="array" ref="AI14">IFERROR(
  INDEX(PLAYER_STAT!F$2:F64, 
    MATCH(1, 
      (PLAYER_STAT!A$2:A64 = MATCH_DATES!$A$4) * (PLAYER_STAT!D$2:D64 = $B14), 
    0)
  ), 
  ""
)
</f>
        <v/>
      </c>
      <c r="AJ14" s="34" t="str">
        <f t="array" ref="AJ14">IFERROR(
  INDEX(PLAYER_STAT!G$2:G64, 
    MATCH(1, 
      (PLAYER_STAT!A$2:A64 = MATCH_DATES!$A$4) * (PLAYER_STAT!D$2:D64 = $B14), 
    0)
  ), 
  ""
)
</f>
        <v/>
      </c>
      <c r="AK14" s="25">
        <f t="shared" si="17"/>
        <v>1</v>
      </c>
      <c r="AL14" s="26" t="str">
        <f t="shared" si="18"/>
        <v>↑</v>
      </c>
      <c r="AM14" s="27" t="s">
        <v>212</v>
      </c>
      <c r="AN14" s="28">
        <f t="shared" si="19"/>
        <v>21</v>
      </c>
      <c r="AO14" s="28">
        <f t="shared" si="20"/>
        <v>2</v>
      </c>
      <c r="AP14" s="28">
        <f t="shared" si="21"/>
        <v>4</v>
      </c>
      <c r="AQ14" s="28">
        <f>IF(AM14&lt;&gt;"",
    COUNTIFS(MATCH_INPUT!$K$14:$K$17,AM14),
0)</f>
        <v>2</v>
      </c>
      <c r="AR14" s="28">
        <f>IF(AM14&lt;&gt;"",
    COUNTIFS(MATCH_INPUT!$F$14:$F$17, AM14, MATCH_INPUT!$K$14:$K$17, "Draw") +
    COUNTIFS(MATCH_INPUT!$J$14:$J$17, AM14, MATCH_INPUT!$K$14:$K$17, "Draw"),
0)</f>
        <v>0</v>
      </c>
      <c r="AS14" s="28">
        <f>IF(AM14&lt;&gt;"",
    COUNTIFS(MATCH_INPUT!$F$14:$F$17, AM14, MATCH_INPUT!$K$14:$K$17, "&lt;&gt;"&amp;AM14, MATCH_INPUT!$K$14:$K$17, "&lt;&gt;Draw", MATCH_INPUT!$K$14:$K$17, "&lt;&gt;""") +
    COUNTIFS(MATCH_INPUT!$J$14:$J$17, AM14, MATCH_INPUT!$K$14:$K$17, "&lt;&gt;"&amp;AM14, MATCH_INPUT!$K$14:$K$17, "&lt;&gt;Draw", MATCH_INPUT!$K$14:$K$17, "&lt;&gt;"""),
0)</f>
        <v>0</v>
      </c>
      <c r="AT14" s="29" t="str">
        <f t="array" ref="AT14">IFERROR(
  INDEX(PLAYER_STAT!E$2:E64, 
    MATCH(1, 
      (PLAYER_STAT!A$2:A64 = MATCH_DATES!$A$5) * (PLAYER_STAT!D$2:D64 = $B14), 
    0)
  ), 
  ""
)
</f>
        <v/>
      </c>
      <c r="AU14" s="29" t="str">
        <f t="array" ref="AU14">IFERROR(
  INDEX(PLAYER_STAT!F$2:F64, 
    MATCH(1, 
      (PLAYER_STAT!A$2:A64 = MATCH_DATES!$A$5) * (PLAYER_STAT!D$2:D64 = $B14), 
    0)
  ), 
  ""
)
</f>
        <v/>
      </c>
      <c r="AV14" s="30" t="str">
        <f t="array" ref="AV14">IFERROR(
  INDEX(PLAYER_STAT!G$2:G64, 
    MATCH(1, 
      (PLAYER_STAT!A$2:A64 = MATCH_DATES!$A$5) * (PLAYER_STAT!D$2:D64 = $B14), 
    0)
  ), 
  ""
)
</f>
        <v/>
      </c>
      <c r="AW14" s="31">
        <f t="shared" si="22"/>
        <v>1</v>
      </c>
      <c r="AX14" s="32" t="str">
        <f t="shared" si="23"/>
        <v>=</v>
      </c>
      <c r="AY14" s="21"/>
      <c r="AZ14" s="33">
        <f t="shared" si="24"/>
        <v>21</v>
      </c>
      <c r="BA14" s="22">
        <f t="shared" si="25"/>
        <v>0</v>
      </c>
      <c r="BB14" s="22">
        <f>SUM(BC14*2) + (BD14*1) + SUMIFS(MATCH_INPUT!$G$18:$G$21, MATCH_INPUT!$F$18:$F$21, AY14) + SUMIFS(MATCH_INPUT!$I$18:$I$21, MATCH_INPUT!$J$18:$J$21, AY14)
</f>
        <v>0</v>
      </c>
      <c r="BC14" s="22">
        <f>IF(AY14&lt;&gt;"",
    COUNTIFS(MATCH_INPUT!$K$18:$K$21,AY14),
0)</f>
        <v>0</v>
      </c>
      <c r="BD14" s="22">
        <f>IF(AY14&lt;&gt;"",
    COUNTIFS(MATCH_INPUT!$F$18:$F$21, AY14, MATCH_INPUT!$K$18:$K$21, "Draw") +
    COUNTIFS(MATCH_INPUT!$J$18:$J$21, AY14, MATCH_INPUT!$K$18:$K$21, "Draw"),
0)</f>
        <v>0</v>
      </c>
      <c r="BE14" s="22">
        <f>IF(AY14&lt;&gt;"",
    COUNTIFS(MATCH_INPUT!$F$18:$F$21, AY14, MATCH_INPUT!$K$18:$K$21, "&lt;&gt;"&amp;AY14, MATCH_INPUT!$K$18:$K$21, "&lt;&gt;Draw", MATCH_INPUT!$K$18:$K$21, "&lt;&gt;""") +
    COUNTIFS(MATCH_INPUT!$J$18:$J$21, AY14, MATCH_INPUT!$K$18:$K$21, "&lt;&gt;"&amp;AY14, MATCH_INPUT!$K$18:$K$21, "&lt;&gt;Draw", MATCH_INPUT!$K$18:$K$21, "&lt;&gt;"""),
0)</f>
        <v>0</v>
      </c>
      <c r="BF14" s="23" t="str">
        <f t="array" ref="BF14">IFERROR(
  INDEX(PLAYER_STAT!E$2:E64, 
    MATCH(1, 
      (PLAYER_STAT!A$2:A64 = MATCH_DATES!$A$6) * (PLAYER_STAT!D$2:D64 = $B14), 
    0)
  ), 
  ""
)
</f>
        <v/>
      </c>
      <c r="BG14" s="23" t="str">
        <f t="array" ref="BG14">IFERROR(
  INDEX(PLAYER_STAT!F$2:F64, 
    MATCH(1, 
      (PLAYER_STAT!A$2:A64 = MATCH_DATES!$A$6) * (PLAYER_STAT!D$2:D64 = $B14), 
    0)
  ), 
  ""
)
</f>
        <v/>
      </c>
      <c r="BH14" s="34" t="str">
        <f t="array" ref="BH14">IFERROR(
  INDEX(PLAYER_STAT!G$2:G64, 
    MATCH(1, 
      (PLAYER_STAT!A$2:A64 = MATCH_DATES!$A$6) * (PLAYER_STAT!D$2:D64 = $B14), 
    0)
  ), 
  ""
)
</f>
        <v/>
      </c>
      <c r="BI14" s="25">
        <f t="shared" si="26"/>
        <v>18</v>
      </c>
      <c r="BJ14" s="26" t="str">
        <f t="shared" si="27"/>
        <v>↓</v>
      </c>
      <c r="BK14" s="27" t="s">
        <v>215</v>
      </c>
      <c r="BL14" s="28">
        <f t="shared" si="28"/>
        <v>35</v>
      </c>
      <c r="BM14" s="28">
        <f t="shared" si="29"/>
        <v>2</v>
      </c>
      <c r="BN14" s="28">
        <f>SUM(BO14*2) + (BP14*1) + SUMIFS(MATCH_INPUT!$G$22:$G$25, MATCH_INPUT!$F$22:$F$25, BK14) + SUMIFS(MATCH_INPUT!$I$22:$I$25, MATCH_INPUT!$J$22:$J$25, BK14)
</f>
        <v>12</v>
      </c>
      <c r="BO14" s="28">
        <f>IF(BK14&lt;&gt;"",
    COUNTIFS(MATCH_INPUT!$K$22:$K$25,BK14),
0)</f>
        <v>2</v>
      </c>
      <c r="BP14" s="28">
        <f>IF(BK14&lt;&gt;"",
    COUNTIFS(MATCH_INPUT!$F$22:$F$25, BK14, MATCH_INPUT!$K$22:$K$25, "Draw") +
    COUNTIFS(MATCH_INPUT!$J$22:$J$25, BK14, MATCH_INPUT!$K$22:$K$25, "Draw"),
0)</f>
        <v>0</v>
      </c>
      <c r="BQ14" s="28">
        <f>IF(BK14&lt;&gt;"",
    COUNTIFS(MATCH_INPUT!$F$22:$F$25, BK14, MATCH_INPUT!$K$22:$K$25, "&lt;&gt;"&amp;BK14, MATCH_INPUT!$K$22:$K$25, "&lt;&gt;Draw", MATCH_INPUT!$K$22:$K$25, "&lt;&gt;""") +
    COUNTIFS(MATCH_INPUT!$J$22:$J$25, BK14, MATCH_INPUT!$K$22:$K$25, "&lt;&gt;"&amp;BK14, MATCH_INPUT!$K$22:$K$25, "&lt;&gt;Draw", MATCH_INPUT!$K$22:$K$25, "&lt;&gt;"""),
0)</f>
        <v>0</v>
      </c>
      <c r="BR14" s="29" t="str">
        <f t="array" ref="BR14">IFERROR(
  INDEX(PLAYER_STAT!E$2:E64, 
    MATCH(1, 
      (PLAYER_STAT!A$2:A64 = MATCH_DATES!$A$7) * (PLAYER_STAT!D$2:D64 = $B14), 
    0)
  ), 
  ""
)
</f>
        <v/>
      </c>
      <c r="BS14" s="29" t="str">
        <f t="array" ref="BS14">IFERROR(
  INDEX(PLAYER_STAT!F$2:F64, 
    MATCH(1, 
      (PLAYER_STAT!A$2:A64 = MATCH_DATES!$A$7) * (PLAYER_STAT!D$2:D64 = $B14), 
    0)
  ), 
  ""
)
</f>
        <v/>
      </c>
      <c r="BT14" s="30" t="str">
        <f t="array" ref="BT14">IFERROR(
  INDEX(PLAYER_STAT!G$2:G64, 
    MATCH(1, 
      (PLAYER_STAT!A$2:A64 = MATCH_DATES!$A$7) * (PLAYER_STAT!D$2:D64 = $B14), 
    0)
  ), 
  ""
)
</f>
        <v/>
      </c>
      <c r="BU14" s="31">
        <f t="shared" si="30"/>
        <v>8</v>
      </c>
      <c r="BV14" s="32" t="str">
        <f t="shared" si="31"/>
        <v>↑</v>
      </c>
      <c r="BW14" s="21" t="s">
        <v>213</v>
      </c>
      <c r="BX14" s="33">
        <f t="shared" si="32"/>
        <v>51</v>
      </c>
      <c r="BY14" s="22">
        <f t="shared" si="33"/>
        <v>2</v>
      </c>
      <c r="BZ14" s="22">
        <f>SUM(CA14*2)+(CB14*1) + SUMIFS(MATCH_INPUT!$G$26:$G$29, MATCH_INPUT!$F$26:$F$29, BW14) + SUMIFS(MATCH_INPUT!$I$26:$I$29, MATCH_INPUT!$J$26:$J$29, BW14)
</f>
        <v>14</v>
      </c>
      <c r="CA14" s="22">
        <f>IF(BW14&lt;&gt;"",
    COUNTIFS(MATCH_INPUT!$K$26:$K$29,BW14),
0)</f>
        <v>2</v>
      </c>
      <c r="CB14" s="22">
        <f>IF(BW14&lt;&gt;"",
    COUNTIFS(MATCH_INPUT!$F$26:$F$29, BW14, MATCH_INPUT!$K$26:$K$29, "Draw") +
    COUNTIFS(MATCH_INPUT!$J$26:$J$29, BW14, MATCH_INPUT!$K$26:$K$29, "Draw"),
0)</f>
        <v>0</v>
      </c>
      <c r="CC14" s="22">
        <f>IF(BW14&lt;&gt;"",
    COUNTIFS(MATCH_INPUT!$F$26:$F$29, BW14, MATCH_INPUT!$K$26:$K$29, "&lt;&gt;"&amp;BW14, MATCH_INPUT!$K$26:$K$29, "&lt;&gt;Draw", MATCH_INPUT!$K$26:$K$29, "&lt;&gt;""") +
    COUNTIFS(MATCH_INPUT!$J$26:$J$29, BW14, MATCH_INPUT!$K$26:$K$29, "&lt;&gt;"&amp;BW14, MATCH_INPUT!$K$26:$K$29, "&lt;&gt;Draw", MATCH_INPUT!$K$26:$K$29, "&lt;&gt;"""),
0)</f>
        <v>0</v>
      </c>
      <c r="CD14" s="23" t="str">
        <f t="array" ref="CD14">IFERROR(
  INDEX(PLAYER_STAT!E$2:E64, 
    MATCH(1, 
      (PLAYER_STAT!A$2:A64 = MATCH_DATES!$A$8) * (PLAYER_STAT!D$2:D64 = $B14), 
    0)
  ), 
  ""
)
</f>
        <v/>
      </c>
      <c r="CE14" s="23" t="str">
        <f t="array" ref="CE14">IFERROR(
  INDEX(PLAYER_STAT!F$2:F64, 
    MATCH(1, 
      (PLAYER_STAT!A$2:A64 = MATCH_DATES!$A$8) * (PLAYER_STAT!D$2:D64 = $B14), 
    0)
  ), 
  ""
)
</f>
        <v/>
      </c>
      <c r="CF14" s="34" t="str">
        <f t="array" ref="CF14">IFERROR(
  INDEX(PLAYER_STAT!G$2:G64, 
    MATCH(1, 
      (PLAYER_STAT!A$2:A64 = MATCH_DATES!$A$8) * (PLAYER_STAT!D$2:D64 = $B14), 
    0)
  ), 
  ""
)
</f>
        <v/>
      </c>
      <c r="CG14" s="25">
        <f t="shared" si="34"/>
        <v>3</v>
      </c>
      <c r="CH14" s="26" t="str">
        <f t="shared" si="35"/>
        <v>↑</v>
      </c>
      <c r="CI14" s="27" t="s">
        <v>215</v>
      </c>
      <c r="CJ14" s="28">
        <f t="shared" si="36"/>
        <v>57</v>
      </c>
      <c r="CK14" s="28">
        <f t="shared" si="37"/>
        <v>2</v>
      </c>
      <c r="CL14" s="28">
        <f>SUM(CM14*2)+(CN14*1) + SUMIFS(MATCH_INPUT!$G$30:$G$33, MATCH_INPUT!$F$30:$F$33, CI14) + SUMIFS(MATCH_INPUT!$I$30:$I$33, MATCH_INPUT!$J$30:$J$33, CI14)
</f>
        <v>4</v>
      </c>
      <c r="CM14" s="28">
        <f>IF(CI14&lt;&gt;"",
    COUNTIFS(MATCH_INPUT!$K$30:$K$33,CI14),
0)</f>
        <v>0</v>
      </c>
      <c r="CN14" s="28">
        <f>IF(CI14&lt;&gt;"",
    COUNTIFS(MATCH_INPUT!$F$30:$F$33, CI14, MATCH_INPUT!$K$30:$K$33, "Draw") +
    COUNTIFS(MATCH_INPUT!$J$30:$J$33, CI14, MATCH_INPUT!$K$30:$K$33, "Draw"),
0)</f>
        <v>0</v>
      </c>
      <c r="CO14" s="28">
        <f>IF(CI14&lt;&gt;"",
    COUNTIFS(MATCH_INPUT!$F$30:$F$33, CI14, MATCH_INPUT!$K$30:$K$33, "&lt;&gt;"&amp;CI14, MATCH_INPUT!$K$30:$K$33, "&lt;&gt;Draw", MATCH_INPUT!$K$30:$K$33, "&lt;&gt;""") +
    COUNTIFS(MATCH_INPUT!$J$30:$J$33, CI14, MATCH_INPUT!$K$30:$K$33, "&lt;&gt;"&amp;CI14, MATCH_INPUT!$K$30:$K$33, "&lt;&gt;Draw", MATCH_INPUT!$K$30:$K$33, "&lt;&gt;"""),
0)</f>
        <v>2</v>
      </c>
      <c r="CP14" s="29">
        <f t="array" ref="CP14">IFERROR(
  INDEX(PLAYER_STAT!E$2:E64, 
    MATCH(1, 
      (PLAYER_STAT!A$2:A64 = MATCH_DATES!$A$9) * (PLAYER_STAT!D$2:D64 = $B14), 
    0)
  ), 
  ""
)
</f>
        <v>1</v>
      </c>
      <c r="CQ14" s="29">
        <f t="array" ref="CQ14">IFERROR(
  INDEX(PLAYER_STAT!F$2:F64, 
    MATCH(1, 
      (PLAYER_STAT!A$2:A64 = MATCH_DATES!$A$9) * (PLAYER_STAT!D$2:D64 = $B14), 
    0)
  ), 
  ""
)
</f>
        <v>0</v>
      </c>
      <c r="CR14" s="29">
        <f t="array" ref="CR14">IFERROR(
  INDEX(PLAYER_STAT!G$2:G64, 
    MATCH(1, 
      (PLAYER_STAT!A$2:A64 = MATCH_DATES!$A$9) * (PLAYER_STAT!D$2:D64 = $B14), 
    0)
  ), 
  ""
)
</f>
        <v>0</v>
      </c>
      <c r="CS14" s="35">
        <f t="shared" si="38"/>
        <v>5</v>
      </c>
      <c r="CT14" s="35" t="str">
        <f t="shared" si="39"/>
        <v>↓</v>
      </c>
      <c r="CU14" s="36">
        <f t="shared" si="40"/>
        <v>43</v>
      </c>
      <c r="CV14" s="36" t="str">
        <f t="shared" ref="CV14:CW14" si="73">A14</f>
        <v>🍂🎃</v>
      </c>
      <c r="CW14" s="37" t="str">
        <f t="shared" si="73"/>
        <v>Fabián 👬 Asdruval</v>
      </c>
      <c r="CX14" s="37">
        <f t="shared" si="42"/>
        <v>57</v>
      </c>
      <c r="CY14" s="36">
        <f>SUM(
  IF(AND(MATCH_DATES!$A$2 &lt;= TODAY(), NOW() &gt;= MATCH_DATES!$A$2 + TIME(22, 0, 0)), E14, 0),
  IF(AND(MATCH_DATES!$A$3 &lt;= TODAY(), NOW() &gt;= MATCH_DATES!$A$3 + TIME(22, 0, 0)), Q14, 0),
  IF(AND(MATCH_DATES!$A$4 &lt;= TODAY(), NOW() &gt;= MATCH_DATES!$A$4 + TIME(22, 0, 0)), AC14, 0),
  IF(AND(MATCH_DATES!$A$5 &lt;= TODAY(), NOW() &gt;= MATCH_DATES!$A$5 + TIME(22, 0, 0)), AO14, 0),
  IF(AND(MATCH_DATES!$A$6 &lt;= TODAY(), NOW() &gt;= MATCH_DATES!$A$6 + TIME(22, 0, 0)), BA14, 0),
  IF(AND(MATCH_DATES!$A$7 &lt;= TODAY(), NOW() &gt;= MATCH_DATES!$A$7 + TIME(22, 0, 0)), BM14, 0),
  IF(AND(MATCH_DATES!$A$8 &lt;= TODAY(), NOW() &gt;= MATCH_DATES!$A$8 + TIME(22, 0, 0)), BY14, 0),
  IF(AND(MATCH_DATES!$A$9 &lt;= TODAY(), NOW() &gt;= MATCH_DATES!$A$9 + TIME(22, 0, 0)), CK14, 0)
)
</f>
        <v>14</v>
      </c>
      <c r="CZ14" s="37">
        <f t="shared" ref="CZ14:DA14" si="74">SUM(G14,S14,AE14,AQ14,BC14,BO14,CA14,CM14)</f>
        <v>10</v>
      </c>
      <c r="DA14" s="37">
        <f t="shared" si="74"/>
        <v>1</v>
      </c>
      <c r="DB14" s="37">
        <f>SUM(
  IF(AND(MATCH_DATES!$A$2 &lt;= TODAY(), NOW() &gt;= MATCH_DATES!$A$2 + TIME(22, 0, 0)), I14, 0),
  IF(AND(MATCH_DATES!$A$3 &lt;= TODAY(), NOW() &gt;= MATCH_DATES!$A$3 + TIME(22, 0, 0)), U14, 0),
  IF(AND(MATCH_DATES!$A$4 &lt;= TODAY(), NOW() &gt;= MATCH_DATES!$A$4 + TIME(22, 0, 0)), AG14, 0),
  IF(AND(MATCH_DATES!$A$5 &lt;= TODAY(), NOW() &gt;= MATCH_DATES!$A$5 + TIME(22, 0, 0)), AS14, 0),
  IF(AND(MATCH_DATES!$A$6 &lt;= TODAY(), NOW() &gt;= MATCH_DATES!$A$6 + TIME(22, 0, 0)), BE14, 0),
  IF(AND(MATCH_DATES!$A$7 &lt;= TODAY(), NOW() &gt;= MATCH_DATES!$A$7 + TIME(22, 0, 0)), BQ14, 0),
  IF(AND(MATCH_DATES!$A$8 &lt;= TODAY(), NOW() &gt;= MATCH_DATES!$A$8 + TIME(22, 0, 0)), CC14, 0),
  IF(AND(MATCH_DATES!$A$9 &lt;= TODAY(), NOW() &gt;= MATCH_DATES!$A$9 + TIME(22, 0, 0)), CO14, 0)
)</f>
        <v>3</v>
      </c>
      <c r="DC14" s="37">
        <f t="shared" si="44"/>
        <v>1</v>
      </c>
      <c r="DD14" s="37">
        <f t="shared" ref="DD14:DE14" si="75">SUM(K14,W14,AI14,AU14,BG14,BS14,CE14,CQ14)</f>
        <v>0</v>
      </c>
      <c r="DE14" s="37">
        <f t="shared" si="75"/>
        <v>0</v>
      </c>
    </row>
    <row r="15" ht="24.75" customHeight="1">
      <c r="A15" s="19" t="s">
        <v>210</v>
      </c>
      <c r="B15" s="20" t="s">
        <v>225</v>
      </c>
      <c r="C15" s="21" t="s">
        <v>213</v>
      </c>
      <c r="D15" s="22">
        <f t="shared" si="4"/>
        <v>4</v>
      </c>
      <c r="E15" s="22">
        <f t="shared" si="5"/>
        <v>2</v>
      </c>
      <c r="F15" s="22">
        <f t="shared" si="6"/>
        <v>2</v>
      </c>
      <c r="G15" s="22">
        <f>IF(C15&lt;&gt;"",
    COUNTIFS(MATCH_INPUT!$K$2:$K$5,C15),
0)</f>
        <v>1</v>
      </c>
      <c r="H15" s="22">
        <f>IF(C15&lt;&gt;"",
    COUNTIFS(MATCH_INPUT!$F$2:$F$5, C15, MATCH_INPUT!$K$2:$K$5, "Draw") +
    COUNTIFS(MATCH_INPUT!$J$2:$J$5, C15, MATCH_INPUT!$K$2:$K$5, "Draw"),
0)</f>
        <v>0</v>
      </c>
      <c r="I15" s="22">
        <f>IF(C15&lt;&gt;"",
    COUNTIFS(MATCH_INPUT!$F$2:$F$5, C15, MATCH_INPUT!$K$2:$K$5, "&lt;&gt;"&amp;C15, MATCH_INPUT!$K$2:$K$5, "&lt;&gt;Draw", MATCH_INPUT!$K$2:$K$5, "&lt;&gt;""") +
    COUNTIFS(MATCH_INPUT!$J$2:$J$5, C15, MATCH_INPUT!$K$2:$K$5, "&lt;&gt;"&amp;C15, MATCH_INPUT!$K$2:$K$5, "&lt;&gt;Draw", MATCH_INPUT!$K$2:$K$5, "&lt;&gt;"""),
0)</f>
        <v>1</v>
      </c>
      <c r="J15" s="23" t="str">
        <f t="array" ref="J15">IFERROR(
  INDEX(PLAYER_STAT!E$2:E64, 
    MATCH(1, 
      (PLAYER_STAT!A$2:A64 = MATCH_DATES!$A$2) * (PLAYER_STAT!D$2:D64 = $B15), 
    0)
  ), 
  ""
)
</f>
        <v/>
      </c>
      <c r="K15" s="23" t="str">
        <f t="array" ref="K15">IFERROR(
  INDEX(PLAYER_STAT!F$2:F64, 
    MATCH(1, 
      (PLAYER_STAT!A$2:A64 = MATCH_DATES!$A$2) * (PLAYER_STAT!D$2:D64 = $B15), 
    0)
  ), 
  ""
)
</f>
        <v/>
      </c>
      <c r="L15" s="24" t="str">
        <f t="array" ref="L15">IFERROR(
  INDEX(PLAYER_STAT!G$2:G64, 
    MATCH(1, 
      (PLAYER_STAT!A$2:A64 = MATCH_DATES!$A$2) * (PLAYER_STAT!D$2:D64 = $B15), 
    0)
  ), 
  ""
)
</f>
        <v/>
      </c>
      <c r="M15" s="25">
        <f t="shared" si="7"/>
        <v>11</v>
      </c>
      <c r="N15" s="26" t="str">
        <f t="shared" si="8"/>
        <v>↓</v>
      </c>
      <c r="O15" s="27"/>
      <c r="P15" s="28">
        <f t="shared" si="9"/>
        <v>4</v>
      </c>
      <c r="Q15" s="28">
        <f t="shared" si="10"/>
        <v>0</v>
      </c>
      <c r="R15" s="28">
        <f t="shared" si="11"/>
        <v>0</v>
      </c>
      <c r="S15" s="28">
        <f>IF(O15&lt;&gt;"",
    COUNTIFS(MATCH_INPUT!$K$6:$K$9,O15),
0)</f>
        <v>0</v>
      </c>
      <c r="T15" s="28">
        <f>IF(O15&lt;&gt;"",
    COUNTIFS(MATCH_INPUT!$F$6:$F$9, O15, MATCH_INPUT!$K$6:$K$9, "Draw") +
    COUNTIFS(MATCH_INPUT!$J$6:$J$9, O15, MATCH_INPUT!$K$6:$K$9, "Draw"),
0)</f>
        <v>0</v>
      </c>
      <c r="U15" s="28">
        <f>IF(O15&lt;&gt;"",
    COUNTIFS(MATCH_INPUT!$F$6:$F$9, O15, MATCH_INPUT!$K$6:$K$9, "&lt;&gt;"&amp;O15, MATCH_INPUT!$K$6:$K$9, "&lt;&gt;Draw", MATCH_INPUT!$K$6:$K$9, "&lt;&gt;""") +
    COUNTIFS(MATCH_INPUT!$J$6:$J$9, O15, MATCH_INPUT!$K$6:$K$9, "&lt;&gt;"&amp;O15, MATCH_INPUT!$K$6:$K$9, "&lt;&gt;Draw", MATCH_INPUT!$K$6:$K$9, "&lt;&gt;"""),
0)</f>
        <v>0</v>
      </c>
      <c r="V15" s="29" t="str">
        <f t="array" ref="V15">IFERROR(
  INDEX(PLAYER_STAT!E$2:E64, 
    MATCH(1, 
      (PLAYER_STAT!A$2:A64 = MATCH_DATES!$A$3) * (PLAYER_STAT!D$2:D64 = $B15), 
    0)
  ), 
  ""
)
</f>
        <v/>
      </c>
      <c r="W15" s="29" t="str">
        <f t="array" ref="W15">IFERROR(
  INDEX(PLAYER_STAT!F$2:F64, 
    MATCH(1, 
      (PLAYER_STAT!A$2:A64 = MATCH_DATES!$A$3) * (PLAYER_STAT!D$2:D64 = $B15), 
    0)
  ), 
  ""
)
</f>
        <v/>
      </c>
      <c r="X15" s="30" t="str">
        <f t="array" ref="X15">IFERROR(
  INDEX(PLAYER_STAT!G$2:G64, 
    MATCH(1, 
      (PLAYER_STAT!A$2:A64 = MATCH_DATES!$A$3) * (PLAYER_STAT!D$2:D64 = $B15), 
    0)
  ), 
  ""
)
</f>
        <v/>
      </c>
      <c r="Y15" s="31">
        <f t="shared" si="12"/>
        <v>32</v>
      </c>
      <c r="Z15" s="32" t="str">
        <f t="shared" si="13"/>
        <v>↓</v>
      </c>
      <c r="AA15" s="21" t="s">
        <v>214</v>
      </c>
      <c r="AB15" s="33">
        <f t="shared" si="14"/>
        <v>9</v>
      </c>
      <c r="AC15" s="22">
        <f t="shared" si="15"/>
        <v>2</v>
      </c>
      <c r="AD15" s="22">
        <f t="shared" si="16"/>
        <v>2</v>
      </c>
      <c r="AE15" s="22">
        <f>IF(AA15&lt;&gt;"",
    COUNTIFS(MATCH_INPUT!$K$10:$K$13,AA15),
0)</f>
        <v>1</v>
      </c>
      <c r="AF15" s="22">
        <f>IF(AA15&lt;&gt;"",
    COUNTIFS(MATCH_INPUT!$F$10:$F$13, AA15, MATCH_INPUT!$K$10:$K$13, "Draw") +
    COUNTIFS(MATCH_INPUT!$J$10:$J$13, AA15, MATCH_INPUT!$K$10:$K$13, "Draw"),
0)</f>
        <v>0</v>
      </c>
      <c r="AG15" s="22">
        <f>IF(AA15&lt;&gt;"",
    COUNTIFS(MATCH_INPUT!$F$10:$F$13, AA15, MATCH_INPUT!$K$10:$K$13, "&lt;&gt;"&amp;AA15, MATCH_INPUT!$K$10:$K$13, "&lt;&gt;Draw", MATCH_INPUT!$K$10:$K$13, "&lt;&gt;""") +
    COUNTIFS(MATCH_INPUT!$J$10:$J$13, AA15, MATCH_INPUT!$K$10:$K$13, "&lt;&gt;"&amp;AA15, MATCH_INPUT!$K$10:$K$13, "&lt;&gt;Draw", MATCH_INPUT!$K$10:$K$13, "&lt;&gt;"""),
0)</f>
        <v>1</v>
      </c>
      <c r="AH15" s="23">
        <f t="array" ref="AH15">IFERROR(
  INDEX(PLAYER_STAT!E$2:E64, 
    MATCH(1, 
      (PLAYER_STAT!A$2:A64 = MATCH_DATES!$A$4) * (PLAYER_STAT!D$2:D64 = $B15), 
    0)
  ), 
  ""
)
</f>
        <v>0</v>
      </c>
      <c r="AI15" s="23">
        <f t="array" ref="AI15">IFERROR(
  INDEX(PLAYER_STAT!F$2:F64, 
    MATCH(1, 
      (PLAYER_STAT!A$2:A64 = MATCH_DATES!$A$4) * (PLAYER_STAT!D$2:D64 = $B15), 
    0)
  ), 
  ""
)
</f>
        <v>1</v>
      </c>
      <c r="AJ15" s="34">
        <f t="array" ref="AJ15">IFERROR(
  INDEX(PLAYER_STAT!G$2:G64, 
    MATCH(1, 
      (PLAYER_STAT!A$2:A64 = MATCH_DATES!$A$4) * (PLAYER_STAT!D$2:D64 = $B15), 
    0)
  ), 
  ""
)
</f>
        <v>0</v>
      </c>
      <c r="AK15" s="25">
        <f t="shared" si="17"/>
        <v>29</v>
      </c>
      <c r="AL15" s="26" t="str">
        <f t="shared" si="18"/>
        <v>↑</v>
      </c>
      <c r="AM15" s="27" t="s">
        <v>214</v>
      </c>
      <c r="AN15" s="28">
        <f t="shared" si="19"/>
        <v>11</v>
      </c>
      <c r="AO15" s="28">
        <f t="shared" si="20"/>
        <v>2</v>
      </c>
      <c r="AP15" s="28">
        <f t="shared" si="21"/>
        <v>0</v>
      </c>
      <c r="AQ15" s="28">
        <f>IF(AM15&lt;&gt;"",
    COUNTIFS(MATCH_INPUT!$K$14:$K$17,AM15),
0)</f>
        <v>0</v>
      </c>
      <c r="AR15" s="28">
        <f>IF(AM15&lt;&gt;"",
    COUNTIFS(MATCH_INPUT!$F$14:$F$17, AM15, MATCH_INPUT!$K$14:$K$17, "Draw") +
    COUNTIFS(MATCH_INPUT!$J$14:$J$17, AM15, MATCH_INPUT!$K$14:$K$17, "Draw"),
0)</f>
        <v>0</v>
      </c>
      <c r="AS15" s="28">
        <f>IF(AM15&lt;&gt;"",
    COUNTIFS(MATCH_INPUT!$F$14:$F$17, AM15, MATCH_INPUT!$K$14:$K$17, "&lt;&gt;"&amp;AM15, MATCH_INPUT!$K$14:$K$17, "&lt;&gt;Draw", MATCH_INPUT!$K$14:$K$17, "&lt;&gt;""") +
    COUNTIFS(MATCH_INPUT!$J$14:$J$17, AM15, MATCH_INPUT!$K$14:$K$17, "&lt;&gt;"&amp;AM15, MATCH_INPUT!$K$14:$K$17, "&lt;&gt;Draw", MATCH_INPUT!$K$14:$K$17, "&lt;&gt;"""),
0)</f>
        <v>2</v>
      </c>
      <c r="AT15" s="29" t="str">
        <f t="array" ref="AT15">IFERROR(
  INDEX(PLAYER_STAT!E$2:E64, 
    MATCH(1, 
      (PLAYER_STAT!A$2:A64 = MATCH_DATES!$A$5) * (PLAYER_STAT!D$2:D64 = $B15), 
    0)
  ), 
  ""
)
</f>
        <v/>
      </c>
      <c r="AU15" s="29" t="str">
        <f t="array" ref="AU15">IFERROR(
  INDEX(PLAYER_STAT!F$2:F64, 
    MATCH(1, 
      (PLAYER_STAT!A$2:A64 = MATCH_DATES!$A$5) * (PLAYER_STAT!D$2:D64 = $B15), 
    0)
  ), 
  ""
)
</f>
        <v/>
      </c>
      <c r="AV15" s="30" t="str">
        <f t="array" ref="AV15">IFERROR(
  INDEX(PLAYER_STAT!G$2:G64, 
    MATCH(1, 
      (PLAYER_STAT!A$2:A64 = MATCH_DATES!$A$5) * (PLAYER_STAT!D$2:D64 = $B15), 
    0)
  ), 
  ""
)
</f>
        <v/>
      </c>
      <c r="AW15" s="31">
        <f t="shared" si="22"/>
        <v>29</v>
      </c>
      <c r="AX15" s="32" t="str">
        <f t="shared" si="23"/>
        <v>=</v>
      </c>
      <c r="AY15" s="21" t="s">
        <v>212</v>
      </c>
      <c r="AZ15" s="33">
        <f t="shared" si="24"/>
        <v>24</v>
      </c>
      <c r="BA15" s="22">
        <f t="shared" si="25"/>
        <v>2</v>
      </c>
      <c r="BB15" s="22">
        <f>SUM(BC15*2) + (BD15*1) + SUMIFS(MATCH_INPUT!$G$18:$G$21, MATCH_INPUT!$F$18:$F$21, AY15) + SUMIFS(MATCH_INPUT!$I$18:$I$21, MATCH_INPUT!$J$18:$J$21, AY15)
</f>
        <v>11</v>
      </c>
      <c r="BC15" s="22">
        <f>IF(AY15&lt;&gt;"",
    COUNTIFS(MATCH_INPUT!$K$18:$K$21,AY15),
0)</f>
        <v>2</v>
      </c>
      <c r="BD15" s="22">
        <f>IF(AY15&lt;&gt;"",
    COUNTIFS(MATCH_INPUT!$F$18:$F$21, AY15, MATCH_INPUT!$K$18:$K$21, "Draw") +
    COUNTIFS(MATCH_INPUT!$J$18:$J$21, AY15, MATCH_INPUT!$K$18:$K$21, "Draw"),
0)</f>
        <v>0</v>
      </c>
      <c r="BE15" s="22">
        <f>IF(AY15&lt;&gt;"",
    COUNTIFS(MATCH_INPUT!$F$18:$F$21, AY15, MATCH_INPUT!$K$18:$K$21, "&lt;&gt;"&amp;AY15, MATCH_INPUT!$K$18:$K$21, "&lt;&gt;Draw", MATCH_INPUT!$K$18:$K$21, "&lt;&gt;""") +
    COUNTIFS(MATCH_INPUT!$J$18:$J$21, AY15, MATCH_INPUT!$K$18:$K$21, "&lt;&gt;"&amp;AY15, MATCH_INPUT!$K$18:$K$21, "&lt;&gt;Draw", MATCH_INPUT!$K$18:$K$21, "&lt;&gt;"""),
0)</f>
        <v>0</v>
      </c>
      <c r="BF15" s="23" t="str">
        <f t="array" ref="BF15">IFERROR(
  INDEX(PLAYER_STAT!E$2:E64, 
    MATCH(1, 
      (PLAYER_STAT!A$2:A64 = MATCH_DATES!$A$6) * (PLAYER_STAT!D$2:D64 = $B15), 
    0)
  ), 
  ""
)
</f>
        <v/>
      </c>
      <c r="BG15" s="23" t="str">
        <f t="array" ref="BG15">IFERROR(
  INDEX(PLAYER_STAT!F$2:F64, 
    MATCH(1, 
      (PLAYER_STAT!A$2:A64 = MATCH_DATES!$A$6) * (PLAYER_STAT!D$2:D64 = $B15), 
    0)
  ), 
  ""
)
</f>
        <v/>
      </c>
      <c r="BH15" s="34" t="str">
        <f t="array" ref="BH15">IFERROR(
  INDEX(PLAYER_STAT!G$2:G64, 
    MATCH(1, 
      (PLAYER_STAT!A$2:A64 = MATCH_DATES!$A$6) * (PLAYER_STAT!D$2:D64 = $B15), 
    0)
  ), 
  ""
)
</f>
        <v/>
      </c>
      <c r="BI15" s="25">
        <f t="shared" si="26"/>
        <v>13</v>
      </c>
      <c r="BJ15" s="26" t="str">
        <f t="shared" si="27"/>
        <v>↑</v>
      </c>
      <c r="BK15" s="27" t="s">
        <v>214</v>
      </c>
      <c r="BL15" s="28">
        <f t="shared" si="28"/>
        <v>33</v>
      </c>
      <c r="BM15" s="28">
        <f t="shared" si="29"/>
        <v>2</v>
      </c>
      <c r="BN15" s="28">
        <f>SUM(BO15*2) + (BP15*1) + SUMIFS(MATCH_INPUT!$G$22:$G$25, MATCH_INPUT!$F$22:$F$25, BK15) + SUMIFS(MATCH_INPUT!$I$22:$I$25, MATCH_INPUT!$J$22:$J$25, BK15)
</f>
        <v>7</v>
      </c>
      <c r="BO15" s="28">
        <f>IF(BK15&lt;&gt;"",
    COUNTIFS(MATCH_INPUT!$K$22:$K$25,BK15),
0)</f>
        <v>1</v>
      </c>
      <c r="BP15" s="28">
        <f>IF(BK15&lt;&gt;"",
    COUNTIFS(MATCH_INPUT!$F$22:$F$25, BK15, MATCH_INPUT!$K$22:$K$25, "Draw") +
    COUNTIFS(MATCH_INPUT!$J$22:$J$25, BK15, MATCH_INPUT!$K$22:$K$25, "Draw"),
0)</f>
        <v>1</v>
      </c>
      <c r="BQ15" s="28">
        <f>IF(BK15&lt;&gt;"",
    COUNTIFS(MATCH_INPUT!$F$22:$F$25, BK15, MATCH_INPUT!$K$22:$K$25, "&lt;&gt;"&amp;BK15, MATCH_INPUT!$K$22:$K$25, "&lt;&gt;Draw", MATCH_INPUT!$K$22:$K$25, "&lt;&gt;""") +
    COUNTIFS(MATCH_INPUT!$J$22:$J$25, BK15, MATCH_INPUT!$K$22:$K$25, "&lt;&gt;"&amp;BK15, MATCH_INPUT!$K$22:$K$25, "&lt;&gt;Draw", MATCH_INPUT!$K$22:$K$25, "&lt;&gt;"""),
0)</f>
        <v>0</v>
      </c>
      <c r="BR15" s="29" t="str">
        <f t="array" ref="BR15">IFERROR(
  INDEX(PLAYER_STAT!E$2:E64, 
    MATCH(1, 
      (PLAYER_STAT!A$2:A64 = MATCH_DATES!$A$7) * (PLAYER_STAT!D$2:D64 = $B15), 
    0)
  ), 
  ""
)
</f>
        <v/>
      </c>
      <c r="BS15" s="29" t="str">
        <f t="array" ref="BS15">IFERROR(
  INDEX(PLAYER_STAT!F$2:F64, 
    MATCH(1, 
      (PLAYER_STAT!A$2:A64 = MATCH_DATES!$A$7) * (PLAYER_STAT!D$2:D64 = $B15), 
    0)
  ), 
  ""
)
</f>
        <v/>
      </c>
      <c r="BT15" s="30" t="str">
        <f t="array" ref="BT15">IFERROR(
  INDEX(PLAYER_STAT!G$2:G64, 
    MATCH(1, 
      (PLAYER_STAT!A$2:A64 = MATCH_DATES!$A$7) * (PLAYER_STAT!D$2:D64 = $B15), 
    0)
  ), 
  ""
)
</f>
        <v/>
      </c>
      <c r="BU15" s="31">
        <f t="shared" si="30"/>
        <v>14</v>
      </c>
      <c r="BV15" s="32" t="str">
        <f t="shared" si="31"/>
        <v>↓</v>
      </c>
      <c r="BW15" s="21" t="s">
        <v>214</v>
      </c>
      <c r="BX15" s="33">
        <f t="shared" si="32"/>
        <v>36</v>
      </c>
      <c r="BY15" s="22">
        <f t="shared" si="33"/>
        <v>2</v>
      </c>
      <c r="BZ15" s="22">
        <f>SUM(CA15*2)+(CB15*1) + SUMIFS(MATCH_INPUT!$G$26:$G$29, MATCH_INPUT!$F$26:$F$29, BW15) + SUMIFS(MATCH_INPUT!$I$26:$I$29, MATCH_INPUT!$J$26:$J$29, BW15)
</f>
        <v>1</v>
      </c>
      <c r="CA15" s="22">
        <f>IF(BW15&lt;&gt;"",
    COUNTIFS(MATCH_INPUT!$K$26:$K$29,BW15),
0)</f>
        <v>0</v>
      </c>
      <c r="CB15" s="22">
        <f>IF(BW15&lt;&gt;"",
    COUNTIFS(MATCH_INPUT!$F$26:$F$29, BW15, MATCH_INPUT!$K$26:$K$29, "Draw") +
    COUNTIFS(MATCH_INPUT!$J$26:$J$29, BW15, MATCH_INPUT!$K$26:$K$29, "Draw"),
0)</f>
        <v>0</v>
      </c>
      <c r="CC15" s="22">
        <f>IF(BW15&lt;&gt;"",
    COUNTIFS(MATCH_INPUT!$F$26:$F$29, BW15, MATCH_INPUT!$K$26:$K$29, "&lt;&gt;"&amp;BW15, MATCH_INPUT!$K$26:$K$29, "&lt;&gt;Draw", MATCH_INPUT!$K$26:$K$29, "&lt;&gt;""") +
    COUNTIFS(MATCH_INPUT!$J$26:$J$29, BW15, MATCH_INPUT!$K$26:$K$29, "&lt;&gt;"&amp;BW15, MATCH_INPUT!$K$26:$K$29, "&lt;&gt;Draw", MATCH_INPUT!$K$26:$K$29, "&lt;&gt;"""),
0)</f>
        <v>2</v>
      </c>
      <c r="CD15" s="23" t="str">
        <f t="array" ref="CD15">IFERROR(
  INDEX(PLAYER_STAT!E$2:E64, 
    MATCH(1, 
      (PLAYER_STAT!A$2:A64 = MATCH_DATES!$A$8) * (PLAYER_STAT!D$2:D64 = $B15), 
    0)
  ), 
  ""
)
</f>
        <v/>
      </c>
      <c r="CE15" s="23" t="str">
        <f t="array" ref="CE15">IFERROR(
  INDEX(PLAYER_STAT!F$2:F64, 
    MATCH(1, 
      (PLAYER_STAT!A$2:A64 = MATCH_DATES!$A$8) * (PLAYER_STAT!D$2:D64 = $B15), 
    0)
  ), 
  ""
)
</f>
        <v/>
      </c>
      <c r="CF15" s="34" t="str">
        <f t="array" ref="CF15">IFERROR(
  INDEX(PLAYER_STAT!G$2:G64, 
    MATCH(1, 
      (PLAYER_STAT!A$2:A64 = MATCH_DATES!$A$8) * (PLAYER_STAT!D$2:D64 = $B15), 
    0)
  ), 
  ""
)
</f>
        <v/>
      </c>
      <c r="CG15" s="25">
        <f t="shared" si="34"/>
        <v>21</v>
      </c>
      <c r="CH15" s="26" t="str">
        <f t="shared" si="35"/>
        <v>↓</v>
      </c>
      <c r="CI15" s="27" t="s">
        <v>215</v>
      </c>
      <c r="CJ15" s="28">
        <f t="shared" si="36"/>
        <v>42</v>
      </c>
      <c r="CK15" s="28">
        <f t="shared" si="37"/>
        <v>2</v>
      </c>
      <c r="CL15" s="28">
        <f>SUM(CM15*2)+(CN15*1) + SUMIFS(MATCH_INPUT!$G$30:$G$33, MATCH_INPUT!$F$30:$F$33, CI15) + SUMIFS(MATCH_INPUT!$I$30:$I$33, MATCH_INPUT!$J$30:$J$33, CI15)
</f>
        <v>4</v>
      </c>
      <c r="CM15" s="28">
        <f>IF(CI15&lt;&gt;"",
    COUNTIFS(MATCH_INPUT!$K$30:$K$33,CI15),
0)</f>
        <v>0</v>
      </c>
      <c r="CN15" s="28">
        <f>IF(CI15&lt;&gt;"",
    COUNTIFS(MATCH_INPUT!$F$30:$F$33, CI15, MATCH_INPUT!$K$30:$K$33, "Draw") +
    COUNTIFS(MATCH_INPUT!$J$30:$J$33, CI15, MATCH_INPUT!$K$30:$K$33, "Draw"),
0)</f>
        <v>0</v>
      </c>
      <c r="CO15" s="28">
        <f>IF(CI15&lt;&gt;"",
    COUNTIFS(MATCH_INPUT!$F$30:$F$33, CI15, MATCH_INPUT!$K$30:$K$33, "&lt;&gt;"&amp;CI15, MATCH_INPUT!$K$30:$K$33, "&lt;&gt;Draw", MATCH_INPUT!$K$30:$K$33, "&lt;&gt;""") +
    COUNTIFS(MATCH_INPUT!$J$30:$J$33, CI15, MATCH_INPUT!$K$30:$K$33, "&lt;&gt;"&amp;CI15, MATCH_INPUT!$K$30:$K$33, "&lt;&gt;Draw", MATCH_INPUT!$K$30:$K$33, "&lt;&gt;"""),
0)</f>
        <v>2</v>
      </c>
      <c r="CP15" s="29" t="str">
        <f t="array" ref="CP15">IFERROR(
  INDEX(PLAYER_STAT!E$2:E64, 
    MATCH(1, 
      (PLAYER_STAT!A$2:A64 = MATCH_DATES!$A$9) * (PLAYER_STAT!D$2:D64 = $B15), 
    0)
  ), 
  ""
)
</f>
        <v/>
      </c>
      <c r="CQ15" s="29" t="str">
        <f t="array" ref="CQ15">IFERROR(
  INDEX(PLAYER_STAT!F$2:F64, 
    MATCH(1, 
      (PLAYER_STAT!A$2:A64 = MATCH_DATES!$A$9) * (PLAYER_STAT!D$2:D64 = $B15), 
    0)
  ), 
  ""
)
</f>
        <v/>
      </c>
      <c r="CR15" s="29" t="str">
        <f t="array" ref="CR15">IFERROR(
  INDEX(PLAYER_STAT!G$2:G64, 
    MATCH(1, 
      (PLAYER_STAT!A$2:A64 = MATCH_DATES!$A$9) * (PLAYER_STAT!D$2:D64 = $B15), 
    0)
  ), 
  ""
)
</f>
        <v/>
      </c>
      <c r="CS15" s="35">
        <f t="shared" si="38"/>
        <v>23</v>
      </c>
      <c r="CT15" s="35" t="str">
        <f t="shared" si="39"/>
        <v>↓</v>
      </c>
      <c r="CU15" s="36">
        <f t="shared" si="40"/>
        <v>27</v>
      </c>
      <c r="CV15" s="36" t="str">
        <f t="shared" ref="CV15:CW15" si="76">A15</f>
        <v>🍂🎃</v>
      </c>
      <c r="CW15" s="37" t="str">
        <f t="shared" si="76"/>
        <v>Fer 👬 Guille</v>
      </c>
      <c r="CX15" s="37">
        <f t="shared" si="42"/>
        <v>42</v>
      </c>
      <c r="CY15" s="36">
        <f>SUM(
  IF(AND(MATCH_DATES!$A$2 &lt;= TODAY(), NOW() &gt;= MATCH_DATES!$A$2 + TIME(22, 0, 0)), E15, 0),
  IF(AND(MATCH_DATES!$A$3 &lt;= TODAY(), NOW() &gt;= MATCH_DATES!$A$3 + TIME(22, 0, 0)), Q15, 0),
  IF(AND(MATCH_DATES!$A$4 &lt;= TODAY(), NOW() &gt;= MATCH_DATES!$A$4 + TIME(22, 0, 0)), AC15, 0),
  IF(AND(MATCH_DATES!$A$5 &lt;= TODAY(), NOW() &gt;= MATCH_DATES!$A$5 + TIME(22, 0, 0)), AO15, 0),
  IF(AND(MATCH_DATES!$A$6 &lt;= TODAY(), NOW() &gt;= MATCH_DATES!$A$6 + TIME(22, 0, 0)), BA15, 0),
  IF(AND(MATCH_DATES!$A$7 &lt;= TODAY(), NOW() &gt;= MATCH_DATES!$A$7 + TIME(22, 0, 0)), BM15, 0),
  IF(AND(MATCH_DATES!$A$8 &lt;= TODAY(), NOW() &gt;= MATCH_DATES!$A$8 + TIME(22, 0, 0)), BY15, 0),
  IF(AND(MATCH_DATES!$A$9 &lt;= TODAY(), NOW() &gt;= MATCH_DATES!$A$9 + TIME(22, 0, 0)), CK15, 0)
)
</f>
        <v>14</v>
      </c>
      <c r="CZ15" s="37">
        <f t="shared" ref="CZ15:DA15" si="77">SUM(G15,S15,AE15,AQ15,BC15,BO15,CA15,CM15)</f>
        <v>5</v>
      </c>
      <c r="DA15" s="37">
        <f t="shared" si="77"/>
        <v>1</v>
      </c>
      <c r="DB15" s="37">
        <f>SUM(
  IF(AND(MATCH_DATES!$A$2 &lt;= TODAY(), NOW() &gt;= MATCH_DATES!$A$2 + TIME(22, 0, 0)), I15, 0),
  IF(AND(MATCH_DATES!$A$3 &lt;= TODAY(), NOW() &gt;= MATCH_DATES!$A$3 + TIME(22, 0, 0)), U15, 0),
  IF(AND(MATCH_DATES!$A$4 &lt;= TODAY(), NOW() &gt;= MATCH_DATES!$A$4 + TIME(22, 0, 0)), AG15, 0),
  IF(AND(MATCH_DATES!$A$5 &lt;= TODAY(), NOW() &gt;= MATCH_DATES!$A$5 + TIME(22, 0, 0)), AS15, 0),
  IF(AND(MATCH_DATES!$A$6 &lt;= TODAY(), NOW() &gt;= MATCH_DATES!$A$6 + TIME(22, 0, 0)), BE15, 0),
  IF(AND(MATCH_DATES!$A$7 &lt;= TODAY(), NOW() &gt;= MATCH_DATES!$A$7 + TIME(22, 0, 0)), BQ15, 0),
  IF(AND(MATCH_DATES!$A$8 &lt;= TODAY(), NOW() &gt;= MATCH_DATES!$A$8 + TIME(22, 0, 0)), CC15, 0),
  IF(AND(MATCH_DATES!$A$9 &lt;= TODAY(), NOW() &gt;= MATCH_DATES!$A$9 + TIME(22, 0, 0)), CO15, 0)
)</f>
        <v>8</v>
      </c>
      <c r="DC15" s="37">
        <f t="shared" si="44"/>
        <v>0</v>
      </c>
      <c r="DD15" s="37">
        <f t="shared" ref="DD15:DE15" si="78">SUM(K15,W15,AI15,AU15,BG15,BS15,CE15,CQ15)</f>
        <v>1</v>
      </c>
      <c r="DE15" s="37">
        <f t="shared" si="78"/>
        <v>0</v>
      </c>
    </row>
    <row r="16" ht="24.75" customHeight="1">
      <c r="A16" s="19" t="s">
        <v>210</v>
      </c>
      <c r="B16" s="20" t="s">
        <v>80</v>
      </c>
      <c r="C16" s="21" t="s">
        <v>213</v>
      </c>
      <c r="D16" s="22">
        <f t="shared" si="4"/>
        <v>4</v>
      </c>
      <c r="E16" s="22">
        <f t="shared" si="5"/>
        <v>2</v>
      </c>
      <c r="F16" s="22">
        <f t="shared" si="6"/>
        <v>2</v>
      </c>
      <c r="G16" s="22">
        <f>IF(C16&lt;&gt;"",
    COUNTIFS(MATCH_INPUT!$K$2:$K$5,C16),
0)</f>
        <v>1</v>
      </c>
      <c r="H16" s="22">
        <f>IF(C16&lt;&gt;"",
    COUNTIFS(MATCH_INPUT!$F$2:$F$5, C16, MATCH_INPUT!$K$2:$K$5, "Draw") +
    COUNTIFS(MATCH_INPUT!$J$2:$J$5, C16, MATCH_INPUT!$K$2:$K$5, "Draw"),
0)</f>
        <v>0</v>
      </c>
      <c r="I16" s="22">
        <f>IF(C16&lt;&gt;"",
    COUNTIFS(MATCH_INPUT!$F$2:$F$5, C16, MATCH_INPUT!$K$2:$K$5, "&lt;&gt;"&amp;C16, MATCH_INPUT!$K$2:$K$5, "&lt;&gt;Draw", MATCH_INPUT!$K$2:$K$5, "&lt;&gt;""") +
    COUNTIFS(MATCH_INPUT!$J$2:$J$5, C16, MATCH_INPUT!$K$2:$K$5, "&lt;&gt;"&amp;C16, MATCH_INPUT!$K$2:$K$5, "&lt;&gt;Draw", MATCH_INPUT!$K$2:$K$5, "&lt;&gt;"""),
0)</f>
        <v>1</v>
      </c>
      <c r="J16" s="23">
        <f t="array" ref="J16">IFERROR(
  INDEX(PLAYER_STAT!E$2:E64, 
    MATCH(1, 
      (PLAYER_STAT!A$2:A64 = MATCH_DATES!$A$2) * (PLAYER_STAT!D$2:D64 = $B16), 
    0)
  ), 
  ""
)
</f>
        <v>1</v>
      </c>
      <c r="K16" s="23">
        <f t="array" ref="K16">IFERROR(
  INDEX(PLAYER_STAT!F$2:F64, 
    MATCH(1, 
      (PLAYER_STAT!A$2:A64 = MATCH_DATES!$A$2) * (PLAYER_STAT!D$2:D64 = $B16), 
    0)
  ), 
  ""
)
</f>
        <v>0</v>
      </c>
      <c r="L16" s="24">
        <f t="array" ref="L16">IFERROR(
  INDEX(PLAYER_STAT!G$2:G64, 
    MATCH(1, 
      (PLAYER_STAT!A$2:A64 = MATCH_DATES!$A$2) * (PLAYER_STAT!D$2:D64 = $B16), 
    0)
  ), 
  ""
)
</f>
        <v>0</v>
      </c>
      <c r="M16" s="25">
        <f t="shared" si="7"/>
        <v>11</v>
      </c>
      <c r="N16" s="26" t="str">
        <f t="shared" si="8"/>
        <v>↓</v>
      </c>
      <c r="O16" s="27" t="s">
        <v>212</v>
      </c>
      <c r="P16" s="28">
        <f t="shared" si="9"/>
        <v>7</v>
      </c>
      <c r="Q16" s="28">
        <f t="shared" si="10"/>
        <v>2</v>
      </c>
      <c r="R16" s="28">
        <f t="shared" si="11"/>
        <v>1</v>
      </c>
      <c r="S16" s="28">
        <f>IF(O16&lt;&gt;"",
    COUNTIFS(MATCH_INPUT!$K$6:$K$9,O16),
0)</f>
        <v>0</v>
      </c>
      <c r="T16" s="28">
        <f>IF(O16&lt;&gt;"",
    COUNTIFS(MATCH_INPUT!$F$6:$F$9, O16, MATCH_INPUT!$K$6:$K$9, "Draw") +
    COUNTIFS(MATCH_INPUT!$J$6:$J$9, O16, MATCH_INPUT!$K$6:$K$9, "Draw"),
0)</f>
        <v>1</v>
      </c>
      <c r="U16" s="28">
        <f>IF(O16&lt;&gt;"",
    COUNTIFS(MATCH_INPUT!$F$6:$F$9, O16, MATCH_INPUT!$K$6:$K$9, "&lt;&gt;"&amp;O16, MATCH_INPUT!$K$6:$K$9, "&lt;&gt;Draw", MATCH_INPUT!$K$6:$K$9, "&lt;&gt;""") +
    COUNTIFS(MATCH_INPUT!$J$6:$J$9, O16, MATCH_INPUT!$K$6:$K$9, "&lt;&gt;"&amp;O16, MATCH_INPUT!$K$6:$K$9, "&lt;&gt;Draw", MATCH_INPUT!$K$6:$K$9, "&lt;&gt;"""),
0)</f>
        <v>1</v>
      </c>
      <c r="V16" s="29" t="str">
        <f t="array" ref="V16">IFERROR(
  INDEX(PLAYER_STAT!E$2:E64, 
    MATCH(1, 
      (PLAYER_STAT!A$2:A64 = MATCH_DATES!$A$3) * (PLAYER_STAT!D$2:D64 = $B16), 
    0)
  ), 
  ""
)
</f>
        <v/>
      </c>
      <c r="W16" s="29" t="str">
        <f t="array" ref="W16">IFERROR(
  INDEX(PLAYER_STAT!F$2:F64, 
    MATCH(1, 
      (PLAYER_STAT!A$2:A64 = MATCH_DATES!$A$3) * (PLAYER_STAT!D$2:D64 = $B16), 
    0)
  ), 
  ""
)
</f>
        <v/>
      </c>
      <c r="X16" s="30" t="str">
        <f t="array" ref="X16">IFERROR(
  INDEX(PLAYER_STAT!G$2:G64, 
    MATCH(1, 
      (PLAYER_STAT!A$2:A64 = MATCH_DATES!$A$3) * (PLAYER_STAT!D$2:D64 = $B16), 
    0)
  ), 
  ""
)
</f>
        <v/>
      </c>
      <c r="Y16" s="31">
        <f t="shared" si="12"/>
        <v>20</v>
      </c>
      <c r="Z16" s="32" t="str">
        <f t="shared" si="13"/>
        <v>↓</v>
      </c>
      <c r="AA16" s="21" t="s">
        <v>212</v>
      </c>
      <c r="AB16" s="33">
        <f t="shared" si="14"/>
        <v>13</v>
      </c>
      <c r="AC16" s="22">
        <f t="shared" si="15"/>
        <v>2</v>
      </c>
      <c r="AD16" s="22">
        <f t="shared" si="16"/>
        <v>4</v>
      </c>
      <c r="AE16" s="22">
        <f>IF(AA16&lt;&gt;"",
    COUNTIFS(MATCH_INPUT!$K$10:$K$13,AA16),
0)</f>
        <v>2</v>
      </c>
      <c r="AF16" s="22">
        <f>IF(AA16&lt;&gt;"",
    COUNTIFS(MATCH_INPUT!$F$10:$F$13, AA16, MATCH_INPUT!$K$10:$K$13, "Draw") +
    COUNTIFS(MATCH_INPUT!$J$10:$J$13, AA16, MATCH_INPUT!$K$10:$K$13, "Draw"),
0)</f>
        <v>0</v>
      </c>
      <c r="AG16" s="22">
        <f>IF(AA16&lt;&gt;"",
    COUNTIFS(MATCH_INPUT!$F$10:$F$13, AA16, MATCH_INPUT!$K$10:$K$13, "&lt;&gt;"&amp;AA16, MATCH_INPUT!$K$10:$K$13, "&lt;&gt;Draw", MATCH_INPUT!$K$10:$K$13, "&lt;&gt;""") +
    COUNTIFS(MATCH_INPUT!$J$10:$J$13, AA16, MATCH_INPUT!$K$10:$K$13, "&lt;&gt;"&amp;AA16, MATCH_INPUT!$K$10:$K$13, "&lt;&gt;Draw", MATCH_INPUT!$K$10:$K$13, "&lt;&gt;"""),
0)</f>
        <v>0</v>
      </c>
      <c r="AH16" s="23">
        <f t="array" ref="AH16">IFERROR(
  INDEX(PLAYER_STAT!E$2:E64, 
    MATCH(1, 
      (PLAYER_STAT!A$2:A64 = MATCH_DATES!$A$4) * (PLAYER_STAT!D$2:D64 = $B16), 
    0)
  ), 
  ""
)
</f>
        <v>1</v>
      </c>
      <c r="AI16" s="23">
        <f t="array" ref="AI16">IFERROR(
  INDEX(PLAYER_STAT!F$2:F64, 
    MATCH(1, 
      (PLAYER_STAT!A$2:A64 = MATCH_DATES!$A$4) * (PLAYER_STAT!D$2:D64 = $B16), 
    0)
  ), 
  ""
)
</f>
        <v>0</v>
      </c>
      <c r="AJ16" s="34">
        <f t="array" ref="AJ16">IFERROR(
  INDEX(PLAYER_STAT!G$2:G64, 
    MATCH(1, 
      (PLAYER_STAT!A$2:A64 = MATCH_DATES!$A$4) * (PLAYER_STAT!D$2:D64 = $B16), 
    0)
  ), 
  ""
)
</f>
        <v>0</v>
      </c>
      <c r="AK16" s="25">
        <f t="shared" si="17"/>
        <v>10</v>
      </c>
      <c r="AL16" s="26" t="str">
        <f t="shared" si="18"/>
        <v>↑</v>
      </c>
      <c r="AM16" s="27" t="s">
        <v>214</v>
      </c>
      <c r="AN16" s="28">
        <f t="shared" si="19"/>
        <v>15</v>
      </c>
      <c r="AO16" s="28">
        <f t="shared" si="20"/>
        <v>2</v>
      </c>
      <c r="AP16" s="28">
        <f t="shared" si="21"/>
        <v>0</v>
      </c>
      <c r="AQ16" s="28">
        <f>IF(AM16&lt;&gt;"",
    COUNTIFS(MATCH_INPUT!$K$14:$K$17,AM16),
0)</f>
        <v>0</v>
      </c>
      <c r="AR16" s="28">
        <f>IF(AM16&lt;&gt;"",
    COUNTIFS(MATCH_INPUT!$F$14:$F$17, AM16, MATCH_INPUT!$K$14:$K$17, "Draw") +
    COUNTIFS(MATCH_INPUT!$J$14:$J$17, AM16, MATCH_INPUT!$K$14:$K$17, "Draw"),
0)</f>
        <v>0</v>
      </c>
      <c r="AS16" s="28">
        <f>IF(AM16&lt;&gt;"",
    COUNTIFS(MATCH_INPUT!$F$14:$F$17, AM16, MATCH_INPUT!$K$14:$K$17, "&lt;&gt;"&amp;AM16, MATCH_INPUT!$K$14:$K$17, "&lt;&gt;Draw", MATCH_INPUT!$K$14:$K$17, "&lt;&gt;""") +
    COUNTIFS(MATCH_INPUT!$J$14:$J$17, AM16, MATCH_INPUT!$K$14:$K$17, "&lt;&gt;"&amp;AM16, MATCH_INPUT!$K$14:$K$17, "&lt;&gt;Draw", MATCH_INPUT!$K$14:$K$17, "&lt;&gt;"""),
0)</f>
        <v>2</v>
      </c>
      <c r="AT16" s="29">
        <f t="array" ref="AT16">IFERROR(
  INDEX(PLAYER_STAT!E$2:E64, 
    MATCH(1, 
      (PLAYER_STAT!A$2:A64 = MATCH_DATES!$A$5) * (PLAYER_STAT!D$2:D64 = $B16), 
    0)
  ), 
  ""
)
</f>
        <v>1</v>
      </c>
      <c r="AU16" s="29">
        <f t="array" ref="AU16">IFERROR(
  INDEX(PLAYER_STAT!F$2:F64, 
    MATCH(1, 
      (PLAYER_STAT!A$2:A64 = MATCH_DATES!$A$5) * (PLAYER_STAT!D$2:D64 = $B16), 
    0)
  ), 
  ""
)
</f>
        <v>0</v>
      </c>
      <c r="AV16" s="30">
        <f t="array" ref="AV16">IFERROR(
  INDEX(PLAYER_STAT!G$2:G64, 
    MATCH(1, 
      (PLAYER_STAT!A$2:A64 = MATCH_DATES!$A$5) * (PLAYER_STAT!D$2:D64 = $B16), 
    0)
  ), 
  ""
)
</f>
        <v>0</v>
      </c>
      <c r="AW16" s="31">
        <f t="shared" si="22"/>
        <v>16</v>
      </c>
      <c r="AX16" s="32" t="str">
        <f t="shared" si="23"/>
        <v>↓</v>
      </c>
      <c r="AY16" s="21" t="s">
        <v>213</v>
      </c>
      <c r="AZ16" s="33">
        <f t="shared" si="24"/>
        <v>19</v>
      </c>
      <c r="BA16" s="22">
        <f t="shared" si="25"/>
        <v>2</v>
      </c>
      <c r="BB16" s="22">
        <f>SUM(BC16*2) + (BD16*1) + SUMIFS(MATCH_INPUT!$G$18:$G$21, MATCH_INPUT!$F$18:$F$21, AY16) + SUMIFS(MATCH_INPUT!$I$18:$I$21, MATCH_INPUT!$J$18:$J$21, AY16)
</f>
        <v>2</v>
      </c>
      <c r="BC16" s="22">
        <f>IF(AY16&lt;&gt;"",
    COUNTIFS(MATCH_INPUT!$K$18:$K$21,AY16),
0)</f>
        <v>0</v>
      </c>
      <c r="BD16" s="22">
        <f>IF(AY16&lt;&gt;"",
    COUNTIFS(MATCH_INPUT!$F$18:$F$21, AY16, MATCH_INPUT!$K$18:$K$21, "Draw") +
    COUNTIFS(MATCH_INPUT!$J$18:$J$21, AY16, MATCH_INPUT!$K$18:$K$21, "Draw"),
0)</f>
        <v>1</v>
      </c>
      <c r="BE16" s="22">
        <f>IF(AY16&lt;&gt;"",
    COUNTIFS(MATCH_INPUT!$F$18:$F$21, AY16, MATCH_INPUT!$K$18:$K$21, "&lt;&gt;"&amp;AY16, MATCH_INPUT!$K$18:$K$21, "&lt;&gt;Draw", MATCH_INPUT!$K$18:$K$21, "&lt;&gt;""") +
    COUNTIFS(MATCH_INPUT!$J$18:$J$21, AY16, MATCH_INPUT!$K$18:$K$21, "&lt;&gt;"&amp;AY16, MATCH_INPUT!$K$18:$K$21, "&lt;&gt;Draw", MATCH_INPUT!$K$18:$K$21, "&lt;&gt;"""),
0)</f>
        <v>1</v>
      </c>
      <c r="BF16" s="23" t="str">
        <f t="array" ref="BF16">IFERROR(
  INDEX(PLAYER_STAT!E$2:E64, 
    MATCH(1, 
      (PLAYER_STAT!A$2:A64 = MATCH_DATES!$A$6) * (PLAYER_STAT!D$2:D64 = $B16), 
    0)
  ), 
  ""
)
</f>
        <v/>
      </c>
      <c r="BG16" s="23" t="str">
        <f t="array" ref="BG16">IFERROR(
  INDEX(PLAYER_STAT!F$2:F64, 
    MATCH(1, 
      (PLAYER_STAT!A$2:A64 = MATCH_DATES!$A$6) * (PLAYER_STAT!D$2:D64 = $B16), 
    0)
  ), 
  ""
)
</f>
        <v/>
      </c>
      <c r="BH16" s="34" t="str">
        <f t="array" ref="BH16">IFERROR(
  INDEX(PLAYER_STAT!G$2:G64, 
    MATCH(1, 
      (PLAYER_STAT!A$2:A64 = MATCH_DATES!$A$6) * (PLAYER_STAT!D$2:D64 = $B16), 
    0)
  ), 
  ""
)
</f>
        <v/>
      </c>
      <c r="BI16" s="25">
        <f t="shared" si="26"/>
        <v>21</v>
      </c>
      <c r="BJ16" s="26" t="str">
        <f t="shared" si="27"/>
        <v>↓</v>
      </c>
      <c r="BK16" s="27" t="s">
        <v>212</v>
      </c>
      <c r="BL16" s="28">
        <f t="shared" si="28"/>
        <v>21</v>
      </c>
      <c r="BM16" s="28">
        <f t="shared" si="29"/>
        <v>2</v>
      </c>
      <c r="BN16" s="28">
        <f>SUM(BO16*2) + (BP16*1) + SUMIFS(MATCH_INPUT!$G$22:$G$25, MATCH_INPUT!$F$22:$F$25, BK16) + SUMIFS(MATCH_INPUT!$I$22:$I$25, MATCH_INPUT!$J$22:$J$25, BK16)
</f>
        <v>0</v>
      </c>
      <c r="BO16" s="28">
        <f>IF(BK16&lt;&gt;"",
    COUNTIFS(MATCH_INPUT!$K$22:$K$25,BK16),
0)</f>
        <v>0</v>
      </c>
      <c r="BP16" s="28">
        <f>IF(BK16&lt;&gt;"",
    COUNTIFS(MATCH_INPUT!$F$22:$F$25, BK16, MATCH_INPUT!$K$22:$K$25, "Draw") +
    COUNTIFS(MATCH_INPUT!$J$22:$J$25, BK16, MATCH_INPUT!$K$22:$K$25, "Draw"),
0)</f>
        <v>0</v>
      </c>
      <c r="BQ16" s="28">
        <f>IF(BK16&lt;&gt;"",
    COUNTIFS(MATCH_INPUT!$F$22:$F$25, BK16, MATCH_INPUT!$K$22:$K$25, "&lt;&gt;"&amp;BK16, MATCH_INPUT!$K$22:$K$25, "&lt;&gt;Draw", MATCH_INPUT!$K$22:$K$25, "&lt;&gt;""") +
    COUNTIFS(MATCH_INPUT!$J$22:$J$25, BK16, MATCH_INPUT!$K$22:$K$25, "&lt;&gt;"&amp;BK16, MATCH_INPUT!$K$22:$K$25, "&lt;&gt;Draw", MATCH_INPUT!$K$22:$K$25, "&lt;&gt;"""),
0)</f>
        <v>2</v>
      </c>
      <c r="BR16" s="29" t="str">
        <f t="array" ref="BR16">IFERROR(
  INDEX(PLAYER_STAT!E$2:E64, 
    MATCH(1, 
      (PLAYER_STAT!A$2:A64 = MATCH_DATES!$A$7) * (PLAYER_STAT!D$2:D64 = $B16), 
    0)
  ), 
  ""
)
</f>
        <v/>
      </c>
      <c r="BS16" s="29" t="str">
        <f t="array" ref="BS16">IFERROR(
  INDEX(PLAYER_STAT!F$2:F64, 
    MATCH(1, 
      (PLAYER_STAT!A$2:A64 = MATCH_DATES!$A$7) * (PLAYER_STAT!D$2:D64 = $B16), 
    0)
  ), 
  ""
)
</f>
        <v/>
      </c>
      <c r="BT16" s="30" t="str">
        <f t="array" ref="BT16">IFERROR(
  INDEX(PLAYER_STAT!G$2:G64, 
    MATCH(1, 
      (PLAYER_STAT!A$2:A64 = MATCH_DATES!$A$7) * (PLAYER_STAT!D$2:D64 = $B16), 
    0)
  ), 
  ""
)
</f>
        <v/>
      </c>
      <c r="BU16" s="31">
        <f t="shared" si="30"/>
        <v>28</v>
      </c>
      <c r="BV16" s="32" t="str">
        <f t="shared" si="31"/>
        <v>↓</v>
      </c>
      <c r="BW16" s="21"/>
      <c r="BX16" s="33">
        <f t="shared" si="32"/>
        <v>21</v>
      </c>
      <c r="BY16" s="22">
        <f t="shared" si="33"/>
        <v>0</v>
      </c>
      <c r="BZ16" s="22">
        <f>SUM(CA16*2)+(CB16*1) + SUMIFS(MATCH_INPUT!$G$26:$G$29, MATCH_INPUT!$F$26:$F$29, BW16) + SUMIFS(MATCH_INPUT!$I$26:$I$29, MATCH_INPUT!$J$26:$J$29, BW16)
</f>
        <v>0</v>
      </c>
      <c r="CA16" s="22">
        <f>IF(BW16&lt;&gt;"",
    COUNTIFS(MATCH_INPUT!$K$26:$K$29,BW16),
0)</f>
        <v>0</v>
      </c>
      <c r="CB16" s="22">
        <f>IF(BW16&lt;&gt;"",
    COUNTIFS(MATCH_INPUT!$F$26:$F$29, BW16, MATCH_INPUT!$K$26:$K$29, "Draw") +
    COUNTIFS(MATCH_INPUT!$J$26:$J$29, BW16, MATCH_INPUT!$K$26:$K$29, "Draw"),
0)</f>
        <v>0</v>
      </c>
      <c r="CC16" s="22">
        <f>IF(BW16&lt;&gt;"",
    COUNTIFS(MATCH_INPUT!$F$26:$F$29, BW16, MATCH_INPUT!$K$26:$K$29, "&lt;&gt;"&amp;BW16, MATCH_INPUT!$K$26:$K$29, "&lt;&gt;Draw", MATCH_INPUT!$K$26:$K$29, "&lt;&gt;""") +
    COUNTIFS(MATCH_INPUT!$J$26:$J$29, BW16, MATCH_INPUT!$K$26:$K$29, "&lt;&gt;"&amp;BW16, MATCH_INPUT!$K$26:$K$29, "&lt;&gt;Draw", MATCH_INPUT!$K$26:$K$29, "&lt;&gt;"""),
0)</f>
        <v>0</v>
      </c>
      <c r="CD16" s="23" t="str">
        <f t="array" ref="CD16">IFERROR(
  INDEX(PLAYER_STAT!E$2:E64, 
    MATCH(1, 
      (PLAYER_STAT!A$2:A64 = MATCH_DATES!$A$8) * (PLAYER_STAT!D$2:D64 = $B16), 
    0)
  ), 
  ""
)
</f>
        <v/>
      </c>
      <c r="CE16" s="23" t="str">
        <f t="array" ref="CE16">IFERROR(
  INDEX(PLAYER_STAT!F$2:F64, 
    MATCH(1, 
      (PLAYER_STAT!A$2:A64 = MATCH_DATES!$A$8) * (PLAYER_STAT!D$2:D64 = $B16), 
    0)
  ), 
  ""
)
</f>
        <v/>
      </c>
      <c r="CF16" s="34" t="str">
        <f t="array" ref="CF16">IFERROR(
  INDEX(PLAYER_STAT!G$2:G64, 
    MATCH(1, 
      (PLAYER_STAT!A$2:A64 = MATCH_DATES!$A$8) * (PLAYER_STAT!D$2:D64 = $B16), 
    0)
  ), 
  ""
)
</f>
        <v/>
      </c>
      <c r="CG16" s="25">
        <f t="shared" si="34"/>
        <v>33</v>
      </c>
      <c r="CH16" s="26" t="str">
        <f t="shared" si="35"/>
        <v>↓</v>
      </c>
      <c r="CI16" s="27" t="s">
        <v>214</v>
      </c>
      <c r="CJ16" s="28">
        <f t="shared" si="36"/>
        <v>30</v>
      </c>
      <c r="CK16" s="28">
        <f t="shared" si="37"/>
        <v>2</v>
      </c>
      <c r="CL16" s="28">
        <f>SUM(CM16*2)+(CN16*1) + SUMIFS(MATCH_INPUT!$G$30:$G$33, MATCH_INPUT!$F$30:$F$33, CI16) + SUMIFS(MATCH_INPUT!$I$30:$I$33, MATCH_INPUT!$J$30:$J$33, CI16)
</f>
        <v>7</v>
      </c>
      <c r="CM16" s="28">
        <f>IF(CI16&lt;&gt;"",
    COUNTIFS(MATCH_INPUT!$K$30:$K$33,CI16),
0)</f>
        <v>1</v>
      </c>
      <c r="CN16" s="28">
        <f>IF(CI16&lt;&gt;"",
    COUNTIFS(MATCH_INPUT!$F$30:$F$33, CI16, MATCH_INPUT!$K$30:$K$33, "Draw") +
    COUNTIFS(MATCH_INPUT!$J$30:$J$33, CI16, MATCH_INPUT!$K$30:$K$33, "Draw"),
0)</f>
        <v>1</v>
      </c>
      <c r="CO16" s="28">
        <f>IF(CI16&lt;&gt;"",
    COUNTIFS(MATCH_INPUT!$F$30:$F$33, CI16, MATCH_INPUT!$K$30:$K$33, "&lt;&gt;"&amp;CI16, MATCH_INPUT!$K$30:$K$33, "&lt;&gt;Draw", MATCH_INPUT!$K$30:$K$33, "&lt;&gt;""") +
    COUNTIFS(MATCH_INPUT!$J$30:$J$33, CI16, MATCH_INPUT!$K$30:$K$33, "&lt;&gt;"&amp;CI16, MATCH_INPUT!$K$30:$K$33, "&lt;&gt;Draw", MATCH_INPUT!$K$30:$K$33, "&lt;&gt;"""),
0)</f>
        <v>0</v>
      </c>
      <c r="CP16" s="29" t="str">
        <f t="array" ref="CP16">IFERROR(
  INDEX(PLAYER_STAT!E$2:E64, 
    MATCH(1, 
      (PLAYER_STAT!A$2:A64 = MATCH_DATES!$A$9) * (PLAYER_STAT!D$2:D64 = $B16), 
    0)
  ), 
  ""
)
</f>
        <v/>
      </c>
      <c r="CQ16" s="29" t="str">
        <f t="array" ref="CQ16">IFERROR(
  INDEX(PLAYER_STAT!F$2:F64, 
    MATCH(1, 
      (PLAYER_STAT!A$2:A64 = MATCH_DATES!$A$9) * (PLAYER_STAT!D$2:D64 = $B16), 
    0)
  ), 
  ""
)
</f>
        <v/>
      </c>
      <c r="CR16" s="29" t="str">
        <f t="array" ref="CR16">IFERROR(
  INDEX(PLAYER_STAT!G$2:G64, 
    MATCH(1, 
      (PLAYER_STAT!A$2:A64 = MATCH_DATES!$A$9) * (PLAYER_STAT!D$2:D64 = $B16), 
    0)
  ), 
  ""
)
</f>
        <v/>
      </c>
      <c r="CS16" s="35">
        <f t="shared" si="38"/>
        <v>33</v>
      </c>
      <c r="CT16" s="35" t="str">
        <f t="shared" si="39"/>
        <v>=</v>
      </c>
      <c r="CU16" s="36">
        <f t="shared" si="40"/>
        <v>16</v>
      </c>
      <c r="CV16" s="36" t="str">
        <f t="shared" ref="CV16:CW16" si="79">A16</f>
        <v>🍂🎃</v>
      </c>
      <c r="CW16" s="37" t="str">
        <f t="shared" si="79"/>
        <v>Gabo</v>
      </c>
      <c r="CX16" s="37">
        <f t="shared" si="42"/>
        <v>30</v>
      </c>
      <c r="CY16" s="36">
        <f>SUM(
  IF(AND(MATCH_DATES!$A$2 &lt;= TODAY(), NOW() &gt;= MATCH_DATES!$A$2 + TIME(22, 0, 0)), E16, 0),
  IF(AND(MATCH_DATES!$A$3 &lt;= TODAY(), NOW() &gt;= MATCH_DATES!$A$3 + TIME(22, 0, 0)), Q16, 0),
  IF(AND(MATCH_DATES!$A$4 &lt;= TODAY(), NOW() &gt;= MATCH_DATES!$A$4 + TIME(22, 0, 0)), AC16, 0),
  IF(AND(MATCH_DATES!$A$5 &lt;= TODAY(), NOW() &gt;= MATCH_DATES!$A$5 + TIME(22, 0, 0)), AO16, 0),
  IF(AND(MATCH_DATES!$A$6 &lt;= TODAY(), NOW() &gt;= MATCH_DATES!$A$6 + TIME(22, 0, 0)), BA16, 0),
  IF(AND(MATCH_DATES!$A$7 &lt;= TODAY(), NOW() &gt;= MATCH_DATES!$A$7 + TIME(22, 0, 0)), BM16, 0),
  IF(AND(MATCH_DATES!$A$8 &lt;= TODAY(), NOW() &gt;= MATCH_DATES!$A$8 + TIME(22, 0, 0)), BY16, 0),
  IF(AND(MATCH_DATES!$A$9 &lt;= TODAY(), NOW() &gt;= MATCH_DATES!$A$9 + TIME(22, 0, 0)), CK16, 0)
)
</f>
        <v>14</v>
      </c>
      <c r="CZ16" s="37">
        <f t="shared" ref="CZ16:DA16" si="80">SUM(G16,S16,AE16,AQ16,BC16,BO16,CA16,CM16)</f>
        <v>4</v>
      </c>
      <c r="DA16" s="37">
        <f t="shared" si="80"/>
        <v>3</v>
      </c>
      <c r="DB16" s="37">
        <f>SUM(
  IF(AND(MATCH_DATES!$A$2 &lt;= TODAY(), NOW() &gt;= MATCH_DATES!$A$2 + TIME(22, 0, 0)), I16, 0),
  IF(AND(MATCH_DATES!$A$3 &lt;= TODAY(), NOW() &gt;= MATCH_DATES!$A$3 + TIME(22, 0, 0)), U16, 0),
  IF(AND(MATCH_DATES!$A$4 &lt;= TODAY(), NOW() &gt;= MATCH_DATES!$A$4 + TIME(22, 0, 0)), AG16, 0),
  IF(AND(MATCH_DATES!$A$5 &lt;= TODAY(), NOW() &gt;= MATCH_DATES!$A$5 + TIME(22, 0, 0)), AS16, 0),
  IF(AND(MATCH_DATES!$A$6 &lt;= TODAY(), NOW() &gt;= MATCH_DATES!$A$6 + TIME(22, 0, 0)), BE16, 0),
  IF(AND(MATCH_DATES!$A$7 &lt;= TODAY(), NOW() &gt;= MATCH_DATES!$A$7 + TIME(22, 0, 0)), BQ16, 0),
  IF(AND(MATCH_DATES!$A$8 &lt;= TODAY(), NOW() &gt;= MATCH_DATES!$A$8 + TIME(22, 0, 0)), CC16, 0),
  IF(AND(MATCH_DATES!$A$9 &lt;= TODAY(), NOW() &gt;= MATCH_DATES!$A$9 + TIME(22, 0, 0)), CO16, 0)
)</f>
        <v>7</v>
      </c>
      <c r="DC16" s="37">
        <f t="shared" si="44"/>
        <v>3</v>
      </c>
      <c r="DD16" s="37">
        <f t="shared" ref="DD16:DE16" si="81">SUM(K16,W16,AI16,AU16,BG16,BS16,CE16,CQ16)</f>
        <v>0</v>
      </c>
      <c r="DE16" s="37">
        <f t="shared" si="81"/>
        <v>0</v>
      </c>
    </row>
    <row r="17" ht="24.75" customHeight="1">
      <c r="A17" s="19" t="s">
        <v>210</v>
      </c>
      <c r="B17" s="20" t="s">
        <v>226</v>
      </c>
      <c r="C17" s="21" t="s">
        <v>214</v>
      </c>
      <c r="D17" s="22">
        <f t="shared" si="4"/>
        <v>6</v>
      </c>
      <c r="E17" s="22">
        <f t="shared" si="5"/>
        <v>2</v>
      </c>
      <c r="F17" s="22">
        <f t="shared" si="6"/>
        <v>4</v>
      </c>
      <c r="G17" s="22">
        <f>IF(C17&lt;&gt;"",
    COUNTIFS(MATCH_INPUT!$K$2:$K$5,C17),
0)</f>
        <v>2</v>
      </c>
      <c r="H17" s="22">
        <f>IF(C17&lt;&gt;"",
    COUNTIFS(MATCH_INPUT!$F$2:$F$5, C17, MATCH_INPUT!$K$2:$K$5, "Draw") +
    COUNTIFS(MATCH_INPUT!$J$2:$J$5, C17, MATCH_INPUT!$K$2:$K$5, "Draw"),
0)</f>
        <v>0</v>
      </c>
      <c r="I17" s="22">
        <f>IF(C17&lt;&gt;"",
    COUNTIFS(MATCH_INPUT!$F$2:$F$5, C17, MATCH_INPUT!$K$2:$K$5, "&lt;&gt;"&amp;C17, MATCH_INPUT!$K$2:$K$5, "&lt;&gt;Draw", MATCH_INPUT!$K$2:$K$5, "&lt;&gt;""") +
    COUNTIFS(MATCH_INPUT!$J$2:$J$5, C17, MATCH_INPUT!$K$2:$K$5, "&lt;&gt;"&amp;C17, MATCH_INPUT!$K$2:$K$5, "&lt;&gt;Draw", MATCH_INPUT!$K$2:$K$5, "&lt;&gt;"""),
0)</f>
        <v>0</v>
      </c>
      <c r="J17" s="23" t="str">
        <f t="array" ref="J17">IFERROR(
  INDEX(PLAYER_STAT!E$2:E64, 
    MATCH(1, 
      (PLAYER_STAT!A$2:A64 = MATCH_DATES!$A$2) * (PLAYER_STAT!D$2:D64 = $B17), 
    0)
  ), 
  ""
)
</f>
        <v/>
      </c>
      <c r="K17" s="23" t="str">
        <f t="array" ref="K17">IFERROR(
  INDEX(PLAYER_STAT!F$2:F64, 
    MATCH(1, 
      (PLAYER_STAT!A$2:A64 = MATCH_DATES!$A$2) * (PLAYER_STAT!D$2:D64 = $B17), 
    0)
  ), 
  ""
)
</f>
        <v/>
      </c>
      <c r="L17" s="24" t="str">
        <f t="array" ref="L17">IFERROR(
  INDEX(PLAYER_STAT!G$2:G64, 
    MATCH(1, 
      (PLAYER_STAT!A$2:A64 = MATCH_DATES!$A$2) * (PLAYER_STAT!D$2:D64 = $B17), 
    0)
  ), 
  ""
)
</f>
        <v/>
      </c>
      <c r="M17" s="25">
        <f t="shared" si="7"/>
        <v>2</v>
      </c>
      <c r="N17" s="26" t="str">
        <f t="shared" si="8"/>
        <v>↓</v>
      </c>
      <c r="O17" s="27" t="s">
        <v>213</v>
      </c>
      <c r="P17" s="28">
        <f t="shared" si="9"/>
        <v>11</v>
      </c>
      <c r="Q17" s="28">
        <f t="shared" si="10"/>
        <v>2</v>
      </c>
      <c r="R17" s="28">
        <f t="shared" si="11"/>
        <v>3</v>
      </c>
      <c r="S17" s="28">
        <f>IF(O17&lt;&gt;"",
    COUNTIFS(MATCH_INPUT!$K$6:$K$9,O17),
0)</f>
        <v>1</v>
      </c>
      <c r="T17" s="28">
        <f>IF(O17&lt;&gt;"",
    COUNTIFS(MATCH_INPUT!$F$6:$F$9, O17, MATCH_INPUT!$K$6:$K$9, "Draw") +
    COUNTIFS(MATCH_INPUT!$J$6:$J$9, O17, MATCH_INPUT!$K$6:$K$9, "Draw"),
0)</f>
        <v>1</v>
      </c>
      <c r="U17" s="28">
        <f>IF(O17&lt;&gt;"",
    COUNTIFS(MATCH_INPUT!$F$6:$F$9, O17, MATCH_INPUT!$K$6:$K$9, "&lt;&gt;"&amp;O17, MATCH_INPUT!$K$6:$K$9, "&lt;&gt;Draw", MATCH_INPUT!$K$6:$K$9, "&lt;&gt;""") +
    COUNTIFS(MATCH_INPUT!$J$6:$J$9, O17, MATCH_INPUT!$K$6:$K$9, "&lt;&gt;"&amp;O17, MATCH_INPUT!$K$6:$K$9, "&lt;&gt;Draw", MATCH_INPUT!$K$6:$K$9, "&lt;&gt;"""),
0)</f>
        <v>0</v>
      </c>
      <c r="V17" s="29">
        <f t="array" ref="V17">IFERROR(
  INDEX(PLAYER_STAT!E$2:E64, 
    MATCH(1, 
      (PLAYER_STAT!A$2:A64 = MATCH_DATES!$A$3) * (PLAYER_STAT!D$2:D64 = $B17), 
    0)
  ), 
  ""
)
</f>
        <v>1</v>
      </c>
      <c r="W17" s="29">
        <f t="array" ref="W17">IFERROR(
  INDEX(PLAYER_STAT!F$2:F64, 
    MATCH(1, 
      (PLAYER_STAT!A$2:A64 = MATCH_DATES!$A$3) * (PLAYER_STAT!D$2:D64 = $B17), 
    0)
  ), 
  ""
)
</f>
        <v>0</v>
      </c>
      <c r="X17" s="30">
        <f t="array" ref="X17">IFERROR(
  INDEX(PLAYER_STAT!G$2:G64, 
    MATCH(1, 
      (PLAYER_STAT!A$2:A64 = MATCH_DATES!$A$3) * (PLAYER_STAT!D$2:D64 = $B17), 
    0)
  ), 
  ""
)
</f>
        <v>0</v>
      </c>
      <c r="Y17" s="31">
        <f t="shared" si="12"/>
        <v>1</v>
      </c>
      <c r="Z17" s="32" t="str">
        <f t="shared" si="13"/>
        <v>↑</v>
      </c>
      <c r="AA17" s="21" t="s">
        <v>214</v>
      </c>
      <c r="AB17" s="33">
        <f t="shared" si="14"/>
        <v>15</v>
      </c>
      <c r="AC17" s="22">
        <f t="shared" si="15"/>
        <v>2</v>
      </c>
      <c r="AD17" s="22">
        <f t="shared" si="16"/>
        <v>2</v>
      </c>
      <c r="AE17" s="22">
        <f>IF(AA17&lt;&gt;"",
    COUNTIFS(MATCH_INPUT!$K$10:$K$13,AA17),
0)</f>
        <v>1</v>
      </c>
      <c r="AF17" s="22">
        <f>IF(AA17&lt;&gt;"",
    COUNTIFS(MATCH_INPUT!$F$10:$F$13, AA17, MATCH_INPUT!$K$10:$K$13, "Draw") +
    COUNTIFS(MATCH_INPUT!$J$10:$J$13, AA17, MATCH_INPUT!$K$10:$K$13, "Draw"),
0)</f>
        <v>0</v>
      </c>
      <c r="AG17" s="22">
        <f>IF(AA17&lt;&gt;"",
    COUNTIFS(MATCH_INPUT!$F$10:$F$13, AA17, MATCH_INPUT!$K$10:$K$13, "&lt;&gt;"&amp;AA17, MATCH_INPUT!$K$10:$K$13, "&lt;&gt;Draw", MATCH_INPUT!$K$10:$K$13, "&lt;&gt;""") +
    COUNTIFS(MATCH_INPUT!$J$10:$J$13, AA17, MATCH_INPUT!$K$10:$K$13, "&lt;&gt;"&amp;AA17, MATCH_INPUT!$K$10:$K$13, "&lt;&gt;Draw", MATCH_INPUT!$K$10:$K$13, "&lt;&gt;"""),
0)</f>
        <v>1</v>
      </c>
      <c r="AH17" s="23" t="str">
        <f t="array" ref="AH17">IFERROR(
  INDEX(PLAYER_STAT!E$2:E64, 
    MATCH(1, 
      (PLAYER_STAT!A$2:A64 = MATCH_DATES!$A$4) * (PLAYER_STAT!D$2:D64 = $B17), 
    0)
  ), 
  ""
)
</f>
        <v/>
      </c>
      <c r="AI17" s="23" t="str">
        <f t="array" ref="AI17">IFERROR(
  INDEX(PLAYER_STAT!F$2:F64, 
    MATCH(1, 
      (PLAYER_STAT!A$2:A64 = MATCH_DATES!$A$4) * (PLAYER_STAT!D$2:D64 = $B17), 
    0)
  ), 
  ""
)
</f>
        <v/>
      </c>
      <c r="AJ17" s="34" t="str">
        <f t="array" ref="AJ17">IFERROR(
  INDEX(PLAYER_STAT!G$2:G64, 
    MATCH(1, 
      (PLAYER_STAT!A$2:A64 = MATCH_DATES!$A$4) * (PLAYER_STAT!D$2:D64 = $B17), 
    0)
  ), 
  ""
)
</f>
        <v/>
      </c>
      <c r="AK17" s="25">
        <f t="shared" si="17"/>
        <v>1</v>
      </c>
      <c r="AL17" s="26" t="str">
        <f t="shared" si="18"/>
        <v>=</v>
      </c>
      <c r="AM17" s="27" t="s">
        <v>215</v>
      </c>
      <c r="AN17" s="28">
        <f t="shared" si="19"/>
        <v>19</v>
      </c>
      <c r="AO17" s="28">
        <f t="shared" si="20"/>
        <v>2</v>
      </c>
      <c r="AP17" s="28">
        <f t="shared" si="21"/>
        <v>2</v>
      </c>
      <c r="AQ17" s="28">
        <f>IF(AM17&lt;&gt;"",
    COUNTIFS(MATCH_INPUT!$K$14:$K$17,AM17),
0)</f>
        <v>1</v>
      </c>
      <c r="AR17" s="28">
        <f>IF(AM17&lt;&gt;"",
    COUNTIFS(MATCH_INPUT!$F$14:$F$17, AM17, MATCH_INPUT!$K$14:$K$17, "Draw") +
    COUNTIFS(MATCH_INPUT!$J$14:$J$17, AM17, MATCH_INPUT!$K$14:$K$17, "Draw"),
0)</f>
        <v>0</v>
      </c>
      <c r="AS17" s="28">
        <f>IF(AM17&lt;&gt;"",
    COUNTIFS(MATCH_INPUT!$F$14:$F$17, AM17, MATCH_INPUT!$K$14:$K$17, "&lt;&gt;"&amp;AM17, MATCH_INPUT!$K$14:$K$17, "&lt;&gt;Draw", MATCH_INPUT!$K$14:$K$17, "&lt;&gt;""") +
    COUNTIFS(MATCH_INPUT!$J$14:$J$17, AM17, MATCH_INPUT!$K$14:$K$17, "&lt;&gt;"&amp;AM17, MATCH_INPUT!$K$14:$K$17, "&lt;&gt;Draw", MATCH_INPUT!$K$14:$K$17, "&lt;&gt;"""),
0)</f>
        <v>1</v>
      </c>
      <c r="AT17" s="29" t="str">
        <f t="array" ref="AT17">IFERROR(
  INDEX(PLAYER_STAT!E$2:E64, 
    MATCH(1, 
      (PLAYER_STAT!A$2:A64 = MATCH_DATES!$A$5) * (PLAYER_STAT!D$2:D64 = $B17), 
    0)
  ), 
  ""
)
</f>
        <v/>
      </c>
      <c r="AU17" s="29" t="str">
        <f t="array" ref="AU17">IFERROR(
  INDEX(PLAYER_STAT!F$2:F64, 
    MATCH(1, 
      (PLAYER_STAT!A$2:A64 = MATCH_DATES!$A$5) * (PLAYER_STAT!D$2:D64 = $B17), 
    0)
  ), 
  ""
)
</f>
        <v/>
      </c>
      <c r="AV17" s="30" t="str">
        <f t="array" ref="AV17">IFERROR(
  INDEX(PLAYER_STAT!G$2:G64, 
    MATCH(1, 
      (PLAYER_STAT!A$2:A64 = MATCH_DATES!$A$5) * (PLAYER_STAT!D$2:D64 = $B17), 
    0)
  ), 
  ""
)
</f>
        <v/>
      </c>
      <c r="AW17" s="31">
        <f t="shared" si="22"/>
        <v>4</v>
      </c>
      <c r="AX17" s="32" t="str">
        <f t="shared" si="23"/>
        <v>↓</v>
      </c>
      <c r="AY17" s="21" t="s">
        <v>213</v>
      </c>
      <c r="AZ17" s="33">
        <f t="shared" si="24"/>
        <v>23</v>
      </c>
      <c r="BA17" s="22">
        <f t="shared" si="25"/>
        <v>2</v>
      </c>
      <c r="BB17" s="22">
        <f>SUM(BC17*2) + (BD17*1) + SUMIFS(MATCH_INPUT!$G$18:$G$21, MATCH_INPUT!$F$18:$F$21, AY17) + SUMIFS(MATCH_INPUT!$I$18:$I$21, MATCH_INPUT!$J$18:$J$21, AY17)
</f>
        <v>2</v>
      </c>
      <c r="BC17" s="22">
        <f>IF(AY17&lt;&gt;"",
    COUNTIFS(MATCH_INPUT!$K$18:$K$21,AY17),
0)</f>
        <v>0</v>
      </c>
      <c r="BD17" s="22">
        <f>IF(AY17&lt;&gt;"",
    COUNTIFS(MATCH_INPUT!$F$18:$F$21, AY17, MATCH_INPUT!$K$18:$K$21, "Draw") +
    COUNTIFS(MATCH_INPUT!$J$18:$J$21, AY17, MATCH_INPUT!$K$18:$K$21, "Draw"),
0)</f>
        <v>1</v>
      </c>
      <c r="BE17" s="22">
        <f>IF(AY17&lt;&gt;"",
    COUNTIFS(MATCH_INPUT!$F$18:$F$21, AY17, MATCH_INPUT!$K$18:$K$21, "&lt;&gt;"&amp;AY17, MATCH_INPUT!$K$18:$K$21, "&lt;&gt;Draw", MATCH_INPUT!$K$18:$K$21, "&lt;&gt;""") +
    COUNTIFS(MATCH_INPUT!$J$18:$J$21, AY17, MATCH_INPUT!$K$18:$K$21, "&lt;&gt;"&amp;AY17, MATCH_INPUT!$K$18:$K$21, "&lt;&gt;Draw", MATCH_INPUT!$K$18:$K$21, "&lt;&gt;"""),
0)</f>
        <v>1</v>
      </c>
      <c r="BF17" s="23">
        <f t="array" ref="BF17">IFERROR(
  INDEX(PLAYER_STAT!E$2:E64, 
    MATCH(1, 
      (PLAYER_STAT!A$2:A64 = MATCH_DATES!$A$6) * (PLAYER_STAT!D$2:D64 = $B17), 
    0)
  ), 
  ""
)
</f>
        <v>0</v>
      </c>
      <c r="BG17" s="23">
        <f t="array" ref="BG17">IFERROR(
  INDEX(PLAYER_STAT!F$2:F64, 
    MATCH(1, 
      (PLAYER_STAT!A$2:A64 = MATCH_DATES!$A$6) * (PLAYER_STAT!D$2:D64 = $B17), 
    0)
  ), 
  ""
)
</f>
        <v>0</v>
      </c>
      <c r="BH17" s="34">
        <f t="array" ref="BH17">IFERROR(
  INDEX(PLAYER_STAT!G$2:G64, 
    MATCH(1, 
      (PLAYER_STAT!A$2:A64 = MATCH_DATES!$A$6) * (PLAYER_STAT!D$2:D64 = $B17), 
    0)
  ), 
  ""
)
</f>
        <v>0</v>
      </c>
      <c r="BI17" s="25">
        <f t="shared" si="26"/>
        <v>14</v>
      </c>
      <c r="BJ17" s="26" t="str">
        <f t="shared" si="27"/>
        <v>↓</v>
      </c>
      <c r="BK17" s="27" t="s">
        <v>214</v>
      </c>
      <c r="BL17" s="28">
        <f t="shared" si="28"/>
        <v>32</v>
      </c>
      <c r="BM17" s="28">
        <f t="shared" si="29"/>
        <v>2</v>
      </c>
      <c r="BN17" s="28">
        <f>SUM(BO17*2) + (BP17*1) + SUMIFS(MATCH_INPUT!$G$22:$G$25, MATCH_INPUT!$F$22:$F$25, BK17) + SUMIFS(MATCH_INPUT!$I$22:$I$25, MATCH_INPUT!$J$22:$J$25, BK17)
</f>
        <v>7</v>
      </c>
      <c r="BO17" s="28">
        <f>IF(BK17&lt;&gt;"",
    COUNTIFS(MATCH_INPUT!$K$22:$K$25,BK17),
0)</f>
        <v>1</v>
      </c>
      <c r="BP17" s="28">
        <f>IF(BK17&lt;&gt;"",
    COUNTIFS(MATCH_INPUT!$F$22:$F$25, BK17, MATCH_INPUT!$K$22:$K$25, "Draw") +
    COUNTIFS(MATCH_INPUT!$J$22:$J$25, BK17, MATCH_INPUT!$K$22:$K$25, "Draw"),
0)</f>
        <v>1</v>
      </c>
      <c r="BQ17" s="28">
        <f>IF(BK17&lt;&gt;"",
    COUNTIFS(MATCH_INPUT!$F$22:$F$25, BK17, MATCH_INPUT!$K$22:$K$25, "&lt;&gt;"&amp;BK17, MATCH_INPUT!$K$22:$K$25, "&lt;&gt;Draw", MATCH_INPUT!$K$22:$K$25, "&lt;&gt;""") +
    COUNTIFS(MATCH_INPUT!$J$22:$J$25, BK17, MATCH_INPUT!$K$22:$K$25, "&lt;&gt;"&amp;BK17, MATCH_INPUT!$K$22:$K$25, "&lt;&gt;Draw", MATCH_INPUT!$K$22:$K$25, "&lt;&gt;"""),
0)</f>
        <v>0</v>
      </c>
      <c r="BR17" s="29" t="str">
        <f t="array" ref="BR17">IFERROR(
  INDEX(PLAYER_STAT!E$2:E64, 
    MATCH(1, 
      (PLAYER_STAT!A$2:A64 = MATCH_DATES!$A$7) * (PLAYER_STAT!D$2:D64 = $B17), 
    0)
  ), 
  ""
)
</f>
        <v/>
      </c>
      <c r="BS17" s="29" t="str">
        <f t="array" ref="BS17">IFERROR(
  INDEX(PLAYER_STAT!F$2:F64, 
    MATCH(1, 
      (PLAYER_STAT!A$2:A64 = MATCH_DATES!$A$7) * (PLAYER_STAT!D$2:D64 = $B17), 
    0)
  ), 
  ""
)
</f>
        <v/>
      </c>
      <c r="BT17" s="30" t="str">
        <f t="array" ref="BT17">IFERROR(
  INDEX(PLAYER_STAT!G$2:G64, 
    MATCH(1, 
      (PLAYER_STAT!A$2:A64 = MATCH_DATES!$A$7) * (PLAYER_STAT!D$2:D64 = $B17), 
    0)
  ), 
  ""
)
</f>
        <v/>
      </c>
      <c r="BU17" s="31">
        <f t="shared" si="30"/>
        <v>15</v>
      </c>
      <c r="BV17" s="32" t="str">
        <f t="shared" si="31"/>
        <v>↓</v>
      </c>
      <c r="BW17" s="21" t="s">
        <v>213</v>
      </c>
      <c r="BX17" s="33">
        <f t="shared" si="32"/>
        <v>48</v>
      </c>
      <c r="BY17" s="22">
        <f t="shared" si="33"/>
        <v>2</v>
      </c>
      <c r="BZ17" s="22">
        <f>SUM(CA17*2)+(CB17*1) + SUMIFS(MATCH_INPUT!$G$26:$G$29, MATCH_INPUT!$F$26:$F$29, BW17) + SUMIFS(MATCH_INPUT!$I$26:$I$29, MATCH_INPUT!$J$26:$J$29, BW17)
</f>
        <v>14</v>
      </c>
      <c r="CA17" s="22">
        <f>IF(BW17&lt;&gt;"",
    COUNTIFS(MATCH_INPUT!$K$26:$K$29,BW17),
0)</f>
        <v>2</v>
      </c>
      <c r="CB17" s="22">
        <f>IF(BW17&lt;&gt;"",
    COUNTIFS(MATCH_INPUT!$F$26:$F$29, BW17, MATCH_INPUT!$K$26:$K$29, "Draw") +
    COUNTIFS(MATCH_INPUT!$J$26:$J$29, BW17, MATCH_INPUT!$K$26:$K$29, "Draw"),
0)</f>
        <v>0</v>
      </c>
      <c r="CC17" s="22">
        <f>IF(BW17&lt;&gt;"",
    COUNTIFS(MATCH_INPUT!$F$26:$F$29, BW17, MATCH_INPUT!$K$26:$K$29, "&lt;&gt;"&amp;BW17, MATCH_INPUT!$K$26:$K$29, "&lt;&gt;Draw", MATCH_INPUT!$K$26:$K$29, "&lt;&gt;""") +
    COUNTIFS(MATCH_INPUT!$J$26:$J$29, BW17, MATCH_INPUT!$K$26:$K$29, "&lt;&gt;"&amp;BW17, MATCH_INPUT!$K$26:$K$29, "&lt;&gt;Draw", MATCH_INPUT!$K$26:$K$29, "&lt;&gt;"""),
0)</f>
        <v>0</v>
      </c>
      <c r="CD17" s="23">
        <f t="array" ref="CD17">IFERROR(
  INDEX(PLAYER_STAT!E$2:E64, 
    MATCH(1, 
      (PLAYER_STAT!A$2:A64 = MATCH_DATES!$A$8) * (PLAYER_STAT!D$2:D64 = $B17), 
    0)
  ), 
  ""
)
</f>
        <v>1</v>
      </c>
      <c r="CE17" s="23">
        <f t="array" ref="CE17">IFERROR(
  INDEX(PLAYER_STAT!F$2:F64, 
    MATCH(1, 
      (PLAYER_STAT!A$2:A64 = MATCH_DATES!$A$8) * (PLAYER_STAT!D$2:D64 = $B17), 
    0)
  ), 
  ""
)
</f>
        <v>0</v>
      </c>
      <c r="CF17" s="34">
        <f t="array" ref="CF17">IFERROR(
  INDEX(PLAYER_STAT!G$2:G64, 
    MATCH(1, 
      (PLAYER_STAT!A$2:A64 = MATCH_DATES!$A$8) * (PLAYER_STAT!D$2:D64 = $B17), 
    0)
  ), 
  ""
)
</f>
        <v>0</v>
      </c>
      <c r="CG17" s="25">
        <f t="shared" si="34"/>
        <v>7</v>
      </c>
      <c r="CH17" s="26" t="str">
        <f t="shared" si="35"/>
        <v>↑</v>
      </c>
      <c r="CI17" s="27" t="s">
        <v>213</v>
      </c>
      <c r="CJ17" s="28">
        <f t="shared" si="36"/>
        <v>58</v>
      </c>
      <c r="CK17" s="28">
        <f t="shared" si="37"/>
        <v>2</v>
      </c>
      <c r="CL17" s="28">
        <f>SUM(CM17*2)+(CN17*1) + SUMIFS(MATCH_INPUT!$G$30:$G$33, MATCH_INPUT!$F$30:$F$33, CI17) + SUMIFS(MATCH_INPUT!$I$30:$I$33, MATCH_INPUT!$J$30:$J$33, CI17)
</f>
        <v>8</v>
      </c>
      <c r="CM17" s="28">
        <f>IF(CI17&lt;&gt;"",
    COUNTIFS(MATCH_INPUT!$K$30:$K$33,CI17),
0)</f>
        <v>1</v>
      </c>
      <c r="CN17" s="28">
        <f>IF(CI17&lt;&gt;"",
    COUNTIFS(MATCH_INPUT!$F$30:$F$33, CI17, MATCH_INPUT!$K$30:$K$33, "Draw") +
    COUNTIFS(MATCH_INPUT!$J$30:$J$33, CI17, MATCH_INPUT!$K$30:$K$33, "Draw"),
0)</f>
        <v>0</v>
      </c>
      <c r="CO17" s="28">
        <f>IF(CI17&lt;&gt;"",
    COUNTIFS(MATCH_INPUT!$F$30:$F$33, CI17, MATCH_INPUT!$K$30:$K$33, "&lt;&gt;"&amp;CI17, MATCH_INPUT!$K$30:$K$33, "&lt;&gt;Draw", MATCH_INPUT!$K$30:$K$33, "&lt;&gt;""") +
    COUNTIFS(MATCH_INPUT!$J$30:$J$33, CI17, MATCH_INPUT!$K$30:$K$33, "&lt;&gt;"&amp;CI17, MATCH_INPUT!$K$30:$K$33, "&lt;&gt;Draw", MATCH_INPUT!$K$30:$K$33, "&lt;&gt;"""),
0)</f>
        <v>1</v>
      </c>
      <c r="CP17" s="29" t="str">
        <f t="array" ref="CP17">IFERROR(
  INDEX(PLAYER_STAT!E$2:E64, 
    MATCH(1, 
      (PLAYER_STAT!A$2:A64 = MATCH_DATES!$A$9) * (PLAYER_STAT!D$2:D64 = $B17), 
    0)
  ), 
  ""
)
</f>
        <v/>
      </c>
      <c r="CQ17" s="29" t="str">
        <f t="array" ref="CQ17">IFERROR(
  INDEX(PLAYER_STAT!F$2:F64, 
    MATCH(1, 
      (PLAYER_STAT!A$2:A64 = MATCH_DATES!$A$9) * (PLAYER_STAT!D$2:D64 = $B17), 
    0)
  ), 
  ""
)
</f>
        <v/>
      </c>
      <c r="CR17" s="29" t="str">
        <f t="array" ref="CR17">IFERROR(
  INDEX(PLAYER_STAT!G$2:G64, 
    MATCH(1, 
      (PLAYER_STAT!A$2:A64 = MATCH_DATES!$A$9) * (PLAYER_STAT!D$2:D64 = $B17), 
    0)
  ), 
  ""
)
</f>
        <v/>
      </c>
      <c r="CS17" s="35">
        <f t="shared" si="38"/>
        <v>4</v>
      </c>
      <c r="CT17" s="35" t="str">
        <f t="shared" si="39"/>
        <v>↑</v>
      </c>
      <c r="CU17" s="36">
        <f t="shared" si="40"/>
        <v>42</v>
      </c>
      <c r="CV17" s="36" t="str">
        <f t="shared" ref="CV17:CW17" si="82">A17</f>
        <v>🍂🎃</v>
      </c>
      <c r="CW17" s="37" t="str">
        <f t="shared" si="82"/>
        <v>Gerardo</v>
      </c>
      <c r="CX17" s="37">
        <f t="shared" si="42"/>
        <v>58</v>
      </c>
      <c r="CY17" s="36">
        <f>SUM(
  IF(AND(MATCH_DATES!$A$2 &lt;= TODAY(), NOW() &gt;= MATCH_DATES!$A$2 + TIME(22, 0, 0)), E17, 0),
  IF(AND(MATCH_DATES!$A$3 &lt;= TODAY(), NOW() &gt;= MATCH_DATES!$A$3 + TIME(22, 0, 0)), Q17, 0),
  IF(AND(MATCH_DATES!$A$4 &lt;= TODAY(), NOW() &gt;= MATCH_DATES!$A$4 + TIME(22, 0, 0)), AC17, 0),
  IF(AND(MATCH_DATES!$A$5 &lt;= TODAY(), NOW() &gt;= MATCH_DATES!$A$5 + TIME(22, 0, 0)), AO17, 0),
  IF(AND(MATCH_DATES!$A$6 &lt;= TODAY(), NOW() &gt;= MATCH_DATES!$A$6 + TIME(22, 0, 0)), BA17, 0),
  IF(AND(MATCH_DATES!$A$7 &lt;= TODAY(), NOW() &gt;= MATCH_DATES!$A$7 + TIME(22, 0, 0)), BM17, 0),
  IF(AND(MATCH_DATES!$A$8 &lt;= TODAY(), NOW() &gt;= MATCH_DATES!$A$8 + TIME(22, 0, 0)), BY17, 0),
  IF(AND(MATCH_DATES!$A$9 &lt;= TODAY(), NOW() &gt;= MATCH_DATES!$A$9 + TIME(22, 0, 0)), CK17, 0)
)
</f>
        <v>16</v>
      </c>
      <c r="CZ17" s="37">
        <f t="shared" ref="CZ17:DA17" si="83">SUM(G17,S17,AE17,AQ17,BC17,BO17,CA17,CM17)</f>
        <v>9</v>
      </c>
      <c r="DA17" s="37">
        <f t="shared" si="83"/>
        <v>3</v>
      </c>
      <c r="DB17" s="37">
        <f>SUM(
  IF(AND(MATCH_DATES!$A$2 &lt;= TODAY(), NOW() &gt;= MATCH_DATES!$A$2 + TIME(22, 0, 0)), I17, 0),
  IF(AND(MATCH_DATES!$A$3 &lt;= TODAY(), NOW() &gt;= MATCH_DATES!$A$3 + TIME(22, 0, 0)), U17, 0),
  IF(AND(MATCH_DATES!$A$4 &lt;= TODAY(), NOW() &gt;= MATCH_DATES!$A$4 + TIME(22, 0, 0)), AG17, 0),
  IF(AND(MATCH_DATES!$A$5 &lt;= TODAY(), NOW() &gt;= MATCH_DATES!$A$5 + TIME(22, 0, 0)), AS17, 0),
  IF(AND(MATCH_DATES!$A$6 &lt;= TODAY(), NOW() &gt;= MATCH_DATES!$A$6 + TIME(22, 0, 0)), BE17, 0),
  IF(AND(MATCH_DATES!$A$7 &lt;= TODAY(), NOW() &gt;= MATCH_DATES!$A$7 + TIME(22, 0, 0)), BQ17, 0),
  IF(AND(MATCH_DATES!$A$8 &lt;= TODAY(), NOW() &gt;= MATCH_DATES!$A$8 + TIME(22, 0, 0)), CC17, 0),
  IF(AND(MATCH_DATES!$A$9 &lt;= TODAY(), NOW() &gt;= MATCH_DATES!$A$9 + TIME(22, 0, 0)), CO17, 0)
)</f>
        <v>4</v>
      </c>
      <c r="DC17" s="37">
        <f t="shared" si="44"/>
        <v>2</v>
      </c>
      <c r="DD17" s="37">
        <f t="shared" ref="DD17:DE17" si="84">SUM(K17,W17,AI17,AU17,BG17,BS17,CE17,CQ17)</f>
        <v>0</v>
      </c>
      <c r="DE17" s="37">
        <f t="shared" si="84"/>
        <v>0</v>
      </c>
    </row>
    <row r="18" ht="24.75" customHeight="1">
      <c r="A18" s="19" t="s">
        <v>210</v>
      </c>
      <c r="B18" s="20" t="s">
        <v>77</v>
      </c>
      <c r="C18" s="21" t="s">
        <v>212</v>
      </c>
      <c r="D18" s="22">
        <f t="shared" si="4"/>
        <v>4</v>
      </c>
      <c r="E18" s="22">
        <f t="shared" si="5"/>
        <v>2</v>
      </c>
      <c r="F18" s="22">
        <f t="shared" si="6"/>
        <v>2</v>
      </c>
      <c r="G18" s="22">
        <f>IF(C18&lt;&gt;"",
    COUNTIFS(MATCH_INPUT!$K$2:$K$5,C18),
0)</f>
        <v>1</v>
      </c>
      <c r="H18" s="22">
        <f>IF(C18&lt;&gt;"",
    COUNTIFS(MATCH_INPUT!$F$2:$F$5, C18, MATCH_INPUT!$K$2:$K$5, "Draw") +
    COUNTIFS(MATCH_INPUT!$J$2:$J$5, C18, MATCH_INPUT!$K$2:$K$5, "Draw"),
0)</f>
        <v>0</v>
      </c>
      <c r="I18" s="22">
        <f>IF(C18&lt;&gt;"",
    COUNTIFS(MATCH_INPUT!$F$2:$F$5, C18, MATCH_INPUT!$K$2:$K$5, "&lt;&gt;"&amp;C18, MATCH_INPUT!$K$2:$K$5, "&lt;&gt;Draw", MATCH_INPUT!$K$2:$K$5, "&lt;&gt;""") +
    COUNTIFS(MATCH_INPUT!$J$2:$J$5, C18, MATCH_INPUT!$K$2:$K$5, "&lt;&gt;"&amp;C18, MATCH_INPUT!$K$2:$K$5, "&lt;&gt;Draw", MATCH_INPUT!$K$2:$K$5, "&lt;&gt;"""),
0)</f>
        <v>1</v>
      </c>
      <c r="J18" s="23" t="str">
        <f t="array" ref="J18">IFERROR(
  INDEX(PLAYER_STAT!E$2:E64, 
    MATCH(1, 
      (PLAYER_STAT!A$2:A64 = MATCH_DATES!$A$2) * (PLAYER_STAT!D$2:D64 = $B18), 
    0)
  ), 
  ""
)
</f>
        <v/>
      </c>
      <c r="K18" s="23" t="str">
        <f t="array" ref="K18">IFERROR(
  INDEX(PLAYER_STAT!F$2:F64, 
    MATCH(1, 
      (PLAYER_STAT!A$2:A64 = MATCH_DATES!$A$2) * (PLAYER_STAT!D$2:D64 = $B18), 
    0)
  ), 
  ""
)
</f>
        <v/>
      </c>
      <c r="L18" s="24" t="str">
        <f t="array" ref="L18">IFERROR(
  INDEX(PLAYER_STAT!G$2:G64, 
    MATCH(1, 
      (PLAYER_STAT!A$2:A64 = MATCH_DATES!$A$2) * (PLAYER_STAT!D$2:D64 = $B18), 
    0)
  ), 
  ""
)
</f>
        <v/>
      </c>
      <c r="M18" s="25">
        <f t="shared" si="7"/>
        <v>11</v>
      </c>
      <c r="N18" s="26" t="str">
        <f t="shared" si="8"/>
        <v>↓</v>
      </c>
      <c r="O18" s="27" t="s">
        <v>214</v>
      </c>
      <c r="P18" s="28">
        <f t="shared" si="9"/>
        <v>8</v>
      </c>
      <c r="Q18" s="28">
        <f t="shared" si="10"/>
        <v>2</v>
      </c>
      <c r="R18" s="28">
        <f t="shared" si="11"/>
        <v>2</v>
      </c>
      <c r="S18" s="28">
        <f>IF(O18&lt;&gt;"",
    COUNTIFS(MATCH_INPUT!$K$6:$K$9,O18),
0)</f>
        <v>0</v>
      </c>
      <c r="T18" s="28">
        <f>IF(O18&lt;&gt;"",
    COUNTIFS(MATCH_INPUT!$F$6:$F$9, O18, MATCH_INPUT!$K$6:$K$9, "Draw") +
    COUNTIFS(MATCH_INPUT!$J$6:$J$9, O18, MATCH_INPUT!$K$6:$K$9, "Draw"),
0)</f>
        <v>2</v>
      </c>
      <c r="U18" s="28">
        <f>IF(O18&lt;&gt;"",
    COUNTIFS(MATCH_INPUT!$F$6:$F$9, O18, MATCH_INPUT!$K$6:$K$9, "&lt;&gt;"&amp;O18, MATCH_INPUT!$K$6:$K$9, "&lt;&gt;Draw", MATCH_INPUT!$K$6:$K$9, "&lt;&gt;""") +
    COUNTIFS(MATCH_INPUT!$J$6:$J$9, O18, MATCH_INPUT!$K$6:$K$9, "&lt;&gt;"&amp;O18, MATCH_INPUT!$K$6:$K$9, "&lt;&gt;Draw", MATCH_INPUT!$K$6:$K$9, "&lt;&gt;"""),
0)</f>
        <v>0</v>
      </c>
      <c r="V18" s="29" t="str">
        <f t="array" ref="V18">IFERROR(
  INDEX(PLAYER_STAT!E$2:E64, 
    MATCH(1, 
      (PLAYER_STAT!A$2:A64 = MATCH_DATES!$A$3) * (PLAYER_STAT!D$2:D64 = $B18), 
    0)
  ), 
  ""
)
</f>
        <v/>
      </c>
      <c r="W18" s="29" t="str">
        <f t="array" ref="W18">IFERROR(
  INDEX(PLAYER_STAT!F$2:F64, 
    MATCH(1, 
      (PLAYER_STAT!A$2:A64 = MATCH_DATES!$A$3) * (PLAYER_STAT!D$2:D64 = $B18), 
    0)
  ), 
  ""
)
</f>
        <v/>
      </c>
      <c r="X18" s="30" t="str">
        <f t="array" ref="X18">IFERROR(
  INDEX(PLAYER_STAT!G$2:G64, 
    MATCH(1, 
      (PLAYER_STAT!A$2:A64 = MATCH_DATES!$A$3) * (PLAYER_STAT!D$2:D64 = $B18), 
    0)
  ), 
  ""
)
</f>
        <v/>
      </c>
      <c r="Y18" s="31">
        <f t="shared" si="12"/>
        <v>13</v>
      </c>
      <c r="Z18" s="32" t="str">
        <f t="shared" si="13"/>
        <v>↓</v>
      </c>
      <c r="AA18" s="21" t="s">
        <v>212</v>
      </c>
      <c r="AB18" s="33">
        <f t="shared" si="14"/>
        <v>14</v>
      </c>
      <c r="AC18" s="22">
        <f t="shared" si="15"/>
        <v>2</v>
      </c>
      <c r="AD18" s="22">
        <f t="shared" si="16"/>
        <v>4</v>
      </c>
      <c r="AE18" s="22">
        <f>IF(AA18&lt;&gt;"",
    COUNTIFS(MATCH_INPUT!$K$10:$K$13,AA18),
0)</f>
        <v>2</v>
      </c>
      <c r="AF18" s="22">
        <f>IF(AA18&lt;&gt;"",
    COUNTIFS(MATCH_INPUT!$F$10:$F$13, AA18, MATCH_INPUT!$K$10:$K$13, "Draw") +
    COUNTIFS(MATCH_INPUT!$J$10:$J$13, AA18, MATCH_INPUT!$K$10:$K$13, "Draw"),
0)</f>
        <v>0</v>
      </c>
      <c r="AG18" s="22">
        <f>IF(AA18&lt;&gt;"",
    COUNTIFS(MATCH_INPUT!$F$10:$F$13, AA18, MATCH_INPUT!$K$10:$K$13, "&lt;&gt;"&amp;AA18, MATCH_INPUT!$K$10:$K$13, "&lt;&gt;Draw", MATCH_INPUT!$K$10:$K$13, "&lt;&gt;""") +
    COUNTIFS(MATCH_INPUT!$J$10:$J$13, AA18, MATCH_INPUT!$K$10:$K$13, "&lt;&gt;"&amp;AA18, MATCH_INPUT!$K$10:$K$13, "&lt;&gt;Draw", MATCH_INPUT!$K$10:$K$13, "&lt;&gt;"""),
0)</f>
        <v>0</v>
      </c>
      <c r="AH18" s="23" t="str">
        <f t="array" ref="AH18">IFERROR(
  INDEX(PLAYER_STAT!E$2:E64, 
    MATCH(1, 
      (PLAYER_STAT!A$2:A64 = MATCH_DATES!$A$4) * (PLAYER_STAT!D$2:D64 = $B18), 
    0)
  ), 
  ""
)
</f>
        <v/>
      </c>
      <c r="AI18" s="23" t="str">
        <f t="array" ref="AI18">IFERROR(
  INDEX(PLAYER_STAT!F$2:F64, 
    MATCH(1, 
      (PLAYER_STAT!A$2:A64 = MATCH_DATES!$A$4) * (PLAYER_STAT!D$2:D64 = $B18), 
    0)
  ), 
  ""
)
</f>
        <v/>
      </c>
      <c r="AJ18" s="34" t="str">
        <f t="array" ref="AJ18">IFERROR(
  INDEX(PLAYER_STAT!G$2:G64, 
    MATCH(1, 
      (PLAYER_STAT!A$2:A64 = MATCH_DATES!$A$4) * (PLAYER_STAT!D$2:D64 = $B18), 
    0)
  ), 
  ""
)
</f>
        <v/>
      </c>
      <c r="AK18" s="25">
        <f t="shared" si="17"/>
        <v>6</v>
      </c>
      <c r="AL18" s="26" t="str">
        <f t="shared" si="18"/>
        <v>↑</v>
      </c>
      <c r="AM18" s="27" t="s">
        <v>213</v>
      </c>
      <c r="AN18" s="28">
        <f t="shared" si="19"/>
        <v>18</v>
      </c>
      <c r="AO18" s="28">
        <f t="shared" si="20"/>
        <v>2</v>
      </c>
      <c r="AP18" s="28">
        <f t="shared" si="21"/>
        <v>2</v>
      </c>
      <c r="AQ18" s="28">
        <f>IF(AM18&lt;&gt;"",
    COUNTIFS(MATCH_INPUT!$K$14:$K$17,AM18),
0)</f>
        <v>1</v>
      </c>
      <c r="AR18" s="28">
        <f>IF(AM18&lt;&gt;"",
    COUNTIFS(MATCH_INPUT!$F$14:$F$17, AM18, MATCH_INPUT!$K$14:$K$17, "Draw") +
    COUNTIFS(MATCH_INPUT!$J$14:$J$17, AM18, MATCH_INPUT!$K$14:$K$17, "Draw"),
0)</f>
        <v>0</v>
      </c>
      <c r="AS18" s="28">
        <f>IF(AM18&lt;&gt;"",
    COUNTIFS(MATCH_INPUT!$F$14:$F$17, AM18, MATCH_INPUT!$K$14:$K$17, "&lt;&gt;"&amp;AM18, MATCH_INPUT!$K$14:$K$17, "&lt;&gt;Draw", MATCH_INPUT!$K$14:$K$17, "&lt;&gt;""") +
    COUNTIFS(MATCH_INPUT!$J$14:$J$17, AM18, MATCH_INPUT!$K$14:$K$17, "&lt;&gt;"&amp;AM18, MATCH_INPUT!$K$14:$K$17, "&lt;&gt;Draw", MATCH_INPUT!$K$14:$K$17, "&lt;&gt;"""),
0)</f>
        <v>1</v>
      </c>
      <c r="AT18" s="29" t="str">
        <f t="array" ref="AT18">IFERROR(
  INDEX(PLAYER_STAT!E$2:E64, 
    MATCH(1, 
      (PLAYER_STAT!A$2:A64 = MATCH_DATES!$A$5) * (PLAYER_STAT!D$2:D64 = $B18), 
    0)
  ), 
  ""
)
</f>
        <v/>
      </c>
      <c r="AU18" s="29" t="str">
        <f t="array" ref="AU18">IFERROR(
  INDEX(PLAYER_STAT!F$2:F64, 
    MATCH(1, 
      (PLAYER_STAT!A$2:A64 = MATCH_DATES!$A$5) * (PLAYER_STAT!D$2:D64 = $B18), 
    0)
  ), 
  ""
)
</f>
        <v/>
      </c>
      <c r="AV18" s="30" t="str">
        <f t="array" ref="AV18">IFERROR(
  INDEX(PLAYER_STAT!G$2:G64, 
    MATCH(1, 
      (PLAYER_STAT!A$2:A64 = MATCH_DATES!$A$5) * (PLAYER_STAT!D$2:D64 = $B18), 
    0)
  ), 
  ""
)
</f>
        <v/>
      </c>
      <c r="AW18" s="31">
        <f t="shared" si="22"/>
        <v>8</v>
      </c>
      <c r="AX18" s="32" t="str">
        <f t="shared" si="23"/>
        <v>↓</v>
      </c>
      <c r="AY18" s="21" t="s">
        <v>213</v>
      </c>
      <c r="AZ18" s="33">
        <f t="shared" si="24"/>
        <v>22</v>
      </c>
      <c r="BA18" s="22">
        <f t="shared" si="25"/>
        <v>2</v>
      </c>
      <c r="BB18" s="22">
        <f>SUM(BC18*2) + (BD18*1) + SUMIFS(MATCH_INPUT!$G$18:$G$21, MATCH_INPUT!$F$18:$F$21, AY18) + SUMIFS(MATCH_INPUT!$I$18:$I$21, MATCH_INPUT!$J$18:$J$21, AY18)
</f>
        <v>2</v>
      </c>
      <c r="BC18" s="22">
        <f>IF(AY18&lt;&gt;"",
    COUNTIFS(MATCH_INPUT!$K$18:$K$21,AY18),
0)</f>
        <v>0</v>
      </c>
      <c r="BD18" s="22">
        <f>IF(AY18&lt;&gt;"",
    COUNTIFS(MATCH_INPUT!$F$18:$F$21, AY18, MATCH_INPUT!$K$18:$K$21, "Draw") +
    COUNTIFS(MATCH_INPUT!$J$18:$J$21, AY18, MATCH_INPUT!$K$18:$K$21, "Draw"),
0)</f>
        <v>1</v>
      </c>
      <c r="BE18" s="22">
        <f>IF(AY18&lt;&gt;"",
    COUNTIFS(MATCH_INPUT!$F$18:$F$21, AY18, MATCH_INPUT!$K$18:$K$21, "&lt;&gt;"&amp;AY18, MATCH_INPUT!$K$18:$K$21, "&lt;&gt;Draw", MATCH_INPUT!$K$18:$K$21, "&lt;&gt;""") +
    COUNTIFS(MATCH_INPUT!$J$18:$J$21, AY18, MATCH_INPUT!$K$18:$K$21, "&lt;&gt;"&amp;AY18, MATCH_INPUT!$K$18:$K$21, "&lt;&gt;Draw", MATCH_INPUT!$K$18:$K$21, "&lt;&gt;"""),
0)</f>
        <v>1</v>
      </c>
      <c r="BF18" s="23" t="str">
        <f t="array" ref="BF18">IFERROR(
  INDEX(PLAYER_STAT!E$2:E64, 
    MATCH(1, 
      (PLAYER_STAT!A$2:A64 = MATCH_DATES!$A$6) * (PLAYER_STAT!D$2:D64 = $B18), 
    0)
  ), 
  ""
)
</f>
        <v/>
      </c>
      <c r="BG18" s="23" t="str">
        <f t="array" ref="BG18">IFERROR(
  INDEX(PLAYER_STAT!F$2:F64, 
    MATCH(1, 
      (PLAYER_STAT!A$2:A64 = MATCH_DATES!$A$6) * (PLAYER_STAT!D$2:D64 = $B18), 
    0)
  ), 
  ""
)
</f>
        <v/>
      </c>
      <c r="BH18" s="34" t="str">
        <f t="array" ref="BH18">IFERROR(
  INDEX(PLAYER_STAT!G$2:G64, 
    MATCH(1, 
      (PLAYER_STAT!A$2:A64 = MATCH_DATES!$A$6) * (PLAYER_STAT!D$2:D64 = $B18), 
    0)
  ), 
  ""
)
</f>
        <v/>
      </c>
      <c r="BI18" s="25">
        <f t="shared" si="26"/>
        <v>16</v>
      </c>
      <c r="BJ18" s="26" t="str">
        <f t="shared" si="27"/>
        <v>↓</v>
      </c>
      <c r="BK18" s="27" t="s">
        <v>213</v>
      </c>
      <c r="BL18" s="28">
        <f t="shared" si="28"/>
        <v>26</v>
      </c>
      <c r="BM18" s="28">
        <f t="shared" si="29"/>
        <v>2</v>
      </c>
      <c r="BN18" s="28">
        <f>SUM(BO18*2) + (BP18*1) + SUMIFS(MATCH_INPUT!$G$22:$G$25, MATCH_INPUT!$F$22:$F$25, BK18) + SUMIFS(MATCH_INPUT!$I$22:$I$25, MATCH_INPUT!$J$22:$J$25, BK18)
</f>
        <v>2</v>
      </c>
      <c r="BO18" s="28">
        <f>IF(BK18&lt;&gt;"",
    COUNTIFS(MATCH_INPUT!$K$22:$K$25,BK18),
0)</f>
        <v>0</v>
      </c>
      <c r="BP18" s="28">
        <f>IF(BK18&lt;&gt;"",
    COUNTIFS(MATCH_INPUT!$F$22:$F$25, BK18, MATCH_INPUT!$K$22:$K$25, "Draw") +
    COUNTIFS(MATCH_INPUT!$J$22:$J$25, BK18, MATCH_INPUT!$K$22:$K$25, "Draw"),
0)</f>
        <v>1</v>
      </c>
      <c r="BQ18" s="28">
        <f>IF(BK18&lt;&gt;"",
    COUNTIFS(MATCH_INPUT!$F$22:$F$25, BK18, MATCH_INPUT!$K$22:$K$25, "&lt;&gt;"&amp;BK18, MATCH_INPUT!$K$22:$K$25, "&lt;&gt;Draw", MATCH_INPUT!$K$22:$K$25, "&lt;&gt;""") +
    COUNTIFS(MATCH_INPUT!$J$22:$J$25, BK18, MATCH_INPUT!$K$22:$K$25, "&lt;&gt;"&amp;BK18, MATCH_INPUT!$K$22:$K$25, "&lt;&gt;Draw", MATCH_INPUT!$K$22:$K$25, "&lt;&gt;"""),
0)</f>
        <v>1</v>
      </c>
      <c r="BR18" s="29">
        <f t="array" ref="BR18">IFERROR(
  INDEX(PLAYER_STAT!E$2:E64, 
    MATCH(1, 
      (PLAYER_STAT!A$2:A64 = MATCH_DATES!$A$7) * (PLAYER_STAT!D$2:D64 = $B18), 
    0)
  ), 
  ""
)
</f>
        <v>1</v>
      </c>
      <c r="BS18" s="29">
        <f t="array" ref="BS18">IFERROR(
  INDEX(PLAYER_STAT!F$2:F64, 
    MATCH(1, 
      (PLAYER_STAT!A$2:A64 = MATCH_DATES!$A$7) * (PLAYER_STAT!D$2:D64 = $B18), 
    0)
  ), 
  ""
)
</f>
        <v>0</v>
      </c>
      <c r="BT18" s="30">
        <f t="array" ref="BT18">IFERROR(
  INDEX(PLAYER_STAT!G$2:G64, 
    MATCH(1, 
      (PLAYER_STAT!A$2:A64 = MATCH_DATES!$A$7) * (PLAYER_STAT!D$2:D64 = $B18), 
    0)
  ), 
  ""
)
</f>
        <v>0</v>
      </c>
      <c r="BU18" s="31">
        <f t="shared" si="30"/>
        <v>25</v>
      </c>
      <c r="BV18" s="32" t="str">
        <f t="shared" si="31"/>
        <v>↓</v>
      </c>
      <c r="BW18" s="21" t="s">
        <v>214</v>
      </c>
      <c r="BX18" s="33">
        <f t="shared" si="32"/>
        <v>29</v>
      </c>
      <c r="BY18" s="22">
        <f t="shared" si="33"/>
        <v>2</v>
      </c>
      <c r="BZ18" s="22">
        <f>SUM(CA18*2)+(CB18*1) + SUMIFS(MATCH_INPUT!$G$26:$G$29, MATCH_INPUT!$F$26:$F$29, BW18) + SUMIFS(MATCH_INPUT!$I$26:$I$29, MATCH_INPUT!$J$26:$J$29, BW18)
</f>
        <v>1</v>
      </c>
      <c r="CA18" s="22">
        <f>IF(BW18&lt;&gt;"",
    COUNTIFS(MATCH_INPUT!$K$26:$K$29,BW18),
0)</f>
        <v>0</v>
      </c>
      <c r="CB18" s="22">
        <f>IF(BW18&lt;&gt;"",
    COUNTIFS(MATCH_INPUT!$F$26:$F$29, BW18, MATCH_INPUT!$K$26:$K$29, "Draw") +
    COUNTIFS(MATCH_INPUT!$J$26:$J$29, BW18, MATCH_INPUT!$K$26:$K$29, "Draw"),
0)</f>
        <v>0</v>
      </c>
      <c r="CC18" s="22">
        <f>IF(BW18&lt;&gt;"",
    COUNTIFS(MATCH_INPUT!$F$26:$F$29, BW18, MATCH_INPUT!$K$26:$K$29, "&lt;&gt;"&amp;BW18, MATCH_INPUT!$K$26:$K$29, "&lt;&gt;Draw", MATCH_INPUT!$K$26:$K$29, "&lt;&gt;""") +
    COUNTIFS(MATCH_INPUT!$J$26:$J$29, BW18, MATCH_INPUT!$K$26:$K$29, "&lt;&gt;"&amp;BW18, MATCH_INPUT!$K$26:$K$29, "&lt;&gt;Draw", MATCH_INPUT!$K$26:$K$29, "&lt;&gt;"""),
0)</f>
        <v>2</v>
      </c>
      <c r="CD18" s="23" t="str">
        <f t="array" ref="CD18">IFERROR(
  INDEX(PLAYER_STAT!E$2:E64, 
    MATCH(1, 
      (PLAYER_STAT!A$2:A64 = MATCH_DATES!$A$8) * (PLAYER_STAT!D$2:D64 = $B18), 
    0)
  ), 
  ""
)
</f>
        <v/>
      </c>
      <c r="CE18" s="23" t="str">
        <f t="array" ref="CE18">IFERROR(
  INDEX(PLAYER_STAT!F$2:F64, 
    MATCH(1, 
      (PLAYER_STAT!A$2:A64 = MATCH_DATES!$A$8) * (PLAYER_STAT!D$2:D64 = $B18), 
    0)
  ), 
  ""
)
</f>
        <v/>
      </c>
      <c r="CF18" s="34" t="str">
        <f t="array" ref="CF18">IFERROR(
  INDEX(PLAYER_STAT!G$2:G64, 
    MATCH(1, 
      (PLAYER_STAT!A$2:A64 = MATCH_DATES!$A$8) * (PLAYER_STAT!D$2:D64 = $B18), 
    0)
  ), 
  ""
)
</f>
        <v/>
      </c>
      <c r="CG18" s="25">
        <f t="shared" si="34"/>
        <v>26</v>
      </c>
      <c r="CH18" s="26" t="str">
        <f t="shared" si="35"/>
        <v>↓</v>
      </c>
      <c r="CI18" s="27" t="s">
        <v>213</v>
      </c>
      <c r="CJ18" s="28">
        <f t="shared" si="36"/>
        <v>39</v>
      </c>
      <c r="CK18" s="28">
        <f t="shared" si="37"/>
        <v>2</v>
      </c>
      <c r="CL18" s="28">
        <f>SUM(CM18*2)+(CN18*1) + SUMIFS(MATCH_INPUT!$G$30:$G$33, MATCH_INPUT!$F$30:$F$33, CI18) + SUMIFS(MATCH_INPUT!$I$30:$I$33, MATCH_INPUT!$J$30:$J$33, CI18)
</f>
        <v>8</v>
      </c>
      <c r="CM18" s="28">
        <f>IF(CI18&lt;&gt;"",
    COUNTIFS(MATCH_INPUT!$K$30:$K$33,CI18),
0)</f>
        <v>1</v>
      </c>
      <c r="CN18" s="28">
        <f>IF(CI18&lt;&gt;"",
    COUNTIFS(MATCH_INPUT!$F$30:$F$33, CI18, MATCH_INPUT!$K$30:$K$33, "Draw") +
    COUNTIFS(MATCH_INPUT!$J$30:$J$33, CI18, MATCH_INPUT!$K$30:$K$33, "Draw"),
0)</f>
        <v>0</v>
      </c>
      <c r="CO18" s="28">
        <f>IF(CI18&lt;&gt;"",
    COUNTIFS(MATCH_INPUT!$F$30:$F$33, CI18, MATCH_INPUT!$K$30:$K$33, "&lt;&gt;"&amp;CI18, MATCH_INPUT!$K$30:$K$33, "&lt;&gt;Draw", MATCH_INPUT!$K$30:$K$33, "&lt;&gt;""") +
    COUNTIFS(MATCH_INPUT!$J$30:$J$33, CI18, MATCH_INPUT!$K$30:$K$33, "&lt;&gt;"&amp;CI18, MATCH_INPUT!$K$30:$K$33, "&lt;&gt;Draw", MATCH_INPUT!$K$30:$K$33, "&lt;&gt;"""),
0)</f>
        <v>1</v>
      </c>
      <c r="CP18" s="29" t="str">
        <f t="array" ref="CP18">IFERROR(
  INDEX(PLAYER_STAT!E$2:E64, 
    MATCH(1, 
      (PLAYER_STAT!A$2:A64 = MATCH_DATES!$A$9) * (PLAYER_STAT!D$2:D64 = $B18), 
    0)
  ), 
  ""
)
</f>
        <v/>
      </c>
      <c r="CQ18" s="29" t="str">
        <f t="array" ref="CQ18">IFERROR(
  INDEX(PLAYER_STAT!F$2:F64, 
    MATCH(1, 
      (PLAYER_STAT!A$2:A64 = MATCH_DATES!$A$9) * (PLAYER_STAT!D$2:D64 = $B18), 
    0)
  ), 
  ""
)
</f>
        <v/>
      </c>
      <c r="CR18" s="29" t="str">
        <f t="array" ref="CR18">IFERROR(
  INDEX(PLAYER_STAT!G$2:G64, 
    MATCH(1, 
      (PLAYER_STAT!A$2:A64 = MATCH_DATES!$A$9) * (PLAYER_STAT!D$2:D64 = $B18), 
    0)
  ), 
  ""
)
</f>
        <v/>
      </c>
      <c r="CS18" s="35">
        <f t="shared" si="38"/>
        <v>25</v>
      </c>
      <c r="CT18" s="35" t="str">
        <f t="shared" si="39"/>
        <v>↑</v>
      </c>
      <c r="CU18" s="36">
        <f t="shared" si="40"/>
        <v>23</v>
      </c>
      <c r="CV18" s="36" t="str">
        <f t="shared" ref="CV18:CW18" si="85">A18</f>
        <v>🍂🎃</v>
      </c>
      <c r="CW18" s="37" t="str">
        <f t="shared" si="85"/>
        <v>Javier</v>
      </c>
      <c r="CX18" s="37">
        <f t="shared" si="42"/>
        <v>39</v>
      </c>
      <c r="CY18" s="36">
        <f>SUM(
  IF(AND(MATCH_DATES!$A$2 &lt;= TODAY(), NOW() &gt;= MATCH_DATES!$A$2 + TIME(22, 0, 0)), E18, 0),
  IF(AND(MATCH_DATES!$A$3 &lt;= TODAY(), NOW() &gt;= MATCH_DATES!$A$3 + TIME(22, 0, 0)), Q18, 0),
  IF(AND(MATCH_DATES!$A$4 &lt;= TODAY(), NOW() &gt;= MATCH_DATES!$A$4 + TIME(22, 0, 0)), AC18, 0),
  IF(AND(MATCH_DATES!$A$5 &lt;= TODAY(), NOW() &gt;= MATCH_DATES!$A$5 + TIME(22, 0, 0)), AO18, 0),
  IF(AND(MATCH_DATES!$A$6 &lt;= TODAY(), NOW() &gt;= MATCH_DATES!$A$6 + TIME(22, 0, 0)), BA18, 0),
  IF(AND(MATCH_DATES!$A$7 &lt;= TODAY(), NOW() &gt;= MATCH_DATES!$A$7 + TIME(22, 0, 0)), BM18, 0),
  IF(AND(MATCH_DATES!$A$8 &lt;= TODAY(), NOW() &gt;= MATCH_DATES!$A$8 + TIME(22, 0, 0)), BY18, 0),
  IF(AND(MATCH_DATES!$A$9 &lt;= TODAY(), NOW() &gt;= MATCH_DATES!$A$9 + TIME(22, 0, 0)), CK18, 0)
)
</f>
        <v>16</v>
      </c>
      <c r="CZ18" s="37">
        <f t="shared" ref="CZ18:DA18" si="86">SUM(G18,S18,AE18,AQ18,BC18,BO18,CA18,CM18)</f>
        <v>5</v>
      </c>
      <c r="DA18" s="37">
        <f t="shared" si="86"/>
        <v>4</v>
      </c>
      <c r="DB18" s="37">
        <f>SUM(
  IF(AND(MATCH_DATES!$A$2 &lt;= TODAY(), NOW() &gt;= MATCH_DATES!$A$2 + TIME(22, 0, 0)), I18, 0),
  IF(AND(MATCH_DATES!$A$3 &lt;= TODAY(), NOW() &gt;= MATCH_DATES!$A$3 + TIME(22, 0, 0)), U18, 0),
  IF(AND(MATCH_DATES!$A$4 &lt;= TODAY(), NOW() &gt;= MATCH_DATES!$A$4 + TIME(22, 0, 0)), AG18, 0),
  IF(AND(MATCH_DATES!$A$5 &lt;= TODAY(), NOW() &gt;= MATCH_DATES!$A$5 + TIME(22, 0, 0)), AS18, 0),
  IF(AND(MATCH_DATES!$A$6 &lt;= TODAY(), NOW() &gt;= MATCH_DATES!$A$6 + TIME(22, 0, 0)), BE18, 0),
  IF(AND(MATCH_DATES!$A$7 &lt;= TODAY(), NOW() &gt;= MATCH_DATES!$A$7 + TIME(22, 0, 0)), BQ18, 0),
  IF(AND(MATCH_DATES!$A$8 &lt;= TODAY(), NOW() &gt;= MATCH_DATES!$A$8 + TIME(22, 0, 0)), CC18, 0),
  IF(AND(MATCH_DATES!$A$9 &lt;= TODAY(), NOW() &gt;= MATCH_DATES!$A$9 + TIME(22, 0, 0)), CO18, 0)
)</f>
        <v>7</v>
      </c>
      <c r="DC18" s="37">
        <f t="shared" si="44"/>
        <v>1</v>
      </c>
      <c r="DD18" s="37">
        <f t="shared" ref="DD18:DE18" si="87">SUM(K18,W18,AI18,AU18,BG18,BS18,CE18,CQ18)</f>
        <v>0</v>
      </c>
      <c r="DE18" s="37">
        <f t="shared" si="87"/>
        <v>0</v>
      </c>
    </row>
    <row r="19" ht="24.75" customHeight="1">
      <c r="A19" s="19" t="s">
        <v>210</v>
      </c>
      <c r="B19" s="38" t="s">
        <v>227</v>
      </c>
      <c r="C19" s="21" t="s">
        <v>213</v>
      </c>
      <c r="D19" s="22">
        <f t="shared" si="4"/>
        <v>4</v>
      </c>
      <c r="E19" s="22">
        <f t="shared" si="5"/>
        <v>2</v>
      </c>
      <c r="F19" s="22">
        <f t="shared" si="6"/>
        <v>2</v>
      </c>
      <c r="G19" s="22">
        <f>IF(C19&lt;&gt;"",
    COUNTIFS(MATCH_INPUT!$K$2:$K$5,C19),
0)</f>
        <v>1</v>
      </c>
      <c r="H19" s="22">
        <f>IF(C19&lt;&gt;"",
    COUNTIFS(MATCH_INPUT!$F$2:$F$5, C19, MATCH_INPUT!$K$2:$K$5, "Draw") +
    COUNTIFS(MATCH_INPUT!$J$2:$J$5, C19, MATCH_INPUT!$K$2:$K$5, "Draw"),
0)</f>
        <v>0</v>
      </c>
      <c r="I19" s="22">
        <f>IF(C19&lt;&gt;"",
    COUNTIFS(MATCH_INPUT!$F$2:$F$5, C19, MATCH_INPUT!$K$2:$K$5, "&lt;&gt;"&amp;C19, MATCH_INPUT!$K$2:$K$5, "&lt;&gt;Draw", MATCH_INPUT!$K$2:$K$5, "&lt;&gt;""") +
    COUNTIFS(MATCH_INPUT!$J$2:$J$5, C19, MATCH_INPUT!$K$2:$K$5, "&lt;&gt;"&amp;C19, MATCH_INPUT!$K$2:$K$5, "&lt;&gt;Draw", MATCH_INPUT!$K$2:$K$5, "&lt;&gt;"""),
0)</f>
        <v>1</v>
      </c>
      <c r="J19" s="23">
        <f t="array" ref="J19">IFERROR(
  INDEX(PLAYER_STAT!E$2:E64, 
    MATCH(1, 
      (PLAYER_STAT!A$2:A64 = MATCH_DATES!$A$2) * (PLAYER_STAT!D$2:D64 = $B19), 
    0)
  ), 
  ""
)
</f>
        <v>1</v>
      </c>
      <c r="K19" s="23">
        <f t="array" ref="K19">IFERROR(
  INDEX(PLAYER_STAT!F$2:F64, 
    MATCH(1, 
      (PLAYER_STAT!A$2:A64 = MATCH_DATES!$A$2) * (PLAYER_STAT!D$2:D64 = $B19), 
    0)
  ), 
  ""
)
</f>
        <v>0</v>
      </c>
      <c r="L19" s="24">
        <f t="array" ref="L19">IFERROR(
  INDEX(PLAYER_STAT!G$2:G64, 
    MATCH(1, 
      (PLAYER_STAT!A$2:A64 = MATCH_DATES!$A$2) * (PLAYER_STAT!D$2:D64 = $B19), 
    0)
  ), 
  ""
)
</f>
        <v>0</v>
      </c>
      <c r="M19" s="25">
        <f t="shared" si="7"/>
        <v>11</v>
      </c>
      <c r="N19" s="26" t="str">
        <f t="shared" si="8"/>
        <v>↓</v>
      </c>
      <c r="O19" s="27" t="s">
        <v>214</v>
      </c>
      <c r="P19" s="28">
        <f t="shared" si="9"/>
        <v>8</v>
      </c>
      <c r="Q19" s="28">
        <f t="shared" si="10"/>
        <v>2</v>
      </c>
      <c r="R19" s="28">
        <f t="shared" si="11"/>
        <v>2</v>
      </c>
      <c r="S19" s="28">
        <f>IF(O19&lt;&gt;"",
    COUNTIFS(MATCH_INPUT!$K$6:$K$9,O19),
0)</f>
        <v>0</v>
      </c>
      <c r="T19" s="28">
        <f>IF(O19&lt;&gt;"",
    COUNTIFS(MATCH_INPUT!$F$6:$F$9, O19, MATCH_INPUT!$K$6:$K$9, "Draw") +
    COUNTIFS(MATCH_INPUT!$J$6:$J$9, O19, MATCH_INPUT!$K$6:$K$9, "Draw"),
0)</f>
        <v>2</v>
      </c>
      <c r="U19" s="28">
        <f>IF(O19&lt;&gt;"",
    COUNTIFS(MATCH_INPUT!$F$6:$F$9, O19, MATCH_INPUT!$K$6:$K$9, "&lt;&gt;"&amp;O19, MATCH_INPUT!$K$6:$K$9, "&lt;&gt;Draw", MATCH_INPUT!$K$6:$K$9, "&lt;&gt;""") +
    COUNTIFS(MATCH_INPUT!$J$6:$J$9, O19, MATCH_INPUT!$K$6:$K$9, "&lt;&gt;"&amp;O19, MATCH_INPUT!$K$6:$K$9, "&lt;&gt;Draw", MATCH_INPUT!$K$6:$K$9, "&lt;&gt;"""),
0)</f>
        <v>0</v>
      </c>
      <c r="V19" s="29" t="str">
        <f t="array" ref="V19">IFERROR(
  INDEX(PLAYER_STAT!E$2:E64, 
    MATCH(1, 
      (PLAYER_STAT!A$2:A64 = MATCH_DATES!$A$3) * (PLAYER_STAT!D$2:D64 = $B19), 
    0)
  ), 
  ""
)
</f>
        <v/>
      </c>
      <c r="W19" s="29" t="str">
        <f t="array" ref="W19">IFERROR(
  INDEX(PLAYER_STAT!F$2:F64, 
    MATCH(1, 
      (PLAYER_STAT!A$2:A64 = MATCH_DATES!$A$3) * (PLAYER_STAT!D$2:D64 = $B19), 
    0)
  ), 
  ""
)
</f>
        <v/>
      </c>
      <c r="X19" s="30" t="str">
        <f t="array" ref="X19">IFERROR(
  INDEX(PLAYER_STAT!G$2:G64, 
    MATCH(1, 
      (PLAYER_STAT!A$2:A64 = MATCH_DATES!$A$3) * (PLAYER_STAT!D$2:D64 = $B19), 
    0)
  ), 
  ""
)
</f>
        <v/>
      </c>
      <c r="Y19" s="31">
        <f t="shared" si="12"/>
        <v>13</v>
      </c>
      <c r="Z19" s="32" t="str">
        <f t="shared" si="13"/>
        <v>↓</v>
      </c>
      <c r="AA19" s="21" t="s">
        <v>212</v>
      </c>
      <c r="AB19" s="33">
        <f t="shared" si="14"/>
        <v>14</v>
      </c>
      <c r="AC19" s="22">
        <f t="shared" si="15"/>
        <v>2</v>
      </c>
      <c r="AD19" s="22">
        <f t="shared" si="16"/>
        <v>4</v>
      </c>
      <c r="AE19" s="22">
        <f>IF(AA19&lt;&gt;"",
    COUNTIFS(MATCH_INPUT!$K$10:$K$13,AA19),
0)</f>
        <v>2</v>
      </c>
      <c r="AF19" s="22">
        <f>IF(AA19&lt;&gt;"",
    COUNTIFS(MATCH_INPUT!$F$10:$F$13, AA19, MATCH_INPUT!$K$10:$K$13, "Draw") +
    COUNTIFS(MATCH_INPUT!$J$10:$J$13, AA19, MATCH_INPUT!$K$10:$K$13, "Draw"),
0)</f>
        <v>0</v>
      </c>
      <c r="AG19" s="22">
        <f>IF(AA19&lt;&gt;"",
    COUNTIFS(MATCH_INPUT!$F$10:$F$13, AA19, MATCH_INPUT!$K$10:$K$13, "&lt;&gt;"&amp;AA19, MATCH_INPUT!$K$10:$K$13, "&lt;&gt;Draw", MATCH_INPUT!$K$10:$K$13, "&lt;&gt;""") +
    COUNTIFS(MATCH_INPUT!$J$10:$J$13, AA19, MATCH_INPUT!$K$10:$K$13, "&lt;&gt;"&amp;AA19, MATCH_INPUT!$K$10:$K$13, "&lt;&gt;Draw", MATCH_INPUT!$K$10:$K$13, "&lt;&gt;"""),
0)</f>
        <v>0</v>
      </c>
      <c r="AH19" s="23">
        <f t="array" ref="AH19">IFERROR(
  INDEX(PLAYER_STAT!E$2:E64, 
    MATCH(1, 
      (PLAYER_STAT!A$2:A64 = MATCH_DATES!$A$4) * (PLAYER_STAT!D$2:D64 = $B19), 
    0)
  ), 
  ""
)
</f>
        <v>1</v>
      </c>
      <c r="AI19" s="23">
        <f t="array" ref="AI19">IFERROR(
  INDEX(PLAYER_STAT!F$2:F64, 
    MATCH(1, 
      (PLAYER_STAT!A$2:A64 = MATCH_DATES!$A$4) * (PLAYER_STAT!D$2:D64 = $B19), 
    0)
  ), 
  ""
)
</f>
        <v>0</v>
      </c>
      <c r="AJ19" s="34">
        <f t="array" ref="AJ19">IFERROR(
  INDEX(PLAYER_STAT!G$2:G64, 
    MATCH(1, 
      (PLAYER_STAT!A$2:A64 = MATCH_DATES!$A$4) * (PLAYER_STAT!D$2:D64 = $B19), 
    0)
  ), 
  ""
)
</f>
        <v>0</v>
      </c>
      <c r="AK19" s="25">
        <f t="shared" si="17"/>
        <v>6</v>
      </c>
      <c r="AL19" s="26" t="str">
        <f t="shared" si="18"/>
        <v>↑</v>
      </c>
      <c r="AM19" s="27" t="s">
        <v>212</v>
      </c>
      <c r="AN19" s="28">
        <f t="shared" si="19"/>
        <v>20</v>
      </c>
      <c r="AO19" s="28">
        <f t="shared" si="20"/>
        <v>2</v>
      </c>
      <c r="AP19" s="28">
        <f t="shared" si="21"/>
        <v>4</v>
      </c>
      <c r="AQ19" s="28">
        <f>IF(AM19&lt;&gt;"",
    COUNTIFS(MATCH_INPUT!$K$14:$K$17,AM19),
0)</f>
        <v>2</v>
      </c>
      <c r="AR19" s="28">
        <f>IF(AM19&lt;&gt;"",
    COUNTIFS(MATCH_INPUT!$F$14:$F$17, AM19, MATCH_INPUT!$K$14:$K$17, "Draw") +
    COUNTIFS(MATCH_INPUT!$J$14:$J$17, AM19, MATCH_INPUT!$K$14:$K$17, "Draw"),
0)</f>
        <v>0</v>
      </c>
      <c r="AS19" s="28">
        <f>IF(AM19&lt;&gt;"",
    COUNTIFS(MATCH_INPUT!$F$14:$F$17, AM19, MATCH_INPUT!$K$14:$K$17, "&lt;&gt;"&amp;AM19, MATCH_INPUT!$K$14:$K$17, "&lt;&gt;Draw", MATCH_INPUT!$K$14:$K$17, "&lt;&gt;""") +
    COUNTIFS(MATCH_INPUT!$J$14:$J$17, AM19, MATCH_INPUT!$K$14:$K$17, "&lt;&gt;"&amp;AM19, MATCH_INPUT!$K$14:$K$17, "&lt;&gt;Draw", MATCH_INPUT!$K$14:$K$17, "&lt;&gt;"""),
0)</f>
        <v>0</v>
      </c>
      <c r="AT19" s="29" t="str">
        <f t="array" ref="AT19">IFERROR(
  INDEX(PLAYER_STAT!E$2:E64, 
    MATCH(1, 
      (PLAYER_STAT!A$2:A64 = MATCH_DATES!$A$5) * (PLAYER_STAT!D$2:D64 = $B19), 
    0)
  ), 
  ""
)
</f>
        <v/>
      </c>
      <c r="AU19" s="29" t="str">
        <f t="array" ref="AU19">IFERROR(
  INDEX(PLAYER_STAT!F$2:F64, 
    MATCH(1, 
      (PLAYER_STAT!A$2:A64 = MATCH_DATES!$A$5) * (PLAYER_STAT!D$2:D64 = $B19), 
    0)
  ), 
  ""
)
</f>
        <v/>
      </c>
      <c r="AV19" s="30" t="str">
        <f t="array" ref="AV19">IFERROR(
  INDEX(PLAYER_STAT!G$2:G64, 
    MATCH(1, 
      (PLAYER_STAT!A$2:A64 = MATCH_DATES!$A$5) * (PLAYER_STAT!D$2:D64 = $B19), 
    0)
  ), 
  ""
)
</f>
        <v/>
      </c>
      <c r="AW19" s="31">
        <f t="shared" si="22"/>
        <v>3</v>
      </c>
      <c r="AX19" s="32" t="str">
        <f t="shared" si="23"/>
        <v>↑</v>
      </c>
      <c r="AY19" s="21" t="s">
        <v>215</v>
      </c>
      <c r="AZ19" s="33">
        <f t="shared" si="24"/>
        <v>23</v>
      </c>
      <c r="BA19" s="22">
        <f t="shared" si="25"/>
        <v>2</v>
      </c>
      <c r="BB19" s="22">
        <f>SUM(BC19*2) + (BD19*1) + SUMIFS(MATCH_INPUT!$G$18:$G$21, MATCH_INPUT!$F$18:$F$21, AY19) + SUMIFS(MATCH_INPUT!$I$18:$I$21, MATCH_INPUT!$J$18:$J$21, AY19)
</f>
        <v>1</v>
      </c>
      <c r="BC19" s="22">
        <f>IF(AY19&lt;&gt;"",
    COUNTIFS(MATCH_INPUT!$K$18:$K$21,AY19),
0)</f>
        <v>0</v>
      </c>
      <c r="BD19" s="22">
        <f>IF(AY19&lt;&gt;"",
    COUNTIFS(MATCH_INPUT!$F$18:$F$21, AY19, MATCH_INPUT!$K$18:$K$21, "Draw") +
    COUNTIFS(MATCH_INPUT!$J$18:$J$21, AY19, MATCH_INPUT!$K$18:$K$21, "Draw"),
0)</f>
        <v>0</v>
      </c>
      <c r="BE19" s="22">
        <f>IF(AY19&lt;&gt;"",
    COUNTIFS(MATCH_INPUT!$F$18:$F$21, AY19, MATCH_INPUT!$K$18:$K$21, "&lt;&gt;"&amp;AY19, MATCH_INPUT!$K$18:$K$21, "&lt;&gt;Draw", MATCH_INPUT!$K$18:$K$21, "&lt;&gt;""") +
    COUNTIFS(MATCH_INPUT!$J$18:$J$21, AY19, MATCH_INPUT!$K$18:$K$21, "&lt;&gt;"&amp;AY19, MATCH_INPUT!$K$18:$K$21, "&lt;&gt;Draw", MATCH_INPUT!$K$18:$K$21, "&lt;&gt;"""),
0)</f>
        <v>2</v>
      </c>
      <c r="BF19" s="23">
        <f t="array" ref="BF19">IFERROR(
  INDEX(PLAYER_STAT!E$2:E64, 
    MATCH(1, 
      (PLAYER_STAT!A$2:A64 = MATCH_DATES!$A$6) * (PLAYER_STAT!D$2:D64 = $B19), 
    0)
  ), 
  ""
)
</f>
        <v>1</v>
      </c>
      <c r="BG19" s="23">
        <f t="array" ref="BG19">IFERROR(
  INDEX(PLAYER_STAT!F$2:F64, 
    MATCH(1, 
      (PLAYER_STAT!A$2:A64 = MATCH_DATES!$A$6) * (PLAYER_STAT!D$2:D64 = $B19), 
    0)
  ), 
  ""
)
</f>
        <v>0</v>
      </c>
      <c r="BH19" s="34">
        <f t="array" ref="BH19">IFERROR(
  INDEX(PLAYER_STAT!G$2:G64, 
    MATCH(1, 
      (PLAYER_STAT!A$2:A64 = MATCH_DATES!$A$6) * (PLAYER_STAT!D$2:D64 = $B19), 
    0)
  ), 
  ""
)
</f>
        <v>0</v>
      </c>
      <c r="BI19" s="25">
        <f t="shared" si="26"/>
        <v>14</v>
      </c>
      <c r="BJ19" s="26" t="str">
        <f t="shared" si="27"/>
        <v>↓</v>
      </c>
      <c r="BK19" s="27" t="s">
        <v>213</v>
      </c>
      <c r="BL19" s="28">
        <f t="shared" si="28"/>
        <v>27</v>
      </c>
      <c r="BM19" s="28">
        <f t="shared" si="29"/>
        <v>2</v>
      </c>
      <c r="BN19" s="28">
        <f>SUM(BO19*2) + (BP19*1) + SUMIFS(MATCH_INPUT!$G$22:$G$25, MATCH_INPUT!$F$22:$F$25, BK19) + SUMIFS(MATCH_INPUT!$I$22:$I$25, MATCH_INPUT!$J$22:$J$25, BK19)
</f>
        <v>2</v>
      </c>
      <c r="BO19" s="28">
        <f>IF(BK19&lt;&gt;"",
    COUNTIFS(MATCH_INPUT!$K$22:$K$25,BK19),
0)</f>
        <v>0</v>
      </c>
      <c r="BP19" s="28">
        <f>IF(BK19&lt;&gt;"",
    COUNTIFS(MATCH_INPUT!$F$22:$F$25, BK19, MATCH_INPUT!$K$22:$K$25, "Draw") +
    COUNTIFS(MATCH_INPUT!$J$22:$J$25, BK19, MATCH_INPUT!$K$22:$K$25, "Draw"),
0)</f>
        <v>1</v>
      </c>
      <c r="BQ19" s="28">
        <f>IF(BK19&lt;&gt;"",
    COUNTIFS(MATCH_INPUT!$F$22:$F$25, BK19, MATCH_INPUT!$K$22:$K$25, "&lt;&gt;"&amp;BK19, MATCH_INPUT!$K$22:$K$25, "&lt;&gt;Draw", MATCH_INPUT!$K$22:$K$25, "&lt;&gt;""") +
    COUNTIFS(MATCH_INPUT!$J$22:$J$25, BK19, MATCH_INPUT!$K$22:$K$25, "&lt;&gt;"&amp;BK19, MATCH_INPUT!$K$22:$K$25, "&lt;&gt;Draw", MATCH_INPUT!$K$22:$K$25, "&lt;&gt;"""),
0)</f>
        <v>1</v>
      </c>
      <c r="BR19" s="29" t="str">
        <f t="array" ref="BR19">IFERROR(
  INDEX(PLAYER_STAT!E$2:E64, 
    MATCH(1, 
      (PLAYER_STAT!A$2:A64 = MATCH_DATES!$A$7) * (PLAYER_STAT!D$2:D64 = $B19), 
    0)
  ), 
  ""
)
</f>
        <v/>
      </c>
      <c r="BS19" s="29" t="str">
        <f t="array" ref="BS19">IFERROR(
  INDEX(PLAYER_STAT!F$2:F64, 
    MATCH(1, 
      (PLAYER_STAT!A$2:A64 = MATCH_DATES!$A$7) * (PLAYER_STAT!D$2:D64 = $B19), 
    0)
  ), 
  ""
)
</f>
        <v/>
      </c>
      <c r="BT19" s="30" t="str">
        <f t="array" ref="BT19">IFERROR(
  INDEX(PLAYER_STAT!G$2:G64, 
    MATCH(1, 
      (PLAYER_STAT!A$2:A64 = MATCH_DATES!$A$7) * (PLAYER_STAT!D$2:D64 = $B19), 
    0)
  ), 
  ""
)
</f>
        <v/>
      </c>
      <c r="BU19" s="31">
        <f t="shared" si="30"/>
        <v>23</v>
      </c>
      <c r="BV19" s="32" t="str">
        <f t="shared" si="31"/>
        <v>↓</v>
      </c>
      <c r="BW19" s="21" t="s">
        <v>213</v>
      </c>
      <c r="BX19" s="33">
        <f t="shared" si="32"/>
        <v>43</v>
      </c>
      <c r="BY19" s="22">
        <f t="shared" si="33"/>
        <v>2</v>
      </c>
      <c r="BZ19" s="22">
        <f>SUM(CA19*2)+(CB19*1) + SUMIFS(MATCH_INPUT!$G$26:$G$29, MATCH_INPUT!$F$26:$F$29, BW19) + SUMIFS(MATCH_INPUT!$I$26:$I$29, MATCH_INPUT!$J$26:$J$29, BW19)
</f>
        <v>14</v>
      </c>
      <c r="CA19" s="22">
        <f>IF(BW19&lt;&gt;"",
    COUNTIFS(MATCH_INPUT!$K$26:$K$29,BW19),
0)</f>
        <v>2</v>
      </c>
      <c r="CB19" s="22">
        <f>IF(BW19&lt;&gt;"",
    COUNTIFS(MATCH_INPUT!$F$26:$F$29, BW19, MATCH_INPUT!$K$26:$K$29, "Draw") +
    COUNTIFS(MATCH_INPUT!$J$26:$J$29, BW19, MATCH_INPUT!$K$26:$K$29, "Draw"),
0)</f>
        <v>0</v>
      </c>
      <c r="CC19" s="22">
        <f>IF(BW19&lt;&gt;"",
    COUNTIFS(MATCH_INPUT!$F$26:$F$29, BW19, MATCH_INPUT!$K$26:$K$29, "&lt;&gt;"&amp;BW19, MATCH_INPUT!$K$26:$K$29, "&lt;&gt;Draw", MATCH_INPUT!$K$26:$K$29, "&lt;&gt;""") +
    COUNTIFS(MATCH_INPUT!$J$26:$J$29, BW19, MATCH_INPUT!$K$26:$K$29, "&lt;&gt;"&amp;BW19, MATCH_INPUT!$K$26:$K$29, "&lt;&gt;Draw", MATCH_INPUT!$K$26:$K$29, "&lt;&gt;"""),
0)</f>
        <v>0</v>
      </c>
      <c r="CD19" s="23">
        <f t="array" ref="CD19">IFERROR(
  INDEX(PLAYER_STAT!E$2:E64, 
    MATCH(1, 
      (PLAYER_STAT!A$2:A64 = MATCH_DATES!$A$8) * (PLAYER_STAT!D$2:D64 = $B19), 
    0)
  ), 
  ""
)
</f>
        <v>6</v>
      </c>
      <c r="CE19" s="23">
        <f t="array" ref="CE19">IFERROR(
  INDEX(PLAYER_STAT!F$2:F64, 
    MATCH(1, 
      (PLAYER_STAT!A$2:A64 = MATCH_DATES!$A$8) * (PLAYER_STAT!D$2:D64 = $B19), 
    0)
  ), 
  ""
)
</f>
        <v>0</v>
      </c>
      <c r="CF19" s="34">
        <f t="array" ref="CF19">IFERROR(
  INDEX(PLAYER_STAT!G$2:G64, 
    MATCH(1, 
      (PLAYER_STAT!A$2:A64 = MATCH_DATES!$A$8) * (PLAYER_STAT!D$2:D64 = $B19), 
    0)
  ), 
  ""
)
</f>
        <v>0</v>
      </c>
      <c r="CG19" s="25">
        <f t="shared" si="34"/>
        <v>10</v>
      </c>
      <c r="CH19" s="26" t="str">
        <f t="shared" si="35"/>
        <v>↑</v>
      </c>
      <c r="CI19" s="27" t="s">
        <v>213</v>
      </c>
      <c r="CJ19" s="28">
        <f t="shared" si="36"/>
        <v>53</v>
      </c>
      <c r="CK19" s="28">
        <f t="shared" si="37"/>
        <v>2</v>
      </c>
      <c r="CL19" s="28">
        <f>SUM(CM19*2)+(CN19*1) + SUMIFS(MATCH_INPUT!$G$30:$G$33, MATCH_INPUT!$F$30:$F$33, CI19) + SUMIFS(MATCH_INPUT!$I$30:$I$33, MATCH_INPUT!$J$30:$J$33, CI19)
</f>
        <v>8</v>
      </c>
      <c r="CM19" s="28">
        <f>IF(CI19&lt;&gt;"",
    COUNTIFS(MATCH_INPUT!$K$30:$K$33,CI19),
0)</f>
        <v>1</v>
      </c>
      <c r="CN19" s="28">
        <f>IF(CI19&lt;&gt;"",
    COUNTIFS(MATCH_INPUT!$F$30:$F$33, CI19, MATCH_INPUT!$K$30:$K$33, "Draw") +
    COUNTIFS(MATCH_INPUT!$J$30:$J$33, CI19, MATCH_INPUT!$K$30:$K$33, "Draw"),
0)</f>
        <v>0</v>
      </c>
      <c r="CO19" s="28">
        <f>IF(CI19&lt;&gt;"",
    COUNTIFS(MATCH_INPUT!$F$30:$F$33, CI19, MATCH_INPUT!$K$30:$K$33, "&lt;&gt;"&amp;CI19, MATCH_INPUT!$K$30:$K$33, "&lt;&gt;Draw", MATCH_INPUT!$K$30:$K$33, "&lt;&gt;""") +
    COUNTIFS(MATCH_INPUT!$J$30:$J$33, CI19, MATCH_INPUT!$K$30:$K$33, "&lt;&gt;"&amp;CI19, MATCH_INPUT!$K$30:$K$33, "&lt;&gt;Draw", MATCH_INPUT!$K$30:$K$33, "&lt;&gt;"""),
0)</f>
        <v>1</v>
      </c>
      <c r="CP19" s="29" t="str">
        <f t="array" ref="CP19">IFERROR(
  INDEX(PLAYER_STAT!E$2:E64, 
    MATCH(1, 
      (PLAYER_STAT!A$2:A64 = MATCH_DATES!$A$9) * (PLAYER_STAT!D$2:D64 = $B19), 
    0)
  ), 
  ""
)
</f>
        <v/>
      </c>
      <c r="CQ19" s="29" t="str">
        <f t="array" ref="CQ19">IFERROR(
  INDEX(PLAYER_STAT!F$2:F64, 
    MATCH(1, 
      (PLAYER_STAT!A$2:A64 = MATCH_DATES!$A$9) * (PLAYER_STAT!D$2:D64 = $B19), 
    0)
  ), 
  ""
)
</f>
        <v/>
      </c>
      <c r="CR19" s="29" t="str">
        <f t="array" ref="CR19">IFERROR(
  INDEX(PLAYER_STAT!G$2:G64, 
    MATCH(1, 
      (PLAYER_STAT!A$2:A64 = MATCH_DATES!$A$9) * (PLAYER_STAT!D$2:D64 = $B19), 
    0)
  ), 
  ""
)
</f>
        <v/>
      </c>
      <c r="CS19" s="35">
        <f t="shared" si="38"/>
        <v>9</v>
      </c>
      <c r="CT19" s="35" t="str">
        <f t="shared" si="39"/>
        <v>↑</v>
      </c>
      <c r="CU19" s="36">
        <f t="shared" si="40"/>
        <v>37</v>
      </c>
      <c r="CV19" s="36" t="str">
        <f t="shared" ref="CV19:CW19" si="88">A19</f>
        <v>🍂🎃</v>
      </c>
      <c r="CW19" s="37" t="str">
        <f t="shared" si="88"/>
        <v>Jesús 👬 Rodrigo</v>
      </c>
      <c r="CX19" s="37">
        <f t="shared" si="42"/>
        <v>53</v>
      </c>
      <c r="CY19" s="36">
        <f>SUM(
  IF(AND(MATCH_DATES!$A$2 &lt;= TODAY(), NOW() &gt;= MATCH_DATES!$A$2 + TIME(22, 0, 0)), E19, 0),
  IF(AND(MATCH_DATES!$A$3 &lt;= TODAY(), NOW() &gt;= MATCH_DATES!$A$3 + TIME(22, 0, 0)), Q19, 0),
  IF(AND(MATCH_DATES!$A$4 &lt;= TODAY(), NOW() &gt;= MATCH_DATES!$A$4 + TIME(22, 0, 0)), AC19, 0),
  IF(AND(MATCH_DATES!$A$5 &lt;= TODAY(), NOW() &gt;= MATCH_DATES!$A$5 + TIME(22, 0, 0)), AO19, 0),
  IF(AND(MATCH_DATES!$A$6 &lt;= TODAY(), NOW() &gt;= MATCH_DATES!$A$6 + TIME(22, 0, 0)), BA19, 0),
  IF(AND(MATCH_DATES!$A$7 &lt;= TODAY(), NOW() &gt;= MATCH_DATES!$A$7 + TIME(22, 0, 0)), BM19, 0),
  IF(AND(MATCH_DATES!$A$8 &lt;= TODAY(), NOW() &gt;= MATCH_DATES!$A$8 + TIME(22, 0, 0)), BY19, 0),
  IF(AND(MATCH_DATES!$A$9 &lt;= TODAY(), NOW() &gt;= MATCH_DATES!$A$9 + TIME(22, 0, 0)), CK19, 0)
)
</f>
        <v>16</v>
      </c>
      <c r="CZ19" s="37">
        <f t="shared" ref="CZ19:DA19" si="89">SUM(G19,S19,AE19,AQ19,BC19,BO19,CA19,CM19)</f>
        <v>8</v>
      </c>
      <c r="DA19" s="37">
        <f t="shared" si="89"/>
        <v>3</v>
      </c>
      <c r="DB19" s="37">
        <f>SUM(
  IF(AND(MATCH_DATES!$A$2 &lt;= TODAY(), NOW() &gt;= MATCH_DATES!$A$2 + TIME(22, 0, 0)), I19, 0),
  IF(AND(MATCH_DATES!$A$3 &lt;= TODAY(), NOW() &gt;= MATCH_DATES!$A$3 + TIME(22, 0, 0)), U19, 0),
  IF(AND(MATCH_DATES!$A$4 &lt;= TODAY(), NOW() &gt;= MATCH_DATES!$A$4 + TIME(22, 0, 0)), AG19, 0),
  IF(AND(MATCH_DATES!$A$5 &lt;= TODAY(), NOW() &gt;= MATCH_DATES!$A$5 + TIME(22, 0, 0)), AS19, 0),
  IF(AND(MATCH_DATES!$A$6 &lt;= TODAY(), NOW() &gt;= MATCH_DATES!$A$6 + TIME(22, 0, 0)), BE19, 0),
  IF(AND(MATCH_DATES!$A$7 &lt;= TODAY(), NOW() &gt;= MATCH_DATES!$A$7 + TIME(22, 0, 0)), BQ19, 0),
  IF(AND(MATCH_DATES!$A$8 &lt;= TODAY(), NOW() &gt;= MATCH_DATES!$A$8 + TIME(22, 0, 0)), CC19, 0),
  IF(AND(MATCH_DATES!$A$9 &lt;= TODAY(), NOW() &gt;= MATCH_DATES!$A$9 + TIME(22, 0, 0)), CO19, 0)
)</f>
        <v>5</v>
      </c>
      <c r="DC19" s="37">
        <f t="shared" si="44"/>
        <v>9</v>
      </c>
      <c r="DD19" s="37">
        <f t="shared" ref="DD19:DE19" si="90">SUM(K19,W19,AI19,AU19,BG19,BS19,CE19,CQ19)</f>
        <v>0</v>
      </c>
      <c r="DE19" s="37">
        <f t="shared" si="90"/>
        <v>0</v>
      </c>
    </row>
    <row r="20" ht="24.75" customHeight="1">
      <c r="A20" s="19" t="s">
        <v>210</v>
      </c>
      <c r="B20" s="20" t="s">
        <v>228</v>
      </c>
      <c r="C20" s="21" t="s">
        <v>215</v>
      </c>
      <c r="D20" s="22">
        <f t="shared" si="4"/>
        <v>2</v>
      </c>
      <c r="E20" s="22">
        <f t="shared" si="5"/>
        <v>2</v>
      </c>
      <c r="F20" s="22">
        <f t="shared" si="6"/>
        <v>0</v>
      </c>
      <c r="G20" s="22">
        <f>IF(C20&lt;&gt;"",
    COUNTIFS(MATCH_INPUT!$K$2:$K$5,C20),
0)</f>
        <v>0</v>
      </c>
      <c r="H20" s="22">
        <f>IF(C20&lt;&gt;"",
    COUNTIFS(MATCH_INPUT!$F$2:$F$5, C20, MATCH_INPUT!$K$2:$K$5, "Draw") +
    COUNTIFS(MATCH_INPUT!$J$2:$J$5, C20, MATCH_INPUT!$K$2:$K$5, "Draw"),
0)</f>
        <v>0</v>
      </c>
      <c r="I20" s="22">
        <f>IF(C20&lt;&gt;"",
    COUNTIFS(MATCH_INPUT!$F$2:$F$5, C20, MATCH_INPUT!$K$2:$K$5, "&lt;&gt;"&amp;C20, MATCH_INPUT!$K$2:$K$5, "&lt;&gt;Draw", MATCH_INPUT!$K$2:$K$5, "&lt;&gt;""") +
    COUNTIFS(MATCH_INPUT!$J$2:$J$5, C20, MATCH_INPUT!$K$2:$K$5, "&lt;&gt;"&amp;C20, MATCH_INPUT!$K$2:$K$5, "&lt;&gt;Draw", MATCH_INPUT!$K$2:$K$5, "&lt;&gt;"""),
0)</f>
        <v>2</v>
      </c>
      <c r="J20" s="23" t="str">
        <f t="array" ref="J20">IFERROR(
  INDEX(PLAYER_STAT!E$2:E64, 
    MATCH(1, 
      (PLAYER_STAT!A$2:A64 = MATCH_DATES!$A$2) * (PLAYER_STAT!D$2:D64 = $B20), 
    0)
  ), 
  ""
)
</f>
        <v/>
      </c>
      <c r="K20" s="23" t="str">
        <f t="array" ref="K20">IFERROR(
  INDEX(PLAYER_STAT!F$2:F64, 
    MATCH(1, 
      (PLAYER_STAT!A$2:A64 = MATCH_DATES!$A$2) * (PLAYER_STAT!D$2:D64 = $B20), 
    0)
  ), 
  ""
)
</f>
        <v/>
      </c>
      <c r="L20" s="24" t="str">
        <f t="array" ref="L20">IFERROR(
  INDEX(PLAYER_STAT!G$2:G64, 
    MATCH(1, 
      (PLAYER_STAT!A$2:A64 = MATCH_DATES!$A$2) * (PLAYER_STAT!D$2:D64 = $B20), 
    0)
  ), 
  ""
)
</f>
        <v/>
      </c>
      <c r="M20" s="25">
        <f t="shared" si="7"/>
        <v>26</v>
      </c>
      <c r="N20" s="26" t="str">
        <f t="shared" si="8"/>
        <v>↓</v>
      </c>
      <c r="O20" s="27" t="s">
        <v>214</v>
      </c>
      <c r="P20" s="28">
        <f t="shared" si="9"/>
        <v>6</v>
      </c>
      <c r="Q20" s="28">
        <f t="shared" si="10"/>
        <v>2</v>
      </c>
      <c r="R20" s="28">
        <f t="shared" si="11"/>
        <v>2</v>
      </c>
      <c r="S20" s="28">
        <f>IF(O20&lt;&gt;"",
    COUNTIFS(MATCH_INPUT!$K$6:$K$9,O20),
0)</f>
        <v>0</v>
      </c>
      <c r="T20" s="28">
        <f>IF(O20&lt;&gt;"",
    COUNTIFS(MATCH_INPUT!$F$6:$F$9, O20, MATCH_INPUT!$K$6:$K$9, "Draw") +
    COUNTIFS(MATCH_INPUT!$J$6:$J$9, O20, MATCH_INPUT!$K$6:$K$9, "Draw"),
0)</f>
        <v>2</v>
      </c>
      <c r="U20" s="28">
        <f>IF(O20&lt;&gt;"",
    COUNTIFS(MATCH_INPUT!$F$6:$F$9, O20, MATCH_INPUT!$K$6:$K$9, "&lt;&gt;"&amp;O20, MATCH_INPUT!$K$6:$K$9, "&lt;&gt;Draw", MATCH_INPUT!$K$6:$K$9, "&lt;&gt;""") +
    COUNTIFS(MATCH_INPUT!$J$6:$J$9, O20, MATCH_INPUT!$K$6:$K$9, "&lt;&gt;"&amp;O20, MATCH_INPUT!$K$6:$K$9, "&lt;&gt;Draw", MATCH_INPUT!$K$6:$K$9, "&lt;&gt;"""),
0)</f>
        <v>0</v>
      </c>
      <c r="V20" s="29" t="str">
        <f t="array" ref="V20">IFERROR(
  INDEX(PLAYER_STAT!E$2:E64, 
    MATCH(1, 
      (PLAYER_STAT!A$2:A64 = MATCH_DATES!$A$3) * (PLAYER_STAT!D$2:D64 = $B20), 
    0)
  ), 
  ""
)
</f>
        <v/>
      </c>
      <c r="W20" s="29" t="str">
        <f t="array" ref="W20">IFERROR(
  INDEX(PLAYER_STAT!F$2:F64, 
    MATCH(1, 
      (PLAYER_STAT!A$2:A64 = MATCH_DATES!$A$3) * (PLAYER_STAT!D$2:D64 = $B20), 
    0)
  ), 
  ""
)
</f>
        <v/>
      </c>
      <c r="X20" s="30" t="str">
        <f t="array" ref="X20">IFERROR(
  INDEX(PLAYER_STAT!G$2:G64, 
    MATCH(1, 
      (PLAYER_STAT!A$2:A64 = MATCH_DATES!$A$3) * (PLAYER_STAT!D$2:D64 = $B20), 
    0)
  ), 
  ""
)
</f>
        <v/>
      </c>
      <c r="Y20" s="31">
        <f t="shared" si="12"/>
        <v>28</v>
      </c>
      <c r="Z20" s="32" t="str">
        <f t="shared" si="13"/>
        <v>↓</v>
      </c>
      <c r="AA20" s="21" t="s">
        <v>213</v>
      </c>
      <c r="AB20" s="33">
        <f t="shared" si="14"/>
        <v>10</v>
      </c>
      <c r="AC20" s="22">
        <f t="shared" si="15"/>
        <v>2</v>
      </c>
      <c r="AD20" s="22">
        <f t="shared" si="16"/>
        <v>2</v>
      </c>
      <c r="AE20" s="22">
        <f>IF(AA20&lt;&gt;"",
    COUNTIFS(MATCH_INPUT!$K$10:$K$13,AA20),
0)</f>
        <v>1</v>
      </c>
      <c r="AF20" s="22">
        <f>IF(AA20&lt;&gt;"",
    COUNTIFS(MATCH_INPUT!$F$10:$F$13, AA20, MATCH_INPUT!$K$10:$K$13, "Draw") +
    COUNTIFS(MATCH_INPUT!$J$10:$J$13, AA20, MATCH_INPUT!$K$10:$K$13, "Draw"),
0)</f>
        <v>0</v>
      </c>
      <c r="AG20" s="22">
        <f>IF(AA20&lt;&gt;"",
    COUNTIFS(MATCH_INPUT!$F$10:$F$13, AA20, MATCH_INPUT!$K$10:$K$13, "&lt;&gt;"&amp;AA20, MATCH_INPUT!$K$10:$K$13, "&lt;&gt;Draw", MATCH_INPUT!$K$10:$K$13, "&lt;&gt;""") +
    COUNTIFS(MATCH_INPUT!$J$10:$J$13, AA20, MATCH_INPUT!$K$10:$K$13, "&lt;&gt;"&amp;AA20, MATCH_INPUT!$K$10:$K$13, "&lt;&gt;Draw", MATCH_INPUT!$K$10:$K$13, "&lt;&gt;"""),
0)</f>
        <v>1</v>
      </c>
      <c r="AH20" s="23">
        <f t="array" ref="AH20">IFERROR(
  INDEX(PLAYER_STAT!E$2:E64, 
    MATCH(1, 
      (PLAYER_STAT!A$2:A64 = MATCH_DATES!$A$4) * (PLAYER_STAT!D$2:D64 = $B20), 
    0)
  ), 
  ""
)
</f>
        <v>1</v>
      </c>
      <c r="AI20" s="23">
        <f t="array" ref="AI20">IFERROR(
  INDEX(PLAYER_STAT!F$2:F64, 
    MATCH(1, 
      (PLAYER_STAT!A$2:A64 = MATCH_DATES!$A$4) * (PLAYER_STAT!D$2:D64 = $B20), 
    0)
  ), 
  ""
)
</f>
        <v>0</v>
      </c>
      <c r="AJ20" s="34">
        <f t="array" ref="AJ20">IFERROR(
  INDEX(PLAYER_STAT!G$2:G64, 
    MATCH(1, 
      (PLAYER_STAT!A$2:A64 = MATCH_DATES!$A$4) * (PLAYER_STAT!D$2:D64 = $B20), 
    0)
  ), 
  ""
)
</f>
        <v>0</v>
      </c>
      <c r="AK20" s="25">
        <f t="shared" si="17"/>
        <v>25</v>
      </c>
      <c r="AL20" s="26" t="str">
        <f t="shared" si="18"/>
        <v>↑</v>
      </c>
      <c r="AM20" s="27" t="s">
        <v>215</v>
      </c>
      <c r="AN20" s="28">
        <f t="shared" si="19"/>
        <v>14</v>
      </c>
      <c r="AO20" s="28">
        <f t="shared" si="20"/>
        <v>2</v>
      </c>
      <c r="AP20" s="28">
        <f t="shared" si="21"/>
        <v>2</v>
      </c>
      <c r="AQ20" s="28">
        <f>IF(AM20&lt;&gt;"",
    COUNTIFS(MATCH_INPUT!$K$14:$K$17,AM20),
0)</f>
        <v>1</v>
      </c>
      <c r="AR20" s="28">
        <f>IF(AM20&lt;&gt;"",
    COUNTIFS(MATCH_INPUT!$F$14:$F$17, AM20, MATCH_INPUT!$K$14:$K$17, "Draw") +
    COUNTIFS(MATCH_INPUT!$J$14:$J$17, AM20, MATCH_INPUT!$K$14:$K$17, "Draw"),
0)</f>
        <v>0</v>
      </c>
      <c r="AS20" s="28">
        <f>IF(AM20&lt;&gt;"",
    COUNTIFS(MATCH_INPUT!$F$14:$F$17, AM20, MATCH_INPUT!$K$14:$K$17, "&lt;&gt;"&amp;AM20, MATCH_INPUT!$K$14:$K$17, "&lt;&gt;Draw", MATCH_INPUT!$K$14:$K$17, "&lt;&gt;""") +
    COUNTIFS(MATCH_INPUT!$J$14:$J$17, AM20, MATCH_INPUT!$K$14:$K$17, "&lt;&gt;"&amp;AM20, MATCH_INPUT!$K$14:$K$17, "&lt;&gt;Draw", MATCH_INPUT!$K$14:$K$17, "&lt;&gt;"""),
0)</f>
        <v>1</v>
      </c>
      <c r="AT20" s="29" t="str">
        <f t="array" ref="AT20">IFERROR(
  INDEX(PLAYER_STAT!E$2:E64, 
    MATCH(1, 
      (PLAYER_STAT!A$2:A64 = MATCH_DATES!$A$5) * (PLAYER_STAT!D$2:D64 = $B20), 
    0)
  ), 
  ""
)
</f>
        <v/>
      </c>
      <c r="AU20" s="29" t="str">
        <f t="array" ref="AU20">IFERROR(
  INDEX(PLAYER_STAT!F$2:F64, 
    MATCH(1, 
      (PLAYER_STAT!A$2:A64 = MATCH_DATES!$A$5) * (PLAYER_STAT!D$2:D64 = $B20), 
    0)
  ), 
  ""
)
</f>
        <v/>
      </c>
      <c r="AV20" s="30" t="str">
        <f t="array" ref="AV20">IFERROR(
  INDEX(PLAYER_STAT!G$2:G64, 
    MATCH(1, 
      (PLAYER_STAT!A$2:A64 = MATCH_DATES!$A$5) * (PLAYER_STAT!D$2:D64 = $B20), 
    0)
  ), 
  ""
)
</f>
        <v/>
      </c>
      <c r="AW20" s="31">
        <f t="shared" si="22"/>
        <v>22</v>
      </c>
      <c r="AX20" s="32" t="str">
        <f t="shared" si="23"/>
        <v>↑</v>
      </c>
      <c r="AY20" s="21" t="s">
        <v>214</v>
      </c>
      <c r="AZ20" s="33">
        <f t="shared" si="24"/>
        <v>25</v>
      </c>
      <c r="BA20" s="22">
        <f t="shared" si="25"/>
        <v>2</v>
      </c>
      <c r="BB20" s="22">
        <f>SUM(BC20*2) + (BD20*1) + SUMIFS(MATCH_INPUT!$G$18:$G$21, MATCH_INPUT!$F$18:$F$21, AY20) + SUMIFS(MATCH_INPUT!$I$18:$I$21, MATCH_INPUT!$J$18:$J$21, AY20)
</f>
        <v>9</v>
      </c>
      <c r="BC20" s="22">
        <f>IF(AY20&lt;&gt;"",
    COUNTIFS(MATCH_INPUT!$K$18:$K$21,AY20),
0)</f>
        <v>1</v>
      </c>
      <c r="BD20" s="22">
        <f>IF(AY20&lt;&gt;"",
    COUNTIFS(MATCH_INPUT!$F$18:$F$21, AY20, MATCH_INPUT!$K$18:$K$21, "Draw") +
    COUNTIFS(MATCH_INPUT!$J$18:$J$21, AY20, MATCH_INPUT!$K$18:$K$21, "Draw"),
0)</f>
        <v>1</v>
      </c>
      <c r="BE20" s="22">
        <f>IF(AY20&lt;&gt;"",
    COUNTIFS(MATCH_INPUT!$F$18:$F$21, AY20, MATCH_INPUT!$K$18:$K$21, "&lt;&gt;"&amp;AY20, MATCH_INPUT!$K$18:$K$21, "&lt;&gt;Draw", MATCH_INPUT!$K$18:$K$21, "&lt;&gt;""") +
    COUNTIFS(MATCH_INPUT!$J$18:$J$21, AY20, MATCH_INPUT!$K$18:$K$21, "&lt;&gt;"&amp;AY20, MATCH_INPUT!$K$18:$K$21, "&lt;&gt;Draw", MATCH_INPUT!$K$18:$K$21, "&lt;&gt;"""),
0)</f>
        <v>0</v>
      </c>
      <c r="BF20" s="23">
        <f t="array" ref="BF20">IFERROR(
  INDEX(PLAYER_STAT!E$2:E64, 
    MATCH(1, 
      (PLAYER_STAT!A$2:A64 = MATCH_DATES!$A$6) * (PLAYER_STAT!D$2:D64 = $B20), 
    0)
  ), 
  ""
)
</f>
        <v>1</v>
      </c>
      <c r="BG20" s="23">
        <f t="array" ref="BG20">IFERROR(
  INDEX(PLAYER_STAT!F$2:F64, 
    MATCH(1, 
      (PLAYER_STAT!A$2:A64 = MATCH_DATES!$A$6) * (PLAYER_STAT!D$2:D64 = $B20), 
    0)
  ), 
  ""
)
</f>
        <v>0</v>
      </c>
      <c r="BH20" s="34">
        <f t="array" ref="BH20">IFERROR(
  INDEX(PLAYER_STAT!G$2:G64, 
    MATCH(1, 
      (PLAYER_STAT!A$2:A64 = MATCH_DATES!$A$6) * (PLAYER_STAT!D$2:D64 = $B20), 
    0)
  ), 
  ""
)
</f>
        <v>0</v>
      </c>
      <c r="BI20" s="25">
        <f t="shared" si="26"/>
        <v>10</v>
      </c>
      <c r="BJ20" s="26" t="str">
        <f t="shared" si="27"/>
        <v>↑</v>
      </c>
      <c r="BK20" s="27" t="s">
        <v>214</v>
      </c>
      <c r="BL20" s="28">
        <f t="shared" si="28"/>
        <v>34</v>
      </c>
      <c r="BM20" s="28">
        <f t="shared" si="29"/>
        <v>2</v>
      </c>
      <c r="BN20" s="28">
        <f>SUM(BO20*2) + (BP20*1) + SUMIFS(MATCH_INPUT!$G$22:$G$25, MATCH_INPUT!$F$22:$F$25, BK20) + SUMIFS(MATCH_INPUT!$I$22:$I$25, MATCH_INPUT!$J$22:$J$25, BK20)
</f>
        <v>7</v>
      </c>
      <c r="BO20" s="28">
        <f>IF(BK20&lt;&gt;"",
    COUNTIFS(MATCH_INPUT!$K$22:$K$25,BK20),
0)</f>
        <v>1</v>
      </c>
      <c r="BP20" s="28">
        <f>IF(BK20&lt;&gt;"",
    COUNTIFS(MATCH_INPUT!$F$22:$F$25, BK20, MATCH_INPUT!$K$22:$K$25, "Draw") +
    COUNTIFS(MATCH_INPUT!$J$22:$J$25, BK20, MATCH_INPUT!$K$22:$K$25, "Draw"),
0)</f>
        <v>1</v>
      </c>
      <c r="BQ20" s="28">
        <f>IF(BK20&lt;&gt;"",
    COUNTIFS(MATCH_INPUT!$F$22:$F$25, BK20, MATCH_INPUT!$K$22:$K$25, "&lt;&gt;"&amp;BK20, MATCH_INPUT!$K$22:$K$25, "&lt;&gt;Draw", MATCH_INPUT!$K$22:$K$25, "&lt;&gt;""") +
    COUNTIFS(MATCH_INPUT!$J$22:$J$25, BK20, MATCH_INPUT!$K$22:$K$25, "&lt;&gt;"&amp;BK20, MATCH_INPUT!$K$22:$K$25, "&lt;&gt;Draw", MATCH_INPUT!$K$22:$K$25, "&lt;&gt;"""),
0)</f>
        <v>0</v>
      </c>
      <c r="BR20" s="29">
        <f t="array" ref="BR20">IFERROR(
  INDEX(PLAYER_STAT!E$2:E64, 
    MATCH(1, 
      (PLAYER_STAT!A$2:A64 = MATCH_DATES!$A$7) * (PLAYER_STAT!D$2:D64 = $B20), 
    0)
  ), 
  ""
)
</f>
        <v>1</v>
      </c>
      <c r="BS20" s="29">
        <f t="array" ref="BS20">IFERROR(
  INDEX(PLAYER_STAT!F$2:F64, 
    MATCH(1, 
      (PLAYER_STAT!A$2:A64 = MATCH_DATES!$A$7) * (PLAYER_STAT!D$2:D64 = $B20), 
    0)
  ), 
  ""
)
</f>
        <v>0</v>
      </c>
      <c r="BT20" s="30">
        <f t="array" ref="BT20">IFERROR(
  INDEX(PLAYER_STAT!G$2:G64, 
    MATCH(1, 
      (PLAYER_STAT!A$2:A64 = MATCH_DATES!$A$7) * (PLAYER_STAT!D$2:D64 = $B20), 
    0)
  ), 
  ""
)
</f>
        <v>0</v>
      </c>
      <c r="BU20" s="31">
        <f t="shared" si="30"/>
        <v>10</v>
      </c>
      <c r="BV20" s="32" t="str">
        <f t="shared" si="31"/>
        <v>=</v>
      </c>
      <c r="BW20" s="21" t="s">
        <v>213</v>
      </c>
      <c r="BX20" s="33">
        <f t="shared" si="32"/>
        <v>50</v>
      </c>
      <c r="BY20" s="22">
        <f t="shared" si="33"/>
        <v>2</v>
      </c>
      <c r="BZ20" s="22">
        <f>SUM(CA20*2)+(CB20*1) + SUMIFS(MATCH_INPUT!$G$26:$G$29, MATCH_INPUT!$F$26:$F$29, BW20) + SUMIFS(MATCH_INPUT!$I$26:$I$29, MATCH_INPUT!$J$26:$J$29, BW20)
</f>
        <v>14</v>
      </c>
      <c r="CA20" s="22">
        <f>IF(BW20&lt;&gt;"",
    COUNTIFS(MATCH_INPUT!$K$26:$K$29,BW20),
0)</f>
        <v>2</v>
      </c>
      <c r="CB20" s="22">
        <f>IF(BW20&lt;&gt;"",
    COUNTIFS(MATCH_INPUT!$F$26:$F$29, BW20, MATCH_INPUT!$K$26:$K$29, "Draw") +
    COUNTIFS(MATCH_INPUT!$J$26:$J$29, BW20, MATCH_INPUT!$K$26:$K$29, "Draw"),
0)</f>
        <v>0</v>
      </c>
      <c r="CC20" s="22">
        <f>IF(BW20&lt;&gt;"",
    COUNTIFS(MATCH_INPUT!$F$26:$F$29, BW20, MATCH_INPUT!$K$26:$K$29, "&lt;&gt;"&amp;BW20, MATCH_INPUT!$K$26:$K$29, "&lt;&gt;Draw", MATCH_INPUT!$K$26:$K$29, "&lt;&gt;""") +
    COUNTIFS(MATCH_INPUT!$J$26:$J$29, BW20, MATCH_INPUT!$K$26:$K$29, "&lt;&gt;"&amp;BW20, MATCH_INPUT!$K$26:$K$29, "&lt;&gt;Draw", MATCH_INPUT!$K$26:$K$29, "&lt;&gt;"""),
0)</f>
        <v>0</v>
      </c>
      <c r="CD20" s="23">
        <f t="array" ref="CD20">IFERROR(
  INDEX(PLAYER_STAT!E$2:E64, 
    MATCH(1, 
      (PLAYER_STAT!A$2:A64 = MATCH_DATES!$A$8) * (PLAYER_STAT!D$2:D64 = $B20), 
    0)
  ), 
  ""
)
</f>
        <v>2</v>
      </c>
      <c r="CE20" s="23">
        <f t="array" ref="CE20">IFERROR(
  INDEX(PLAYER_STAT!F$2:F64, 
    MATCH(1, 
      (PLAYER_STAT!A$2:A64 = MATCH_DATES!$A$8) * (PLAYER_STAT!D$2:D64 = $B20), 
    0)
  ), 
  ""
)
</f>
        <v>0</v>
      </c>
      <c r="CF20" s="34">
        <f t="array" ref="CF20">IFERROR(
  INDEX(PLAYER_STAT!G$2:G64, 
    MATCH(1, 
      (PLAYER_STAT!A$2:A64 = MATCH_DATES!$A$8) * (PLAYER_STAT!D$2:D64 = $B20), 
    0)
  ), 
  ""
)
</f>
        <v>0</v>
      </c>
      <c r="CG20" s="25">
        <f t="shared" si="34"/>
        <v>5</v>
      </c>
      <c r="CH20" s="26" t="str">
        <f t="shared" si="35"/>
        <v>↑</v>
      </c>
      <c r="CI20" s="27" t="s">
        <v>212</v>
      </c>
      <c r="CJ20" s="28">
        <f t="shared" si="36"/>
        <v>61</v>
      </c>
      <c r="CK20" s="28">
        <f t="shared" si="37"/>
        <v>2</v>
      </c>
      <c r="CL20" s="28">
        <f>SUM(CM20*2)+(CN20*1) + SUMIFS(MATCH_INPUT!$G$30:$G$33, MATCH_INPUT!$F$30:$F$33, CI20) + SUMIFS(MATCH_INPUT!$I$30:$I$33, MATCH_INPUT!$J$30:$J$33, CI20)
</f>
        <v>9</v>
      </c>
      <c r="CM20" s="28">
        <f>IF(CI20&lt;&gt;"",
    COUNTIFS(MATCH_INPUT!$K$30:$K$33,CI20),
0)</f>
        <v>1</v>
      </c>
      <c r="CN20" s="28">
        <f>IF(CI20&lt;&gt;"",
    COUNTIFS(MATCH_INPUT!$F$30:$F$33, CI20, MATCH_INPUT!$K$30:$K$33, "Draw") +
    COUNTIFS(MATCH_INPUT!$J$30:$J$33, CI20, MATCH_INPUT!$K$30:$K$33, "Draw"),
0)</f>
        <v>1</v>
      </c>
      <c r="CO20" s="28">
        <f>IF(CI20&lt;&gt;"",
    COUNTIFS(MATCH_INPUT!$F$30:$F$33, CI20, MATCH_INPUT!$K$30:$K$33, "&lt;&gt;"&amp;CI20, MATCH_INPUT!$K$30:$K$33, "&lt;&gt;Draw", MATCH_INPUT!$K$30:$K$33, "&lt;&gt;""") +
    COUNTIFS(MATCH_INPUT!$J$30:$J$33, CI20, MATCH_INPUT!$K$30:$K$33, "&lt;&gt;"&amp;CI20, MATCH_INPUT!$K$30:$K$33, "&lt;&gt;Draw", MATCH_INPUT!$K$30:$K$33, "&lt;&gt;"""),
0)</f>
        <v>0</v>
      </c>
      <c r="CP20" s="29" t="str">
        <f t="array" ref="CP20">IFERROR(
  INDEX(PLAYER_STAT!E$2:E64, 
    MATCH(1, 
      (PLAYER_STAT!A$2:A64 = MATCH_DATES!$A$9) * (PLAYER_STAT!D$2:D64 = $B20), 
    0)
  ), 
  ""
)
</f>
        <v/>
      </c>
      <c r="CQ20" s="29" t="str">
        <f t="array" ref="CQ20">IFERROR(
  INDEX(PLAYER_STAT!F$2:F64, 
    MATCH(1, 
      (PLAYER_STAT!A$2:A64 = MATCH_DATES!$A$9) * (PLAYER_STAT!D$2:D64 = $B20), 
    0)
  ), 
  ""
)
</f>
        <v/>
      </c>
      <c r="CR20" s="29" t="str">
        <f t="array" ref="CR20">IFERROR(
  INDEX(PLAYER_STAT!G$2:G64, 
    MATCH(1, 
      (PLAYER_STAT!A$2:A64 = MATCH_DATES!$A$9) * (PLAYER_STAT!D$2:D64 = $B20), 
    0)
  ), 
  ""
)
</f>
        <v/>
      </c>
      <c r="CS20" s="35">
        <f t="shared" si="38"/>
        <v>3</v>
      </c>
      <c r="CT20" s="35" t="str">
        <f t="shared" si="39"/>
        <v>↑</v>
      </c>
      <c r="CU20" s="36">
        <f t="shared" si="40"/>
        <v>45</v>
      </c>
      <c r="CV20" s="36" t="str">
        <f t="shared" ref="CV20:CW20" si="91">A20</f>
        <v>🍂🎃</v>
      </c>
      <c r="CW20" s="37" t="str">
        <f t="shared" si="91"/>
        <v>Jhony S</v>
      </c>
      <c r="CX20" s="37">
        <f t="shared" si="42"/>
        <v>61</v>
      </c>
      <c r="CY20" s="36">
        <f>SUM(
  IF(AND(MATCH_DATES!$A$2 &lt;= TODAY(), NOW() &gt;= MATCH_DATES!$A$2 + TIME(22, 0, 0)), E20, 0),
  IF(AND(MATCH_DATES!$A$3 &lt;= TODAY(), NOW() &gt;= MATCH_DATES!$A$3 + TIME(22, 0, 0)), Q20, 0),
  IF(AND(MATCH_DATES!$A$4 &lt;= TODAY(), NOW() &gt;= MATCH_DATES!$A$4 + TIME(22, 0, 0)), AC20, 0),
  IF(AND(MATCH_DATES!$A$5 &lt;= TODAY(), NOW() &gt;= MATCH_DATES!$A$5 + TIME(22, 0, 0)), AO20, 0),
  IF(AND(MATCH_DATES!$A$6 &lt;= TODAY(), NOW() &gt;= MATCH_DATES!$A$6 + TIME(22, 0, 0)), BA20, 0),
  IF(AND(MATCH_DATES!$A$7 &lt;= TODAY(), NOW() &gt;= MATCH_DATES!$A$7 + TIME(22, 0, 0)), BM20, 0),
  IF(AND(MATCH_DATES!$A$8 &lt;= TODAY(), NOW() &gt;= MATCH_DATES!$A$8 + TIME(22, 0, 0)), BY20, 0),
  IF(AND(MATCH_DATES!$A$9 &lt;= TODAY(), NOW() &gt;= MATCH_DATES!$A$9 + TIME(22, 0, 0)), CK20, 0)
)
</f>
        <v>16</v>
      </c>
      <c r="CZ20" s="37">
        <f t="shared" ref="CZ20:DA20" si="92">SUM(G20,S20,AE20,AQ20,BC20,BO20,CA20,CM20)</f>
        <v>7</v>
      </c>
      <c r="DA20" s="37">
        <f t="shared" si="92"/>
        <v>5</v>
      </c>
      <c r="DB20" s="37">
        <f>SUM(
  IF(AND(MATCH_DATES!$A$2 &lt;= TODAY(), NOW() &gt;= MATCH_DATES!$A$2 + TIME(22, 0, 0)), I20, 0),
  IF(AND(MATCH_DATES!$A$3 &lt;= TODAY(), NOW() &gt;= MATCH_DATES!$A$3 + TIME(22, 0, 0)), U20, 0),
  IF(AND(MATCH_DATES!$A$4 &lt;= TODAY(), NOW() &gt;= MATCH_DATES!$A$4 + TIME(22, 0, 0)), AG20, 0),
  IF(AND(MATCH_DATES!$A$5 &lt;= TODAY(), NOW() &gt;= MATCH_DATES!$A$5 + TIME(22, 0, 0)), AS20, 0),
  IF(AND(MATCH_DATES!$A$6 &lt;= TODAY(), NOW() &gt;= MATCH_DATES!$A$6 + TIME(22, 0, 0)), BE20, 0),
  IF(AND(MATCH_DATES!$A$7 &lt;= TODAY(), NOW() &gt;= MATCH_DATES!$A$7 + TIME(22, 0, 0)), BQ20, 0),
  IF(AND(MATCH_DATES!$A$8 &lt;= TODAY(), NOW() &gt;= MATCH_DATES!$A$8 + TIME(22, 0, 0)), CC20, 0),
  IF(AND(MATCH_DATES!$A$9 &lt;= TODAY(), NOW() &gt;= MATCH_DATES!$A$9 + TIME(22, 0, 0)), CO20, 0)
)</f>
        <v>4</v>
      </c>
      <c r="DC20" s="37">
        <f t="shared" si="44"/>
        <v>5</v>
      </c>
      <c r="DD20" s="37">
        <f t="shared" ref="DD20:DE20" si="93">SUM(K20,W20,AI20,AU20,BG20,BS20,CE20,CQ20)</f>
        <v>0</v>
      </c>
      <c r="DE20" s="37">
        <f t="shared" si="93"/>
        <v>0</v>
      </c>
    </row>
    <row r="21" ht="24.75" customHeight="1">
      <c r="A21" s="19" t="s">
        <v>210</v>
      </c>
      <c r="B21" s="20" t="s">
        <v>42</v>
      </c>
      <c r="C21" s="21" t="s">
        <v>215</v>
      </c>
      <c r="D21" s="22">
        <f t="shared" si="4"/>
        <v>2</v>
      </c>
      <c r="E21" s="22">
        <f t="shared" si="5"/>
        <v>2</v>
      </c>
      <c r="F21" s="22">
        <f t="shared" si="6"/>
        <v>0</v>
      </c>
      <c r="G21" s="22">
        <f>IF(C21&lt;&gt;"",
    COUNTIFS(MATCH_INPUT!$K$2:$K$5,C21),
0)</f>
        <v>0</v>
      </c>
      <c r="H21" s="22">
        <f>IF(C21&lt;&gt;"",
    COUNTIFS(MATCH_INPUT!$F$2:$F$5, C21, MATCH_INPUT!$K$2:$K$5, "Draw") +
    COUNTIFS(MATCH_INPUT!$J$2:$J$5, C21, MATCH_INPUT!$K$2:$K$5, "Draw"),
0)</f>
        <v>0</v>
      </c>
      <c r="I21" s="22">
        <f>IF(C21&lt;&gt;"",
    COUNTIFS(MATCH_INPUT!$F$2:$F$5, C21, MATCH_INPUT!$K$2:$K$5, "&lt;&gt;"&amp;C21, MATCH_INPUT!$K$2:$K$5, "&lt;&gt;Draw", MATCH_INPUT!$K$2:$K$5, "&lt;&gt;""") +
    COUNTIFS(MATCH_INPUT!$J$2:$J$5, C21, MATCH_INPUT!$K$2:$K$5, "&lt;&gt;"&amp;C21, MATCH_INPUT!$K$2:$K$5, "&lt;&gt;Draw", MATCH_INPUT!$K$2:$K$5, "&lt;&gt;"""),
0)</f>
        <v>2</v>
      </c>
      <c r="J21" s="23" t="str">
        <f t="array" ref="J21">IFERROR(
  INDEX(PLAYER_STAT!E$2:E64, 
    MATCH(1, 
      (PLAYER_STAT!A$2:A64 = MATCH_DATES!$A$2) * (PLAYER_STAT!D$2:D64 = $B21), 
    0)
  ), 
  ""
)
</f>
        <v/>
      </c>
      <c r="K21" s="23" t="str">
        <f t="array" ref="K21">IFERROR(
  INDEX(PLAYER_STAT!F$2:F64, 
    MATCH(1, 
      (PLAYER_STAT!A$2:A64 = MATCH_DATES!$A$2) * (PLAYER_STAT!D$2:D64 = $B21), 
    0)
  ), 
  ""
)
</f>
        <v/>
      </c>
      <c r="L21" s="24" t="str">
        <f t="array" ref="L21">IFERROR(
  INDEX(PLAYER_STAT!G$2:G64, 
    MATCH(1, 
      (PLAYER_STAT!A$2:A64 = MATCH_DATES!$A$2) * (PLAYER_STAT!D$2:D64 = $B21), 
    0)
  ), 
  ""
)
</f>
        <v/>
      </c>
      <c r="M21" s="25">
        <f t="shared" si="7"/>
        <v>26</v>
      </c>
      <c r="N21" s="26" t="str">
        <f t="shared" si="8"/>
        <v>↓</v>
      </c>
      <c r="O21" s="27" t="s">
        <v>215</v>
      </c>
      <c r="P21" s="28">
        <f t="shared" si="9"/>
        <v>6</v>
      </c>
      <c r="Q21" s="28">
        <f t="shared" si="10"/>
        <v>2</v>
      </c>
      <c r="R21" s="28">
        <f t="shared" si="11"/>
        <v>2</v>
      </c>
      <c r="S21" s="28">
        <f>IF(O21&lt;&gt;"",
    COUNTIFS(MATCH_INPUT!$K$6:$K$9,O21),
0)</f>
        <v>1</v>
      </c>
      <c r="T21" s="28">
        <f>IF(O21&lt;&gt;"",
    COUNTIFS(MATCH_INPUT!$F$6:$F$9, O21, MATCH_INPUT!$K$6:$K$9, "Draw") +
    COUNTIFS(MATCH_INPUT!$J$6:$J$9, O21, MATCH_INPUT!$K$6:$K$9, "Draw"),
0)</f>
        <v>0</v>
      </c>
      <c r="U21" s="28">
        <f>IF(O21&lt;&gt;"",
    COUNTIFS(MATCH_INPUT!$F$6:$F$9, O21, MATCH_INPUT!$K$6:$K$9, "&lt;&gt;"&amp;O21, MATCH_INPUT!$K$6:$K$9, "&lt;&gt;Draw", MATCH_INPUT!$K$6:$K$9, "&lt;&gt;""") +
    COUNTIFS(MATCH_INPUT!$J$6:$J$9, O21, MATCH_INPUT!$K$6:$K$9, "&lt;&gt;"&amp;O21, MATCH_INPUT!$K$6:$K$9, "&lt;&gt;Draw", MATCH_INPUT!$K$6:$K$9, "&lt;&gt;"""),
0)</f>
        <v>1</v>
      </c>
      <c r="V21" s="29" t="str">
        <f t="array" ref="V21">IFERROR(
  INDEX(PLAYER_STAT!E$2:E64, 
    MATCH(1, 
      (PLAYER_STAT!A$2:A64 = MATCH_DATES!$A$3) * (PLAYER_STAT!D$2:D64 = $B21), 
    0)
  ), 
  ""
)
</f>
        <v/>
      </c>
      <c r="W21" s="29" t="str">
        <f t="array" ref="W21">IFERROR(
  INDEX(PLAYER_STAT!F$2:F64, 
    MATCH(1, 
      (PLAYER_STAT!A$2:A64 = MATCH_DATES!$A$3) * (PLAYER_STAT!D$2:D64 = $B21), 
    0)
  ), 
  ""
)
</f>
        <v/>
      </c>
      <c r="X21" s="30" t="str">
        <f t="array" ref="X21">IFERROR(
  INDEX(PLAYER_STAT!G$2:G64, 
    MATCH(1, 
      (PLAYER_STAT!A$2:A64 = MATCH_DATES!$A$3) * (PLAYER_STAT!D$2:D64 = $B21), 
    0)
  ), 
  ""
)
</f>
        <v/>
      </c>
      <c r="Y21" s="31">
        <f t="shared" si="12"/>
        <v>28</v>
      </c>
      <c r="Z21" s="32" t="str">
        <f t="shared" si="13"/>
        <v>↓</v>
      </c>
      <c r="AA21" s="21" t="s">
        <v>215</v>
      </c>
      <c r="AB21" s="33">
        <f t="shared" si="14"/>
        <v>8</v>
      </c>
      <c r="AC21" s="22">
        <f t="shared" si="15"/>
        <v>2</v>
      </c>
      <c r="AD21" s="22">
        <f t="shared" si="16"/>
        <v>0</v>
      </c>
      <c r="AE21" s="22">
        <f>IF(AA21&lt;&gt;"",
    COUNTIFS(MATCH_INPUT!$K$10:$K$13,AA21),
0)</f>
        <v>0</v>
      </c>
      <c r="AF21" s="22">
        <f>IF(AA21&lt;&gt;"",
    COUNTIFS(MATCH_INPUT!$F$10:$F$13, AA21, MATCH_INPUT!$K$10:$K$13, "Draw") +
    COUNTIFS(MATCH_INPUT!$J$10:$J$13, AA21, MATCH_INPUT!$K$10:$K$13, "Draw"),
0)</f>
        <v>0</v>
      </c>
      <c r="AG21" s="22">
        <f>IF(AA21&lt;&gt;"",
    COUNTIFS(MATCH_INPUT!$F$10:$F$13, AA21, MATCH_INPUT!$K$10:$K$13, "&lt;&gt;"&amp;AA21, MATCH_INPUT!$K$10:$K$13, "&lt;&gt;Draw", MATCH_INPUT!$K$10:$K$13, "&lt;&gt;""") +
    COUNTIFS(MATCH_INPUT!$J$10:$J$13, AA21, MATCH_INPUT!$K$10:$K$13, "&lt;&gt;"&amp;AA21, MATCH_INPUT!$K$10:$K$13, "&lt;&gt;Draw", MATCH_INPUT!$K$10:$K$13, "&lt;&gt;"""),
0)</f>
        <v>2</v>
      </c>
      <c r="AH21" s="23" t="str">
        <f t="array" ref="AH21">IFERROR(
  INDEX(PLAYER_STAT!E$2:E64, 
    MATCH(1, 
      (PLAYER_STAT!A$2:A64 = MATCH_DATES!$A$4) * (PLAYER_STAT!D$2:D64 = $B21), 
    0)
  ), 
  ""
)
</f>
        <v/>
      </c>
      <c r="AI21" s="23" t="str">
        <f t="array" ref="AI21">IFERROR(
  INDEX(PLAYER_STAT!F$2:F64, 
    MATCH(1, 
      (PLAYER_STAT!A$2:A64 = MATCH_DATES!$A$4) * (PLAYER_STAT!D$2:D64 = $B21), 
    0)
  ), 
  ""
)
</f>
        <v/>
      </c>
      <c r="AJ21" s="34" t="str">
        <f t="array" ref="AJ21">IFERROR(
  INDEX(PLAYER_STAT!G$2:G64, 
    MATCH(1, 
      (PLAYER_STAT!A$2:A64 = MATCH_DATES!$A$4) * (PLAYER_STAT!D$2:D64 = $B21), 
    0)
  ), 
  ""
)
</f>
        <v/>
      </c>
      <c r="AK21" s="25">
        <f t="shared" si="17"/>
        <v>31</v>
      </c>
      <c r="AL21" s="26" t="str">
        <f t="shared" si="18"/>
        <v>↓</v>
      </c>
      <c r="AM21" s="27" t="s">
        <v>212</v>
      </c>
      <c r="AN21" s="28">
        <f t="shared" si="19"/>
        <v>14</v>
      </c>
      <c r="AO21" s="28">
        <f t="shared" si="20"/>
        <v>2</v>
      </c>
      <c r="AP21" s="28">
        <f t="shared" si="21"/>
        <v>4</v>
      </c>
      <c r="AQ21" s="28">
        <f>IF(AM21&lt;&gt;"",
    COUNTIFS(MATCH_INPUT!$K$14:$K$17,AM21),
0)</f>
        <v>2</v>
      </c>
      <c r="AR21" s="28">
        <f>IF(AM21&lt;&gt;"",
    COUNTIFS(MATCH_INPUT!$F$14:$F$17, AM21, MATCH_INPUT!$K$14:$K$17, "Draw") +
    COUNTIFS(MATCH_INPUT!$J$14:$J$17, AM21, MATCH_INPUT!$K$14:$K$17, "Draw"),
0)</f>
        <v>0</v>
      </c>
      <c r="AS21" s="28">
        <f>IF(AM21&lt;&gt;"",
    COUNTIFS(MATCH_INPUT!$F$14:$F$17, AM21, MATCH_INPUT!$K$14:$K$17, "&lt;&gt;"&amp;AM21, MATCH_INPUT!$K$14:$K$17, "&lt;&gt;Draw", MATCH_INPUT!$K$14:$K$17, "&lt;&gt;""") +
    COUNTIFS(MATCH_INPUT!$J$14:$J$17, AM21, MATCH_INPUT!$K$14:$K$17, "&lt;&gt;"&amp;AM21, MATCH_INPUT!$K$14:$K$17, "&lt;&gt;Draw", MATCH_INPUT!$K$14:$K$17, "&lt;&gt;"""),
0)</f>
        <v>0</v>
      </c>
      <c r="AT21" s="29" t="str">
        <f t="array" ref="AT21">IFERROR(
  INDEX(PLAYER_STAT!E$2:E64, 
    MATCH(1, 
      (PLAYER_STAT!A$2:A64 = MATCH_DATES!$A$5) * (PLAYER_STAT!D$2:D64 = $B21), 
    0)
  ), 
  ""
)
</f>
        <v/>
      </c>
      <c r="AU21" s="29" t="str">
        <f t="array" ref="AU21">IFERROR(
  INDEX(PLAYER_STAT!F$2:F64, 
    MATCH(1, 
      (PLAYER_STAT!A$2:A64 = MATCH_DATES!$A$5) * (PLAYER_STAT!D$2:D64 = $B21), 
    0)
  ), 
  ""
)
</f>
        <v/>
      </c>
      <c r="AV21" s="30" t="str">
        <f t="array" ref="AV21">IFERROR(
  INDEX(PLAYER_STAT!G$2:G64, 
    MATCH(1, 
      (PLAYER_STAT!A$2:A64 = MATCH_DATES!$A$5) * (PLAYER_STAT!D$2:D64 = $B21), 
    0)
  ), 
  ""
)
</f>
        <v/>
      </c>
      <c r="AW21" s="31">
        <f t="shared" si="22"/>
        <v>22</v>
      </c>
      <c r="AX21" s="32" t="str">
        <f t="shared" si="23"/>
        <v>↑</v>
      </c>
      <c r="AY21" s="21" t="s">
        <v>213</v>
      </c>
      <c r="AZ21" s="33">
        <f t="shared" si="24"/>
        <v>18</v>
      </c>
      <c r="BA21" s="22">
        <f t="shared" si="25"/>
        <v>2</v>
      </c>
      <c r="BB21" s="22">
        <f>SUM(BC21*2) + (BD21*1) + SUMIFS(MATCH_INPUT!$G$18:$G$21, MATCH_INPUT!$F$18:$F$21, AY21) + SUMIFS(MATCH_INPUT!$I$18:$I$21, MATCH_INPUT!$J$18:$J$21, AY21)
</f>
        <v>2</v>
      </c>
      <c r="BC21" s="22">
        <f>IF(AY21&lt;&gt;"",
    COUNTIFS(MATCH_INPUT!$K$18:$K$21,AY21),
0)</f>
        <v>0</v>
      </c>
      <c r="BD21" s="22">
        <f>IF(AY21&lt;&gt;"",
    COUNTIFS(MATCH_INPUT!$F$18:$F$21, AY21, MATCH_INPUT!$K$18:$K$21, "Draw") +
    COUNTIFS(MATCH_INPUT!$J$18:$J$21, AY21, MATCH_INPUT!$K$18:$K$21, "Draw"),
0)</f>
        <v>1</v>
      </c>
      <c r="BE21" s="22">
        <f>IF(AY21&lt;&gt;"",
    COUNTIFS(MATCH_INPUT!$F$18:$F$21, AY21, MATCH_INPUT!$K$18:$K$21, "&lt;&gt;"&amp;AY21, MATCH_INPUT!$K$18:$K$21, "&lt;&gt;Draw", MATCH_INPUT!$K$18:$K$21, "&lt;&gt;""") +
    COUNTIFS(MATCH_INPUT!$J$18:$J$21, AY21, MATCH_INPUT!$K$18:$K$21, "&lt;&gt;"&amp;AY21, MATCH_INPUT!$K$18:$K$21, "&lt;&gt;Draw", MATCH_INPUT!$K$18:$K$21, "&lt;&gt;"""),
0)</f>
        <v>1</v>
      </c>
      <c r="BF21" s="23" t="str">
        <f t="array" ref="BF21">IFERROR(
  INDEX(PLAYER_STAT!E$2:E64, 
    MATCH(1, 
      (PLAYER_STAT!A$2:A64 = MATCH_DATES!$A$6) * (PLAYER_STAT!D$2:D64 = $B21), 
    0)
  ), 
  ""
)
</f>
        <v/>
      </c>
      <c r="BG21" s="23" t="str">
        <f t="array" ref="BG21">IFERROR(
  INDEX(PLAYER_STAT!F$2:F64, 
    MATCH(1, 
      (PLAYER_STAT!A$2:A64 = MATCH_DATES!$A$6) * (PLAYER_STAT!D$2:D64 = $B21), 
    0)
  ), 
  ""
)
</f>
        <v/>
      </c>
      <c r="BH21" s="34" t="str">
        <f t="array" ref="BH21">IFERROR(
  INDEX(PLAYER_STAT!G$2:G64, 
    MATCH(1, 
      (PLAYER_STAT!A$2:A64 = MATCH_DATES!$A$6) * (PLAYER_STAT!D$2:D64 = $B21), 
    0)
  ), 
  ""
)
</f>
        <v/>
      </c>
      <c r="BI21" s="25">
        <f t="shared" si="26"/>
        <v>24</v>
      </c>
      <c r="BJ21" s="26" t="str">
        <f t="shared" si="27"/>
        <v>↓</v>
      </c>
      <c r="BK21" s="27" t="s">
        <v>214</v>
      </c>
      <c r="BL21" s="28">
        <f t="shared" si="28"/>
        <v>28</v>
      </c>
      <c r="BM21" s="28">
        <f t="shared" si="29"/>
        <v>2</v>
      </c>
      <c r="BN21" s="28">
        <f>SUM(BO21*2) + (BP21*1) + SUMIFS(MATCH_INPUT!$G$22:$G$25, MATCH_INPUT!$F$22:$F$25, BK21) + SUMIFS(MATCH_INPUT!$I$22:$I$25, MATCH_INPUT!$J$22:$J$25, BK21)
</f>
        <v>7</v>
      </c>
      <c r="BO21" s="28">
        <f>IF(BK21&lt;&gt;"",
    COUNTIFS(MATCH_INPUT!$K$22:$K$25,BK21),
0)</f>
        <v>1</v>
      </c>
      <c r="BP21" s="28">
        <f>IF(BK21&lt;&gt;"",
    COUNTIFS(MATCH_INPUT!$F$22:$F$25, BK21, MATCH_INPUT!$K$22:$K$25, "Draw") +
    COUNTIFS(MATCH_INPUT!$J$22:$J$25, BK21, MATCH_INPUT!$K$22:$K$25, "Draw"),
0)</f>
        <v>1</v>
      </c>
      <c r="BQ21" s="28">
        <f>IF(BK21&lt;&gt;"",
    COUNTIFS(MATCH_INPUT!$F$22:$F$25, BK21, MATCH_INPUT!$K$22:$K$25, "&lt;&gt;"&amp;BK21, MATCH_INPUT!$K$22:$K$25, "&lt;&gt;Draw", MATCH_INPUT!$K$22:$K$25, "&lt;&gt;""") +
    COUNTIFS(MATCH_INPUT!$J$22:$J$25, BK21, MATCH_INPUT!$K$22:$K$25, "&lt;&gt;"&amp;BK21, MATCH_INPUT!$K$22:$K$25, "&lt;&gt;Draw", MATCH_INPUT!$K$22:$K$25, "&lt;&gt;"""),
0)</f>
        <v>0</v>
      </c>
      <c r="BR21" s="29">
        <f t="array" ref="BR21">IFERROR(
  INDEX(PLAYER_STAT!E$2:E64, 
    MATCH(1, 
      (PLAYER_STAT!A$2:A64 = MATCH_DATES!$A$7) * (PLAYER_STAT!D$2:D64 = $B21), 
    0)
  ), 
  ""
)
</f>
        <v>0</v>
      </c>
      <c r="BS21" s="29">
        <f t="array" ref="BS21">IFERROR(
  INDEX(PLAYER_STAT!F$2:F64, 
    MATCH(1, 
      (PLAYER_STAT!A$2:A64 = MATCH_DATES!$A$7) * (PLAYER_STAT!D$2:D64 = $B21), 
    0)
  ), 
  ""
)
</f>
        <v>1</v>
      </c>
      <c r="BT21" s="30">
        <f t="array" ref="BT21">IFERROR(
  INDEX(PLAYER_STAT!G$2:G64, 
    MATCH(1, 
      (PLAYER_STAT!A$2:A64 = MATCH_DATES!$A$7) * (PLAYER_STAT!D$2:D64 = $B21), 
    0)
  ), 
  ""
)
</f>
        <v>1</v>
      </c>
      <c r="BU21" s="31">
        <f t="shared" si="30"/>
        <v>21</v>
      </c>
      <c r="BV21" s="32" t="str">
        <f t="shared" si="31"/>
        <v>↑</v>
      </c>
      <c r="BW21" s="21" t="s">
        <v>212</v>
      </c>
      <c r="BX21" s="33">
        <f t="shared" si="32"/>
        <v>37</v>
      </c>
      <c r="BY21" s="22">
        <f t="shared" si="33"/>
        <v>2</v>
      </c>
      <c r="BZ21" s="22">
        <f>SUM(CA21*2)+(CB21*1) + SUMIFS(MATCH_INPUT!$G$26:$G$29, MATCH_INPUT!$F$26:$F$29, BW21) + SUMIFS(MATCH_INPUT!$I$26:$I$29, MATCH_INPUT!$J$26:$J$29, BW21)
</f>
        <v>6</v>
      </c>
      <c r="CA21" s="22">
        <f>IF(BW21&lt;&gt;"",
    COUNTIFS(MATCH_INPUT!$K$26:$K$29,BW21),
0)</f>
        <v>1</v>
      </c>
      <c r="CB21" s="22">
        <f>IF(BW21&lt;&gt;"",
    COUNTIFS(MATCH_INPUT!$F$26:$F$29, BW21, MATCH_INPUT!$K$26:$K$29, "Draw") +
    COUNTIFS(MATCH_INPUT!$J$26:$J$29, BW21, MATCH_INPUT!$K$26:$K$29, "Draw"),
0)</f>
        <v>1</v>
      </c>
      <c r="CC21" s="22">
        <f>IF(BW21&lt;&gt;"",
    COUNTIFS(MATCH_INPUT!$F$26:$F$29, BW21, MATCH_INPUT!$K$26:$K$29, "&lt;&gt;"&amp;BW21, MATCH_INPUT!$K$26:$K$29, "&lt;&gt;Draw", MATCH_INPUT!$K$26:$K$29, "&lt;&gt;""") +
    COUNTIFS(MATCH_INPUT!$J$26:$J$29, BW21, MATCH_INPUT!$K$26:$K$29, "&lt;&gt;"&amp;BW21, MATCH_INPUT!$K$26:$K$29, "&lt;&gt;Draw", MATCH_INPUT!$K$26:$K$29, "&lt;&gt;"""),
0)</f>
        <v>0</v>
      </c>
      <c r="CD21" s="23">
        <f t="array" ref="CD21">IFERROR(
  INDEX(PLAYER_STAT!E$2:E64, 
    MATCH(1, 
      (PLAYER_STAT!A$2:A64 = MATCH_DATES!$A$8) * (PLAYER_STAT!D$2:D64 = $B21), 
    0)
  ), 
  ""
)
</f>
        <v>0</v>
      </c>
      <c r="CE21" s="23">
        <f t="array" ref="CE21">IFERROR(
  INDEX(PLAYER_STAT!F$2:F64, 
    MATCH(1, 
      (PLAYER_STAT!A$2:A64 = MATCH_DATES!$A$8) * (PLAYER_STAT!D$2:D64 = $B21), 
    0)
  ), 
  ""
)
</f>
        <v>1</v>
      </c>
      <c r="CF21" s="34">
        <f t="array" ref="CF21">IFERROR(
  INDEX(PLAYER_STAT!G$2:G64, 
    MATCH(1, 
      (PLAYER_STAT!A$2:A64 = MATCH_DATES!$A$8) * (PLAYER_STAT!D$2:D64 = $B21), 
    0)
  ), 
  ""
)
</f>
        <v>0</v>
      </c>
      <c r="CG21" s="25">
        <f t="shared" si="34"/>
        <v>17</v>
      </c>
      <c r="CH21" s="26" t="str">
        <f t="shared" si="35"/>
        <v>↑</v>
      </c>
      <c r="CI21" s="27" t="s">
        <v>212</v>
      </c>
      <c r="CJ21" s="28">
        <f t="shared" si="36"/>
        <v>48</v>
      </c>
      <c r="CK21" s="28">
        <f t="shared" si="37"/>
        <v>2</v>
      </c>
      <c r="CL21" s="28">
        <f>SUM(CM21*2)+(CN21*1) + SUMIFS(MATCH_INPUT!$G$30:$G$33, MATCH_INPUT!$F$30:$F$33, CI21) + SUMIFS(MATCH_INPUT!$I$30:$I$33, MATCH_INPUT!$J$30:$J$33, CI21)
</f>
        <v>9</v>
      </c>
      <c r="CM21" s="28">
        <f>IF(CI21&lt;&gt;"",
    COUNTIFS(MATCH_INPUT!$K$30:$K$33,CI21),
0)</f>
        <v>1</v>
      </c>
      <c r="CN21" s="28">
        <f>IF(CI21&lt;&gt;"",
    COUNTIFS(MATCH_INPUT!$F$30:$F$33, CI21, MATCH_INPUT!$K$30:$K$33, "Draw") +
    COUNTIFS(MATCH_INPUT!$J$30:$J$33, CI21, MATCH_INPUT!$K$30:$K$33, "Draw"),
0)</f>
        <v>1</v>
      </c>
      <c r="CO21" s="28">
        <f>IF(CI21&lt;&gt;"",
    COUNTIFS(MATCH_INPUT!$F$30:$F$33, CI21, MATCH_INPUT!$K$30:$K$33, "&lt;&gt;"&amp;CI21, MATCH_INPUT!$K$30:$K$33, "&lt;&gt;Draw", MATCH_INPUT!$K$30:$K$33, "&lt;&gt;""") +
    COUNTIFS(MATCH_INPUT!$J$30:$J$33, CI21, MATCH_INPUT!$K$30:$K$33, "&lt;&gt;"&amp;CI21, MATCH_INPUT!$K$30:$K$33, "&lt;&gt;Draw", MATCH_INPUT!$K$30:$K$33, "&lt;&gt;"""),
0)</f>
        <v>0</v>
      </c>
      <c r="CP21" s="29" t="str">
        <f t="array" ref="CP21">IFERROR(
  INDEX(PLAYER_STAT!E$2:E64, 
    MATCH(1, 
      (PLAYER_STAT!A$2:A64 = MATCH_DATES!$A$9) * (PLAYER_STAT!D$2:D64 = $B21), 
    0)
  ), 
  ""
)
</f>
        <v/>
      </c>
      <c r="CQ21" s="29" t="str">
        <f t="array" ref="CQ21">IFERROR(
  INDEX(PLAYER_STAT!F$2:F64, 
    MATCH(1, 
      (PLAYER_STAT!A$2:A64 = MATCH_DATES!$A$9) * (PLAYER_STAT!D$2:D64 = $B21), 
    0)
  ), 
  ""
)
</f>
        <v/>
      </c>
      <c r="CR21" s="29" t="str">
        <f t="array" ref="CR21">IFERROR(
  INDEX(PLAYER_STAT!G$2:G64, 
    MATCH(1, 
      (PLAYER_STAT!A$2:A64 = MATCH_DATES!$A$9) * (PLAYER_STAT!D$2:D64 = $B21), 
    0)
  ), 
  ""
)
</f>
        <v/>
      </c>
      <c r="CS21" s="35">
        <f t="shared" si="38"/>
        <v>16</v>
      </c>
      <c r="CT21" s="35" t="str">
        <f t="shared" si="39"/>
        <v>↑</v>
      </c>
      <c r="CU21" s="36">
        <f t="shared" si="40"/>
        <v>30</v>
      </c>
      <c r="CV21" s="36" t="str">
        <f t="shared" ref="CV21:CW21" si="94">A21</f>
        <v>🍂🎃</v>
      </c>
      <c r="CW21" s="37" t="str">
        <f t="shared" si="94"/>
        <v>Jordan</v>
      </c>
      <c r="CX21" s="37">
        <f t="shared" si="42"/>
        <v>48</v>
      </c>
      <c r="CY21" s="36">
        <f>SUM(
  IF(AND(MATCH_DATES!$A$2 &lt;= TODAY(), NOW() &gt;= MATCH_DATES!$A$2 + TIME(22, 0, 0)), E21, 0),
  IF(AND(MATCH_DATES!$A$3 &lt;= TODAY(), NOW() &gt;= MATCH_DATES!$A$3 + TIME(22, 0, 0)), Q21, 0),
  IF(AND(MATCH_DATES!$A$4 &lt;= TODAY(), NOW() &gt;= MATCH_DATES!$A$4 + TIME(22, 0, 0)), AC21, 0),
  IF(AND(MATCH_DATES!$A$5 &lt;= TODAY(), NOW() &gt;= MATCH_DATES!$A$5 + TIME(22, 0, 0)), AO21, 0),
  IF(AND(MATCH_DATES!$A$6 &lt;= TODAY(), NOW() &gt;= MATCH_DATES!$A$6 + TIME(22, 0, 0)), BA21, 0),
  IF(AND(MATCH_DATES!$A$7 &lt;= TODAY(), NOW() &gt;= MATCH_DATES!$A$7 + TIME(22, 0, 0)), BM21, 0),
  IF(AND(MATCH_DATES!$A$8 &lt;= TODAY(), NOW() &gt;= MATCH_DATES!$A$8 + TIME(22, 0, 0)), BY21, 0),
  IF(AND(MATCH_DATES!$A$9 &lt;= TODAY(), NOW() &gt;= MATCH_DATES!$A$9 + TIME(22, 0, 0)), CK21, 0)
)
</f>
        <v>16</v>
      </c>
      <c r="CZ21" s="37">
        <f t="shared" ref="CZ21:DA21" si="95">SUM(G21,S21,AE21,AQ21,BC21,BO21,CA21,CM21)</f>
        <v>6</v>
      </c>
      <c r="DA21" s="37">
        <f t="shared" si="95"/>
        <v>4</v>
      </c>
      <c r="DB21" s="37">
        <f>SUM(
  IF(AND(MATCH_DATES!$A$2 &lt;= TODAY(), NOW() &gt;= MATCH_DATES!$A$2 + TIME(22, 0, 0)), I21, 0),
  IF(AND(MATCH_DATES!$A$3 &lt;= TODAY(), NOW() &gt;= MATCH_DATES!$A$3 + TIME(22, 0, 0)), U21, 0),
  IF(AND(MATCH_DATES!$A$4 &lt;= TODAY(), NOW() &gt;= MATCH_DATES!$A$4 + TIME(22, 0, 0)), AG21, 0),
  IF(AND(MATCH_DATES!$A$5 &lt;= TODAY(), NOW() &gt;= MATCH_DATES!$A$5 + TIME(22, 0, 0)), AS21, 0),
  IF(AND(MATCH_DATES!$A$6 &lt;= TODAY(), NOW() &gt;= MATCH_DATES!$A$6 + TIME(22, 0, 0)), BE21, 0),
  IF(AND(MATCH_DATES!$A$7 &lt;= TODAY(), NOW() &gt;= MATCH_DATES!$A$7 + TIME(22, 0, 0)), BQ21, 0),
  IF(AND(MATCH_DATES!$A$8 &lt;= TODAY(), NOW() &gt;= MATCH_DATES!$A$8 + TIME(22, 0, 0)), CC21, 0),
  IF(AND(MATCH_DATES!$A$9 &lt;= TODAY(), NOW() &gt;= MATCH_DATES!$A$9 + TIME(22, 0, 0)), CO21, 0)
)</f>
        <v>6</v>
      </c>
      <c r="DC21" s="37">
        <f t="shared" si="44"/>
        <v>0</v>
      </c>
      <c r="DD21" s="37">
        <f t="shared" ref="DD21:DE21" si="96">SUM(K21,W21,AI21,AU21,BG21,BS21,CE21,CQ21)</f>
        <v>2</v>
      </c>
      <c r="DE21" s="37">
        <f t="shared" si="96"/>
        <v>1</v>
      </c>
    </row>
    <row r="22" ht="24.75" customHeight="1">
      <c r="A22" s="19" t="s">
        <v>210</v>
      </c>
      <c r="B22" s="20" t="s">
        <v>32</v>
      </c>
      <c r="C22" s="21"/>
      <c r="D22" s="22">
        <f t="shared" si="4"/>
        <v>0</v>
      </c>
      <c r="E22" s="22">
        <f t="shared" si="5"/>
        <v>0</v>
      </c>
      <c r="F22" s="22">
        <f t="shared" si="6"/>
        <v>0</v>
      </c>
      <c r="G22" s="22">
        <f>IF(C22&lt;&gt;"",
    COUNTIFS(MATCH_INPUT!$K$2:$K$5,C22),
0)</f>
        <v>0</v>
      </c>
      <c r="H22" s="22">
        <f>IF(C22&lt;&gt;"",
    COUNTIFS(MATCH_INPUT!$F$2:$F$5, C22, MATCH_INPUT!$K$2:$K$5, "Draw") +
    COUNTIFS(MATCH_INPUT!$J$2:$J$5, C22, MATCH_INPUT!$K$2:$K$5, "Draw"),
0)</f>
        <v>0</v>
      </c>
      <c r="I22" s="22">
        <f>IF(C22&lt;&gt;"",
    COUNTIFS(MATCH_INPUT!$F$2:$F$5, C22, MATCH_INPUT!$K$2:$K$5, "&lt;&gt;"&amp;C22, MATCH_INPUT!$K$2:$K$5, "&lt;&gt;Draw", MATCH_INPUT!$K$2:$K$5, "&lt;&gt;""") +
    COUNTIFS(MATCH_INPUT!$J$2:$J$5, C22, MATCH_INPUT!$K$2:$K$5, "&lt;&gt;"&amp;C22, MATCH_INPUT!$K$2:$K$5, "&lt;&gt;Draw", MATCH_INPUT!$K$2:$K$5, "&lt;&gt;"""),
0)</f>
        <v>0</v>
      </c>
      <c r="J22" s="23" t="str">
        <f t="array" ref="J22">IFERROR(
  INDEX(PLAYER_STAT!E$2:E64, 
    MATCH(1, 
      (PLAYER_STAT!A$2:A64 = MATCH_DATES!$A$2) * (PLAYER_STAT!D$2:D64 = $B22), 
    0)
  ), 
  ""
)
</f>
        <v/>
      </c>
      <c r="K22" s="23" t="str">
        <f t="array" ref="K22">IFERROR(
  INDEX(PLAYER_STAT!F$2:F64, 
    MATCH(1, 
      (PLAYER_STAT!A$2:A64 = MATCH_DATES!$A$2) * (PLAYER_STAT!D$2:D64 = $B22), 
    0)
  ), 
  ""
)
</f>
        <v/>
      </c>
      <c r="L22" s="24" t="str">
        <f t="array" ref="L22">IFERROR(
  INDEX(PLAYER_STAT!G$2:G64, 
    MATCH(1, 
      (PLAYER_STAT!A$2:A64 = MATCH_DATES!$A$2) * (PLAYER_STAT!D$2:D64 = $B22), 
    0)
  ), 
  ""
)
</f>
        <v/>
      </c>
      <c r="M22" s="25">
        <f t="shared" si="7"/>
        <v>33</v>
      </c>
      <c r="N22" s="26" t="str">
        <f t="shared" si="8"/>
        <v>↓</v>
      </c>
      <c r="O22" s="27" t="s">
        <v>212</v>
      </c>
      <c r="P22" s="28">
        <f t="shared" si="9"/>
        <v>3</v>
      </c>
      <c r="Q22" s="28">
        <f t="shared" si="10"/>
        <v>2</v>
      </c>
      <c r="R22" s="28">
        <f t="shared" si="11"/>
        <v>1</v>
      </c>
      <c r="S22" s="28">
        <f>IF(O22&lt;&gt;"",
    COUNTIFS(MATCH_INPUT!$K$6:$K$9,O22),
0)</f>
        <v>0</v>
      </c>
      <c r="T22" s="28">
        <f>IF(O22&lt;&gt;"",
    COUNTIFS(MATCH_INPUT!$F$6:$F$9, O22, MATCH_INPUT!$K$6:$K$9, "Draw") +
    COUNTIFS(MATCH_INPUT!$J$6:$J$9, O22, MATCH_INPUT!$K$6:$K$9, "Draw"),
0)</f>
        <v>1</v>
      </c>
      <c r="U22" s="28">
        <f>IF(O22&lt;&gt;"",
    COUNTIFS(MATCH_INPUT!$F$6:$F$9, O22, MATCH_INPUT!$K$6:$K$9, "&lt;&gt;"&amp;O22, MATCH_INPUT!$K$6:$K$9, "&lt;&gt;Draw", MATCH_INPUT!$K$6:$K$9, "&lt;&gt;""") +
    COUNTIFS(MATCH_INPUT!$J$6:$J$9, O22, MATCH_INPUT!$K$6:$K$9, "&lt;&gt;"&amp;O22, MATCH_INPUT!$K$6:$K$9, "&lt;&gt;Draw", MATCH_INPUT!$K$6:$K$9, "&lt;&gt;"""),
0)</f>
        <v>1</v>
      </c>
      <c r="V22" s="29" t="str">
        <f t="array" ref="V22">IFERROR(
  INDEX(PLAYER_STAT!E$2:E64, 
    MATCH(1, 
      (PLAYER_STAT!A$2:A64 = MATCH_DATES!$A$3) * (PLAYER_STAT!D$2:D64 = $B22), 
    0)
  ), 
  ""
)
</f>
        <v/>
      </c>
      <c r="W22" s="29" t="str">
        <f t="array" ref="W22">IFERROR(
  INDEX(PLAYER_STAT!F$2:F64, 
    MATCH(1, 
      (PLAYER_STAT!A$2:A64 = MATCH_DATES!$A$3) * (PLAYER_STAT!D$2:D64 = $B22), 
    0)
  ), 
  ""
)
</f>
        <v/>
      </c>
      <c r="X22" s="30" t="str">
        <f t="array" ref="X22">IFERROR(
  INDEX(PLAYER_STAT!G$2:G64, 
    MATCH(1, 
      (PLAYER_STAT!A$2:A64 = MATCH_DATES!$A$3) * (PLAYER_STAT!D$2:D64 = $B22), 
    0)
  ), 
  ""
)
</f>
        <v/>
      </c>
      <c r="Y22" s="31">
        <f t="shared" si="12"/>
        <v>34</v>
      </c>
      <c r="Z22" s="32" t="str">
        <f t="shared" si="13"/>
        <v>↓</v>
      </c>
      <c r="AA22" s="21" t="s">
        <v>213</v>
      </c>
      <c r="AB22" s="33">
        <f t="shared" si="14"/>
        <v>7</v>
      </c>
      <c r="AC22" s="22">
        <f t="shared" si="15"/>
        <v>2</v>
      </c>
      <c r="AD22" s="22">
        <f t="shared" si="16"/>
        <v>2</v>
      </c>
      <c r="AE22" s="22">
        <f>IF(AA22&lt;&gt;"",
    COUNTIFS(MATCH_INPUT!$K$10:$K$13,AA22),
0)</f>
        <v>1</v>
      </c>
      <c r="AF22" s="22">
        <f>IF(AA22&lt;&gt;"",
    COUNTIFS(MATCH_INPUT!$F$10:$F$13, AA22, MATCH_INPUT!$K$10:$K$13, "Draw") +
    COUNTIFS(MATCH_INPUT!$J$10:$J$13, AA22, MATCH_INPUT!$K$10:$K$13, "Draw"),
0)</f>
        <v>0</v>
      </c>
      <c r="AG22" s="22">
        <f>IF(AA22&lt;&gt;"",
    COUNTIFS(MATCH_INPUT!$F$10:$F$13, AA22, MATCH_INPUT!$K$10:$K$13, "&lt;&gt;"&amp;AA22, MATCH_INPUT!$K$10:$K$13, "&lt;&gt;Draw", MATCH_INPUT!$K$10:$K$13, "&lt;&gt;""") +
    COUNTIFS(MATCH_INPUT!$J$10:$J$13, AA22, MATCH_INPUT!$K$10:$K$13, "&lt;&gt;"&amp;AA22, MATCH_INPUT!$K$10:$K$13, "&lt;&gt;Draw", MATCH_INPUT!$K$10:$K$13, "&lt;&gt;"""),
0)</f>
        <v>1</v>
      </c>
      <c r="AH22" s="23">
        <f t="array" ref="AH22">IFERROR(
  INDEX(PLAYER_STAT!E$2:E64, 
    MATCH(1, 
      (PLAYER_STAT!A$2:A64 = MATCH_DATES!$A$4) * (PLAYER_STAT!D$2:D64 = $B22), 
    0)
  ), 
  ""
)
</f>
        <v>2</v>
      </c>
      <c r="AI22" s="23">
        <f t="array" ref="AI22">IFERROR(
  INDEX(PLAYER_STAT!F$2:F64, 
    MATCH(1, 
      (PLAYER_STAT!A$2:A64 = MATCH_DATES!$A$4) * (PLAYER_STAT!D$2:D64 = $B22), 
    0)
  ), 
  ""
)
</f>
        <v>0</v>
      </c>
      <c r="AJ22" s="34">
        <f t="array" ref="AJ22">IFERROR(
  INDEX(PLAYER_STAT!G$2:G64, 
    MATCH(1, 
      (PLAYER_STAT!A$2:A64 = MATCH_DATES!$A$4) * (PLAYER_STAT!D$2:D64 = $B22), 
    0)
  ), 
  ""
)
</f>
        <v>0</v>
      </c>
      <c r="AK22" s="25">
        <f t="shared" si="17"/>
        <v>32</v>
      </c>
      <c r="AL22" s="26" t="str">
        <f t="shared" si="18"/>
        <v>↑</v>
      </c>
      <c r="AM22" s="27" t="s">
        <v>212</v>
      </c>
      <c r="AN22" s="28">
        <f t="shared" si="19"/>
        <v>13</v>
      </c>
      <c r="AO22" s="28">
        <f t="shared" si="20"/>
        <v>2</v>
      </c>
      <c r="AP22" s="28">
        <f t="shared" si="21"/>
        <v>4</v>
      </c>
      <c r="AQ22" s="28">
        <f>IF(AM22&lt;&gt;"",
    COUNTIFS(MATCH_INPUT!$K$14:$K$17,AM22),
0)</f>
        <v>2</v>
      </c>
      <c r="AR22" s="28">
        <f>IF(AM22&lt;&gt;"",
    COUNTIFS(MATCH_INPUT!$F$14:$F$17, AM22, MATCH_INPUT!$K$14:$K$17, "Draw") +
    COUNTIFS(MATCH_INPUT!$J$14:$J$17, AM22, MATCH_INPUT!$K$14:$K$17, "Draw"),
0)</f>
        <v>0</v>
      </c>
      <c r="AS22" s="28">
        <f>IF(AM22&lt;&gt;"",
    COUNTIFS(MATCH_INPUT!$F$14:$F$17, AM22, MATCH_INPUT!$K$14:$K$17, "&lt;&gt;"&amp;AM22, MATCH_INPUT!$K$14:$K$17, "&lt;&gt;Draw", MATCH_INPUT!$K$14:$K$17, "&lt;&gt;""") +
    COUNTIFS(MATCH_INPUT!$J$14:$J$17, AM22, MATCH_INPUT!$K$14:$K$17, "&lt;&gt;"&amp;AM22, MATCH_INPUT!$K$14:$K$17, "&lt;&gt;Draw", MATCH_INPUT!$K$14:$K$17, "&lt;&gt;"""),
0)</f>
        <v>0</v>
      </c>
      <c r="AT22" s="29" t="str">
        <f t="array" ref="AT22">IFERROR(
  INDEX(PLAYER_STAT!E$2:E64, 
    MATCH(1, 
      (PLAYER_STAT!A$2:A64 = MATCH_DATES!$A$5) * (PLAYER_STAT!D$2:D64 = $B22), 
    0)
  ), 
  ""
)
</f>
        <v/>
      </c>
      <c r="AU22" s="29" t="str">
        <f t="array" ref="AU22">IFERROR(
  INDEX(PLAYER_STAT!F$2:F64, 
    MATCH(1, 
      (PLAYER_STAT!A$2:A64 = MATCH_DATES!$A$5) * (PLAYER_STAT!D$2:D64 = $B22), 
    0)
  ), 
  ""
)
</f>
        <v/>
      </c>
      <c r="AV22" s="30" t="str">
        <f t="array" ref="AV22">IFERROR(
  INDEX(PLAYER_STAT!G$2:G64, 
    MATCH(1, 
      (PLAYER_STAT!A$2:A64 = MATCH_DATES!$A$5) * (PLAYER_STAT!D$2:D64 = $B22), 
    0)
  ), 
  ""
)
</f>
        <v/>
      </c>
      <c r="AW22" s="31">
        <f t="shared" si="22"/>
        <v>25</v>
      </c>
      <c r="AX22" s="32" t="str">
        <f t="shared" si="23"/>
        <v>↑</v>
      </c>
      <c r="AY22" s="21" t="s">
        <v>213</v>
      </c>
      <c r="AZ22" s="33">
        <f t="shared" si="24"/>
        <v>17</v>
      </c>
      <c r="BA22" s="22">
        <f t="shared" si="25"/>
        <v>2</v>
      </c>
      <c r="BB22" s="22">
        <f>SUM(BC22*2) + (BD22*1) + SUMIFS(MATCH_INPUT!$G$18:$G$21, MATCH_INPUT!$F$18:$F$21, AY22) + SUMIFS(MATCH_INPUT!$I$18:$I$21, MATCH_INPUT!$J$18:$J$21, AY22)
</f>
        <v>2</v>
      </c>
      <c r="BC22" s="22">
        <f>IF(AY22&lt;&gt;"",
    COUNTIFS(MATCH_INPUT!$K$18:$K$21,AY22),
0)</f>
        <v>0</v>
      </c>
      <c r="BD22" s="22">
        <f>IF(AY22&lt;&gt;"",
    COUNTIFS(MATCH_INPUT!$F$18:$F$21, AY22, MATCH_INPUT!$K$18:$K$21, "Draw") +
    COUNTIFS(MATCH_INPUT!$J$18:$J$21, AY22, MATCH_INPUT!$K$18:$K$21, "Draw"),
0)</f>
        <v>1</v>
      </c>
      <c r="BE22" s="22">
        <f>IF(AY22&lt;&gt;"",
    COUNTIFS(MATCH_INPUT!$F$18:$F$21, AY22, MATCH_INPUT!$K$18:$K$21, "&lt;&gt;"&amp;AY22, MATCH_INPUT!$K$18:$K$21, "&lt;&gt;Draw", MATCH_INPUT!$K$18:$K$21, "&lt;&gt;""") +
    COUNTIFS(MATCH_INPUT!$J$18:$J$21, AY22, MATCH_INPUT!$K$18:$K$21, "&lt;&gt;"&amp;AY22, MATCH_INPUT!$K$18:$K$21, "&lt;&gt;Draw", MATCH_INPUT!$K$18:$K$21, "&lt;&gt;"""),
0)</f>
        <v>1</v>
      </c>
      <c r="BF22" s="23" t="str">
        <f t="array" ref="BF22">IFERROR(
  INDEX(PLAYER_STAT!E$2:E64, 
    MATCH(1, 
      (PLAYER_STAT!A$2:A64 = MATCH_DATES!$A$6) * (PLAYER_STAT!D$2:D64 = $B22), 
    0)
  ), 
  ""
)
</f>
        <v/>
      </c>
      <c r="BG22" s="23" t="str">
        <f t="array" ref="BG22">IFERROR(
  INDEX(PLAYER_STAT!F$2:F64, 
    MATCH(1, 
      (PLAYER_STAT!A$2:A64 = MATCH_DATES!$A$6) * (PLAYER_STAT!D$2:D64 = $B22), 
    0)
  ), 
  ""
)
</f>
        <v/>
      </c>
      <c r="BH22" s="34" t="str">
        <f t="array" ref="BH22">IFERROR(
  INDEX(PLAYER_STAT!G$2:G64, 
    MATCH(1, 
      (PLAYER_STAT!A$2:A64 = MATCH_DATES!$A$6) * (PLAYER_STAT!D$2:D64 = $B22), 
    0)
  ), 
  ""
)
</f>
        <v/>
      </c>
      <c r="BI22" s="25">
        <f t="shared" si="26"/>
        <v>28</v>
      </c>
      <c r="BJ22" s="26" t="str">
        <f t="shared" si="27"/>
        <v>↓</v>
      </c>
      <c r="BK22" s="27" t="s">
        <v>213</v>
      </c>
      <c r="BL22" s="28">
        <f t="shared" si="28"/>
        <v>21</v>
      </c>
      <c r="BM22" s="28">
        <f t="shared" si="29"/>
        <v>2</v>
      </c>
      <c r="BN22" s="28">
        <f>SUM(BO22*2) + (BP22*1) + SUMIFS(MATCH_INPUT!$G$22:$G$25, MATCH_INPUT!$F$22:$F$25, BK22) + SUMIFS(MATCH_INPUT!$I$22:$I$25, MATCH_INPUT!$J$22:$J$25, BK22)
</f>
        <v>2</v>
      </c>
      <c r="BO22" s="28">
        <f>IF(BK22&lt;&gt;"",
    COUNTIFS(MATCH_INPUT!$K$22:$K$25,BK22),
0)</f>
        <v>0</v>
      </c>
      <c r="BP22" s="28">
        <f>IF(BK22&lt;&gt;"",
    COUNTIFS(MATCH_INPUT!$F$22:$F$25, BK22, MATCH_INPUT!$K$22:$K$25, "Draw") +
    COUNTIFS(MATCH_INPUT!$J$22:$J$25, BK22, MATCH_INPUT!$K$22:$K$25, "Draw"),
0)</f>
        <v>1</v>
      </c>
      <c r="BQ22" s="28">
        <f>IF(BK22&lt;&gt;"",
    COUNTIFS(MATCH_INPUT!$F$22:$F$25, BK22, MATCH_INPUT!$K$22:$K$25, "&lt;&gt;"&amp;BK22, MATCH_INPUT!$K$22:$K$25, "&lt;&gt;Draw", MATCH_INPUT!$K$22:$K$25, "&lt;&gt;""") +
    COUNTIFS(MATCH_INPUT!$J$22:$J$25, BK22, MATCH_INPUT!$K$22:$K$25, "&lt;&gt;"&amp;BK22, MATCH_INPUT!$K$22:$K$25, "&lt;&gt;Draw", MATCH_INPUT!$K$22:$K$25, "&lt;&gt;"""),
0)</f>
        <v>1</v>
      </c>
      <c r="BR22" s="29" t="str">
        <f t="array" ref="BR22">IFERROR(
  INDEX(PLAYER_STAT!E$2:E64, 
    MATCH(1, 
      (PLAYER_STAT!A$2:A64 = MATCH_DATES!$A$7) * (PLAYER_STAT!D$2:D64 = $B22), 
    0)
  ), 
  ""
)
</f>
        <v/>
      </c>
      <c r="BS22" s="29" t="str">
        <f t="array" ref="BS22">IFERROR(
  INDEX(PLAYER_STAT!F$2:F64, 
    MATCH(1, 
      (PLAYER_STAT!A$2:A64 = MATCH_DATES!$A$7) * (PLAYER_STAT!D$2:D64 = $B22), 
    0)
  ), 
  ""
)
</f>
        <v/>
      </c>
      <c r="BT22" s="30" t="str">
        <f t="array" ref="BT22">IFERROR(
  INDEX(PLAYER_STAT!G$2:G64, 
    MATCH(1, 
      (PLAYER_STAT!A$2:A64 = MATCH_DATES!$A$7) * (PLAYER_STAT!D$2:D64 = $B22), 
    0)
  ), 
  ""
)
</f>
        <v/>
      </c>
      <c r="BU22" s="31">
        <f t="shared" si="30"/>
        <v>28</v>
      </c>
      <c r="BV22" s="32" t="str">
        <f t="shared" si="31"/>
        <v>=</v>
      </c>
      <c r="BW22" s="21" t="s">
        <v>215</v>
      </c>
      <c r="BX22" s="33">
        <f t="shared" si="32"/>
        <v>28</v>
      </c>
      <c r="BY22" s="22">
        <f t="shared" si="33"/>
        <v>2</v>
      </c>
      <c r="BZ22" s="22">
        <f>SUM(CA22*2)+(CB22*1) + SUMIFS(MATCH_INPUT!$G$26:$G$29, MATCH_INPUT!$F$26:$F$29, BW22) + SUMIFS(MATCH_INPUT!$I$26:$I$29, MATCH_INPUT!$J$26:$J$29, BW22)
</f>
        <v>5</v>
      </c>
      <c r="CA22" s="22">
        <f>IF(BW22&lt;&gt;"",
    COUNTIFS(MATCH_INPUT!$K$26:$K$29,BW22),
0)</f>
        <v>0</v>
      </c>
      <c r="CB22" s="22">
        <f>IF(BW22&lt;&gt;"",
    COUNTIFS(MATCH_INPUT!$F$26:$F$29, BW22, MATCH_INPUT!$K$26:$K$29, "Draw") +
    COUNTIFS(MATCH_INPUT!$J$26:$J$29, BW22, MATCH_INPUT!$K$26:$K$29, "Draw"),
0)</f>
        <v>1</v>
      </c>
      <c r="CC22" s="22">
        <f>IF(BW22&lt;&gt;"",
    COUNTIFS(MATCH_INPUT!$F$26:$F$29, BW22, MATCH_INPUT!$K$26:$K$29, "&lt;&gt;"&amp;BW22, MATCH_INPUT!$K$26:$K$29, "&lt;&gt;Draw", MATCH_INPUT!$K$26:$K$29, "&lt;&gt;""") +
    COUNTIFS(MATCH_INPUT!$J$26:$J$29, BW22, MATCH_INPUT!$K$26:$K$29, "&lt;&gt;"&amp;BW22, MATCH_INPUT!$K$26:$K$29, "&lt;&gt;Draw", MATCH_INPUT!$K$26:$K$29, "&lt;&gt;"""),
0)</f>
        <v>1</v>
      </c>
      <c r="CD22" s="23">
        <f t="array" ref="CD22">IFERROR(
  INDEX(PLAYER_STAT!E$2:E64, 
    MATCH(1, 
      (PLAYER_STAT!A$2:A64 = MATCH_DATES!$A$8) * (PLAYER_STAT!D$2:D64 = $B22), 
    0)
  ), 
  ""
)
</f>
        <v>1</v>
      </c>
      <c r="CE22" s="23">
        <f t="array" ref="CE22">IFERROR(
  INDEX(PLAYER_STAT!F$2:F64, 
    MATCH(1, 
      (PLAYER_STAT!A$2:A64 = MATCH_DATES!$A$8) * (PLAYER_STAT!D$2:D64 = $B22), 
    0)
  ), 
  ""
)
</f>
        <v>0</v>
      </c>
      <c r="CF22" s="34">
        <f t="array" ref="CF22">IFERROR(
  INDEX(PLAYER_STAT!G$2:G64, 
    MATCH(1, 
      (PLAYER_STAT!A$2:A64 = MATCH_DATES!$A$8) * (PLAYER_STAT!D$2:D64 = $B22), 
    0)
  ), 
  ""
)
</f>
        <v>0</v>
      </c>
      <c r="CG22" s="25">
        <f t="shared" si="34"/>
        <v>27</v>
      </c>
      <c r="CH22" s="26" t="str">
        <f t="shared" si="35"/>
        <v>↑</v>
      </c>
      <c r="CI22" s="27" t="s">
        <v>212</v>
      </c>
      <c r="CJ22" s="28">
        <f t="shared" si="36"/>
        <v>39</v>
      </c>
      <c r="CK22" s="28">
        <f t="shared" si="37"/>
        <v>2</v>
      </c>
      <c r="CL22" s="28">
        <f>SUM(CM22*2)+(CN22*1) + SUMIFS(MATCH_INPUT!$G$30:$G$33, MATCH_INPUT!$F$30:$F$33, CI22) + SUMIFS(MATCH_INPUT!$I$30:$I$33, MATCH_INPUT!$J$30:$J$33, CI22)
</f>
        <v>9</v>
      </c>
      <c r="CM22" s="28">
        <f>IF(CI22&lt;&gt;"",
    COUNTIFS(MATCH_INPUT!$K$30:$K$33,CI22),
0)</f>
        <v>1</v>
      </c>
      <c r="CN22" s="28">
        <f>IF(CI22&lt;&gt;"",
    COUNTIFS(MATCH_INPUT!$F$30:$F$33, CI22, MATCH_INPUT!$K$30:$K$33, "Draw") +
    COUNTIFS(MATCH_INPUT!$J$30:$J$33, CI22, MATCH_INPUT!$K$30:$K$33, "Draw"),
0)</f>
        <v>1</v>
      </c>
      <c r="CO22" s="28">
        <f>IF(CI22&lt;&gt;"",
    COUNTIFS(MATCH_INPUT!$F$30:$F$33, CI22, MATCH_INPUT!$K$30:$K$33, "&lt;&gt;"&amp;CI22, MATCH_INPUT!$K$30:$K$33, "&lt;&gt;Draw", MATCH_INPUT!$K$30:$K$33, "&lt;&gt;""") +
    COUNTIFS(MATCH_INPUT!$J$30:$J$33, CI22, MATCH_INPUT!$K$30:$K$33, "&lt;&gt;"&amp;CI22, MATCH_INPUT!$K$30:$K$33, "&lt;&gt;Draw", MATCH_INPUT!$K$30:$K$33, "&lt;&gt;"""),
0)</f>
        <v>0</v>
      </c>
      <c r="CP22" s="29" t="str">
        <f t="array" ref="CP22">IFERROR(
  INDEX(PLAYER_STAT!E$2:E64, 
    MATCH(1, 
      (PLAYER_STAT!A$2:A64 = MATCH_DATES!$A$9) * (PLAYER_STAT!D$2:D64 = $B22), 
    0)
  ), 
  ""
)
</f>
        <v/>
      </c>
      <c r="CQ22" s="29" t="str">
        <f t="array" ref="CQ22">IFERROR(
  INDEX(PLAYER_STAT!F$2:F64, 
    MATCH(1, 
      (PLAYER_STAT!A$2:A64 = MATCH_DATES!$A$9) * (PLAYER_STAT!D$2:D64 = $B22), 
    0)
  ), 
  ""
)
</f>
        <v/>
      </c>
      <c r="CR22" s="29" t="str">
        <f t="array" ref="CR22">IFERROR(
  INDEX(PLAYER_STAT!G$2:G64, 
    MATCH(1, 
      (PLAYER_STAT!A$2:A64 = MATCH_DATES!$A$9) * (PLAYER_STAT!D$2:D64 = $B22), 
    0)
  ), 
  ""
)
</f>
        <v/>
      </c>
      <c r="CS22" s="35">
        <f t="shared" si="38"/>
        <v>25</v>
      </c>
      <c r="CT22" s="35" t="str">
        <f t="shared" si="39"/>
        <v>↑</v>
      </c>
      <c r="CU22" s="36">
        <f t="shared" si="40"/>
        <v>25</v>
      </c>
      <c r="CV22" s="36" t="str">
        <f t="shared" ref="CV22:CW22" si="97">A22</f>
        <v>🍂🎃</v>
      </c>
      <c r="CW22" s="37" t="str">
        <f t="shared" si="97"/>
        <v>José Blanco</v>
      </c>
      <c r="CX22" s="37">
        <f t="shared" si="42"/>
        <v>39</v>
      </c>
      <c r="CY22" s="36">
        <f>SUM(
  IF(AND(MATCH_DATES!$A$2 &lt;= TODAY(), NOW() &gt;= MATCH_DATES!$A$2 + TIME(22, 0, 0)), E22, 0),
  IF(AND(MATCH_DATES!$A$3 &lt;= TODAY(), NOW() &gt;= MATCH_DATES!$A$3 + TIME(22, 0, 0)), Q22, 0),
  IF(AND(MATCH_DATES!$A$4 &lt;= TODAY(), NOW() &gt;= MATCH_DATES!$A$4 + TIME(22, 0, 0)), AC22, 0),
  IF(AND(MATCH_DATES!$A$5 &lt;= TODAY(), NOW() &gt;= MATCH_DATES!$A$5 + TIME(22, 0, 0)), AO22, 0),
  IF(AND(MATCH_DATES!$A$6 &lt;= TODAY(), NOW() &gt;= MATCH_DATES!$A$6 + TIME(22, 0, 0)), BA22, 0),
  IF(AND(MATCH_DATES!$A$7 &lt;= TODAY(), NOW() &gt;= MATCH_DATES!$A$7 + TIME(22, 0, 0)), BM22, 0),
  IF(AND(MATCH_DATES!$A$8 &lt;= TODAY(), NOW() &gt;= MATCH_DATES!$A$8 + TIME(22, 0, 0)), BY22, 0),
  IF(AND(MATCH_DATES!$A$9 &lt;= TODAY(), NOW() &gt;= MATCH_DATES!$A$9 + TIME(22, 0, 0)), CK22, 0)
)
</f>
        <v>14</v>
      </c>
      <c r="CZ22" s="37">
        <f t="shared" ref="CZ22:DA22" si="98">SUM(G22,S22,AE22,AQ22,BC22,BO22,CA22,CM22)</f>
        <v>4</v>
      </c>
      <c r="DA22" s="37">
        <f t="shared" si="98"/>
        <v>5</v>
      </c>
      <c r="DB22" s="37">
        <f>SUM(
  IF(AND(MATCH_DATES!$A$2 &lt;= TODAY(), NOW() &gt;= MATCH_DATES!$A$2 + TIME(22, 0, 0)), I22, 0),
  IF(AND(MATCH_DATES!$A$3 &lt;= TODAY(), NOW() &gt;= MATCH_DATES!$A$3 + TIME(22, 0, 0)), U22, 0),
  IF(AND(MATCH_DATES!$A$4 &lt;= TODAY(), NOW() &gt;= MATCH_DATES!$A$4 + TIME(22, 0, 0)), AG22, 0),
  IF(AND(MATCH_DATES!$A$5 &lt;= TODAY(), NOW() &gt;= MATCH_DATES!$A$5 + TIME(22, 0, 0)), AS22, 0),
  IF(AND(MATCH_DATES!$A$6 &lt;= TODAY(), NOW() &gt;= MATCH_DATES!$A$6 + TIME(22, 0, 0)), BE22, 0),
  IF(AND(MATCH_DATES!$A$7 &lt;= TODAY(), NOW() &gt;= MATCH_DATES!$A$7 + TIME(22, 0, 0)), BQ22, 0),
  IF(AND(MATCH_DATES!$A$8 &lt;= TODAY(), NOW() &gt;= MATCH_DATES!$A$8 + TIME(22, 0, 0)), CC22, 0),
  IF(AND(MATCH_DATES!$A$9 &lt;= TODAY(), NOW() &gt;= MATCH_DATES!$A$9 + TIME(22, 0, 0)), CO22, 0)
)</f>
        <v>5</v>
      </c>
      <c r="DC22" s="37">
        <f t="shared" si="44"/>
        <v>3</v>
      </c>
      <c r="DD22" s="37">
        <f t="shared" ref="DD22:DE22" si="99">SUM(K22,W22,AI22,AU22,BG22,BS22,CE22,CQ22)</f>
        <v>0</v>
      </c>
      <c r="DE22" s="37">
        <f t="shared" si="99"/>
        <v>0</v>
      </c>
    </row>
    <row r="23" ht="24.75" customHeight="1">
      <c r="A23" s="19" t="s">
        <v>210</v>
      </c>
      <c r="B23" s="20" t="s">
        <v>229</v>
      </c>
      <c r="C23" s="21"/>
      <c r="D23" s="22">
        <f t="shared" si="4"/>
        <v>0</v>
      </c>
      <c r="E23" s="22">
        <f t="shared" si="5"/>
        <v>0</v>
      </c>
      <c r="F23" s="22">
        <f t="shared" si="6"/>
        <v>0</v>
      </c>
      <c r="G23" s="22">
        <f>IF(C23&lt;&gt;"",
    COUNTIFS(MATCH_INPUT!$K$2:$K$5,C23),
0)</f>
        <v>0</v>
      </c>
      <c r="H23" s="22">
        <f>IF(C23&lt;&gt;"",
    COUNTIFS(MATCH_INPUT!$F$2:$F$5, C23, MATCH_INPUT!$K$2:$K$5, "Draw") +
    COUNTIFS(MATCH_INPUT!$J$2:$J$5, C23, MATCH_INPUT!$K$2:$K$5, "Draw"),
0)</f>
        <v>0</v>
      </c>
      <c r="I23" s="22">
        <f>IF(C23&lt;&gt;"",
    COUNTIFS(MATCH_INPUT!$F$2:$F$5, C23, MATCH_INPUT!$K$2:$K$5, "&lt;&gt;"&amp;C23, MATCH_INPUT!$K$2:$K$5, "&lt;&gt;Draw", MATCH_INPUT!$K$2:$K$5, "&lt;&gt;""") +
    COUNTIFS(MATCH_INPUT!$J$2:$J$5, C23, MATCH_INPUT!$K$2:$K$5, "&lt;&gt;"&amp;C23, MATCH_INPUT!$K$2:$K$5, "&lt;&gt;Draw", MATCH_INPUT!$K$2:$K$5, "&lt;&gt;"""),
0)</f>
        <v>0</v>
      </c>
      <c r="J23" s="23" t="str">
        <f t="array" ref="J23">IFERROR(
  INDEX(PLAYER_STAT!E$2:E64, 
    MATCH(1, 
      (PLAYER_STAT!A$2:A64 = MATCH_DATES!$A$2) * (PLAYER_STAT!D$2:D64 = $B23), 
    0)
  ), 
  ""
)
</f>
        <v/>
      </c>
      <c r="K23" s="23" t="str">
        <f t="array" ref="K23">IFERROR(
  INDEX(PLAYER_STAT!F$2:F64, 
    MATCH(1, 
      (PLAYER_STAT!A$2:A64 = MATCH_DATES!$A$2) * (PLAYER_STAT!D$2:D64 = $B23), 
    0)
  ), 
  ""
)
</f>
        <v/>
      </c>
      <c r="L23" s="24" t="str">
        <f t="array" ref="L23">IFERROR(
  INDEX(PLAYER_STAT!G$2:G64, 
    MATCH(1, 
      (PLAYER_STAT!A$2:A64 = MATCH_DATES!$A$2) * (PLAYER_STAT!D$2:D64 = $B23), 
    0)
  ), 
  ""
)
</f>
        <v/>
      </c>
      <c r="M23" s="25">
        <f t="shared" si="7"/>
        <v>33</v>
      </c>
      <c r="N23" s="26" t="str">
        <f t="shared" si="8"/>
        <v>↓</v>
      </c>
      <c r="O23" s="27" t="s">
        <v>212</v>
      </c>
      <c r="P23" s="28">
        <f t="shared" si="9"/>
        <v>3</v>
      </c>
      <c r="Q23" s="28">
        <f t="shared" si="10"/>
        <v>2</v>
      </c>
      <c r="R23" s="28">
        <f t="shared" si="11"/>
        <v>1</v>
      </c>
      <c r="S23" s="28">
        <f>IF(O23&lt;&gt;"",
    COUNTIFS(MATCH_INPUT!$K$6:$K$9,O23),
0)</f>
        <v>0</v>
      </c>
      <c r="T23" s="28">
        <f>IF(O23&lt;&gt;"",
    COUNTIFS(MATCH_INPUT!$F$6:$F$9, O23, MATCH_INPUT!$K$6:$K$9, "Draw") +
    COUNTIFS(MATCH_INPUT!$J$6:$J$9, O23, MATCH_INPUT!$K$6:$K$9, "Draw"),
0)</f>
        <v>1</v>
      </c>
      <c r="U23" s="28">
        <f>IF(O23&lt;&gt;"",
    COUNTIFS(MATCH_INPUT!$F$6:$F$9, O23, MATCH_INPUT!$K$6:$K$9, "&lt;&gt;"&amp;O23, MATCH_INPUT!$K$6:$K$9, "&lt;&gt;Draw", MATCH_INPUT!$K$6:$K$9, "&lt;&gt;""") +
    COUNTIFS(MATCH_INPUT!$J$6:$J$9, O23, MATCH_INPUT!$K$6:$K$9, "&lt;&gt;"&amp;O23, MATCH_INPUT!$K$6:$K$9, "&lt;&gt;Draw", MATCH_INPUT!$K$6:$K$9, "&lt;&gt;"""),
0)</f>
        <v>1</v>
      </c>
      <c r="V23" s="29" t="str">
        <f t="array" ref="V23">IFERROR(
  INDEX(PLAYER_STAT!E$2:E64, 
    MATCH(1, 
      (PLAYER_STAT!A$2:A64 = MATCH_DATES!$A$3) * (PLAYER_STAT!D$2:D64 = $B23), 
    0)
  ), 
  ""
)
</f>
        <v/>
      </c>
      <c r="W23" s="29" t="str">
        <f t="array" ref="W23">IFERROR(
  INDEX(PLAYER_STAT!F$2:F64, 
    MATCH(1, 
      (PLAYER_STAT!A$2:A64 = MATCH_DATES!$A$3) * (PLAYER_STAT!D$2:D64 = $B23), 
    0)
  ), 
  ""
)
</f>
        <v/>
      </c>
      <c r="X23" s="30" t="str">
        <f t="array" ref="X23">IFERROR(
  INDEX(PLAYER_STAT!G$2:G64, 
    MATCH(1, 
      (PLAYER_STAT!A$2:A64 = MATCH_DATES!$A$3) * (PLAYER_STAT!D$2:D64 = $B23), 
    0)
  ), 
  ""
)
</f>
        <v/>
      </c>
      <c r="Y23" s="31">
        <f t="shared" si="12"/>
        <v>34</v>
      </c>
      <c r="Z23" s="32" t="str">
        <f t="shared" si="13"/>
        <v>↓</v>
      </c>
      <c r="AA23" s="21" t="s">
        <v>215</v>
      </c>
      <c r="AB23" s="33">
        <f t="shared" si="14"/>
        <v>5</v>
      </c>
      <c r="AC23" s="22">
        <f t="shared" si="15"/>
        <v>2</v>
      </c>
      <c r="AD23" s="22">
        <f t="shared" si="16"/>
        <v>0</v>
      </c>
      <c r="AE23" s="22">
        <f>IF(AA23&lt;&gt;"",
    COUNTIFS(MATCH_INPUT!$K$10:$K$13,AA23),
0)</f>
        <v>0</v>
      </c>
      <c r="AF23" s="22">
        <f>IF(AA23&lt;&gt;"",
    COUNTIFS(MATCH_INPUT!$F$10:$F$13, AA23, MATCH_INPUT!$K$10:$K$13, "Draw") +
    COUNTIFS(MATCH_INPUT!$J$10:$J$13, AA23, MATCH_INPUT!$K$10:$K$13, "Draw"),
0)</f>
        <v>0</v>
      </c>
      <c r="AG23" s="22">
        <f>IF(AA23&lt;&gt;"",
    COUNTIFS(MATCH_INPUT!$F$10:$F$13, AA23, MATCH_INPUT!$K$10:$K$13, "&lt;&gt;"&amp;AA23, MATCH_INPUT!$K$10:$K$13, "&lt;&gt;Draw", MATCH_INPUT!$K$10:$K$13, "&lt;&gt;""") +
    COUNTIFS(MATCH_INPUT!$J$10:$J$13, AA23, MATCH_INPUT!$K$10:$K$13, "&lt;&gt;"&amp;AA23, MATCH_INPUT!$K$10:$K$13, "&lt;&gt;Draw", MATCH_INPUT!$K$10:$K$13, "&lt;&gt;"""),
0)</f>
        <v>2</v>
      </c>
      <c r="AH23" s="23" t="str">
        <f t="array" ref="AH23">IFERROR(
  INDEX(PLAYER_STAT!E$2:E64, 
    MATCH(1, 
      (PLAYER_STAT!A$2:A64 = MATCH_DATES!$A$4) * (PLAYER_STAT!D$2:D64 = $B23), 
    0)
  ), 
  ""
)
</f>
        <v/>
      </c>
      <c r="AI23" s="23" t="str">
        <f t="array" ref="AI23">IFERROR(
  INDEX(PLAYER_STAT!F$2:F64, 
    MATCH(1, 
      (PLAYER_STAT!A$2:A64 = MATCH_DATES!$A$4) * (PLAYER_STAT!D$2:D64 = $B23), 
    0)
  ), 
  ""
)
</f>
        <v/>
      </c>
      <c r="AJ23" s="34" t="str">
        <f t="array" ref="AJ23">IFERROR(
  INDEX(PLAYER_STAT!G$2:G64, 
    MATCH(1, 
      (PLAYER_STAT!A$2:A64 = MATCH_DATES!$A$4) * (PLAYER_STAT!D$2:D64 = $B23), 
    0)
  ), 
  ""
)
</f>
        <v/>
      </c>
      <c r="AK23" s="25">
        <f t="shared" si="17"/>
        <v>35</v>
      </c>
      <c r="AL23" s="26" t="str">
        <f t="shared" si="18"/>
        <v>↓</v>
      </c>
      <c r="AM23" s="27"/>
      <c r="AN23" s="28">
        <f t="shared" si="19"/>
        <v>5</v>
      </c>
      <c r="AO23" s="28">
        <f t="shared" si="20"/>
        <v>0</v>
      </c>
      <c r="AP23" s="28">
        <f t="shared" si="21"/>
        <v>0</v>
      </c>
      <c r="AQ23" s="28">
        <f>IF(AM23&lt;&gt;"",
    COUNTIFS(MATCH_INPUT!$K$14:$K$17,AM23),
0)</f>
        <v>0</v>
      </c>
      <c r="AR23" s="28">
        <f>IF(AM23&lt;&gt;"",
    COUNTIFS(MATCH_INPUT!$F$14:$F$17, AM23, MATCH_INPUT!$K$14:$K$17, "Draw") +
    COUNTIFS(MATCH_INPUT!$J$14:$J$17, AM23, MATCH_INPUT!$K$14:$K$17, "Draw"),
0)</f>
        <v>0</v>
      </c>
      <c r="AS23" s="28">
        <f>IF(AM23&lt;&gt;"",
    COUNTIFS(MATCH_INPUT!$F$14:$F$17, AM23, MATCH_INPUT!$K$14:$K$17, "&lt;&gt;"&amp;AM23, MATCH_INPUT!$K$14:$K$17, "&lt;&gt;Draw", MATCH_INPUT!$K$14:$K$17, "&lt;&gt;""") +
    COUNTIFS(MATCH_INPUT!$J$14:$J$17, AM23, MATCH_INPUT!$K$14:$K$17, "&lt;&gt;"&amp;AM23, MATCH_INPUT!$K$14:$K$17, "&lt;&gt;Draw", MATCH_INPUT!$K$14:$K$17, "&lt;&gt;"""),
0)</f>
        <v>0</v>
      </c>
      <c r="AT23" s="29" t="str">
        <f t="array" ref="AT23">IFERROR(
  INDEX(PLAYER_STAT!E$2:E64, 
    MATCH(1, 
      (PLAYER_STAT!A$2:A64 = MATCH_DATES!$A$5) * (PLAYER_STAT!D$2:D64 = $B23), 
    0)
  ), 
  ""
)
</f>
        <v/>
      </c>
      <c r="AU23" s="29" t="str">
        <f t="array" ref="AU23">IFERROR(
  INDEX(PLAYER_STAT!F$2:F64, 
    MATCH(1, 
      (PLAYER_STAT!A$2:A64 = MATCH_DATES!$A$5) * (PLAYER_STAT!D$2:D64 = $B23), 
    0)
  ), 
  ""
)
</f>
        <v/>
      </c>
      <c r="AV23" s="30" t="str">
        <f t="array" ref="AV23">IFERROR(
  INDEX(PLAYER_STAT!G$2:G64, 
    MATCH(1, 
      (PLAYER_STAT!A$2:A64 = MATCH_DATES!$A$5) * (PLAYER_STAT!D$2:D64 = $B23), 
    0)
  ), 
  ""
)
</f>
        <v/>
      </c>
      <c r="AW23" s="31">
        <f t="shared" si="22"/>
        <v>35</v>
      </c>
      <c r="AX23" s="32" t="str">
        <f t="shared" si="23"/>
        <v>=</v>
      </c>
      <c r="AY23" s="21" t="s">
        <v>214</v>
      </c>
      <c r="AZ23" s="33">
        <f t="shared" si="24"/>
        <v>16</v>
      </c>
      <c r="BA23" s="22">
        <f t="shared" si="25"/>
        <v>2</v>
      </c>
      <c r="BB23" s="22">
        <f>SUM(BC23*2) + (BD23*1) + SUMIFS(MATCH_INPUT!$G$18:$G$21, MATCH_INPUT!$F$18:$F$21, AY23) + SUMIFS(MATCH_INPUT!$I$18:$I$21, MATCH_INPUT!$J$18:$J$21, AY23)
</f>
        <v>9</v>
      </c>
      <c r="BC23" s="22">
        <f>IF(AY23&lt;&gt;"",
    COUNTIFS(MATCH_INPUT!$K$18:$K$21,AY23),
0)</f>
        <v>1</v>
      </c>
      <c r="BD23" s="22">
        <f>IF(AY23&lt;&gt;"",
    COUNTIFS(MATCH_INPUT!$F$18:$F$21, AY23, MATCH_INPUT!$K$18:$K$21, "Draw") +
    COUNTIFS(MATCH_INPUT!$J$18:$J$21, AY23, MATCH_INPUT!$K$18:$K$21, "Draw"),
0)</f>
        <v>1</v>
      </c>
      <c r="BE23" s="22">
        <f>IF(AY23&lt;&gt;"",
    COUNTIFS(MATCH_INPUT!$F$18:$F$21, AY23, MATCH_INPUT!$K$18:$K$21, "&lt;&gt;"&amp;AY23, MATCH_INPUT!$K$18:$K$21, "&lt;&gt;Draw", MATCH_INPUT!$K$18:$K$21, "&lt;&gt;""") +
    COUNTIFS(MATCH_INPUT!$J$18:$J$21, AY23, MATCH_INPUT!$K$18:$K$21, "&lt;&gt;"&amp;AY23, MATCH_INPUT!$K$18:$K$21, "&lt;&gt;Draw", MATCH_INPUT!$K$18:$K$21, "&lt;&gt;"""),
0)</f>
        <v>0</v>
      </c>
      <c r="BF23" s="23" t="str">
        <f t="array" ref="BF23">IFERROR(
  INDEX(PLAYER_STAT!E$2:E64, 
    MATCH(1, 
      (PLAYER_STAT!A$2:A64 = MATCH_DATES!$A$6) * (PLAYER_STAT!D$2:D64 = $B23), 
    0)
  ), 
  ""
)
</f>
        <v/>
      </c>
      <c r="BG23" s="23" t="str">
        <f t="array" ref="BG23">IFERROR(
  INDEX(PLAYER_STAT!F$2:F64, 
    MATCH(1, 
      (PLAYER_STAT!A$2:A64 = MATCH_DATES!$A$6) * (PLAYER_STAT!D$2:D64 = $B23), 
    0)
  ), 
  ""
)
</f>
        <v/>
      </c>
      <c r="BH23" s="34" t="str">
        <f t="array" ref="BH23">IFERROR(
  INDEX(PLAYER_STAT!G$2:G64, 
    MATCH(1, 
      (PLAYER_STAT!A$2:A64 = MATCH_DATES!$A$6) * (PLAYER_STAT!D$2:D64 = $B23), 
    0)
  ), 
  ""
)
</f>
        <v/>
      </c>
      <c r="BI23" s="25">
        <f t="shared" si="26"/>
        <v>30</v>
      </c>
      <c r="BJ23" s="26" t="str">
        <f t="shared" si="27"/>
        <v>↑</v>
      </c>
      <c r="BK23" s="27" t="s">
        <v>215</v>
      </c>
      <c r="BL23" s="28">
        <f t="shared" si="28"/>
        <v>30</v>
      </c>
      <c r="BM23" s="28">
        <f t="shared" si="29"/>
        <v>2</v>
      </c>
      <c r="BN23" s="28">
        <f>SUM(BO23*2) + (BP23*1) + SUMIFS(MATCH_INPUT!$G$22:$G$25, MATCH_INPUT!$F$22:$F$25, BK23) + SUMIFS(MATCH_INPUT!$I$22:$I$25, MATCH_INPUT!$J$22:$J$25, BK23)
</f>
        <v>12</v>
      </c>
      <c r="BO23" s="28">
        <f>IF(BK23&lt;&gt;"",
    COUNTIFS(MATCH_INPUT!$K$22:$K$25,BK23),
0)</f>
        <v>2</v>
      </c>
      <c r="BP23" s="28">
        <f>IF(BK23&lt;&gt;"",
    COUNTIFS(MATCH_INPUT!$F$22:$F$25, BK23, MATCH_INPUT!$K$22:$K$25, "Draw") +
    COUNTIFS(MATCH_INPUT!$J$22:$J$25, BK23, MATCH_INPUT!$K$22:$K$25, "Draw"),
0)</f>
        <v>0</v>
      </c>
      <c r="BQ23" s="28">
        <f>IF(BK23&lt;&gt;"",
    COUNTIFS(MATCH_INPUT!$F$22:$F$25, BK23, MATCH_INPUT!$K$22:$K$25, "&lt;&gt;"&amp;BK23, MATCH_INPUT!$K$22:$K$25, "&lt;&gt;Draw", MATCH_INPUT!$K$22:$K$25, "&lt;&gt;""") +
    COUNTIFS(MATCH_INPUT!$J$22:$J$25, BK23, MATCH_INPUT!$K$22:$K$25, "&lt;&gt;"&amp;BK23, MATCH_INPUT!$K$22:$K$25, "&lt;&gt;Draw", MATCH_INPUT!$K$22:$K$25, "&lt;&gt;"""),
0)</f>
        <v>0</v>
      </c>
      <c r="BR23" s="29" t="str">
        <f t="array" ref="BR23">IFERROR(
  INDEX(PLAYER_STAT!E$2:E64, 
    MATCH(1, 
      (PLAYER_STAT!A$2:A64 = MATCH_DATES!$A$7) * (PLAYER_STAT!D$2:D64 = $B23), 
    0)
  ), 
  ""
)
</f>
        <v/>
      </c>
      <c r="BS23" s="29" t="str">
        <f t="array" ref="BS23">IFERROR(
  INDEX(PLAYER_STAT!F$2:F64, 
    MATCH(1, 
      (PLAYER_STAT!A$2:A64 = MATCH_DATES!$A$7) * (PLAYER_STAT!D$2:D64 = $B23), 
    0)
  ), 
  ""
)
</f>
        <v/>
      </c>
      <c r="BT23" s="30" t="str">
        <f t="array" ref="BT23">IFERROR(
  INDEX(PLAYER_STAT!G$2:G64, 
    MATCH(1, 
      (PLAYER_STAT!A$2:A64 = MATCH_DATES!$A$7) * (PLAYER_STAT!D$2:D64 = $B23), 
    0)
  ), 
  ""
)
</f>
        <v/>
      </c>
      <c r="BU23" s="31">
        <f t="shared" si="30"/>
        <v>17</v>
      </c>
      <c r="BV23" s="32" t="str">
        <f t="shared" si="31"/>
        <v>↑</v>
      </c>
      <c r="BW23" s="21" t="s">
        <v>214</v>
      </c>
      <c r="BX23" s="33">
        <f t="shared" si="32"/>
        <v>33</v>
      </c>
      <c r="BY23" s="22">
        <f t="shared" si="33"/>
        <v>2</v>
      </c>
      <c r="BZ23" s="22">
        <f>SUM(CA23*2)+(CB23*1) + SUMIFS(MATCH_INPUT!$G$26:$G$29, MATCH_INPUT!$F$26:$F$29, BW23) + SUMIFS(MATCH_INPUT!$I$26:$I$29, MATCH_INPUT!$J$26:$J$29, BW23)
</f>
        <v>1</v>
      </c>
      <c r="CA23" s="22">
        <f>IF(BW23&lt;&gt;"",
    COUNTIFS(MATCH_INPUT!$K$26:$K$29,BW23),
0)</f>
        <v>0</v>
      </c>
      <c r="CB23" s="22">
        <f>IF(BW23&lt;&gt;"",
    COUNTIFS(MATCH_INPUT!$F$26:$F$29, BW23, MATCH_INPUT!$K$26:$K$29, "Draw") +
    COUNTIFS(MATCH_INPUT!$J$26:$J$29, BW23, MATCH_INPUT!$K$26:$K$29, "Draw"),
0)</f>
        <v>0</v>
      </c>
      <c r="CC23" s="22">
        <f>IF(BW23&lt;&gt;"",
    COUNTIFS(MATCH_INPUT!$F$26:$F$29, BW23, MATCH_INPUT!$K$26:$K$29, "&lt;&gt;"&amp;BW23, MATCH_INPUT!$K$26:$K$29, "&lt;&gt;Draw", MATCH_INPUT!$K$26:$K$29, "&lt;&gt;""") +
    COUNTIFS(MATCH_INPUT!$J$26:$J$29, BW23, MATCH_INPUT!$K$26:$K$29, "&lt;&gt;"&amp;BW23, MATCH_INPUT!$K$26:$K$29, "&lt;&gt;Draw", MATCH_INPUT!$K$26:$K$29, "&lt;&gt;"""),
0)</f>
        <v>2</v>
      </c>
      <c r="CD23" s="23" t="str">
        <f t="array" ref="CD23">IFERROR(
  INDEX(PLAYER_STAT!E$2:E64, 
    MATCH(1, 
      (PLAYER_STAT!A$2:A64 = MATCH_DATES!$A$8) * (PLAYER_STAT!D$2:D64 = $B23), 
    0)
  ), 
  ""
)
</f>
        <v/>
      </c>
      <c r="CE23" s="23" t="str">
        <f t="array" ref="CE23">IFERROR(
  INDEX(PLAYER_STAT!F$2:F64, 
    MATCH(1, 
      (PLAYER_STAT!A$2:A64 = MATCH_DATES!$A$8) * (PLAYER_STAT!D$2:D64 = $B23), 
    0)
  ), 
  ""
)
</f>
        <v/>
      </c>
      <c r="CF23" s="34" t="str">
        <f t="array" ref="CF23">IFERROR(
  INDEX(PLAYER_STAT!G$2:G64, 
    MATCH(1, 
      (PLAYER_STAT!A$2:A64 = MATCH_DATES!$A$8) * (PLAYER_STAT!D$2:D64 = $B23), 
    0)
  ), 
  ""
)
</f>
        <v/>
      </c>
      <c r="CG23" s="25">
        <f t="shared" si="34"/>
        <v>23</v>
      </c>
      <c r="CH23" s="26" t="str">
        <f t="shared" si="35"/>
        <v>↓</v>
      </c>
      <c r="CI23" s="27" t="s">
        <v>214</v>
      </c>
      <c r="CJ23" s="28">
        <f t="shared" si="36"/>
        <v>42</v>
      </c>
      <c r="CK23" s="28">
        <f t="shared" si="37"/>
        <v>2</v>
      </c>
      <c r="CL23" s="28">
        <f>SUM(CM23*2)+(CN23*1) + SUMIFS(MATCH_INPUT!$G$30:$G$33, MATCH_INPUT!$F$30:$F$33, CI23) + SUMIFS(MATCH_INPUT!$I$30:$I$33, MATCH_INPUT!$J$30:$J$33, CI23)
</f>
        <v>7</v>
      </c>
      <c r="CM23" s="28">
        <f>IF(CI23&lt;&gt;"",
    COUNTIFS(MATCH_INPUT!$K$30:$K$33,CI23),
0)</f>
        <v>1</v>
      </c>
      <c r="CN23" s="28">
        <f>IF(CI23&lt;&gt;"",
    COUNTIFS(MATCH_INPUT!$F$30:$F$33, CI23, MATCH_INPUT!$K$30:$K$33, "Draw") +
    COUNTIFS(MATCH_INPUT!$J$30:$J$33, CI23, MATCH_INPUT!$K$30:$K$33, "Draw"),
0)</f>
        <v>1</v>
      </c>
      <c r="CO23" s="28">
        <f>IF(CI23&lt;&gt;"",
    COUNTIFS(MATCH_INPUT!$F$30:$F$33, CI23, MATCH_INPUT!$K$30:$K$33, "&lt;&gt;"&amp;CI23, MATCH_INPUT!$K$30:$K$33, "&lt;&gt;Draw", MATCH_INPUT!$K$30:$K$33, "&lt;&gt;""") +
    COUNTIFS(MATCH_INPUT!$J$30:$J$33, CI23, MATCH_INPUT!$K$30:$K$33, "&lt;&gt;"&amp;CI23, MATCH_INPUT!$K$30:$K$33, "&lt;&gt;Draw", MATCH_INPUT!$K$30:$K$33, "&lt;&gt;"""),
0)</f>
        <v>0</v>
      </c>
      <c r="CP23" s="29" t="str">
        <f t="array" ref="CP23">IFERROR(
  INDEX(PLAYER_STAT!E$2:E64, 
    MATCH(1, 
      (PLAYER_STAT!A$2:A64 = MATCH_DATES!$A$9) * (PLAYER_STAT!D$2:D64 = $B23), 
    0)
  ), 
  ""
)
</f>
        <v/>
      </c>
      <c r="CQ23" s="29" t="str">
        <f t="array" ref="CQ23">IFERROR(
  INDEX(PLAYER_STAT!F$2:F64, 
    MATCH(1, 
      (PLAYER_STAT!A$2:A64 = MATCH_DATES!$A$9) * (PLAYER_STAT!D$2:D64 = $B23), 
    0)
  ), 
  ""
)
</f>
        <v/>
      </c>
      <c r="CR23" s="29" t="str">
        <f t="array" ref="CR23">IFERROR(
  INDEX(PLAYER_STAT!G$2:G64, 
    MATCH(1, 
      (PLAYER_STAT!A$2:A64 = MATCH_DATES!$A$9) * (PLAYER_STAT!D$2:D64 = $B23), 
    0)
  ), 
  ""
)
</f>
        <v/>
      </c>
      <c r="CS23" s="35">
        <f t="shared" si="38"/>
        <v>23</v>
      </c>
      <c r="CT23" s="35" t="str">
        <f t="shared" si="39"/>
        <v>=</v>
      </c>
      <c r="CU23" s="36">
        <f t="shared" si="40"/>
        <v>30</v>
      </c>
      <c r="CV23" s="36" t="str">
        <f t="shared" ref="CV23:CW23" si="100">A23</f>
        <v>🍂🎃</v>
      </c>
      <c r="CW23" s="37" t="str">
        <f t="shared" si="100"/>
        <v>José Sarza</v>
      </c>
      <c r="CX23" s="37">
        <f t="shared" si="42"/>
        <v>42</v>
      </c>
      <c r="CY23" s="36">
        <f>SUM(
  IF(AND(MATCH_DATES!$A$2 &lt;= TODAY(), NOW() &gt;= MATCH_DATES!$A$2 + TIME(22, 0, 0)), E23, 0),
  IF(AND(MATCH_DATES!$A$3 &lt;= TODAY(), NOW() &gt;= MATCH_DATES!$A$3 + TIME(22, 0, 0)), Q23, 0),
  IF(AND(MATCH_DATES!$A$4 &lt;= TODAY(), NOW() &gt;= MATCH_DATES!$A$4 + TIME(22, 0, 0)), AC23, 0),
  IF(AND(MATCH_DATES!$A$5 &lt;= TODAY(), NOW() &gt;= MATCH_DATES!$A$5 + TIME(22, 0, 0)), AO23, 0),
  IF(AND(MATCH_DATES!$A$6 &lt;= TODAY(), NOW() &gt;= MATCH_DATES!$A$6 + TIME(22, 0, 0)), BA23, 0),
  IF(AND(MATCH_DATES!$A$7 &lt;= TODAY(), NOW() &gt;= MATCH_DATES!$A$7 + TIME(22, 0, 0)), BM23, 0),
  IF(AND(MATCH_DATES!$A$8 &lt;= TODAY(), NOW() &gt;= MATCH_DATES!$A$8 + TIME(22, 0, 0)), BY23, 0),
  IF(AND(MATCH_DATES!$A$9 &lt;= TODAY(), NOW() &gt;= MATCH_DATES!$A$9 + TIME(22, 0, 0)), CK23, 0)
)
</f>
        <v>12</v>
      </c>
      <c r="CZ23" s="37">
        <f t="shared" ref="CZ23:DA23" si="101">SUM(G23,S23,AE23,AQ23,BC23,BO23,CA23,CM23)</f>
        <v>4</v>
      </c>
      <c r="DA23" s="37">
        <f t="shared" si="101"/>
        <v>3</v>
      </c>
      <c r="DB23" s="37">
        <f>SUM(
  IF(AND(MATCH_DATES!$A$2 &lt;= TODAY(), NOW() &gt;= MATCH_DATES!$A$2 + TIME(22, 0, 0)), I23, 0),
  IF(AND(MATCH_DATES!$A$3 &lt;= TODAY(), NOW() &gt;= MATCH_DATES!$A$3 + TIME(22, 0, 0)), U23, 0),
  IF(AND(MATCH_DATES!$A$4 &lt;= TODAY(), NOW() &gt;= MATCH_DATES!$A$4 + TIME(22, 0, 0)), AG23, 0),
  IF(AND(MATCH_DATES!$A$5 &lt;= TODAY(), NOW() &gt;= MATCH_DATES!$A$5 + TIME(22, 0, 0)), AS23, 0),
  IF(AND(MATCH_DATES!$A$6 &lt;= TODAY(), NOW() &gt;= MATCH_DATES!$A$6 + TIME(22, 0, 0)), BE23, 0),
  IF(AND(MATCH_DATES!$A$7 &lt;= TODAY(), NOW() &gt;= MATCH_DATES!$A$7 + TIME(22, 0, 0)), BQ23, 0),
  IF(AND(MATCH_DATES!$A$8 &lt;= TODAY(), NOW() &gt;= MATCH_DATES!$A$8 + TIME(22, 0, 0)), CC23, 0),
  IF(AND(MATCH_DATES!$A$9 &lt;= TODAY(), NOW() &gt;= MATCH_DATES!$A$9 + TIME(22, 0, 0)), CO23, 0)
)</f>
        <v>5</v>
      </c>
      <c r="DC23" s="37">
        <f t="shared" si="44"/>
        <v>0</v>
      </c>
      <c r="DD23" s="37">
        <f t="shared" ref="DD23:DE23" si="102">SUM(K23,W23,AI23,AU23,BG23,BS23,CE23,CQ23)</f>
        <v>0</v>
      </c>
      <c r="DE23" s="37">
        <f t="shared" si="102"/>
        <v>0</v>
      </c>
    </row>
    <row r="24" ht="24.75" customHeight="1">
      <c r="A24" s="19" t="s">
        <v>210</v>
      </c>
      <c r="B24" s="38" t="s">
        <v>230</v>
      </c>
      <c r="C24" s="21" t="s">
        <v>214</v>
      </c>
      <c r="D24" s="22">
        <f t="shared" si="4"/>
        <v>6</v>
      </c>
      <c r="E24" s="22">
        <f t="shared" si="5"/>
        <v>2</v>
      </c>
      <c r="F24" s="22">
        <f t="shared" si="6"/>
        <v>4</v>
      </c>
      <c r="G24" s="22">
        <f>IF(C24&lt;&gt;"",
    COUNTIFS(MATCH_INPUT!$K$2:$K$5,C24),
0)</f>
        <v>2</v>
      </c>
      <c r="H24" s="22">
        <f>IF(C24&lt;&gt;"",
    COUNTIFS(MATCH_INPUT!$F$2:$F$5, C24, MATCH_INPUT!$K$2:$K$5, "Draw") +
    COUNTIFS(MATCH_INPUT!$J$2:$J$5, C24, MATCH_INPUT!$K$2:$K$5, "Draw"),
0)</f>
        <v>0</v>
      </c>
      <c r="I24" s="22">
        <f>IF(C24&lt;&gt;"",
    COUNTIFS(MATCH_INPUT!$F$2:$F$5, C24, MATCH_INPUT!$K$2:$K$5, "&lt;&gt;"&amp;C24, MATCH_INPUT!$K$2:$K$5, "&lt;&gt;Draw", MATCH_INPUT!$K$2:$K$5, "&lt;&gt;""") +
    COUNTIFS(MATCH_INPUT!$J$2:$J$5, C24, MATCH_INPUT!$K$2:$K$5, "&lt;&gt;"&amp;C24, MATCH_INPUT!$K$2:$K$5, "&lt;&gt;Draw", MATCH_INPUT!$K$2:$K$5, "&lt;&gt;"""),
0)</f>
        <v>0</v>
      </c>
      <c r="J24" s="23">
        <f t="array" ref="J24">IFERROR(
  INDEX(PLAYER_STAT!E$2:E64, 
    MATCH(1, 
      (PLAYER_STAT!A$2:A64 = MATCH_DATES!$A$2) * (PLAYER_STAT!D$2:D64 = $B24), 
    0)
  ), 
  ""
)
</f>
        <v>1</v>
      </c>
      <c r="K24" s="23">
        <f t="array" ref="K24">IFERROR(
  INDEX(PLAYER_STAT!F$2:F64, 
    MATCH(1, 
      (PLAYER_STAT!A$2:A64 = MATCH_DATES!$A$2) * (PLAYER_STAT!D$2:D64 = $B24), 
    0)
  ), 
  ""
)
</f>
        <v>0</v>
      </c>
      <c r="L24" s="24">
        <f t="array" ref="L24">IFERROR(
  INDEX(PLAYER_STAT!G$2:G64, 
    MATCH(1, 
      (PLAYER_STAT!A$2:A64 = MATCH_DATES!$A$2) * (PLAYER_STAT!D$2:D64 = $B24), 
    0)
  ), 
  ""
)
</f>
        <v>0</v>
      </c>
      <c r="M24" s="25">
        <f t="shared" si="7"/>
        <v>2</v>
      </c>
      <c r="N24" s="26" t="str">
        <f t="shared" si="8"/>
        <v>↓</v>
      </c>
      <c r="O24" s="27" t="s">
        <v>214</v>
      </c>
      <c r="P24" s="28">
        <f t="shared" si="9"/>
        <v>10</v>
      </c>
      <c r="Q24" s="28">
        <f t="shared" si="10"/>
        <v>2</v>
      </c>
      <c r="R24" s="28">
        <f t="shared" si="11"/>
        <v>2</v>
      </c>
      <c r="S24" s="28">
        <f>IF(O24&lt;&gt;"",
    COUNTIFS(MATCH_INPUT!$K$6:$K$9,O24),
0)</f>
        <v>0</v>
      </c>
      <c r="T24" s="28">
        <f>IF(O24&lt;&gt;"",
    COUNTIFS(MATCH_INPUT!$F$6:$F$9, O24, MATCH_INPUT!$K$6:$K$9, "Draw") +
    COUNTIFS(MATCH_INPUT!$J$6:$J$9, O24, MATCH_INPUT!$K$6:$K$9, "Draw"),
0)</f>
        <v>2</v>
      </c>
      <c r="U24" s="28">
        <f>IF(O24&lt;&gt;"",
    COUNTIFS(MATCH_INPUT!$F$6:$F$9, O24, MATCH_INPUT!$K$6:$K$9, "&lt;&gt;"&amp;O24, MATCH_INPUT!$K$6:$K$9, "&lt;&gt;Draw", MATCH_INPUT!$K$6:$K$9, "&lt;&gt;""") +
    COUNTIFS(MATCH_INPUT!$J$6:$J$9, O24, MATCH_INPUT!$K$6:$K$9, "&lt;&gt;"&amp;O24, MATCH_INPUT!$K$6:$K$9, "&lt;&gt;Draw", MATCH_INPUT!$K$6:$K$9, "&lt;&gt;"""),
0)</f>
        <v>0</v>
      </c>
      <c r="V24" s="29">
        <f t="array" ref="V24">IFERROR(
  INDEX(PLAYER_STAT!E$2:E64, 
    MATCH(1, 
      (PLAYER_STAT!A$2:A64 = MATCH_DATES!$A$3) * (PLAYER_STAT!D$2:D64 = $B24), 
    0)
  ), 
  ""
)
</f>
        <v>1</v>
      </c>
      <c r="W24" s="29">
        <f t="array" ref="W24">IFERROR(
  INDEX(PLAYER_STAT!F$2:F64, 
    MATCH(1, 
      (PLAYER_STAT!A$2:A64 = MATCH_DATES!$A$3) * (PLAYER_STAT!D$2:D64 = $B24), 
    0)
  ), 
  ""
)
</f>
        <v>0</v>
      </c>
      <c r="X24" s="30">
        <f t="array" ref="X24">IFERROR(
  INDEX(PLAYER_STAT!G$2:G64, 
    MATCH(1, 
      (PLAYER_STAT!A$2:A64 = MATCH_DATES!$A$3) * (PLAYER_STAT!D$2:D64 = $B24), 
    0)
  ), 
  ""
)
</f>
        <v>0</v>
      </c>
      <c r="Y24" s="31">
        <f t="shared" si="12"/>
        <v>4</v>
      </c>
      <c r="Z24" s="32" t="str">
        <f t="shared" si="13"/>
        <v>↓</v>
      </c>
      <c r="AA24" s="21" t="s">
        <v>215</v>
      </c>
      <c r="AB24" s="33">
        <f t="shared" si="14"/>
        <v>12</v>
      </c>
      <c r="AC24" s="22">
        <f t="shared" si="15"/>
        <v>2</v>
      </c>
      <c r="AD24" s="22">
        <f t="shared" si="16"/>
        <v>0</v>
      </c>
      <c r="AE24" s="22">
        <f>IF(AA24&lt;&gt;"",
    COUNTIFS(MATCH_INPUT!$K$10:$K$13,AA24),
0)</f>
        <v>0</v>
      </c>
      <c r="AF24" s="22">
        <f>IF(AA24&lt;&gt;"",
    COUNTIFS(MATCH_INPUT!$F$10:$F$13, AA24, MATCH_INPUT!$K$10:$K$13, "Draw") +
    COUNTIFS(MATCH_INPUT!$J$10:$J$13, AA24, MATCH_INPUT!$K$10:$K$13, "Draw"),
0)</f>
        <v>0</v>
      </c>
      <c r="AG24" s="22">
        <f>IF(AA24&lt;&gt;"",
    COUNTIFS(MATCH_INPUT!$F$10:$F$13, AA24, MATCH_INPUT!$K$10:$K$13, "&lt;&gt;"&amp;AA24, MATCH_INPUT!$K$10:$K$13, "&lt;&gt;Draw", MATCH_INPUT!$K$10:$K$13, "&lt;&gt;""") +
    COUNTIFS(MATCH_INPUT!$J$10:$J$13, AA24, MATCH_INPUT!$K$10:$K$13, "&lt;&gt;"&amp;AA24, MATCH_INPUT!$K$10:$K$13, "&lt;&gt;Draw", MATCH_INPUT!$K$10:$K$13, "&lt;&gt;"""),
0)</f>
        <v>2</v>
      </c>
      <c r="AH24" s="23" t="str">
        <f t="array" ref="AH24">IFERROR(
  INDEX(PLAYER_STAT!E$2:E64, 
    MATCH(1, 
      (PLAYER_STAT!A$2:A64 = MATCH_DATES!$A$4) * (PLAYER_STAT!D$2:D64 = $B24), 
    0)
  ), 
  ""
)
</f>
        <v/>
      </c>
      <c r="AI24" s="23" t="str">
        <f t="array" ref="AI24">IFERROR(
  INDEX(PLAYER_STAT!F$2:F64, 
    MATCH(1, 
      (PLAYER_STAT!A$2:A64 = MATCH_DATES!$A$4) * (PLAYER_STAT!D$2:D64 = $B24), 
    0)
  ), 
  ""
)
</f>
        <v/>
      </c>
      <c r="AJ24" s="34" t="str">
        <f t="array" ref="AJ24">IFERROR(
  INDEX(PLAYER_STAT!G$2:G64, 
    MATCH(1, 
      (PLAYER_STAT!A$2:A64 = MATCH_DATES!$A$4) * (PLAYER_STAT!D$2:D64 = $B24), 
    0)
  ), 
  ""
)
</f>
        <v/>
      </c>
      <c r="AK24" s="25">
        <f t="shared" si="17"/>
        <v>16</v>
      </c>
      <c r="AL24" s="26" t="str">
        <f t="shared" si="18"/>
        <v>↓</v>
      </c>
      <c r="AM24" s="27" t="s">
        <v>215</v>
      </c>
      <c r="AN24" s="28">
        <f t="shared" si="19"/>
        <v>16</v>
      </c>
      <c r="AO24" s="28">
        <f t="shared" si="20"/>
        <v>2</v>
      </c>
      <c r="AP24" s="28">
        <f t="shared" si="21"/>
        <v>2</v>
      </c>
      <c r="AQ24" s="28">
        <f>IF(AM24&lt;&gt;"",
    COUNTIFS(MATCH_INPUT!$K$14:$K$17,AM24),
0)</f>
        <v>1</v>
      </c>
      <c r="AR24" s="28">
        <f>IF(AM24&lt;&gt;"",
    COUNTIFS(MATCH_INPUT!$F$14:$F$17, AM24, MATCH_INPUT!$K$14:$K$17, "Draw") +
    COUNTIFS(MATCH_INPUT!$J$14:$J$17, AM24, MATCH_INPUT!$K$14:$K$17, "Draw"),
0)</f>
        <v>0</v>
      </c>
      <c r="AS24" s="28">
        <f>IF(AM24&lt;&gt;"",
    COUNTIFS(MATCH_INPUT!$F$14:$F$17, AM24, MATCH_INPUT!$K$14:$K$17, "&lt;&gt;"&amp;AM24, MATCH_INPUT!$K$14:$K$17, "&lt;&gt;Draw", MATCH_INPUT!$K$14:$K$17, "&lt;&gt;""") +
    COUNTIFS(MATCH_INPUT!$J$14:$J$17, AM24, MATCH_INPUT!$K$14:$K$17, "&lt;&gt;"&amp;AM24, MATCH_INPUT!$K$14:$K$17, "&lt;&gt;Draw", MATCH_INPUT!$K$14:$K$17, "&lt;&gt;"""),
0)</f>
        <v>1</v>
      </c>
      <c r="AT24" s="29" t="str">
        <f t="array" ref="AT24">IFERROR(
  INDEX(PLAYER_STAT!E$2:E64, 
    MATCH(1, 
      (PLAYER_STAT!A$2:A64 = MATCH_DATES!$A$5) * (PLAYER_STAT!D$2:D64 = $B24), 
    0)
  ), 
  ""
)
</f>
        <v/>
      </c>
      <c r="AU24" s="29" t="str">
        <f t="array" ref="AU24">IFERROR(
  INDEX(PLAYER_STAT!F$2:F64, 
    MATCH(1, 
      (PLAYER_STAT!A$2:A64 = MATCH_DATES!$A$5) * (PLAYER_STAT!D$2:D64 = $B24), 
    0)
  ), 
  ""
)
</f>
        <v/>
      </c>
      <c r="AV24" s="30" t="str">
        <f t="array" ref="AV24">IFERROR(
  INDEX(PLAYER_STAT!G$2:G64, 
    MATCH(1, 
      (PLAYER_STAT!A$2:A64 = MATCH_DATES!$A$5) * (PLAYER_STAT!D$2:D64 = $B24), 
    0)
  ), 
  ""
)
</f>
        <v/>
      </c>
      <c r="AW24" s="31">
        <f t="shared" si="22"/>
        <v>13</v>
      </c>
      <c r="AX24" s="32" t="str">
        <f t="shared" si="23"/>
        <v>↑</v>
      </c>
      <c r="AY24" s="21" t="s">
        <v>214</v>
      </c>
      <c r="AZ24" s="33">
        <f t="shared" si="24"/>
        <v>27</v>
      </c>
      <c r="BA24" s="22">
        <f t="shared" si="25"/>
        <v>2</v>
      </c>
      <c r="BB24" s="22">
        <f>SUM(BC24*2) + (BD24*1) + SUMIFS(MATCH_INPUT!$G$18:$G$21, MATCH_INPUT!$F$18:$F$21, AY24) + SUMIFS(MATCH_INPUT!$I$18:$I$21, MATCH_INPUT!$J$18:$J$21, AY24)
</f>
        <v>9</v>
      </c>
      <c r="BC24" s="22">
        <f>IF(AY24&lt;&gt;"",
    COUNTIFS(MATCH_INPUT!$K$18:$K$21,AY24),
0)</f>
        <v>1</v>
      </c>
      <c r="BD24" s="22">
        <f>IF(AY24&lt;&gt;"",
    COUNTIFS(MATCH_INPUT!$F$18:$F$21, AY24, MATCH_INPUT!$K$18:$K$21, "Draw") +
    COUNTIFS(MATCH_INPUT!$J$18:$J$21, AY24, MATCH_INPUT!$K$18:$K$21, "Draw"),
0)</f>
        <v>1</v>
      </c>
      <c r="BE24" s="22">
        <f>IF(AY24&lt;&gt;"",
    COUNTIFS(MATCH_INPUT!$F$18:$F$21, AY24, MATCH_INPUT!$K$18:$K$21, "&lt;&gt;"&amp;AY24, MATCH_INPUT!$K$18:$K$21, "&lt;&gt;Draw", MATCH_INPUT!$K$18:$K$21, "&lt;&gt;""") +
    COUNTIFS(MATCH_INPUT!$J$18:$J$21, AY24, MATCH_INPUT!$K$18:$K$21, "&lt;&gt;"&amp;AY24, MATCH_INPUT!$K$18:$K$21, "&lt;&gt;Draw", MATCH_INPUT!$K$18:$K$21, "&lt;&gt;"""),
0)</f>
        <v>0</v>
      </c>
      <c r="BF24" s="23">
        <f t="array" ref="BF24">IFERROR(
  INDEX(PLAYER_STAT!E$2:E64, 
    MATCH(1, 
      (PLAYER_STAT!A$2:A64 = MATCH_DATES!$A$6) * (PLAYER_STAT!D$2:D64 = $B24), 
    0)
  ), 
  ""
)
</f>
        <v>1</v>
      </c>
      <c r="BG24" s="23">
        <f t="array" ref="BG24">IFERROR(
  INDEX(PLAYER_STAT!F$2:F64, 
    MATCH(1, 
      (PLAYER_STAT!A$2:A64 = MATCH_DATES!$A$6) * (PLAYER_STAT!D$2:D64 = $B24), 
    0)
  ), 
  ""
)
</f>
        <v>0</v>
      </c>
      <c r="BH24" s="34">
        <f t="array" ref="BH24">IFERROR(
  INDEX(PLAYER_STAT!G$2:G64, 
    MATCH(1, 
      (PLAYER_STAT!A$2:A64 = MATCH_DATES!$A$6) * (PLAYER_STAT!D$2:D64 = $B24), 
    0)
  ), 
  ""
)
</f>
        <v>0</v>
      </c>
      <c r="BI24" s="25">
        <f t="shared" si="26"/>
        <v>9</v>
      </c>
      <c r="BJ24" s="26" t="str">
        <f t="shared" si="27"/>
        <v>↑</v>
      </c>
      <c r="BK24" s="27" t="s">
        <v>212</v>
      </c>
      <c r="BL24" s="28">
        <f t="shared" si="28"/>
        <v>29</v>
      </c>
      <c r="BM24" s="28">
        <f t="shared" si="29"/>
        <v>2</v>
      </c>
      <c r="BN24" s="28">
        <f>SUM(BO24*2) + (BP24*1) + SUMIFS(MATCH_INPUT!$G$22:$G$25, MATCH_INPUT!$F$22:$F$25, BK24) + SUMIFS(MATCH_INPUT!$I$22:$I$25, MATCH_INPUT!$J$22:$J$25, BK24)
</f>
        <v>0</v>
      </c>
      <c r="BO24" s="28">
        <f>IF(BK24&lt;&gt;"",
    COUNTIFS(MATCH_INPUT!$K$22:$K$25,BK24),
0)</f>
        <v>0</v>
      </c>
      <c r="BP24" s="28">
        <f>IF(BK24&lt;&gt;"",
    COUNTIFS(MATCH_INPUT!$F$22:$F$25, BK24, MATCH_INPUT!$K$22:$K$25, "Draw") +
    COUNTIFS(MATCH_INPUT!$J$22:$J$25, BK24, MATCH_INPUT!$K$22:$K$25, "Draw"),
0)</f>
        <v>0</v>
      </c>
      <c r="BQ24" s="28">
        <f>IF(BK24&lt;&gt;"",
    COUNTIFS(MATCH_INPUT!$F$22:$F$25, BK24, MATCH_INPUT!$K$22:$K$25, "&lt;&gt;"&amp;BK24, MATCH_INPUT!$K$22:$K$25, "&lt;&gt;Draw", MATCH_INPUT!$K$22:$K$25, "&lt;&gt;""") +
    COUNTIFS(MATCH_INPUT!$J$22:$J$25, BK24, MATCH_INPUT!$K$22:$K$25, "&lt;&gt;"&amp;BK24, MATCH_INPUT!$K$22:$K$25, "&lt;&gt;Draw", MATCH_INPUT!$K$22:$K$25, "&lt;&gt;"""),
0)</f>
        <v>2</v>
      </c>
      <c r="BR24" s="29" t="str">
        <f t="array" ref="BR24">IFERROR(
  INDEX(PLAYER_STAT!E$2:E64, 
    MATCH(1, 
      (PLAYER_STAT!A$2:A64 = MATCH_DATES!$A$7) * (PLAYER_STAT!D$2:D64 = $B24), 
    0)
  ), 
  ""
)
</f>
        <v/>
      </c>
      <c r="BS24" s="29" t="str">
        <f t="array" ref="BS24">IFERROR(
  INDEX(PLAYER_STAT!F$2:F64, 
    MATCH(1, 
      (PLAYER_STAT!A$2:A64 = MATCH_DATES!$A$7) * (PLAYER_STAT!D$2:D64 = $B24), 
    0)
  ), 
  ""
)
</f>
        <v/>
      </c>
      <c r="BT24" s="30" t="str">
        <f t="array" ref="BT24">IFERROR(
  INDEX(PLAYER_STAT!G$2:G64, 
    MATCH(1, 
      (PLAYER_STAT!A$2:A64 = MATCH_DATES!$A$7) * (PLAYER_STAT!D$2:D64 = $B24), 
    0)
  ), 
  ""
)
</f>
        <v/>
      </c>
      <c r="BU24" s="31">
        <f t="shared" si="30"/>
        <v>19</v>
      </c>
      <c r="BV24" s="32" t="str">
        <f t="shared" si="31"/>
        <v>↓</v>
      </c>
      <c r="BW24" s="21" t="s">
        <v>212</v>
      </c>
      <c r="BX24" s="33">
        <f t="shared" si="32"/>
        <v>37</v>
      </c>
      <c r="BY24" s="22">
        <f t="shared" si="33"/>
        <v>2</v>
      </c>
      <c r="BZ24" s="22">
        <f>SUM(CA24*2)+(CB24*1) + SUMIFS(MATCH_INPUT!$G$26:$G$29, MATCH_INPUT!$F$26:$F$29, BW24) + SUMIFS(MATCH_INPUT!$I$26:$I$29, MATCH_INPUT!$J$26:$J$29, BW24)
</f>
        <v>6</v>
      </c>
      <c r="CA24" s="22">
        <f>IF(BW24&lt;&gt;"",
    COUNTIFS(MATCH_INPUT!$K$26:$K$29,BW24),
0)</f>
        <v>1</v>
      </c>
      <c r="CB24" s="22">
        <f>IF(BW24&lt;&gt;"",
    COUNTIFS(MATCH_INPUT!$F$26:$F$29, BW24, MATCH_INPUT!$K$26:$K$29, "Draw") +
    COUNTIFS(MATCH_INPUT!$J$26:$J$29, BW24, MATCH_INPUT!$K$26:$K$29, "Draw"),
0)</f>
        <v>1</v>
      </c>
      <c r="CC24" s="22">
        <f>IF(BW24&lt;&gt;"",
    COUNTIFS(MATCH_INPUT!$F$26:$F$29, BW24, MATCH_INPUT!$K$26:$K$29, "&lt;&gt;"&amp;BW24, MATCH_INPUT!$K$26:$K$29, "&lt;&gt;Draw", MATCH_INPUT!$K$26:$K$29, "&lt;&gt;""") +
    COUNTIFS(MATCH_INPUT!$J$26:$J$29, BW24, MATCH_INPUT!$K$26:$K$29, "&lt;&gt;"&amp;BW24, MATCH_INPUT!$K$26:$K$29, "&lt;&gt;Draw", MATCH_INPUT!$K$26:$K$29, "&lt;&gt;"""),
0)</f>
        <v>0</v>
      </c>
      <c r="CD24" s="23">
        <f t="array" ref="CD24">IFERROR(
  INDEX(PLAYER_STAT!E$2:E64, 
    MATCH(1, 
      (PLAYER_STAT!A$2:A64 = MATCH_DATES!$A$8) * (PLAYER_STAT!D$2:D64 = $B24), 
    0)
  ), 
  ""
)
</f>
        <v>1</v>
      </c>
      <c r="CE24" s="23">
        <f t="array" ref="CE24">IFERROR(
  INDEX(PLAYER_STAT!F$2:F64, 
    MATCH(1, 
      (PLAYER_STAT!A$2:A64 = MATCH_DATES!$A$8) * (PLAYER_STAT!D$2:D64 = $B24), 
    0)
  ), 
  ""
)
</f>
        <v>0</v>
      </c>
      <c r="CF24" s="34">
        <f t="array" ref="CF24">IFERROR(
  INDEX(PLAYER_STAT!G$2:G64, 
    MATCH(1, 
      (PLAYER_STAT!A$2:A64 = MATCH_DATES!$A$8) * (PLAYER_STAT!D$2:D64 = $B24), 
    0)
  ), 
  ""
)
</f>
        <v>0</v>
      </c>
      <c r="CG24" s="25">
        <f t="shared" si="34"/>
        <v>17</v>
      </c>
      <c r="CH24" s="26" t="str">
        <f t="shared" si="35"/>
        <v>↑</v>
      </c>
      <c r="CI24" s="27" t="s">
        <v>213</v>
      </c>
      <c r="CJ24" s="28">
        <f t="shared" si="36"/>
        <v>47</v>
      </c>
      <c r="CK24" s="28">
        <f t="shared" si="37"/>
        <v>2</v>
      </c>
      <c r="CL24" s="28">
        <f>SUM(CM24*2)+(CN24*1) + SUMIFS(MATCH_INPUT!$G$30:$G$33, MATCH_INPUT!$F$30:$F$33, CI24) + SUMIFS(MATCH_INPUT!$I$30:$I$33, MATCH_INPUT!$J$30:$J$33, CI24)
</f>
        <v>8</v>
      </c>
      <c r="CM24" s="28">
        <f>IF(CI24&lt;&gt;"",
    COUNTIFS(MATCH_INPUT!$K$30:$K$33,CI24),
0)</f>
        <v>1</v>
      </c>
      <c r="CN24" s="28">
        <f>IF(CI24&lt;&gt;"",
    COUNTIFS(MATCH_INPUT!$F$30:$F$33, CI24, MATCH_INPUT!$K$30:$K$33, "Draw") +
    COUNTIFS(MATCH_INPUT!$J$30:$J$33, CI24, MATCH_INPUT!$K$30:$K$33, "Draw"),
0)</f>
        <v>0</v>
      </c>
      <c r="CO24" s="28">
        <f>IF(CI24&lt;&gt;"",
    COUNTIFS(MATCH_INPUT!$F$30:$F$33, CI24, MATCH_INPUT!$K$30:$K$33, "&lt;&gt;"&amp;CI24, MATCH_INPUT!$K$30:$K$33, "&lt;&gt;Draw", MATCH_INPUT!$K$30:$K$33, "&lt;&gt;""") +
    COUNTIFS(MATCH_INPUT!$J$30:$J$33, CI24, MATCH_INPUT!$K$30:$K$33, "&lt;&gt;"&amp;CI24, MATCH_INPUT!$K$30:$K$33, "&lt;&gt;Draw", MATCH_INPUT!$K$30:$K$33, "&lt;&gt;"""),
0)</f>
        <v>1</v>
      </c>
      <c r="CP24" s="29" t="str">
        <f t="array" ref="CP24">IFERROR(
  INDEX(PLAYER_STAT!E$2:E64, 
    MATCH(1, 
      (PLAYER_STAT!A$2:A64 = MATCH_DATES!$A$9) * (PLAYER_STAT!D$2:D64 = $B24), 
    0)
  ), 
  ""
)
</f>
        <v/>
      </c>
      <c r="CQ24" s="29" t="str">
        <f t="array" ref="CQ24">IFERROR(
  INDEX(PLAYER_STAT!F$2:F64, 
    MATCH(1, 
      (PLAYER_STAT!A$2:A64 = MATCH_DATES!$A$9) * (PLAYER_STAT!D$2:D64 = $B24), 
    0)
  ), 
  ""
)
</f>
        <v/>
      </c>
      <c r="CR24" s="29" t="str">
        <f t="array" ref="CR24">IFERROR(
  INDEX(PLAYER_STAT!G$2:G64, 
    MATCH(1, 
      (PLAYER_STAT!A$2:A64 = MATCH_DATES!$A$9) * (PLAYER_STAT!D$2:D64 = $B24), 
    0)
  ), 
  ""
)
</f>
        <v/>
      </c>
      <c r="CS24" s="35">
        <f t="shared" si="38"/>
        <v>18</v>
      </c>
      <c r="CT24" s="35" t="str">
        <f t="shared" si="39"/>
        <v>↓</v>
      </c>
      <c r="CU24" s="36">
        <f t="shared" si="40"/>
        <v>31</v>
      </c>
      <c r="CV24" s="36" t="str">
        <f t="shared" ref="CV24:CW24" si="103">A24</f>
        <v>🍂🎃</v>
      </c>
      <c r="CW24" s="37" t="str">
        <f t="shared" si="103"/>
        <v>Joseph 👬 Da Silva</v>
      </c>
      <c r="CX24" s="37">
        <f t="shared" si="42"/>
        <v>47</v>
      </c>
      <c r="CY24" s="36">
        <f>SUM(
  IF(AND(MATCH_DATES!$A$2 &lt;= TODAY(), NOW() &gt;= MATCH_DATES!$A$2 + TIME(22, 0, 0)), E24, 0),
  IF(AND(MATCH_DATES!$A$3 &lt;= TODAY(), NOW() &gt;= MATCH_DATES!$A$3 + TIME(22, 0, 0)), Q24, 0),
  IF(AND(MATCH_DATES!$A$4 &lt;= TODAY(), NOW() &gt;= MATCH_DATES!$A$4 + TIME(22, 0, 0)), AC24, 0),
  IF(AND(MATCH_DATES!$A$5 &lt;= TODAY(), NOW() &gt;= MATCH_DATES!$A$5 + TIME(22, 0, 0)), AO24, 0),
  IF(AND(MATCH_DATES!$A$6 &lt;= TODAY(), NOW() &gt;= MATCH_DATES!$A$6 + TIME(22, 0, 0)), BA24, 0),
  IF(AND(MATCH_DATES!$A$7 &lt;= TODAY(), NOW() &gt;= MATCH_DATES!$A$7 + TIME(22, 0, 0)), BM24, 0),
  IF(AND(MATCH_DATES!$A$8 &lt;= TODAY(), NOW() &gt;= MATCH_DATES!$A$8 + TIME(22, 0, 0)), BY24, 0),
  IF(AND(MATCH_DATES!$A$9 &lt;= TODAY(), NOW() &gt;= MATCH_DATES!$A$9 + TIME(22, 0, 0)), CK24, 0)
)
</f>
        <v>16</v>
      </c>
      <c r="CZ24" s="37">
        <f t="shared" ref="CZ24:DA24" si="104">SUM(G24,S24,AE24,AQ24,BC24,BO24,CA24,CM24)</f>
        <v>6</v>
      </c>
      <c r="DA24" s="37">
        <f t="shared" si="104"/>
        <v>4</v>
      </c>
      <c r="DB24" s="37">
        <f>SUM(
  IF(AND(MATCH_DATES!$A$2 &lt;= TODAY(), NOW() &gt;= MATCH_DATES!$A$2 + TIME(22, 0, 0)), I24, 0),
  IF(AND(MATCH_DATES!$A$3 &lt;= TODAY(), NOW() &gt;= MATCH_DATES!$A$3 + TIME(22, 0, 0)), U24, 0),
  IF(AND(MATCH_DATES!$A$4 &lt;= TODAY(), NOW() &gt;= MATCH_DATES!$A$4 + TIME(22, 0, 0)), AG24, 0),
  IF(AND(MATCH_DATES!$A$5 &lt;= TODAY(), NOW() &gt;= MATCH_DATES!$A$5 + TIME(22, 0, 0)), AS24, 0),
  IF(AND(MATCH_DATES!$A$6 &lt;= TODAY(), NOW() &gt;= MATCH_DATES!$A$6 + TIME(22, 0, 0)), BE24, 0),
  IF(AND(MATCH_DATES!$A$7 &lt;= TODAY(), NOW() &gt;= MATCH_DATES!$A$7 + TIME(22, 0, 0)), BQ24, 0),
  IF(AND(MATCH_DATES!$A$8 &lt;= TODAY(), NOW() &gt;= MATCH_DATES!$A$8 + TIME(22, 0, 0)), CC24, 0),
  IF(AND(MATCH_DATES!$A$9 &lt;= TODAY(), NOW() &gt;= MATCH_DATES!$A$9 + TIME(22, 0, 0)), CO24, 0)
)</f>
        <v>6</v>
      </c>
      <c r="DC24" s="37">
        <f t="shared" si="44"/>
        <v>4</v>
      </c>
      <c r="DD24" s="37">
        <f t="shared" ref="DD24:DE24" si="105">SUM(K24,W24,AI24,AU24,BG24,BS24,CE24,CQ24)</f>
        <v>0</v>
      </c>
      <c r="DE24" s="37">
        <f t="shared" si="105"/>
        <v>0</v>
      </c>
    </row>
    <row r="25" ht="24.75" customHeight="1">
      <c r="A25" s="19" t="s">
        <v>210</v>
      </c>
      <c r="B25" s="20" t="s">
        <v>231</v>
      </c>
      <c r="C25" s="21" t="s">
        <v>212</v>
      </c>
      <c r="D25" s="22">
        <f t="shared" si="4"/>
        <v>4</v>
      </c>
      <c r="E25" s="22">
        <f t="shared" si="5"/>
        <v>2</v>
      </c>
      <c r="F25" s="22">
        <f t="shared" si="6"/>
        <v>2</v>
      </c>
      <c r="G25" s="22">
        <f>IF(C25&lt;&gt;"",
    COUNTIFS(MATCH_INPUT!$K$2:$K$5,C25),
0)</f>
        <v>1</v>
      </c>
      <c r="H25" s="22">
        <f>IF(C25&lt;&gt;"",
    COUNTIFS(MATCH_INPUT!$F$2:$F$5, C25, MATCH_INPUT!$K$2:$K$5, "Draw") +
    COUNTIFS(MATCH_INPUT!$J$2:$J$5, C25, MATCH_INPUT!$K$2:$K$5, "Draw"),
0)</f>
        <v>0</v>
      </c>
      <c r="I25" s="22">
        <f>IF(C25&lt;&gt;"",
    COUNTIFS(MATCH_INPUT!$F$2:$F$5, C25, MATCH_INPUT!$K$2:$K$5, "&lt;&gt;"&amp;C25, MATCH_INPUT!$K$2:$K$5, "&lt;&gt;Draw", MATCH_INPUT!$K$2:$K$5, "&lt;&gt;""") +
    COUNTIFS(MATCH_INPUT!$J$2:$J$5, C25, MATCH_INPUT!$K$2:$K$5, "&lt;&gt;"&amp;C25, MATCH_INPUT!$K$2:$K$5, "&lt;&gt;Draw", MATCH_INPUT!$K$2:$K$5, "&lt;&gt;"""),
0)</f>
        <v>1</v>
      </c>
      <c r="J25" s="23">
        <f t="array" ref="J25">IFERROR(
  INDEX(PLAYER_STAT!E$2:E64, 
    MATCH(1, 
      (PLAYER_STAT!A$2:A64 = MATCH_DATES!$A$2) * (PLAYER_STAT!D$2:D64 = $B25), 
    0)
  ), 
  ""
)
</f>
        <v>2</v>
      </c>
      <c r="K25" s="23">
        <f t="array" ref="K25">IFERROR(
  INDEX(PLAYER_STAT!F$2:F64, 
    MATCH(1, 
      (PLAYER_STAT!A$2:A64 = MATCH_DATES!$A$2) * (PLAYER_STAT!D$2:D64 = $B25), 
    0)
  ), 
  ""
)
</f>
        <v>0</v>
      </c>
      <c r="L25" s="24">
        <f t="array" ref="L25">IFERROR(
  INDEX(PLAYER_STAT!G$2:G64, 
    MATCH(1, 
      (PLAYER_STAT!A$2:A64 = MATCH_DATES!$A$2) * (PLAYER_STAT!D$2:D64 = $B25), 
    0)
  ), 
  ""
)
</f>
        <v>0</v>
      </c>
      <c r="M25" s="25">
        <f t="shared" si="7"/>
        <v>11</v>
      </c>
      <c r="N25" s="26" t="str">
        <f t="shared" si="8"/>
        <v>↓</v>
      </c>
      <c r="O25" s="27" t="s">
        <v>214</v>
      </c>
      <c r="P25" s="28">
        <f t="shared" si="9"/>
        <v>8</v>
      </c>
      <c r="Q25" s="28">
        <f t="shared" si="10"/>
        <v>2</v>
      </c>
      <c r="R25" s="28">
        <f t="shared" si="11"/>
        <v>2</v>
      </c>
      <c r="S25" s="28">
        <f>IF(O25&lt;&gt;"",
    COUNTIFS(MATCH_INPUT!$K$6:$K$9,O25),
0)</f>
        <v>0</v>
      </c>
      <c r="T25" s="28">
        <f>IF(O25&lt;&gt;"",
    COUNTIFS(MATCH_INPUT!$F$6:$F$9, O25, MATCH_INPUT!$K$6:$K$9, "Draw") +
    COUNTIFS(MATCH_INPUT!$J$6:$J$9, O25, MATCH_INPUT!$K$6:$K$9, "Draw"),
0)</f>
        <v>2</v>
      </c>
      <c r="U25" s="28">
        <f>IF(O25&lt;&gt;"",
    COUNTIFS(MATCH_INPUT!$F$6:$F$9, O25, MATCH_INPUT!$K$6:$K$9, "&lt;&gt;"&amp;O25, MATCH_INPUT!$K$6:$K$9, "&lt;&gt;Draw", MATCH_INPUT!$K$6:$K$9, "&lt;&gt;""") +
    COUNTIFS(MATCH_INPUT!$J$6:$J$9, O25, MATCH_INPUT!$K$6:$K$9, "&lt;&gt;"&amp;O25, MATCH_INPUT!$K$6:$K$9, "&lt;&gt;Draw", MATCH_INPUT!$K$6:$K$9, "&lt;&gt;"""),
0)</f>
        <v>0</v>
      </c>
      <c r="V25" s="29" t="str">
        <f t="array" ref="V25">IFERROR(
  INDEX(PLAYER_STAT!E$2:E64, 
    MATCH(1, 
      (PLAYER_STAT!A$2:A64 = MATCH_DATES!$A$3) * (PLAYER_STAT!D$2:D64 = $B25), 
    0)
  ), 
  ""
)
</f>
        <v/>
      </c>
      <c r="W25" s="29" t="str">
        <f t="array" ref="W25">IFERROR(
  INDEX(PLAYER_STAT!F$2:F64, 
    MATCH(1, 
      (PLAYER_STAT!A$2:A64 = MATCH_DATES!$A$3) * (PLAYER_STAT!D$2:D64 = $B25), 
    0)
  ), 
  ""
)
</f>
        <v/>
      </c>
      <c r="X25" s="30" t="str">
        <f t="array" ref="X25">IFERROR(
  INDEX(PLAYER_STAT!G$2:G64, 
    MATCH(1, 
      (PLAYER_STAT!A$2:A64 = MATCH_DATES!$A$3) * (PLAYER_STAT!D$2:D64 = $B25), 
    0)
  ), 
  ""
)
</f>
        <v/>
      </c>
      <c r="Y25" s="31">
        <f t="shared" si="12"/>
        <v>13</v>
      </c>
      <c r="Z25" s="32" t="str">
        <f t="shared" si="13"/>
        <v>↓</v>
      </c>
      <c r="AA25" s="21" t="s">
        <v>214</v>
      </c>
      <c r="AB25" s="33">
        <f t="shared" si="14"/>
        <v>12</v>
      </c>
      <c r="AC25" s="22">
        <f t="shared" si="15"/>
        <v>2</v>
      </c>
      <c r="AD25" s="22">
        <f t="shared" si="16"/>
        <v>2</v>
      </c>
      <c r="AE25" s="22">
        <f>IF(AA25&lt;&gt;"",
    COUNTIFS(MATCH_INPUT!$K$10:$K$13,AA25),
0)</f>
        <v>1</v>
      </c>
      <c r="AF25" s="22">
        <f>IF(AA25&lt;&gt;"",
    COUNTIFS(MATCH_INPUT!$F$10:$F$13, AA25, MATCH_INPUT!$K$10:$K$13, "Draw") +
    COUNTIFS(MATCH_INPUT!$J$10:$J$13, AA25, MATCH_INPUT!$K$10:$K$13, "Draw"),
0)</f>
        <v>0</v>
      </c>
      <c r="AG25" s="22">
        <f>IF(AA25&lt;&gt;"",
    COUNTIFS(MATCH_INPUT!$F$10:$F$13, AA25, MATCH_INPUT!$K$10:$K$13, "&lt;&gt;"&amp;AA25, MATCH_INPUT!$K$10:$K$13, "&lt;&gt;Draw", MATCH_INPUT!$K$10:$K$13, "&lt;&gt;""") +
    COUNTIFS(MATCH_INPUT!$J$10:$J$13, AA25, MATCH_INPUT!$K$10:$K$13, "&lt;&gt;"&amp;AA25, MATCH_INPUT!$K$10:$K$13, "&lt;&gt;Draw", MATCH_INPUT!$K$10:$K$13, "&lt;&gt;"""),
0)</f>
        <v>1</v>
      </c>
      <c r="AH25" s="23">
        <f t="array" ref="AH25">IFERROR(
  INDEX(PLAYER_STAT!E$2:E64, 
    MATCH(1, 
      (PLAYER_STAT!A$2:A64 = MATCH_DATES!$A$4) * (PLAYER_STAT!D$2:D64 = $B25), 
    0)
  ), 
  ""
)
</f>
        <v>1</v>
      </c>
      <c r="AI25" s="23">
        <f t="array" ref="AI25">IFERROR(
  INDEX(PLAYER_STAT!F$2:F64, 
    MATCH(1, 
      (PLAYER_STAT!A$2:A64 = MATCH_DATES!$A$4) * (PLAYER_STAT!D$2:D64 = $B25), 
    0)
  ), 
  ""
)
</f>
        <v>0</v>
      </c>
      <c r="AJ25" s="34">
        <f t="array" ref="AJ25">IFERROR(
  INDEX(PLAYER_STAT!G$2:G64, 
    MATCH(1, 
      (PLAYER_STAT!A$2:A64 = MATCH_DATES!$A$4) * (PLAYER_STAT!D$2:D64 = $B25), 
    0)
  ), 
  ""
)
</f>
        <v>0</v>
      </c>
      <c r="AK25" s="25">
        <f t="shared" si="17"/>
        <v>16</v>
      </c>
      <c r="AL25" s="26" t="str">
        <f t="shared" si="18"/>
        <v>↓</v>
      </c>
      <c r="AM25" s="27" t="s">
        <v>212</v>
      </c>
      <c r="AN25" s="28">
        <f t="shared" si="19"/>
        <v>18</v>
      </c>
      <c r="AO25" s="28">
        <f t="shared" si="20"/>
        <v>2</v>
      </c>
      <c r="AP25" s="28">
        <f t="shared" si="21"/>
        <v>4</v>
      </c>
      <c r="AQ25" s="28">
        <f>IF(AM25&lt;&gt;"",
    COUNTIFS(MATCH_INPUT!$K$14:$K$17,AM25),
0)</f>
        <v>2</v>
      </c>
      <c r="AR25" s="28">
        <f>IF(AM25&lt;&gt;"",
    COUNTIFS(MATCH_INPUT!$F$14:$F$17, AM25, MATCH_INPUT!$K$14:$K$17, "Draw") +
    COUNTIFS(MATCH_INPUT!$J$14:$J$17, AM25, MATCH_INPUT!$K$14:$K$17, "Draw"),
0)</f>
        <v>0</v>
      </c>
      <c r="AS25" s="28">
        <f>IF(AM25&lt;&gt;"",
    COUNTIFS(MATCH_INPUT!$F$14:$F$17, AM25, MATCH_INPUT!$K$14:$K$17, "&lt;&gt;"&amp;AM25, MATCH_INPUT!$K$14:$K$17, "&lt;&gt;Draw", MATCH_INPUT!$K$14:$K$17, "&lt;&gt;""") +
    COUNTIFS(MATCH_INPUT!$J$14:$J$17, AM25, MATCH_INPUT!$K$14:$K$17, "&lt;&gt;"&amp;AM25, MATCH_INPUT!$K$14:$K$17, "&lt;&gt;Draw", MATCH_INPUT!$K$14:$K$17, "&lt;&gt;"""),
0)</f>
        <v>0</v>
      </c>
      <c r="AT25" s="29" t="str">
        <f t="array" ref="AT25">IFERROR(
  INDEX(PLAYER_STAT!E$2:E64, 
    MATCH(1, 
      (PLAYER_STAT!A$2:A64 = MATCH_DATES!$A$5) * (PLAYER_STAT!D$2:D64 = $B25), 
    0)
  ), 
  ""
)
</f>
        <v/>
      </c>
      <c r="AU25" s="29" t="str">
        <f t="array" ref="AU25">IFERROR(
  INDEX(PLAYER_STAT!F$2:F64, 
    MATCH(1, 
      (PLAYER_STAT!A$2:A64 = MATCH_DATES!$A$5) * (PLAYER_STAT!D$2:D64 = $B25), 
    0)
  ), 
  ""
)
</f>
        <v/>
      </c>
      <c r="AV25" s="30" t="str">
        <f t="array" ref="AV25">IFERROR(
  INDEX(PLAYER_STAT!G$2:G64, 
    MATCH(1, 
      (PLAYER_STAT!A$2:A64 = MATCH_DATES!$A$5) * (PLAYER_STAT!D$2:D64 = $B25), 
    0)
  ), 
  ""
)
</f>
        <v/>
      </c>
      <c r="AW25" s="31">
        <f t="shared" si="22"/>
        <v>8</v>
      </c>
      <c r="AX25" s="32" t="str">
        <f t="shared" si="23"/>
        <v>↑</v>
      </c>
      <c r="AY25" s="21" t="s">
        <v>214</v>
      </c>
      <c r="AZ25" s="33">
        <f t="shared" si="24"/>
        <v>29</v>
      </c>
      <c r="BA25" s="22">
        <f t="shared" si="25"/>
        <v>2</v>
      </c>
      <c r="BB25" s="22">
        <f>SUM(BC25*2) + (BD25*1) + SUMIFS(MATCH_INPUT!$G$18:$G$21, MATCH_INPUT!$F$18:$F$21, AY25) + SUMIFS(MATCH_INPUT!$I$18:$I$21, MATCH_INPUT!$J$18:$J$21, AY25)
</f>
        <v>9</v>
      </c>
      <c r="BC25" s="22">
        <f>IF(AY25&lt;&gt;"",
    COUNTIFS(MATCH_INPUT!$K$18:$K$21,AY25),
0)</f>
        <v>1</v>
      </c>
      <c r="BD25" s="22">
        <f>IF(AY25&lt;&gt;"",
    COUNTIFS(MATCH_INPUT!$F$18:$F$21, AY25, MATCH_INPUT!$K$18:$K$21, "Draw") +
    COUNTIFS(MATCH_INPUT!$J$18:$J$21, AY25, MATCH_INPUT!$K$18:$K$21, "Draw"),
0)</f>
        <v>1</v>
      </c>
      <c r="BE25" s="22">
        <f>IF(AY25&lt;&gt;"",
    COUNTIFS(MATCH_INPUT!$F$18:$F$21, AY25, MATCH_INPUT!$K$18:$K$21, "&lt;&gt;"&amp;AY25, MATCH_INPUT!$K$18:$K$21, "&lt;&gt;Draw", MATCH_INPUT!$K$18:$K$21, "&lt;&gt;""") +
    COUNTIFS(MATCH_INPUT!$J$18:$J$21, AY25, MATCH_INPUT!$K$18:$K$21, "&lt;&gt;"&amp;AY25, MATCH_INPUT!$K$18:$K$21, "&lt;&gt;Draw", MATCH_INPUT!$K$18:$K$21, "&lt;&gt;"""),
0)</f>
        <v>0</v>
      </c>
      <c r="BF25" s="23">
        <f t="array" ref="BF25">IFERROR(
  INDEX(PLAYER_STAT!E$2:E64, 
    MATCH(1, 
      (PLAYER_STAT!A$2:A64 = MATCH_DATES!$A$6) * (PLAYER_STAT!D$2:D64 = $B25), 
    0)
  ), 
  ""
)
</f>
        <v>1</v>
      </c>
      <c r="BG25" s="23">
        <f t="array" ref="BG25">IFERROR(
  INDEX(PLAYER_STAT!F$2:F64, 
    MATCH(1, 
      (PLAYER_STAT!A$2:A64 = MATCH_DATES!$A$6) * (PLAYER_STAT!D$2:D64 = $B25), 
    0)
  ), 
  ""
)
</f>
        <v>0</v>
      </c>
      <c r="BH25" s="34">
        <f t="array" ref="BH25">IFERROR(
  INDEX(PLAYER_STAT!G$2:G64, 
    MATCH(1, 
      (PLAYER_STAT!A$2:A64 = MATCH_DATES!$A$6) * (PLAYER_STAT!D$2:D64 = $B25), 
    0)
  ), 
  ""
)
</f>
        <v>0</v>
      </c>
      <c r="BI25" s="25">
        <f t="shared" si="26"/>
        <v>4</v>
      </c>
      <c r="BJ25" s="26" t="str">
        <f t="shared" si="27"/>
        <v>↑</v>
      </c>
      <c r="BK25" s="27" t="s">
        <v>215</v>
      </c>
      <c r="BL25" s="28">
        <f t="shared" si="28"/>
        <v>43</v>
      </c>
      <c r="BM25" s="28">
        <f t="shared" si="29"/>
        <v>2</v>
      </c>
      <c r="BN25" s="28">
        <f>SUM(BO25*2) + (BP25*1) + SUMIFS(MATCH_INPUT!$G$22:$G$25, MATCH_INPUT!$F$22:$F$25, BK25) + SUMIFS(MATCH_INPUT!$I$22:$I$25, MATCH_INPUT!$J$22:$J$25, BK25)
</f>
        <v>12</v>
      </c>
      <c r="BO25" s="28">
        <f>IF(BK25&lt;&gt;"",
    COUNTIFS(MATCH_INPUT!$K$22:$K$25,BK25),
0)</f>
        <v>2</v>
      </c>
      <c r="BP25" s="28">
        <f>IF(BK25&lt;&gt;"",
    COUNTIFS(MATCH_INPUT!$F$22:$F$25, BK25, MATCH_INPUT!$K$22:$K$25, "Draw") +
    COUNTIFS(MATCH_INPUT!$J$22:$J$25, BK25, MATCH_INPUT!$K$22:$K$25, "Draw"),
0)</f>
        <v>0</v>
      </c>
      <c r="BQ25" s="28">
        <f>IF(BK25&lt;&gt;"",
    COUNTIFS(MATCH_INPUT!$F$22:$F$25, BK25, MATCH_INPUT!$K$22:$K$25, "&lt;&gt;"&amp;BK25, MATCH_INPUT!$K$22:$K$25, "&lt;&gt;Draw", MATCH_INPUT!$K$22:$K$25, "&lt;&gt;""") +
    COUNTIFS(MATCH_INPUT!$J$22:$J$25, BK25, MATCH_INPUT!$K$22:$K$25, "&lt;&gt;"&amp;BK25, MATCH_INPUT!$K$22:$K$25, "&lt;&gt;Draw", MATCH_INPUT!$K$22:$K$25, "&lt;&gt;"""),
0)</f>
        <v>0</v>
      </c>
      <c r="BR25" s="29">
        <f t="array" ref="BR25">IFERROR(
  INDEX(PLAYER_STAT!E$2:E64, 
    MATCH(1, 
      (PLAYER_STAT!A$2:A64 = MATCH_DATES!$A$7) * (PLAYER_STAT!D$2:D64 = $B25), 
    0)
  ), 
  ""
)
</f>
        <v>1</v>
      </c>
      <c r="BS25" s="29">
        <f t="array" ref="BS25">IFERROR(
  INDEX(PLAYER_STAT!F$2:F64, 
    MATCH(1, 
      (PLAYER_STAT!A$2:A64 = MATCH_DATES!$A$7) * (PLAYER_STAT!D$2:D64 = $B25), 
    0)
  ), 
  ""
)
</f>
        <v>0</v>
      </c>
      <c r="BT25" s="30">
        <f t="array" ref="BT25">IFERROR(
  INDEX(PLAYER_STAT!G$2:G64, 
    MATCH(1, 
      (PLAYER_STAT!A$2:A64 = MATCH_DATES!$A$7) * (PLAYER_STAT!D$2:D64 = $B25), 
    0)
  ), 
  ""
)
</f>
        <v>0</v>
      </c>
      <c r="BU25" s="31">
        <f t="shared" si="30"/>
        <v>1</v>
      </c>
      <c r="BV25" s="32" t="str">
        <f t="shared" si="31"/>
        <v>↑</v>
      </c>
      <c r="BW25" s="21" t="s">
        <v>213</v>
      </c>
      <c r="BX25" s="33">
        <f t="shared" si="32"/>
        <v>59</v>
      </c>
      <c r="BY25" s="22">
        <f t="shared" si="33"/>
        <v>2</v>
      </c>
      <c r="BZ25" s="22">
        <f>SUM(CA25*2)+(CB25*1) + SUMIFS(MATCH_INPUT!$G$26:$G$29, MATCH_INPUT!$F$26:$F$29, BW25) + SUMIFS(MATCH_INPUT!$I$26:$I$29, MATCH_INPUT!$J$26:$J$29, BW25)
</f>
        <v>14</v>
      </c>
      <c r="CA25" s="22">
        <f>IF(BW25&lt;&gt;"",
    COUNTIFS(MATCH_INPUT!$K$26:$K$29,BW25),
0)</f>
        <v>2</v>
      </c>
      <c r="CB25" s="22">
        <f>IF(BW25&lt;&gt;"",
    COUNTIFS(MATCH_INPUT!$F$26:$F$29, BW25, MATCH_INPUT!$K$26:$K$29, "Draw") +
    COUNTIFS(MATCH_INPUT!$J$26:$J$29, BW25, MATCH_INPUT!$K$26:$K$29, "Draw"),
0)</f>
        <v>0</v>
      </c>
      <c r="CC25" s="22">
        <f>IF(BW25&lt;&gt;"",
    COUNTIFS(MATCH_INPUT!$F$26:$F$29, BW25, MATCH_INPUT!$K$26:$K$29, "&lt;&gt;"&amp;BW25, MATCH_INPUT!$K$26:$K$29, "&lt;&gt;Draw", MATCH_INPUT!$K$26:$K$29, "&lt;&gt;""") +
    COUNTIFS(MATCH_INPUT!$J$26:$J$29, BW25, MATCH_INPUT!$K$26:$K$29, "&lt;&gt;"&amp;BW25, MATCH_INPUT!$K$26:$K$29, "&lt;&gt;Draw", MATCH_INPUT!$K$26:$K$29, "&lt;&gt;"""),
0)</f>
        <v>0</v>
      </c>
      <c r="CD25" s="23">
        <f t="array" ref="CD25">IFERROR(
  INDEX(PLAYER_STAT!E$2:E64, 
    MATCH(1, 
      (PLAYER_STAT!A$2:A64 = MATCH_DATES!$A$8) * (PLAYER_STAT!D$2:D64 = $B25), 
    0)
  ), 
  ""
)
</f>
        <v>1</v>
      </c>
      <c r="CE25" s="23">
        <f t="array" ref="CE25">IFERROR(
  INDEX(PLAYER_STAT!F$2:F64, 
    MATCH(1, 
      (PLAYER_STAT!A$2:A64 = MATCH_DATES!$A$8) * (PLAYER_STAT!D$2:D64 = $B25), 
    0)
  ), 
  ""
)
</f>
        <v>0</v>
      </c>
      <c r="CF25" s="34">
        <f t="array" ref="CF25">IFERROR(
  INDEX(PLAYER_STAT!G$2:G64, 
    MATCH(1, 
      (PLAYER_STAT!A$2:A64 = MATCH_DATES!$A$8) * (PLAYER_STAT!D$2:D64 = $B25), 
    0)
  ), 
  ""
)
</f>
        <v>0</v>
      </c>
      <c r="CG25" s="25">
        <f t="shared" si="34"/>
        <v>1</v>
      </c>
      <c r="CH25" s="26" t="str">
        <f t="shared" si="35"/>
        <v>=</v>
      </c>
      <c r="CI25" s="27" t="s">
        <v>214</v>
      </c>
      <c r="CJ25" s="28">
        <f t="shared" si="36"/>
        <v>68</v>
      </c>
      <c r="CK25" s="28">
        <f t="shared" si="37"/>
        <v>2</v>
      </c>
      <c r="CL25" s="28">
        <f>SUM(CM25*2)+(CN25*1) + SUMIFS(MATCH_INPUT!$G$30:$G$33, MATCH_INPUT!$F$30:$F$33, CI25) + SUMIFS(MATCH_INPUT!$I$30:$I$33, MATCH_INPUT!$J$30:$J$33, CI25)
</f>
        <v>7</v>
      </c>
      <c r="CM25" s="28">
        <f>IF(CI25&lt;&gt;"",
    COUNTIFS(MATCH_INPUT!$K$30:$K$33,CI25),
0)</f>
        <v>1</v>
      </c>
      <c r="CN25" s="28">
        <f>IF(CI25&lt;&gt;"",
    COUNTIFS(MATCH_INPUT!$F$30:$F$33, CI25, MATCH_INPUT!$K$30:$K$33, "Draw") +
    COUNTIFS(MATCH_INPUT!$J$30:$J$33, CI25, MATCH_INPUT!$K$30:$K$33, "Draw"),
0)</f>
        <v>1</v>
      </c>
      <c r="CO25" s="28">
        <f>IF(CI25&lt;&gt;"",
    COUNTIFS(MATCH_INPUT!$F$30:$F$33, CI25, MATCH_INPUT!$K$30:$K$33, "&lt;&gt;"&amp;CI25, MATCH_INPUT!$K$30:$K$33, "&lt;&gt;Draw", MATCH_INPUT!$K$30:$K$33, "&lt;&gt;""") +
    COUNTIFS(MATCH_INPUT!$J$30:$J$33, CI25, MATCH_INPUT!$K$30:$K$33, "&lt;&gt;"&amp;CI25, MATCH_INPUT!$K$30:$K$33, "&lt;&gt;Draw", MATCH_INPUT!$K$30:$K$33, "&lt;&gt;"""),
0)</f>
        <v>0</v>
      </c>
      <c r="CP25" s="29" t="str">
        <f t="array" ref="CP25">IFERROR(
  INDEX(PLAYER_STAT!E$2:E64, 
    MATCH(1, 
      (PLAYER_STAT!A$2:A64 = MATCH_DATES!$A$9) * (PLAYER_STAT!D$2:D64 = $B25), 
    0)
  ), 
  ""
)
</f>
        <v/>
      </c>
      <c r="CQ25" s="29" t="str">
        <f t="array" ref="CQ25">IFERROR(
  INDEX(PLAYER_STAT!F$2:F64, 
    MATCH(1, 
      (PLAYER_STAT!A$2:A64 = MATCH_DATES!$A$9) * (PLAYER_STAT!D$2:D64 = $B25), 
    0)
  ), 
  ""
)
</f>
        <v/>
      </c>
      <c r="CR25" s="29" t="str">
        <f t="array" ref="CR25">IFERROR(
  INDEX(PLAYER_STAT!G$2:G64, 
    MATCH(1, 
      (PLAYER_STAT!A$2:A64 = MATCH_DATES!$A$9) * (PLAYER_STAT!D$2:D64 = $B25), 
    0)
  ), 
  ""
)
</f>
        <v/>
      </c>
      <c r="CS25" s="35">
        <f t="shared" si="38"/>
        <v>1</v>
      </c>
      <c r="CT25" s="35" t="str">
        <f t="shared" si="39"/>
        <v>=</v>
      </c>
      <c r="CU25" s="36">
        <f t="shared" si="40"/>
        <v>52</v>
      </c>
      <c r="CV25" s="36" t="str">
        <f t="shared" ref="CV25:CW25" si="106">A25</f>
        <v>🍂🎃</v>
      </c>
      <c r="CW25" s="37" t="str">
        <f t="shared" si="106"/>
        <v>Juan Pablo</v>
      </c>
      <c r="CX25" s="37">
        <f t="shared" si="42"/>
        <v>68</v>
      </c>
      <c r="CY25" s="36">
        <f>SUM(
  IF(AND(MATCH_DATES!$A$2 &lt;= TODAY(), NOW() &gt;= MATCH_DATES!$A$2 + TIME(22, 0, 0)), E25, 0),
  IF(AND(MATCH_DATES!$A$3 &lt;= TODAY(), NOW() &gt;= MATCH_DATES!$A$3 + TIME(22, 0, 0)), Q25, 0),
  IF(AND(MATCH_DATES!$A$4 &lt;= TODAY(), NOW() &gt;= MATCH_DATES!$A$4 + TIME(22, 0, 0)), AC25, 0),
  IF(AND(MATCH_DATES!$A$5 &lt;= TODAY(), NOW() &gt;= MATCH_DATES!$A$5 + TIME(22, 0, 0)), AO25, 0),
  IF(AND(MATCH_DATES!$A$6 &lt;= TODAY(), NOW() &gt;= MATCH_DATES!$A$6 + TIME(22, 0, 0)), BA25, 0),
  IF(AND(MATCH_DATES!$A$7 &lt;= TODAY(), NOW() &gt;= MATCH_DATES!$A$7 + TIME(22, 0, 0)), BM25, 0),
  IF(AND(MATCH_DATES!$A$8 &lt;= TODAY(), NOW() &gt;= MATCH_DATES!$A$8 + TIME(22, 0, 0)), BY25, 0),
  IF(AND(MATCH_DATES!$A$9 &lt;= TODAY(), NOW() &gt;= MATCH_DATES!$A$9 + TIME(22, 0, 0)), CK25, 0)
)
</f>
        <v>16</v>
      </c>
      <c r="CZ25" s="37">
        <f t="shared" ref="CZ25:DA25" si="107">SUM(G25,S25,AE25,AQ25,BC25,BO25,CA25,CM25)</f>
        <v>10</v>
      </c>
      <c r="DA25" s="37">
        <f t="shared" si="107"/>
        <v>4</v>
      </c>
      <c r="DB25" s="37">
        <f>SUM(
  IF(AND(MATCH_DATES!$A$2 &lt;= TODAY(), NOW() &gt;= MATCH_DATES!$A$2 + TIME(22, 0, 0)), I25, 0),
  IF(AND(MATCH_DATES!$A$3 &lt;= TODAY(), NOW() &gt;= MATCH_DATES!$A$3 + TIME(22, 0, 0)), U25, 0),
  IF(AND(MATCH_DATES!$A$4 &lt;= TODAY(), NOW() &gt;= MATCH_DATES!$A$4 + TIME(22, 0, 0)), AG25, 0),
  IF(AND(MATCH_DATES!$A$5 &lt;= TODAY(), NOW() &gt;= MATCH_DATES!$A$5 + TIME(22, 0, 0)), AS25, 0),
  IF(AND(MATCH_DATES!$A$6 &lt;= TODAY(), NOW() &gt;= MATCH_DATES!$A$6 + TIME(22, 0, 0)), BE25, 0),
  IF(AND(MATCH_DATES!$A$7 &lt;= TODAY(), NOW() &gt;= MATCH_DATES!$A$7 + TIME(22, 0, 0)), BQ25, 0),
  IF(AND(MATCH_DATES!$A$8 &lt;= TODAY(), NOW() &gt;= MATCH_DATES!$A$8 + TIME(22, 0, 0)), CC25, 0),
  IF(AND(MATCH_DATES!$A$9 &lt;= TODAY(), NOW() &gt;= MATCH_DATES!$A$9 + TIME(22, 0, 0)), CO25, 0)
)</f>
        <v>2</v>
      </c>
      <c r="DC25" s="37">
        <f t="shared" si="44"/>
        <v>6</v>
      </c>
      <c r="DD25" s="37">
        <f t="shared" ref="DD25:DE25" si="108">SUM(K25,W25,AI25,AU25,BG25,BS25,CE25,CQ25)</f>
        <v>0</v>
      </c>
      <c r="DE25" s="37">
        <f t="shared" si="108"/>
        <v>0</v>
      </c>
    </row>
    <row r="26" ht="24.75" customHeight="1">
      <c r="A26" s="19" t="s">
        <v>210</v>
      </c>
      <c r="B26" s="38" t="s">
        <v>232</v>
      </c>
      <c r="C26" s="21"/>
      <c r="D26" s="22">
        <f t="shared" si="4"/>
        <v>0</v>
      </c>
      <c r="E26" s="22">
        <f t="shared" si="5"/>
        <v>0</v>
      </c>
      <c r="F26" s="22">
        <f t="shared" si="6"/>
        <v>0</v>
      </c>
      <c r="G26" s="22">
        <f>IF(C26&lt;&gt;"",
    COUNTIFS(MATCH_INPUT!$K$2:$K$5,C26),
0)</f>
        <v>0</v>
      </c>
      <c r="H26" s="22">
        <f>IF(C26&lt;&gt;"",
    COUNTIFS(MATCH_INPUT!$F$2:$F$5, C26, MATCH_INPUT!$K$2:$K$5, "Draw") +
    COUNTIFS(MATCH_INPUT!$J$2:$J$5, C26, MATCH_INPUT!$K$2:$K$5, "Draw"),
0)</f>
        <v>0</v>
      </c>
      <c r="I26" s="22">
        <f>IF(C26&lt;&gt;"",
    COUNTIFS(MATCH_INPUT!$F$2:$F$5, C26, MATCH_INPUT!$K$2:$K$5, "&lt;&gt;"&amp;C26, MATCH_INPUT!$K$2:$K$5, "&lt;&gt;Draw", MATCH_INPUT!$K$2:$K$5, "&lt;&gt;""") +
    COUNTIFS(MATCH_INPUT!$J$2:$J$5, C26, MATCH_INPUT!$K$2:$K$5, "&lt;&gt;"&amp;C26, MATCH_INPUT!$K$2:$K$5, "&lt;&gt;Draw", MATCH_INPUT!$K$2:$K$5, "&lt;&gt;"""),
0)</f>
        <v>0</v>
      </c>
      <c r="J26" s="23" t="str">
        <f t="array" ref="J26">IFERROR(
  INDEX(PLAYER_STAT!E$2:E64, 
    MATCH(1, 
      (PLAYER_STAT!A$2:A64 = MATCH_DATES!$A$2) * (PLAYER_STAT!D$2:D64 = $B26), 
    0)
  ), 
  ""
)
</f>
        <v/>
      </c>
      <c r="K26" s="23" t="str">
        <f t="array" ref="K26">IFERROR(
  INDEX(PLAYER_STAT!F$2:F64, 
    MATCH(1, 
      (PLAYER_STAT!A$2:A64 = MATCH_DATES!$A$2) * (PLAYER_STAT!D$2:D64 = $B26), 
    0)
  ), 
  ""
)
</f>
        <v/>
      </c>
      <c r="L26" s="24" t="str">
        <f t="array" ref="L26">IFERROR(
  INDEX(PLAYER_STAT!G$2:G64, 
    MATCH(1, 
      (PLAYER_STAT!A$2:A64 = MATCH_DATES!$A$2) * (PLAYER_STAT!D$2:D64 = $B26), 
    0)
  ), 
  ""
)
</f>
        <v/>
      </c>
      <c r="M26" s="25">
        <f t="shared" si="7"/>
        <v>33</v>
      </c>
      <c r="N26" s="26" t="str">
        <f t="shared" si="8"/>
        <v>↓</v>
      </c>
      <c r="O26" s="27" t="s">
        <v>214</v>
      </c>
      <c r="P26" s="28">
        <f t="shared" si="9"/>
        <v>5</v>
      </c>
      <c r="Q26" s="28">
        <f t="shared" si="10"/>
        <v>2</v>
      </c>
      <c r="R26" s="28">
        <f t="shared" si="11"/>
        <v>2</v>
      </c>
      <c r="S26" s="28">
        <f>IF(O26&lt;&gt;"",
    COUNTIFS(MATCH_INPUT!$K$6:$K$9,O26),
0)</f>
        <v>0</v>
      </c>
      <c r="T26" s="28">
        <f>IF(O26&lt;&gt;"",
    COUNTIFS(MATCH_INPUT!$F$6:$F$9, O26, MATCH_INPUT!$K$6:$K$9, "Draw") +
    COUNTIFS(MATCH_INPUT!$J$6:$J$9, O26, MATCH_INPUT!$K$6:$K$9, "Draw"),
0)</f>
        <v>2</v>
      </c>
      <c r="U26" s="28">
        <f>IF(O26&lt;&gt;"",
    COUNTIFS(MATCH_INPUT!$F$6:$F$9, O26, MATCH_INPUT!$K$6:$K$9, "&lt;&gt;"&amp;O26, MATCH_INPUT!$K$6:$K$9, "&lt;&gt;Draw", MATCH_INPUT!$K$6:$K$9, "&lt;&gt;""") +
    COUNTIFS(MATCH_INPUT!$J$6:$J$9, O26, MATCH_INPUT!$K$6:$K$9, "&lt;&gt;"&amp;O26, MATCH_INPUT!$K$6:$K$9, "&lt;&gt;Draw", MATCH_INPUT!$K$6:$K$9, "&lt;&gt;"""),
0)</f>
        <v>0</v>
      </c>
      <c r="V26" s="29">
        <f t="array" ref="V26">IFERROR(
  INDEX(PLAYER_STAT!E$2:E64, 
    MATCH(1, 
      (PLAYER_STAT!A$2:A64 = MATCH_DATES!$A$3) * (PLAYER_STAT!D$2:D64 = $B26), 
    0)
  ), 
  ""
)
</f>
        <v>0</v>
      </c>
      <c r="W26" s="29">
        <f t="array" ref="W26">IFERROR(
  INDEX(PLAYER_STAT!F$2:F64, 
    MATCH(1, 
      (PLAYER_STAT!A$2:A64 = MATCH_DATES!$A$3) * (PLAYER_STAT!D$2:D64 = $B26), 
    0)
  ), 
  ""
)
</f>
        <v>1</v>
      </c>
      <c r="X26" s="30">
        <f t="array" ref="X26">IFERROR(
  INDEX(PLAYER_STAT!G$2:G64, 
    MATCH(1, 
      (PLAYER_STAT!A$2:A64 = MATCH_DATES!$A$3) * (PLAYER_STAT!D$2:D64 = $B26), 
    0)
  ), 
  ""
)
</f>
        <v>0</v>
      </c>
      <c r="Y26" s="31">
        <f t="shared" si="12"/>
        <v>30</v>
      </c>
      <c r="Z26" s="32" t="str">
        <f t="shared" si="13"/>
        <v>↑</v>
      </c>
      <c r="AA26" s="21" t="s">
        <v>215</v>
      </c>
      <c r="AB26" s="33">
        <f t="shared" si="14"/>
        <v>7</v>
      </c>
      <c r="AC26" s="22">
        <f t="shared" si="15"/>
        <v>2</v>
      </c>
      <c r="AD26" s="22">
        <f t="shared" si="16"/>
        <v>0</v>
      </c>
      <c r="AE26" s="22">
        <f>IF(AA26&lt;&gt;"",
    COUNTIFS(MATCH_INPUT!$K$10:$K$13,AA26),
0)</f>
        <v>0</v>
      </c>
      <c r="AF26" s="22">
        <f>IF(AA26&lt;&gt;"",
    COUNTIFS(MATCH_INPUT!$F$10:$F$13, AA26, MATCH_INPUT!$K$10:$K$13, "Draw") +
    COUNTIFS(MATCH_INPUT!$J$10:$J$13, AA26, MATCH_INPUT!$K$10:$K$13, "Draw"),
0)</f>
        <v>0</v>
      </c>
      <c r="AG26" s="22">
        <f>IF(AA26&lt;&gt;"",
    COUNTIFS(MATCH_INPUT!$F$10:$F$13, AA26, MATCH_INPUT!$K$10:$K$13, "&lt;&gt;"&amp;AA26, MATCH_INPUT!$K$10:$K$13, "&lt;&gt;Draw", MATCH_INPUT!$K$10:$K$13, "&lt;&gt;""") +
    COUNTIFS(MATCH_INPUT!$J$10:$J$13, AA26, MATCH_INPUT!$K$10:$K$13, "&lt;&gt;"&amp;AA26, MATCH_INPUT!$K$10:$K$13, "&lt;&gt;Draw", MATCH_INPUT!$K$10:$K$13, "&lt;&gt;"""),
0)</f>
        <v>2</v>
      </c>
      <c r="AH26" s="23" t="str">
        <f t="array" ref="AH26">IFERROR(
  INDEX(PLAYER_STAT!E$2:E64, 
    MATCH(1, 
      (PLAYER_STAT!A$2:A64 = MATCH_DATES!$A$4) * (PLAYER_STAT!D$2:D64 = $B26), 
    0)
  ), 
  ""
)
</f>
        <v/>
      </c>
      <c r="AI26" s="23" t="str">
        <f t="array" ref="AI26">IFERROR(
  INDEX(PLAYER_STAT!F$2:F64, 
    MATCH(1, 
      (PLAYER_STAT!A$2:A64 = MATCH_DATES!$A$4) * (PLAYER_STAT!D$2:D64 = $B26), 
    0)
  ), 
  ""
)
</f>
        <v/>
      </c>
      <c r="AJ26" s="34" t="str">
        <f t="array" ref="AJ26">IFERROR(
  INDEX(PLAYER_STAT!G$2:G64, 
    MATCH(1, 
      (PLAYER_STAT!A$2:A64 = MATCH_DATES!$A$4) * (PLAYER_STAT!D$2:D64 = $B26), 
    0)
  ), 
  ""
)
</f>
        <v/>
      </c>
      <c r="AK26" s="25">
        <f t="shared" si="17"/>
        <v>32</v>
      </c>
      <c r="AL26" s="26" t="str">
        <f t="shared" si="18"/>
        <v>↓</v>
      </c>
      <c r="AM26" s="27" t="s">
        <v>212</v>
      </c>
      <c r="AN26" s="28">
        <f t="shared" si="19"/>
        <v>13</v>
      </c>
      <c r="AO26" s="28">
        <f t="shared" si="20"/>
        <v>2</v>
      </c>
      <c r="AP26" s="28">
        <f t="shared" si="21"/>
        <v>4</v>
      </c>
      <c r="AQ26" s="28">
        <f>IF(AM26&lt;&gt;"",
    COUNTIFS(MATCH_INPUT!$K$14:$K$17,AM26),
0)</f>
        <v>2</v>
      </c>
      <c r="AR26" s="28">
        <f>IF(AM26&lt;&gt;"",
    COUNTIFS(MATCH_INPUT!$F$14:$F$17, AM26, MATCH_INPUT!$K$14:$K$17, "Draw") +
    COUNTIFS(MATCH_INPUT!$J$14:$J$17, AM26, MATCH_INPUT!$K$14:$K$17, "Draw"),
0)</f>
        <v>0</v>
      </c>
      <c r="AS26" s="28">
        <f>IF(AM26&lt;&gt;"",
    COUNTIFS(MATCH_INPUT!$F$14:$F$17, AM26, MATCH_INPUT!$K$14:$K$17, "&lt;&gt;"&amp;AM26, MATCH_INPUT!$K$14:$K$17, "&lt;&gt;Draw", MATCH_INPUT!$K$14:$K$17, "&lt;&gt;""") +
    COUNTIFS(MATCH_INPUT!$J$14:$J$17, AM26, MATCH_INPUT!$K$14:$K$17, "&lt;&gt;"&amp;AM26, MATCH_INPUT!$K$14:$K$17, "&lt;&gt;Draw", MATCH_INPUT!$K$14:$K$17, "&lt;&gt;"""),
0)</f>
        <v>0</v>
      </c>
      <c r="AT26" s="29">
        <f t="array" ref="AT26">IFERROR(
  INDEX(PLAYER_STAT!E$2:E64, 
    MATCH(1, 
      (PLAYER_STAT!A$2:A64 = MATCH_DATES!$A$5) * (PLAYER_STAT!D$2:D64 = $B26), 
    0)
  ), 
  ""
)
</f>
        <v>1</v>
      </c>
      <c r="AU26" s="29">
        <f t="array" ref="AU26">IFERROR(
  INDEX(PLAYER_STAT!F$2:F64, 
    MATCH(1, 
      (PLAYER_STAT!A$2:A64 = MATCH_DATES!$A$5) * (PLAYER_STAT!D$2:D64 = $B26), 
    0)
  ), 
  ""
)
</f>
        <v>0</v>
      </c>
      <c r="AV26" s="30">
        <f t="array" ref="AV26">IFERROR(
  INDEX(PLAYER_STAT!G$2:G64, 
    MATCH(1, 
      (PLAYER_STAT!A$2:A64 = MATCH_DATES!$A$5) * (PLAYER_STAT!D$2:D64 = $B26), 
    0)
  ), 
  ""
)
</f>
        <v>0</v>
      </c>
      <c r="AW26" s="31">
        <f t="shared" si="22"/>
        <v>25</v>
      </c>
      <c r="AX26" s="32" t="str">
        <f t="shared" si="23"/>
        <v>↑</v>
      </c>
      <c r="AY26" s="21" t="s">
        <v>214</v>
      </c>
      <c r="AZ26" s="33">
        <f t="shared" si="24"/>
        <v>25</v>
      </c>
      <c r="BA26" s="22">
        <f t="shared" si="25"/>
        <v>2</v>
      </c>
      <c r="BB26" s="22">
        <f>SUM(BC26*2) + (BD26*1) + SUMIFS(MATCH_INPUT!$G$18:$G$21, MATCH_INPUT!$F$18:$F$21, AY26) + SUMIFS(MATCH_INPUT!$I$18:$I$21, MATCH_INPUT!$J$18:$J$21, AY26)
</f>
        <v>9</v>
      </c>
      <c r="BC26" s="22">
        <f>IF(AY26&lt;&gt;"",
    COUNTIFS(MATCH_INPUT!$K$18:$K$21,AY26),
0)</f>
        <v>1</v>
      </c>
      <c r="BD26" s="22">
        <f>IF(AY26&lt;&gt;"",
    COUNTIFS(MATCH_INPUT!$F$18:$F$21, AY26, MATCH_INPUT!$K$18:$K$21, "Draw") +
    COUNTIFS(MATCH_INPUT!$J$18:$J$21, AY26, MATCH_INPUT!$K$18:$K$21, "Draw"),
0)</f>
        <v>1</v>
      </c>
      <c r="BE26" s="22">
        <f>IF(AY26&lt;&gt;"",
    COUNTIFS(MATCH_INPUT!$F$18:$F$21, AY26, MATCH_INPUT!$K$18:$K$21, "&lt;&gt;"&amp;AY26, MATCH_INPUT!$K$18:$K$21, "&lt;&gt;Draw", MATCH_INPUT!$K$18:$K$21, "&lt;&gt;""") +
    COUNTIFS(MATCH_INPUT!$J$18:$J$21, AY26, MATCH_INPUT!$K$18:$K$21, "&lt;&gt;"&amp;AY26, MATCH_INPUT!$K$18:$K$21, "&lt;&gt;Draw", MATCH_INPUT!$K$18:$K$21, "&lt;&gt;"""),
0)</f>
        <v>0</v>
      </c>
      <c r="BF26" s="23">
        <f t="array" ref="BF26">IFERROR(
  INDEX(PLAYER_STAT!E$2:E64, 
    MATCH(1, 
      (PLAYER_STAT!A$2:A64 = MATCH_DATES!$A$6) * (PLAYER_STAT!D$2:D64 = $B26), 
    0)
  ), 
  ""
)
</f>
        <v>0</v>
      </c>
      <c r="BG26" s="23">
        <f t="array" ref="BG26">IFERROR(
  INDEX(PLAYER_STAT!F$2:F64, 
    MATCH(1, 
      (PLAYER_STAT!A$2:A64 = MATCH_DATES!$A$6) * (PLAYER_STAT!D$2:D64 = $B26), 
    0)
  ), 
  ""
)
</f>
        <v>1</v>
      </c>
      <c r="BH26" s="34">
        <f t="array" ref="BH26">IFERROR(
  INDEX(PLAYER_STAT!G$2:G64, 
    MATCH(1, 
      (PLAYER_STAT!A$2:A64 = MATCH_DATES!$A$6) * (PLAYER_STAT!D$2:D64 = $B26), 
    0)
  ), 
  ""
)
</f>
        <v>1</v>
      </c>
      <c r="BI26" s="25">
        <f t="shared" si="26"/>
        <v>10</v>
      </c>
      <c r="BJ26" s="26" t="str">
        <f t="shared" si="27"/>
        <v>↑</v>
      </c>
      <c r="BK26" s="27" t="s">
        <v>214</v>
      </c>
      <c r="BL26" s="28">
        <f t="shared" si="28"/>
        <v>34</v>
      </c>
      <c r="BM26" s="28">
        <f t="shared" si="29"/>
        <v>2</v>
      </c>
      <c r="BN26" s="28">
        <f>SUM(BO26*2) + (BP26*1) + SUMIFS(MATCH_INPUT!$G$22:$G$25, MATCH_INPUT!$F$22:$F$25, BK26) + SUMIFS(MATCH_INPUT!$I$22:$I$25, MATCH_INPUT!$J$22:$J$25, BK26)
</f>
        <v>7</v>
      </c>
      <c r="BO26" s="28">
        <f>IF(BK26&lt;&gt;"",
    COUNTIFS(MATCH_INPUT!$K$22:$K$25,BK26),
0)</f>
        <v>1</v>
      </c>
      <c r="BP26" s="28">
        <f>IF(BK26&lt;&gt;"",
    COUNTIFS(MATCH_INPUT!$F$22:$F$25, BK26, MATCH_INPUT!$K$22:$K$25, "Draw") +
    COUNTIFS(MATCH_INPUT!$J$22:$J$25, BK26, MATCH_INPUT!$K$22:$K$25, "Draw"),
0)</f>
        <v>1</v>
      </c>
      <c r="BQ26" s="28">
        <f>IF(BK26&lt;&gt;"",
    COUNTIFS(MATCH_INPUT!$F$22:$F$25, BK26, MATCH_INPUT!$K$22:$K$25, "&lt;&gt;"&amp;BK26, MATCH_INPUT!$K$22:$K$25, "&lt;&gt;Draw", MATCH_INPUT!$K$22:$K$25, "&lt;&gt;""") +
    COUNTIFS(MATCH_INPUT!$J$22:$J$25, BK26, MATCH_INPUT!$K$22:$K$25, "&lt;&gt;"&amp;BK26, MATCH_INPUT!$K$22:$K$25, "&lt;&gt;Draw", MATCH_INPUT!$K$22:$K$25, "&lt;&gt;"""),
0)</f>
        <v>0</v>
      </c>
      <c r="BR26" s="29" t="str">
        <f t="array" ref="BR26">IFERROR(
  INDEX(PLAYER_STAT!E$2:E64, 
    MATCH(1, 
      (PLAYER_STAT!A$2:A64 = MATCH_DATES!$A$7) * (PLAYER_STAT!D$2:D64 = $B26), 
    0)
  ), 
  ""
)
</f>
        <v/>
      </c>
      <c r="BS26" s="29" t="str">
        <f t="array" ref="BS26">IFERROR(
  INDEX(PLAYER_STAT!F$2:F64, 
    MATCH(1, 
      (PLAYER_STAT!A$2:A64 = MATCH_DATES!$A$7) * (PLAYER_STAT!D$2:D64 = $B26), 
    0)
  ), 
  ""
)
</f>
        <v/>
      </c>
      <c r="BT26" s="30" t="str">
        <f t="array" ref="BT26">IFERROR(
  INDEX(PLAYER_STAT!G$2:G64, 
    MATCH(1, 
      (PLAYER_STAT!A$2:A64 = MATCH_DATES!$A$7) * (PLAYER_STAT!D$2:D64 = $B26), 
    0)
  ), 
  ""
)
</f>
        <v/>
      </c>
      <c r="BU26" s="31">
        <f t="shared" si="30"/>
        <v>10</v>
      </c>
      <c r="BV26" s="32" t="str">
        <f t="shared" si="31"/>
        <v>=</v>
      </c>
      <c r="BW26" s="21" t="s">
        <v>215</v>
      </c>
      <c r="BX26" s="33">
        <f t="shared" si="32"/>
        <v>41</v>
      </c>
      <c r="BY26" s="22">
        <f t="shared" si="33"/>
        <v>2</v>
      </c>
      <c r="BZ26" s="22">
        <f>SUM(CA26*2)+(CB26*1) + SUMIFS(MATCH_INPUT!$G$26:$G$29, MATCH_INPUT!$F$26:$F$29, BW26) + SUMIFS(MATCH_INPUT!$I$26:$I$29, MATCH_INPUT!$J$26:$J$29, BW26)
</f>
        <v>5</v>
      </c>
      <c r="CA26" s="22">
        <f>IF(BW26&lt;&gt;"",
    COUNTIFS(MATCH_INPUT!$K$26:$K$29,BW26),
0)</f>
        <v>0</v>
      </c>
      <c r="CB26" s="22">
        <f>IF(BW26&lt;&gt;"",
    COUNTIFS(MATCH_INPUT!$F$26:$F$29, BW26, MATCH_INPUT!$K$26:$K$29, "Draw") +
    COUNTIFS(MATCH_INPUT!$J$26:$J$29, BW26, MATCH_INPUT!$K$26:$K$29, "Draw"),
0)</f>
        <v>1</v>
      </c>
      <c r="CC26" s="22">
        <f>IF(BW26&lt;&gt;"",
    COUNTIFS(MATCH_INPUT!$F$26:$F$29, BW26, MATCH_INPUT!$K$26:$K$29, "&lt;&gt;"&amp;BW26, MATCH_INPUT!$K$26:$K$29, "&lt;&gt;Draw", MATCH_INPUT!$K$26:$K$29, "&lt;&gt;""") +
    COUNTIFS(MATCH_INPUT!$J$26:$J$29, BW26, MATCH_INPUT!$K$26:$K$29, "&lt;&gt;"&amp;BW26, MATCH_INPUT!$K$26:$K$29, "&lt;&gt;Draw", MATCH_INPUT!$K$26:$K$29, "&lt;&gt;"""),
0)</f>
        <v>1</v>
      </c>
      <c r="CD26" s="23" t="str">
        <f t="array" ref="CD26">IFERROR(
  INDEX(PLAYER_STAT!E$2:E64, 
    MATCH(1, 
      (PLAYER_STAT!A$2:A64 = MATCH_DATES!$A$8) * (PLAYER_STAT!D$2:D64 = $B26), 
    0)
  ), 
  ""
)
</f>
        <v/>
      </c>
      <c r="CE26" s="23" t="str">
        <f t="array" ref="CE26">IFERROR(
  INDEX(PLAYER_STAT!F$2:F64, 
    MATCH(1, 
      (PLAYER_STAT!A$2:A64 = MATCH_DATES!$A$8) * (PLAYER_STAT!D$2:D64 = $B26), 
    0)
  ), 
  ""
)
</f>
        <v/>
      </c>
      <c r="CF26" s="34" t="str">
        <f t="array" ref="CF26">IFERROR(
  INDEX(PLAYER_STAT!G$2:G64, 
    MATCH(1, 
      (PLAYER_STAT!A$2:A64 = MATCH_DATES!$A$8) * (PLAYER_STAT!D$2:D64 = $B26), 
    0)
  ), 
  ""
)
</f>
        <v/>
      </c>
      <c r="CG26" s="25">
        <f t="shared" si="34"/>
        <v>14</v>
      </c>
      <c r="CH26" s="26" t="str">
        <f t="shared" si="35"/>
        <v>↓</v>
      </c>
      <c r="CI26" s="27" t="s">
        <v>213</v>
      </c>
      <c r="CJ26" s="28">
        <f t="shared" si="36"/>
        <v>51</v>
      </c>
      <c r="CK26" s="28">
        <f t="shared" si="37"/>
        <v>2</v>
      </c>
      <c r="CL26" s="28">
        <f>SUM(CM26*2)+(CN26*1) + SUMIFS(MATCH_INPUT!$G$30:$G$33, MATCH_INPUT!$F$30:$F$33, CI26) + SUMIFS(MATCH_INPUT!$I$30:$I$33, MATCH_INPUT!$J$30:$J$33, CI26)
</f>
        <v>8</v>
      </c>
      <c r="CM26" s="28">
        <f>IF(CI26&lt;&gt;"",
    COUNTIFS(MATCH_INPUT!$K$30:$K$33,CI26),
0)</f>
        <v>1</v>
      </c>
      <c r="CN26" s="28">
        <f>IF(CI26&lt;&gt;"",
    COUNTIFS(MATCH_INPUT!$F$30:$F$33, CI26, MATCH_INPUT!$K$30:$K$33, "Draw") +
    COUNTIFS(MATCH_INPUT!$J$30:$J$33, CI26, MATCH_INPUT!$K$30:$K$33, "Draw"),
0)</f>
        <v>0</v>
      </c>
      <c r="CO26" s="28">
        <f>IF(CI26&lt;&gt;"",
    COUNTIFS(MATCH_INPUT!$F$30:$F$33, CI26, MATCH_INPUT!$K$30:$K$33, "&lt;&gt;"&amp;CI26, MATCH_INPUT!$K$30:$K$33, "&lt;&gt;Draw", MATCH_INPUT!$K$30:$K$33, "&lt;&gt;""") +
    COUNTIFS(MATCH_INPUT!$J$30:$J$33, CI26, MATCH_INPUT!$K$30:$K$33, "&lt;&gt;"&amp;CI26, MATCH_INPUT!$K$30:$K$33, "&lt;&gt;Draw", MATCH_INPUT!$K$30:$K$33, "&lt;&gt;"""),
0)</f>
        <v>1</v>
      </c>
      <c r="CP26" s="29" t="str">
        <f t="array" ref="CP26">IFERROR(
  INDEX(PLAYER_STAT!E$2:E64, 
    MATCH(1, 
      (PLAYER_STAT!A$2:A64 = MATCH_DATES!$A$9) * (PLAYER_STAT!D$2:D64 = $B26), 
    0)
  ), 
  ""
)
</f>
        <v/>
      </c>
      <c r="CQ26" s="29" t="str">
        <f t="array" ref="CQ26">IFERROR(
  INDEX(PLAYER_STAT!F$2:F64, 
    MATCH(1, 
      (PLAYER_STAT!A$2:A64 = MATCH_DATES!$A$9) * (PLAYER_STAT!D$2:D64 = $B26), 
    0)
  ), 
  ""
)
</f>
        <v/>
      </c>
      <c r="CR26" s="29" t="str">
        <f t="array" ref="CR26">IFERROR(
  INDEX(PLAYER_STAT!G$2:G64, 
    MATCH(1, 
      (PLAYER_STAT!A$2:A64 = MATCH_DATES!$A$9) * (PLAYER_STAT!D$2:D64 = $B26), 
    0)
  ), 
  ""
)
</f>
        <v/>
      </c>
      <c r="CS26" s="35">
        <f t="shared" si="38"/>
        <v>12</v>
      </c>
      <c r="CT26" s="35" t="str">
        <f t="shared" si="39"/>
        <v>↑</v>
      </c>
      <c r="CU26" s="36">
        <f t="shared" si="40"/>
        <v>35</v>
      </c>
      <c r="CV26" s="36" t="str">
        <f t="shared" ref="CV26:CW26" si="109">A26</f>
        <v>🍂🎃</v>
      </c>
      <c r="CW26" s="37" t="str">
        <f t="shared" si="109"/>
        <v>Kevin 👬 Mike</v>
      </c>
      <c r="CX26" s="37">
        <f t="shared" si="42"/>
        <v>51</v>
      </c>
      <c r="CY26" s="36">
        <f>SUM(
  IF(AND(MATCH_DATES!$A$2 &lt;= TODAY(), NOW() &gt;= MATCH_DATES!$A$2 + TIME(22, 0, 0)), E26, 0),
  IF(AND(MATCH_DATES!$A$3 &lt;= TODAY(), NOW() &gt;= MATCH_DATES!$A$3 + TIME(22, 0, 0)), Q26, 0),
  IF(AND(MATCH_DATES!$A$4 &lt;= TODAY(), NOW() &gt;= MATCH_DATES!$A$4 + TIME(22, 0, 0)), AC26, 0),
  IF(AND(MATCH_DATES!$A$5 &lt;= TODAY(), NOW() &gt;= MATCH_DATES!$A$5 + TIME(22, 0, 0)), AO26, 0),
  IF(AND(MATCH_DATES!$A$6 &lt;= TODAY(), NOW() &gt;= MATCH_DATES!$A$6 + TIME(22, 0, 0)), BA26, 0),
  IF(AND(MATCH_DATES!$A$7 &lt;= TODAY(), NOW() &gt;= MATCH_DATES!$A$7 + TIME(22, 0, 0)), BM26, 0),
  IF(AND(MATCH_DATES!$A$8 &lt;= TODAY(), NOW() &gt;= MATCH_DATES!$A$8 + TIME(22, 0, 0)), BY26, 0),
  IF(AND(MATCH_DATES!$A$9 &lt;= TODAY(), NOW() &gt;= MATCH_DATES!$A$9 + TIME(22, 0, 0)), CK26, 0)
)
</f>
        <v>14</v>
      </c>
      <c r="CZ26" s="37">
        <f t="shared" ref="CZ26:DA26" si="110">SUM(G26,S26,AE26,AQ26,BC26,BO26,CA26,CM26)</f>
        <v>5</v>
      </c>
      <c r="DA26" s="37">
        <f t="shared" si="110"/>
        <v>5</v>
      </c>
      <c r="DB26" s="37">
        <f>SUM(
  IF(AND(MATCH_DATES!$A$2 &lt;= TODAY(), NOW() &gt;= MATCH_DATES!$A$2 + TIME(22, 0, 0)), I26, 0),
  IF(AND(MATCH_DATES!$A$3 &lt;= TODAY(), NOW() &gt;= MATCH_DATES!$A$3 + TIME(22, 0, 0)), U26, 0),
  IF(AND(MATCH_DATES!$A$4 &lt;= TODAY(), NOW() &gt;= MATCH_DATES!$A$4 + TIME(22, 0, 0)), AG26, 0),
  IF(AND(MATCH_DATES!$A$5 &lt;= TODAY(), NOW() &gt;= MATCH_DATES!$A$5 + TIME(22, 0, 0)), AS26, 0),
  IF(AND(MATCH_DATES!$A$6 &lt;= TODAY(), NOW() &gt;= MATCH_DATES!$A$6 + TIME(22, 0, 0)), BE26, 0),
  IF(AND(MATCH_DATES!$A$7 &lt;= TODAY(), NOW() &gt;= MATCH_DATES!$A$7 + TIME(22, 0, 0)), BQ26, 0),
  IF(AND(MATCH_DATES!$A$8 &lt;= TODAY(), NOW() &gt;= MATCH_DATES!$A$8 + TIME(22, 0, 0)), CC26, 0),
  IF(AND(MATCH_DATES!$A$9 &lt;= TODAY(), NOW() &gt;= MATCH_DATES!$A$9 + TIME(22, 0, 0)), CO26, 0)
)</f>
        <v>4</v>
      </c>
      <c r="DC26" s="37">
        <f t="shared" si="44"/>
        <v>1</v>
      </c>
      <c r="DD26" s="37">
        <f t="shared" ref="DD26:DE26" si="111">SUM(K26,W26,AI26,AU26,BG26,BS26,CE26,CQ26)</f>
        <v>2</v>
      </c>
      <c r="DE26" s="37">
        <f t="shared" si="111"/>
        <v>1</v>
      </c>
    </row>
    <row r="27" ht="24.75" customHeight="1">
      <c r="A27" s="19" t="s">
        <v>210</v>
      </c>
      <c r="B27" s="20" t="s">
        <v>233</v>
      </c>
      <c r="C27" s="21" t="s">
        <v>214</v>
      </c>
      <c r="D27" s="22">
        <f t="shared" si="4"/>
        <v>6</v>
      </c>
      <c r="E27" s="22">
        <f t="shared" si="5"/>
        <v>2</v>
      </c>
      <c r="F27" s="22">
        <f t="shared" si="6"/>
        <v>4</v>
      </c>
      <c r="G27" s="22">
        <f>IF(C27&lt;&gt;"",
    COUNTIFS(MATCH_INPUT!$K$2:$K$5,C27),
0)</f>
        <v>2</v>
      </c>
      <c r="H27" s="22">
        <f>IF(C27&lt;&gt;"",
    COUNTIFS(MATCH_INPUT!$F$2:$F$5, C27, MATCH_INPUT!$K$2:$K$5, "Draw") +
    COUNTIFS(MATCH_INPUT!$J$2:$J$5, C27, MATCH_INPUT!$K$2:$K$5, "Draw"),
0)</f>
        <v>0</v>
      </c>
      <c r="I27" s="22">
        <f>IF(C27&lt;&gt;"",
    COUNTIFS(MATCH_INPUT!$F$2:$F$5, C27, MATCH_INPUT!$K$2:$K$5, "&lt;&gt;"&amp;C27, MATCH_INPUT!$K$2:$K$5, "&lt;&gt;Draw", MATCH_INPUT!$K$2:$K$5, "&lt;&gt;""") +
    COUNTIFS(MATCH_INPUT!$J$2:$J$5, C27, MATCH_INPUT!$K$2:$K$5, "&lt;&gt;"&amp;C27, MATCH_INPUT!$K$2:$K$5, "&lt;&gt;Draw", MATCH_INPUT!$K$2:$K$5, "&lt;&gt;"""),
0)</f>
        <v>0</v>
      </c>
      <c r="J27" s="23" t="str">
        <f t="array" ref="J27">IFERROR(
  INDEX(PLAYER_STAT!E$2:E64, 
    MATCH(1, 
      (PLAYER_STAT!A$2:A64 = MATCH_DATES!$A$2) * (PLAYER_STAT!D$2:D64 = $B27), 
    0)
  ), 
  ""
)
</f>
        <v/>
      </c>
      <c r="K27" s="23" t="str">
        <f t="array" ref="K27">IFERROR(
  INDEX(PLAYER_STAT!F$2:F64, 
    MATCH(1, 
      (PLAYER_STAT!A$2:A64 = MATCH_DATES!$A$2) * (PLAYER_STAT!D$2:D64 = $B27), 
    0)
  ), 
  ""
)
</f>
        <v/>
      </c>
      <c r="L27" s="24" t="str">
        <f t="array" ref="L27">IFERROR(
  INDEX(PLAYER_STAT!G$2:G64, 
    MATCH(1, 
      (PLAYER_STAT!A$2:A64 = MATCH_DATES!$A$2) * (PLAYER_STAT!D$2:D64 = $B27), 
    0)
  ), 
  ""
)
</f>
        <v/>
      </c>
      <c r="M27" s="25">
        <f t="shared" si="7"/>
        <v>2</v>
      </c>
      <c r="N27" s="26" t="str">
        <f t="shared" si="8"/>
        <v>↓</v>
      </c>
      <c r="O27" s="27" t="s">
        <v>212</v>
      </c>
      <c r="P27" s="28">
        <f t="shared" si="9"/>
        <v>9</v>
      </c>
      <c r="Q27" s="28">
        <f t="shared" si="10"/>
        <v>2</v>
      </c>
      <c r="R27" s="28">
        <f t="shared" si="11"/>
        <v>1</v>
      </c>
      <c r="S27" s="28">
        <f>IF(O27&lt;&gt;"",
    COUNTIFS(MATCH_INPUT!$K$6:$K$9,O27),
0)</f>
        <v>0</v>
      </c>
      <c r="T27" s="28">
        <f>IF(O27&lt;&gt;"",
    COUNTIFS(MATCH_INPUT!$F$6:$F$9, O27, MATCH_INPUT!$K$6:$K$9, "Draw") +
    COUNTIFS(MATCH_INPUT!$J$6:$J$9, O27, MATCH_INPUT!$K$6:$K$9, "Draw"),
0)</f>
        <v>1</v>
      </c>
      <c r="U27" s="28">
        <f>IF(O27&lt;&gt;"",
    COUNTIFS(MATCH_INPUT!$F$6:$F$9, O27, MATCH_INPUT!$K$6:$K$9, "&lt;&gt;"&amp;O27, MATCH_INPUT!$K$6:$K$9, "&lt;&gt;Draw", MATCH_INPUT!$K$6:$K$9, "&lt;&gt;""") +
    COUNTIFS(MATCH_INPUT!$J$6:$J$9, O27, MATCH_INPUT!$K$6:$K$9, "&lt;&gt;"&amp;O27, MATCH_INPUT!$K$6:$K$9, "&lt;&gt;Draw", MATCH_INPUT!$K$6:$K$9, "&lt;&gt;"""),
0)</f>
        <v>1</v>
      </c>
      <c r="V27" s="29" t="str">
        <f t="array" ref="V27">IFERROR(
  INDEX(PLAYER_STAT!E$2:E64, 
    MATCH(1, 
      (PLAYER_STAT!A$2:A64 = MATCH_DATES!$A$3) * (PLAYER_STAT!D$2:D64 = $B27), 
    0)
  ), 
  ""
)
</f>
        <v/>
      </c>
      <c r="W27" s="29" t="str">
        <f t="array" ref="W27">IFERROR(
  INDEX(PLAYER_STAT!F$2:F64, 
    MATCH(1, 
      (PLAYER_STAT!A$2:A64 = MATCH_DATES!$A$3) * (PLAYER_STAT!D$2:D64 = $B27), 
    0)
  ), 
  ""
)
</f>
        <v/>
      </c>
      <c r="X27" s="30" t="str">
        <f t="array" ref="X27">IFERROR(
  INDEX(PLAYER_STAT!G$2:G64, 
    MATCH(1, 
      (PLAYER_STAT!A$2:A64 = MATCH_DATES!$A$3) * (PLAYER_STAT!D$2:D64 = $B27), 
    0)
  ), 
  ""
)
</f>
        <v/>
      </c>
      <c r="Y27" s="31">
        <f t="shared" si="12"/>
        <v>9</v>
      </c>
      <c r="Z27" s="32" t="str">
        <f t="shared" si="13"/>
        <v>↓</v>
      </c>
      <c r="AA27" s="21" t="s">
        <v>213</v>
      </c>
      <c r="AB27" s="33">
        <f t="shared" si="14"/>
        <v>13</v>
      </c>
      <c r="AC27" s="22">
        <f t="shared" si="15"/>
        <v>2</v>
      </c>
      <c r="AD27" s="22">
        <f t="shared" si="16"/>
        <v>2</v>
      </c>
      <c r="AE27" s="22">
        <f>IF(AA27&lt;&gt;"",
    COUNTIFS(MATCH_INPUT!$K$10:$K$13,AA27),
0)</f>
        <v>1</v>
      </c>
      <c r="AF27" s="22">
        <f>IF(AA27&lt;&gt;"",
    COUNTIFS(MATCH_INPUT!$F$10:$F$13, AA27, MATCH_INPUT!$K$10:$K$13, "Draw") +
    COUNTIFS(MATCH_INPUT!$J$10:$J$13, AA27, MATCH_INPUT!$K$10:$K$13, "Draw"),
0)</f>
        <v>0</v>
      </c>
      <c r="AG27" s="22">
        <f>IF(AA27&lt;&gt;"",
    COUNTIFS(MATCH_INPUT!$F$10:$F$13, AA27, MATCH_INPUT!$K$10:$K$13, "&lt;&gt;"&amp;AA27, MATCH_INPUT!$K$10:$K$13, "&lt;&gt;Draw", MATCH_INPUT!$K$10:$K$13, "&lt;&gt;""") +
    COUNTIFS(MATCH_INPUT!$J$10:$J$13, AA27, MATCH_INPUT!$K$10:$K$13, "&lt;&gt;"&amp;AA27, MATCH_INPUT!$K$10:$K$13, "&lt;&gt;Draw", MATCH_INPUT!$K$10:$K$13, "&lt;&gt;"""),
0)</f>
        <v>1</v>
      </c>
      <c r="AH27" s="23" t="str">
        <f t="array" ref="AH27">IFERROR(
  INDEX(PLAYER_STAT!E$2:E64, 
    MATCH(1, 
      (PLAYER_STAT!A$2:A64 = MATCH_DATES!$A$4) * (PLAYER_STAT!D$2:D64 = $B27), 
    0)
  ), 
  ""
)
</f>
        <v/>
      </c>
      <c r="AI27" s="23" t="str">
        <f t="array" ref="AI27">IFERROR(
  INDEX(PLAYER_STAT!F$2:F64, 
    MATCH(1, 
      (PLAYER_STAT!A$2:A64 = MATCH_DATES!$A$4) * (PLAYER_STAT!D$2:D64 = $B27), 
    0)
  ), 
  ""
)
</f>
        <v/>
      </c>
      <c r="AJ27" s="34" t="str">
        <f t="array" ref="AJ27">IFERROR(
  INDEX(PLAYER_STAT!G$2:G64, 
    MATCH(1, 
      (PLAYER_STAT!A$2:A64 = MATCH_DATES!$A$4) * (PLAYER_STAT!D$2:D64 = $B27), 
    0)
  ), 
  ""
)
</f>
        <v/>
      </c>
      <c r="AK27" s="25">
        <f t="shared" si="17"/>
        <v>10</v>
      </c>
      <c r="AL27" s="26" t="str">
        <f t="shared" si="18"/>
        <v>↓</v>
      </c>
      <c r="AM27" s="27" t="s">
        <v>212</v>
      </c>
      <c r="AN27" s="28">
        <f t="shared" si="19"/>
        <v>19</v>
      </c>
      <c r="AO27" s="28">
        <f t="shared" si="20"/>
        <v>2</v>
      </c>
      <c r="AP27" s="28">
        <f t="shared" si="21"/>
        <v>4</v>
      </c>
      <c r="AQ27" s="28">
        <f>IF(AM27&lt;&gt;"",
    COUNTIFS(MATCH_INPUT!$K$14:$K$17,AM27),
0)</f>
        <v>2</v>
      </c>
      <c r="AR27" s="28">
        <f>IF(AM27&lt;&gt;"",
    COUNTIFS(MATCH_INPUT!$F$14:$F$17, AM27, MATCH_INPUT!$K$14:$K$17, "Draw") +
    COUNTIFS(MATCH_INPUT!$J$14:$J$17, AM27, MATCH_INPUT!$K$14:$K$17, "Draw"),
0)</f>
        <v>0</v>
      </c>
      <c r="AS27" s="28">
        <f>IF(AM27&lt;&gt;"",
    COUNTIFS(MATCH_INPUT!$F$14:$F$17, AM27, MATCH_INPUT!$K$14:$K$17, "&lt;&gt;"&amp;AM27, MATCH_INPUT!$K$14:$K$17, "&lt;&gt;Draw", MATCH_INPUT!$K$14:$K$17, "&lt;&gt;""") +
    COUNTIFS(MATCH_INPUT!$J$14:$J$17, AM27, MATCH_INPUT!$K$14:$K$17, "&lt;&gt;"&amp;AM27, MATCH_INPUT!$K$14:$K$17, "&lt;&gt;Draw", MATCH_INPUT!$K$14:$K$17, "&lt;&gt;"""),
0)</f>
        <v>0</v>
      </c>
      <c r="AT27" s="29" t="str">
        <f t="array" ref="AT27">IFERROR(
  INDEX(PLAYER_STAT!E$2:E64, 
    MATCH(1, 
      (PLAYER_STAT!A$2:A64 = MATCH_DATES!$A$5) * (PLAYER_STAT!D$2:D64 = $B27), 
    0)
  ), 
  ""
)
</f>
        <v/>
      </c>
      <c r="AU27" s="29" t="str">
        <f t="array" ref="AU27">IFERROR(
  INDEX(PLAYER_STAT!F$2:F64, 
    MATCH(1, 
      (PLAYER_STAT!A$2:A64 = MATCH_DATES!$A$5) * (PLAYER_STAT!D$2:D64 = $B27), 
    0)
  ), 
  ""
)
</f>
        <v/>
      </c>
      <c r="AV27" s="30" t="str">
        <f t="array" ref="AV27">IFERROR(
  INDEX(PLAYER_STAT!G$2:G64, 
    MATCH(1, 
      (PLAYER_STAT!A$2:A64 = MATCH_DATES!$A$5) * (PLAYER_STAT!D$2:D64 = $B27), 
    0)
  ), 
  ""
)
</f>
        <v/>
      </c>
      <c r="AW27" s="31">
        <f t="shared" si="22"/>
        <v>4</v>
      </c>
      <c r="AX27" s="32" t="str">
        <f t="shared" si="23"/>
        <v>↑</v>
      </c>
      <c r="AY27" s="21" t="s">
        <v>212</v>
      </c>
      <c r="AZ27" s="33">
        <f t="shared" si="24"/>
        <v>32</v>
      </c>
      <c r="BA27" s="22">
        <f t="shared" si="25"/>
        <v>2</v>
      </c>
      <c r="BB27" s="22">
        <f>SUM(BC27*2) + (BD27*1) + SUMIFS(MATCH_INPUT!$G$18:$G$21, MATCH_INPUT!$F$18:$F$21, AY27) + SUMIFS(MATCH_INPUT!$I$18:$I$21, MATCH_INPUT!$J$18:$J$21, AY27)
</f>
        <v>11</v>
      </c>
      <c r="BC27" s="22">
        <f>IF(AY27&lt;&gt;"",
    COUNTIFS(MATCH_INPUT!$K$18:$K$21,AY27),
0)</f>
        <v>2</v>
      </c>
      <c r="BD27" s="22">
        <f>IF(AY27&lt;&gt;"",
    COUNTIFS(MATCH_INPUT!$F$18:$F$21, AY27, MATCH_INPUT!$K$18:$K$21, "Draw") +
    COUNTIFS(MATCH_INPUT!$J$18:$J$21, AY27, MATCH_INPUT!$K$18:$K$21, "Draw"),
0)</f>
        <v>0</v>
      </c>
      <c r="BE27" s="22">
        <f>IF(AY27&lt;&gt;"",
    COUNTIFS(MATCH_INPUT!$F$18:$F$21, AY27, MATCH_INPUT!$K$18:$K$21, "&lt;&gt;"&amp;AY27, MATCH_INPUT!$K$18:$K$21, "&lt;&gt;Draw", MATCH_INPUT!$K$18:$K$21, "&lt;&gt;""") +
    COUNTIFS(MATCH_INPUT!$J$18:$J$21, AY27, MATCH_INPUT!$K$18:$K$21, "&lt;&gt;"&amp;AY27, MATCH_INPUT!$K$18:$K$21, "&lt;&gt;Draw", MATCH_INPUT!$K$18:$K$21, "&lt;&gt;"""),
0)</f>
        <v>0</v>
      </c>
      <c r="BF27" s="23" t="str">
        <f t="array" ref="BF27">IFERROR(
  INDEX(PLAYER_STAT!E$2:E64, 
    MATCH(1, 
      (PLAYER_STAT!A$2:A64 = MATCH_DATES!$A$6) * (PLAYER_STAT!D$2:D64 = $B27), 
    0)
  ), 
  ""
)
</f>
        <v/>
      </c>
      <c r="BG27" s="23" t="str">
        <f t="array" ref="BG27">IFERROR(
  INDEX(PLAYER_STAT!F$2:F64, 
    MATCH(1, 
      (PLAYER_STAT!A$2:A64 = MATCH_DATES!$A$6) * (PLAYER_STAT!D$2:D64 = $B27), 
    0)
  ), 
  ""
)
</f>
        <v/>
      </c>
      <c r="BH27" s="34" t="str">
        <f t="array" ref="BH27">IFERROR(
  INDEX(PLAYER_STAT!G$2:G64, 
    MATCH(1, 
      (PLAYER_STAT!A$2:A64 = MATCH_DATES!$A$6) * (PLAYER_STAT!D$2:D64 = $B27), 
    0)
  ), 
  ""
)
</f>
        <v/>
      </c>
      <c r="BI27" s="25">
        <f t="shared" si="26"/>
        <v>2</v>
      </c>
      <c r="BJ27" s="26" t="str">
        <f t="shared" si="27"/>
        <v>↑</v>
      </c>
      <c r="BK27" s="27" t="s">
        <v>213</v>
      </c>
      <c r="BL27" s="28">
        <f t="shared" si="28"/>
        <v>36</v>
      </c>
      <c r="BM27" s="28">
        <f t="shared" si="29"/>
        <v>2</v>
      </c>
      <c r="BN27" s="28">
        <f>SUM(BO27*2) + (BP27*1) + SUMIFS(MATCH_INPUT!$G$22:$G$25, MATCH_INPUT!$F$22:$F$25, BK27) + SUMIFS(MATCH_INPUT!$I$22:$I$25, MATCH_INPUT!$J$22:$J$25, BK27)
</f>
        <v>2</v>
      </c>
      <c r="BO27" s="28">
        <f>IF(BK27&lt;&gt;"",
    COUNTIFS(MATCH_INPUT!$K$22:$K$25,BK27),
0)</f>
        <v>0</v>
      </c>
      <c r="BP27" s="28">
        <f>IF(BK27&lt;&gt;"",
    COUNTIFS(MATCH_INPUT!$F$22:$F$25, BK27, MATCH_INPUT!$K$22:$K$25, "Draw") +
    COUNTIFS(MATCH_INPUT!$J$22:$J$25, BK27, MATCH_INPUT!$K$22:$K$25, "Draw"),
0)</f>
        <v>1</v>
      </c>
      <c r="BQ27" s="28">
        <f>IF(BK27&lt;&gt;"",
    COUNTIFS(MATCH_INPUT!$F$22:$F$25, BK27, MATCH_INPUT!$K$22:$K$25, "&lt;&gt;"&amp;BK27, MATCH_INPUT!$K$22:$K$25, "&lt;&gt;Draw", MATCH_INPUT!$K$22:$K$25, "&lt;&gt;""") +
    COUNTIFS(MATCH_INPUT!$J$22:$J$25, BK27, MATCH_INPUT!$K$22:$K$25, "&lt;&gt;"&amp;BK27, MATCH_INPUT!$K$22:$K$25, "&lt;&gt;Draw", MATCH_INPUT!$K$22:$K$25, "&lt;&gt;"""),
0)</f>
        <v>1</v>
      </c>
      <c r="BR27" s="29" t="str">
        <f t="array" ref="BR27">IFERROR(
  INDEX(PLAYER_STAT!E$2:E64, 
    MATCH(1, 
      (PLAYER_STAT!A$2:A64 = MATCH_DATES!$A$7) * (PLAYER_STAT!D$2:D64 = $B27), 
    0)
  ), 
  ""
)
</f>
        <v/>
      </c>
      <c r="BS27" s="29" t="str">
        <f t="array" ref="BS27">IFERROR(
  INDEX(PLAYER_STAT!F$2:F64, 
    MATCH(1, 
      (PLAYER_STAT!A$2:A64 = MATCH_DATES!$A$7) * (PLAYER_STAT!D$2:D64 = $B27), 
    0)
  ), 
  ""
)
</f>
        <v/>
      </c>
      <c r="BT27" s="30" t="str">
        <f t="array" ref="BT27">IFERROR(
  INDEX(PLAYER_STAT!G$2:G64, 
    MATCH(1, 
      (PLAYER_STAT!A$2:A64 = MATCH_DATES!$A$7) * (PLAYER_STAT!D$2:D64 = $B27), 
    0)
  ), 
  ""
)
</f>
        <v/>
      </c>
      <c r="BU27" s="31">
        <f t="shared" si="30"/>
        <v>6</v>
      </c>
      <c r="BV27" s="32" t="str">
        <f t="shared" si="31"/>
        <v>↓</v>
      </c>
      <c r="BW27" s="21" t="s">
        <v>215</v>
      </c>
      <c r="BX27" s="33">
        <f t="shared" si="32"/>
        <v>43</v>
      </c>
      <c r="BY27" s="22">
        <f t="shared" si="33"/>
        <v>2</v>
      </c>
      <c r="BZ27" s="22">
        <f>SUM(CA27*2)+(CB27*1) + SUMIFS(MATCH_INPUT!$G$26:$G$29, MATCH_INPUT!$F$26:$F$29, BW27) + SUMIFS(MATCH_INPUT!$I$26:$I$29, MATCH_INPUT!$J$26:$J$29, BW27)
</f>
        <v>5</v>
      </c>
      <c r="CA27" s="22">
        <f>IF(BW27&lt;&gt;"",
    COUNTIFS(MATCH_INPUT!$K$26:$K$29,BW27),
0)</f>
        <v>0</v>
      </c>
      <c r="CB27" s="22">
        <f>IF(BW27&lt;&gt;"",
    COUNTIFS(MATCH_INPUT!$F$26:$F$29, BW27, MATCH_INPUT!$K$26:$K$29, "Draw") +
    COUNTIFS(MATCH_INPUT!$J$26:$J$29, BW27, MATCH_INPUT!$K$26:$K$29, "Draw"),
0)</f>
        <v>1</v>
      </c>
      <c r="CC27" s="22">
        <f>IF(BW27&lt;&gt;"",
    COUNTIFS(MATCH_INPUT!$F$26:$F$29, BW27, MATCH_INPUT!$K$26:$K$29, "&lt;&gt;"&amp;BW27, MATCH_INPUT!$K$26:$K$29, "&lt;&gt;Draw", MATCH_INPUT!$K$26:$K$29, "&lt;&gt;""") +
    COUNTIFS(MATCH_INPUT!$J$26:$J$29, BW27, MATCH_INPUT!$K$26:$K$29, "&lt;&gt;"&amp;BW27, MATCH_INPUT!$K$26:$K$29, "&lt;&gt;Draw", MATCH_INPUT!$K$26:$K$29, "&lt;&gt;"""),
0)</f>
        <v>1</v>
      </c>
      <c r="CD27" s="23" t="str">
        <f t="array" ref="CD27">IFERROR(
  INDEX(PLAYER_STAT!E$2:E64, 
    MATCH(1, 
      (PLAYER_STAT!A$2:A64 = MATCH_DATES!$A$8) * (PLAYER_STAT!D$2:D64 = $B27), 
    0)
  ), 
  ""
)
</f>
        <v/>
      </c>
      <c r="CE27" s="23" t="str">
        <f t="array" ref="CE27">IFERROR(
  INDEX(PLAYER_STAT!F$2:F64, 
    MATCH(1, 
      (PLAYER_STAT!A$2:A64 = MATCH_DATES!$A$8) * (PLAYER_STAT!D$2:D64 = $B27), 
    0)
  ), 
  ""
)
</f>
        <v/>
      </c>
      <c r="CF27" s="34" t="str">
        <f t="array" ref="CF27">IFERROR(
  INDEX(PLAYER_STAT!G$2:G64, 
    MATCH(1, 
      (PLAYER_STAT!A$2:A64 = MATCH_DATES!$A$8) * (PLAYER_STAT!D$2:D64 = $B27), 
    0)
  ), 
  ""
)
</f>
        <v/>
      </c>
      <c r="CG27" s="25">
        <f t="shared" si="34"/>
        <v>10</v>
      </c>
      <c r="CH27" s="26" t="str">
        <f t="shared" si="35"/>
        <v>↓</v>
      </c>
      <c r="CI27" s="27" t="s">
        <v>212</v>
      </c>
      <c r="CJ27" s="28">
        <f t="shared" si="36"/>
        <v>54</v>
      </c>
      <c r="CK27" s="28">
        <f t="shared" si="37"/>
        <v>2</v>
      </c>
      <c r="CL27" s="28">
        <f>SUM(CM27*2)+(CN27*1) + SUMIFS(MATCH_INPUT!$G$30:$G$33, MATCH_INPUT!$F$30:$F$33, CI27) + SUMIFS(MATCH_INPUT!$I$30:$I$33, MATCH_INPUT!$J$30:$J$33, CI27)
</f>
        <v>9</v>
      </c>
      <c r="CM27" s="28">
        <f>IF(CI27&lt;&gt;"",
    COUNTIFS(MATCH_INPUT!$K$30:$K$33,CI27),
0)</f>
        <v>1</v>
      </c>
      <c r="CN27" s="28">
        <f>IF(CI27&lt;&gt;"",
    COUNTIFS(MATCH_INPUT!$F$30:$F$33, CI27, MATCH_INPUT!$K$30:$K$33, "Draw") +
    COUNTIFS(MATCH_INPUT!$J$30:$J$33, CI27, MATCH_INPUT!$K$30:$K$33, "Draw"),
0)</f>
        <v>1</v>
      </c>
      <c r="CO27" s="28">
        <f>IF(CI27&lt;&gt;"",
    COUNTIFS(MATCH_INPUT!$F$30:$F$33, CI27, MATCH_INPUT!$K$30:$K$33, "&lt;&gt;"&amp;CI27, MATCH_INPUT!$K$30:$K$33, "&lt;&gt;Draw", MATCH_INPUT!$K$30:$K$33, "&lt;&gt;""") +
    COUNTIFS(MATCH_INPUT!$J$30:$J$33, CI27, MATCH_INPUT!$K$30:$K$33, "&lt;&gt;"&amp;CI27, MATCH_INPUT!$K$30:$K$33, "&lt;&gt;Draw", MATCH_INPUT!$K$30:$K$33, "&lt;&gt;"""),
0)</f>
        <v>0</v>
      </c>
      <c r="CP27" s="29" t="str">
        <f t="array" ref="CP27">IFERROR(
  INDEX(PLAYER_STAT!E$2:E64, 
    MATCH(1, 
      (PLAYER_STAT!A$2:A64 = MATCH_DATES!$A$9) * (PLAYER_STAT!D$2:D64 = $B27), 
    0)
  ), 
  ""
)
</f>
        <v/>
      </c>
      <c r="CQ27" s="29" t="str">
        <f t="array" ref="CQ27">IFERROR(
  INDEX(PLAYER_STAT!F$2:F64, 
    MATCH(1, 
      (PLAYER_STAT!A$2:A64 = MATCH_DATES!$A$9) * (PLAYER_STAT!D$2:D64 = $B27), 
    0)
  ), 
  ""
)
</f>
        <v/>
      </c>
      <c r="CR27" s="29" t="str">
        <f t="array" ref="CR27">IFERROR(
  INDEX(PLAYER_STAT!G$2:G64, 
    MATCH(1, 
      (PLAYER_STAT!A$2:A64 = MATCH_DATES!$A$9) * (PLAYER_STAT!D$2:D64 = $B27), 
    0)
  ), 
  ""
)
</f>
        <v/>
      </c>
      <c r="CS27" s="35">
        <f t="shared" si="38"/>
        <v>8</v>
      </c>
      <c r="CT27" s="35" t="str">
        <f t="shared" si="39"/>
        <v>↑</v>
      </c>
      <c r="CU27" s="36">
        <f t="shared" si="40"/>
        <v>38</v>
      </c>
      <c r="CV27" s="36" t="str">
        <f t="shared" ref="CV27:CW27" si="112">A27</f>
        <v>🍂🎃</v>
      </c>
      <c r="CW27" s="37" t="str">
        <f t="shared" si="112"/>
        <v>Mikey </v>
      </c>
      <c r="CX27" s="37">
        <f t="shared" si="42"/>
        <v>54</v>
      </c>
      <c r="CY27" s="36">
        <f>SUM(
  IF(AND(MATCH_DATES!$A$2 &lt;= TODAY(), NOW() &gt;= MATCH_DATES!$A$2 + TIME(22, 0, 0)), E27, 0),
  IF(AND(MATCH_DATES!$A$3 &lt;= TODAY(), NOW() &gt;= MATCH_DATES!$A$3 + TIME(22, 0, 0)), Q27, 0),
  IF(AND(MATCH_DATES!$A$4 &lt;= TODAY(), NOW() &gt;= MATCH_DATES!$A$4 + TIME(22, 0, 0)), AC27, 0),
  IF(AND(MATCH_DATES!$A$5 &lt;= TODAY(), NOW() &gt;= MATCH_DATES!$A$5 + TIME(22, 0, 0)), AO27, 0),
  IF(AND(MATCH_DATES!$A$6 &lt;= TODAY(), NOW() &gt;= MATCH_DATES!$A$6 + TIME(22, 0, 0)), BA27, 0),
  IF(AND(MATCH_DATES!$A$7 &lt;= TODAY(), NOW() &gt;= MATCH_DATES!$A$7 + TIME(22, 0, 0)), BM27, 0),
  IF(AND(MATCH_DATES!$A$8 &lt;= TODAY(), NOW() &gt;= MATCH_DATES!$A$8 + TIME(22, 0, 0)), BY27, 0),
  IF(AND(MATCH_DATES!$A$9 &lt;= TODAY(), NOW() &gt;= MATCH_DATES!$A$9 + TIME(22, 0, 0)), CK27, 0)
)
</f>
        <v>16</v>
      </c>
      <c r="CZ27" s="37">
        <f t="shared" ref="CZ27:DA27" si="113">SUM(G27,S27,AE27,AQ27,BC27,BO27,CA27,CM27)</f>
        <v>8</v>
      </c>
      <c r="DA27" s="37">
        <f t="shared" si="113"/>
        <v>4</v>
      </c>
      <c r="DB27" s="37">
        <f>SUM(
  IF(AND(MATCH_DATES!$A$2 &lt;= TODAY(), NOW() &gt;= MATCH_DATES!$A$2 + TIME(22, 0, 0)), I27, 0),
  IF(AND(MATCH_DATES!$A$3 &lt;= TODAY(), NOW() &gt;= MATCH_DATES!$A$3 + TIME(22, 0, 0)), U27, 0),
  IF(AND(MATCH_DATES!$A$4 &lt;= TODAY(), NOW() &gt;= MATCH_DATES!$A$4 + TIME(22, 0, 0)), AG27, 0),
  IF(AND(MATCH_DATES!$A$5 &lt;= TODAY(), NOW() &gt;= MATCH_DATES!$A$5 + TIME(22, 0, 0)), AS27, 0),
  IF(AND(MATCH_DATES!$A$6 &lt;= TODAY(), NOW() &gt;= MATCH_DATES!$A$6 + TIME(22, 0, 0)), BE27, 0),
  IF(AND(MATCH_DATES!$A$7 &lt;= TODAY(), NOW() &gt;= MATCH_DATES!$A$7 + TIME(22, 0, 0)), BQ27, 0),
  IF(AND(MATCH_DATES!$A$8 &lt;= TODAY(), NOW() &gt;= MATCH_DATES!$A$8 + TIME(22, 0, 0)), CC27, 0),
  IF(AND(MATCH_DATES!$A$9 &lt;= TODAY(), NOW() &gt;= MATCH_DATES!$A$9 + TIME(22, 0, 0)), CO27, 0)
)</f>
        <v>4</v>
      </c>
      <c r="DC27" s="37">
        <f t="shared" si="44"/>
        <v>0</v>
      </c>
      <c r="DD27" s="37">
        <f t="shared" ref="DD27:DE27" si="114">SUM(K27,W27,AI27,AU27,BG27,BS27,CE27,CQ27)</f>
        <v>0</v>
      </c>
      <c r="DE27" s="37">
        <f t="shared" si="114"/>
        <v>0</v>
      </c>
    </row>
    <row r="28" ht="24.75" customHeight="1">
      <c r="A28" s="19" t="s">
        <v>210</v>
      </c>
      <c r="B28" s="20" t="s">
        <v>234</v>
      </c>
      <c r="C28" s="21" t="s">
        <v>214</v>
      </c>
      <c r="D28" s="22">
        <f t="shared" si="4"/>
        <v>6</v>
      </c>
      <c r="E28" s="22">
        <f t="shared" si="5"/>
        <v>2</v>
      </c>
      <c r="F28" s="22">
        <f t="shared" si="6"/>
        <v>4</v>
      </c>
      <c r="G28" s="22">
        <f>IF(C28&lt;&gt;"",
    COUNTIFS(MATCH_INPUT!$K$2:$K$5,C28),
0)</f>
        <v>2</v>
      </c>
      <c r="H28" s="22">
        <f>IF(C28&lt;&gt;"",
    COUNTIFS(MATCH_INPUT!$F$2:$F$5, C28, MATCH_INPUT!$K$2:$K$5, "Draw") +
    COUNTIFS(MATCH_INPUT!$J$2:$J$5, C28, MATCH_INPUT!$K$2:$K$5, "Draw"),
0)</f>
        <v>0</v>
      </c>
      <c r="I28" s="22">
        <f>IF(C28&lt;&gt;"",
    COUNTIFS(MATCH_INPUT!$F$2:$F$5, C28, MATCH_INPUT!$K$2:$K$5, "&lt;&gt;"&amp;C28, MATCH_INPUT!$K$2:$K$5, "&lt;&gt;Draw", MATCH_INPUT!$K$2:$K$5, "&lt;&gt;""") +
    COUNTIFS(MATCH_INPUT!$J$2:$J$5, C28, MATCH_INPUT!$K$2:$K$5, "&lt;&gt;"&amp;C28, MATCH_INPUT!$K$2:$K$5, "&lt;&gt;Draw", MATCH_INPUT!$K$2:$K$5, "&lt;&gt;"""),
0)</f>
        <v>0</v>
      </c>
      <c r="J28" s="23">
        <f t="array" ref="J28">IFERROR(
  INDEX(PLAYER_STAT!E$2:E64, 
    MATCH(1, 
      (PLAYER_STAT!A$2:A64 = MATCH_DATES!$A$2) * (PLAYER_STAT!D$2:D64 = $B28), 
    0)
  ), 
  ""
)
</f>
        <v>1</v>
      </c>
      <c r="K28" s="23">
        <f t="array" ref="K28">IFERROR(
  INDEX(PLAYER_STAT!F$2:F64, 
    MATCH(1, 
      (PLAYER_STAT!A$2:A64 = MATCH_DATES!$A$2) * (PLAYER_STAT!D$2:D64 = $B28), 
    0)
  ), 
  ""
)
</f>
        <v>0</v>
      </c>
      <c r="L28" s="24">
        <f t="array" ref="L28">IFERROR(
  INDEX(PLAYER_STAT!G$2:G64, 
    MATCH(1, 
      (PLAYER_STAT!A$2:A64 = MATCH_DATES!$A$2) * (PLAYER_STAT!D$2:D64 = $B28), 
    0)
  ), 
  ""
)
</f>
        <v>0</v>
      </c>
      <c r="M28" s="25">
        <f t="shared" si="7"/>
        <v>2</v>
      </c>
      <c r="N28" s="26" t="str">
        <f t="shared" si="8"/>
        <v>↓</v>
      </c>
      <c r="O28" s="27" t="s">
        <v>215</v>
      </c>
      <c r="P28" s="28">
        <f t="shared" si="9"/>
        <v>10</v>
      </c>
      <c r="Q28" s="28">
        <f t="shared" si="10"/>
        <v>2</v>
      </c>
      <c r="R28" s="28">
        <f t="shared" si="11"/>
        <v>2</v>
      </c>
      <c r="S28" s="28">
        <f>IF(O28&lt;&gt;"",
    COUNTIFS(MATCH_INPUT!$K$6:$K$9,O28),
0)</f>
        <v>1</v>
      </c>
      <c r="T28" s="28">
        <f>IF(O28&lt;&gt;"",
    COUNTIFS(MATCH_INPUT!$F$6:$F$9, O28, MATCH_INPUT!$K$6:$K$9, "Draw") +
    COUNTIFS(MATCH_INPUT!$J$6:$J$9, O28, MATCH_INPUT!$K$6:$K$9, "Draw"),
0)</f>
        <v>0</v>
      </c>
      <c r="U28" s="28">
        <f>IF(O28&lt;&gt;"",
    COUNTIFS(MATCH_INPUT!$F$6:$F$9, O28, MATCH_INPUT!$K$6:$K$9, "&lt;&gt;"&amp;O28, MATCH_INPUT!$K$6:$K$9, "&lt;&gt;Draw", MATCH_INPUT!$K$6:$K$9, "&lt;&gt;""") +
    COUNTIFS(MATCH_INPUT!$J$6:$J$9, O28, MATCH_INPUT!$K$6:$K$9, "&lt;&gt;"&amp;O28, MATCH_INPUT!$K$6:$K$9, "&lt;&gt;Draw", MATCH_INPUT!$K$6:$K$9, "&lt;&gt;"""),
0)</f>
        <v>1</v>
      </c>
      <c r="V28" s="29" t="str">
        <f t="array" ref="V28">IFERROR(
  INDEX(PLAYER_STAT!E$2:E64, 
    MATCH(1, 
      (PLAYER_STAT!A$2:A64 = MATCH_DATES!$A$3) * (PLAYER_STAT!D$2:D64 = $B28), 
    0)
  ), 
  ""
)
</f>
        <v/>
      </c>
      <c r="W28" s="29" t="str">
        <f t="array" ref="W28">IFERROR(
  INDEX(PLAYER_STAT!F$2:F64, 
    MATCH(1, 
      (PLAYER_STAT!A$2:A64 = MATCH_DATES!$A$3) * (PLAYER_STAT!D$2:D64 = $B28), 
    0)
  ), 
  ""
)
</f>
        <v/>
      </c>
      <c r="X28" s="30" t="str">
        <f t="array" ref="X28">IFERROR(
  INDEX(PLAYER_STAT!G$2:G64, 
    MATCH(1, 
      (PLAYER_STAT!A$2:A64 = MATCH_DATES!$A$3) * (PLAYER_STAT!D$2:D64 = $B28), 
    0)
  ), 
  ""
)
</f>
        <v/>
      </c>
      <c r="Y28" s="31">
        <f t="shared" si="12"/>
        <v>4</v>
      </c>
      <c r="Z28" s="32" t="str">
        <f t="shared" si="13"/>
        <v>↓</v>
      </c>
      <c r="AA28" s="21"/>
      <c r="AB28" s="33">
        <f t="shared" si="14"/>
        <v>10</v>
      </c>
      <c r="AC28" s="22">
        <f t="shared" si="15"/>
        <v>0</v>
      </c>
      <c r="AD28" s="22">
        <f t="shared" si="16"/>
        <v>0</v>
      </c>
      <c r="AE28" s="22">
        <f>IF(AA28&lt;&gt;"",
    COUNTIFS(MATCH_INPUT!$K$10:$K$13,AA28),
0)</f>
        <v>0</v>
      </c>
      <c r="AF28" s="22">
        <f>IF(AA28&lt;&gt;"",
    COUNTIFS(MATCH_INPUT!$F$10:$F$13, AA28, MATCH_INPUT!$K$10:$K$13, "Draw") +
    COUNTIFS(MATCH_INPUT!$J$10:$J$13, AA28, MATCH_INPUT!$K$10:$K$13, "Draw"),
0)</f>
        <v>0</v>
      </c>
      <c r="AG28" s="22">
        <f>IF(AA28&lt;&gt;"",
    COUNTIFS(MATCH_INPUT!$F$10:$F$13, AA28, MATCH_INPUT!$K$10:$K$13, "&lt;&gt;"&amp;AA28, MATCH_INPUT!$K$10:$K$13, "&lt;&gt;Draw", MATCH_INPUT!$K$10:$K$13, "&lt;&gt;""") +
    COUNTIFS(MATCH_INPUT!$J$10:$J$13, AA28, MATCH_INPUT!$K$10:$K$13, "&lt;&gt;"&amp;AA28, MATCH_INPUT!$K$10:$K$13, "&lt;&gt;Draw", MATCH_INPUT!$K$10:$K$13, "&lt;&gt;"""),
0)</f>
        <v>0</v>
      </c>
      <c r="AH28" s="23" t="str">
        <f t="array" ref="AH28">IFERROR(
  INDEX(PLAYER_STAT!E$2:E64, 
    MATCH(1, 
      (PLAYER_STAT!A$2:A64 = MATCH_DATES!$A$4) * (PLAYER_STAT!D$2:D64 = $B28), 
    0)
  ), 
  ""
)
</f>
        <v/>
      </c>
      <c r="AI28" s="23" t="str">
        <f t="array" ref="AI28">IFERROR(
  INDEX(PLAYER_STAT!F$2:F64, 
    MATCH(1, 
      (PLAYER_STAT!A$2:A64 = MATCH_DATES!$A$4) * (PLAYER_STAT!D$2:D64 = $B28), 
    0)
  ), 
  ""
)
</f>
        <v/>
      </c>
      <c r="AJ28" s="34" t="str">
        <f t="array" ref="AJ28">IFERROR(
  INDEX(PLAYER_STAT!G$2:G64, 
    MATCH(1, 
      (PLAYER_STAT!A$2:A64 = MATCH_DATES!$A$4) * (PLAYER_STAT!D$2:D64 = $B28), 
    0)
  ), 
  ""
)
</f>
        <v/>
      </c>
      <c r="AK28" s="25">
        <f t="shared" si="17"/>
        <v>25</v>
      </c>
      <c r="AL28" s="26" t="str">
        <f t="shared" si="18"/>
        <v>↓</v>
      </c>
      <c r="AM28" s="27"/>
      <c r="AN28" s="28">
        <f t="shared" si="19"/>
        <v>10</v>
      </c>
      <c r="AO28" s="28">
        <f t="shared" si="20"/>
        <v>0</v>
      </c>
      <c r="AP28" s="28">
        <f t="shared" si="21"/>
        <v>0</v>
      </c>
      <c r="AQ28" s="28">
        <f>IF(AM28&lt;&gt;"",
    COUNTIFS(MATCH_INPUT!$K$14:$K$17,AM28),
0)</f>
        <v>0</v>
      </c>
      <c r="AR28" s="28">
        <f>IF(AM28&lt;&gt;"",
    COUNTIFS(MATCH_INPUT!$F$14:$F$17, AM28, MATCH_INPUT!$K$14:$K$17, "Draw") +
    COUNTIFS(MATCH_INPUT!$J$14:$J$17, AM28, MATCH_INPUT!$K$14:$K$17, "Draw"),
0)</f>
        <v>0</v>
      </c>
      <c r="AS28" s="28">
        <f>IF(AM28&lt;&gt;"",
    COUNTIFS(MATCH_INPUT!$F$14:$F$17, AM28, MATCH_INPUT!$K$14:$K$17, "&lt;&gt;"&amp;AM28, MATCH_INPUT!$K$14:$K$17, "&lt;&gt;Draw", MATCH_INPUT!$K$14:$K$17, "&lt;&gt;""") +
    COUNTIFS(MATCH_INPUT!$J$14:$J$17, AM28, MATCH_INPUT!$K$14:$K$17, "&lt;&gt;"&amp;AM28, MATCH_INPUT!$K$14:$K$17, "&lt;&gt;Draw", MATCH_INPUT!$K$14:$K$17, "&lt;&gt;"""),
0)</f>
        <v>0</v>
      </c>
      <c r="AT28" s="29" t="str">
        <f t="array" ref="AT28">IFERROR(
  INDEX(PLAYER_STAT!E$2:E64, 
    MATCH(1, 
      (PLAYER_STAT!A$2:A64 = MATCH_DATES!$A$5) * (PLAYER_STAT!D$2:D64 = $B28), 
    0)
  ), 
  ""
)
</f>
        <v/>
      </c>
      <c r="AU28" s="29" t="str">
        <f t="array" ref="AU28">IFERROR(
  INDEX(PLAYER_STAT!F$2:F64, 
    MATCH(1, 
      (PLAYER_STAT!A$2:A64 = MATCH_DATES!$A$5) * (PLAYER_STAT!D$2:D64 = $B28), 
    0)
  ), 
  ""
)
</f>
        <v/>
      </c>
      <c r="AV28" s="30" t="str">
        <f t="array" ref="AV28">IFERROR(
  INDEX(PLAYER_STAT!G$2:G64, 
    MATCH(1, 
      (PLAYER_STAT!A$2:A64 = MATCH_DATES!$A$5) * (PLAYER_STAT!D$2:D64 = $B28), 
    0)
  ), 
  ""
)
</f>
        <v/>
      </c>
      <c r="AW28" s="31">
        <f t="shared" si="22"/>
        <v>32</v>
      </c>
      <c r="AX28" s="32" t="str">
        <f t="shared" si="23"/>
        <v>↓</v>
      </c>
      <c r="AY28" s="21" t="s">
        <v>214</v>
      </c>
      <c r="AZ28" s="33">
        <f t="shared" si="24"/>
        <v>21</v>
      </c>
      <c r="BA28" s="22">
        <f t="shared" si="25"/>
        <v>2</v>
      </c>
      <c r="BB28" s="22">
        <f>SUM(BC28*2) + (BD28*1) + SUMIFS(MATCH_INPUT!$G$18:$G$21, MATCH_INPUT!$F$18:$F$21, AY28) + SUMIFS(MATCH_INPUT!$I$18:$I$21, MATCH_INPUT!$J$18:$J$21, AY28)
</f>
        <v>9</v>
      </c>
      <c r="BC28" s="22">
        <f>IF(AY28&lt;&gt;"",
    COUNTIFS(MATCH_INPUT!$K$18:$K$21,AY28),
0)</f>
        <v>1</v>
      </c>
      <c r="BD28" s="22">
        <f>IF(AY28&lt;&gt;"",
    COUNTIFS(MATCH_INPUT!$F$18:$F$21, AY28, MATCH_INPUT!$K$18:$K$21, "Draw") +
    COUNTIFS(MATCH_INPUT!$J$18:$J$21, AY28, MATCH_INPUT!$K$18:$K$21, "Draw"),
0)</f>
        <v>1</v>
      </c>
      <c r="BE28" s="22">
        <f>IF(AY28&lt;&gt;"",
    COUNTIFS(MATCH_INPUT!$F$18:$F$21, AY28, MATCH_INPUT!$K$18:$K$21, "&lt;&gt;"&amp;AY28, MATCH_INPUT!$K$18:$K$21, "&lt;&gt;Draw", MATCH_INPUT!$K$18:$K$21, "&lt;&gt;""") +
    COUNTIFS(MATCH_INPUT!$J$18:$J$21, AY28, MATCH_INPUT!$K$18:$K$21, "&lt;&gt;"&amp;AY28, MATCH_INPUT!$K$18:$K$21, "&lt;&gt;Draw", MATCH_INPUT!$K$18:$K$21, "&lt;&gt;"""),
0)</f>
        <v>0</v>
      </c>
      <c r="BF28" s="23">
        <f t="array" ref="BF28">IFERROR(
  INDEX(PLAYER_STAT!E$2:E64, 
    MATCH(1, 
      (PLAYER_STAT!A$2:A64 = MATCH_DATES!$A$6) * (PLAYER_STAT!D$2:D64 = $B28), 
    0)
  ), 
  ""
)
</f>
        <v>1</v>
      </c>
      <c r="BG28" s="23">
        <f t="array" ref="BG28">IFERROR(
  INDEX(PLAYER_STAT!F$2:F64, 
    MATCH(1, 
      (PLAYER_STAT!A$2:A64 = MATCH_DATES!$A$6) * (PLAYER_STAT!D$2:D64 = $B28), 
    0)
  ), 
  ""
)
</f>
        <v>0</v>
      </c>
      <c r="BH28" s="34">
        <f t="array" ref="BH28">IFERROR(
  INDEX(PLAYER_STAT!G$2:G64, 
    MATCH(1, 
      (PLAYER_STAT!A$2:A64 = MATCH_DATES!$A$6) * (PLAYER_STAT!D$2:D64 = $B28), 
    0)
  ), 
  ""
)
</f>
        <v>0</v>
      </c>
      <c r="BI28" s="25">
        <f t="shared" si="26"/>
        <v>18</v>
      </c>
      <c r="BJ28" s="26" t="str">
        <f t="shared" si="27"/>
        <v>↑</v>
      </c>
      <c r="BK28" s="27" t="s">
        <v>212</v>
      </c>
      <c r="BL28" s="28">
        <f t="shared" si="28"/>
        <v>23</v>
      </c>
      <c r="BM28" s="28">
        <f t="shared" si="29"/>
        <v>2</v>
      </c>
      <c r="BN28" s="28">
        <f>SUM(BO28*2) + (BP28*1) + SUMIFS(MATCH_INPUT!$G$22:$G$25, MATCH_INPUT!$F$22:$F$25, BK28) + SUMIFS(MATCH_INPUT!$I$22:$I$25, MATCH_INPUT!$J$22:$J$25, BK28)
</f>
        <v>0</v>
      </c>
      <c r="BO28" s="28">
        <f>IF(BK28&lt;&gt;"",
    COUNTIFS(MATCH_INPUT!$K$22:$K$25,BK28),
0)</f>
        <v>0</v>
      </c>
      <c r="BP28" s="28">
        <f>IF(BK28&lt;&gt;"",
    COUNTIFS(MATCH_INPUT!$F$22:$F$25, BK28, MATCH_INPUT!$K$22:$K$25, "Draw") +
    COUNTIFS(MATCH_INPUT!$J$22:$J$25, BK28, MATCH_INPUT!$K$22:$K$25, "Draw"),
0)</f>
        <v>0</v>
      </c>
      <c r="BQ28" s="28">
        <f>IF(BK28&lt;&gt;"",
    COUNTIFS(MATCH_INPUT!$F$22:$F$25, BK28, MATCH_INPUT!$K$22:$K$25, "&lt;&gt;"&amp;BK28, MATCH_INPUT!$K$22:$K$25, "&lt;&gt;Draw", MATCH_INPUT!$K$22:$K$25, "&lt;&gt;""") +
    COUNTIFS(MATCH_INPUT!$J$22:$J$25, BK28, MATCH_INPUT!$K$22:$K$25, "&lt;&gt;"&amp;BK28, MATCH_INPUT!$K$22:$K$25, "&lt;&gt;Draw", MATCH_INPUT!$K$22:$K$25, "&lt;&gt;"""),
0)</f>
        <v>2</v>
      </c>
      <c r="BR28" s="29" t="str">
        <f t="array" ref="BR28">IFERROR(
  INDEX(PLAYER_STAT!E$2:E64, 
    MATCH(1, 
      (PLAYER_STAT!A$2:A64 = MATCH_DATES!$A$7) * (PLAYER_STAT!D$2:D64 = $B28), 
    0)
  ), 
  ""
)
</f>
        <v/>
      </c>
      <c r="BS28" s="29" t="str">
        <f t="array" ref="BS28">IFERROR(
  INDEX(PLAYER_STAT!F$2:F64, 
    MATCH(1, 
      (PLAYER_STAT!A$2:A64 = MATCH_DATES!$A$7) * (PLAYER_STAT!D$2:D64 = $B28), 
    0)
  ), 
  ""
)
</f>
        <v/>
      </c>
      <c r="BT28" s="30" t="str">
        <f t="array" ref="BT28">IFERROR(
  INDEX(PLAYER_STAT!G$2:G64, 
    MATCH(1, 
      (PLAYER_STAT!A$2:A64 = MATCH_DATES!$A$7) * (PLAYER_STAT!D$2:D64 = $B28), 
    0)
  ), 
  ""
)
</f>
        <v/>
      </c>
      <c r="BU28" s="31">
        <f t="shared" si="30"/>
        <v>27</v>
      </c>
      <c r="BV28" s="32" t="str">
        <f t="shared" si="31"/>
        <v>↓</v>
      </c>
      <c r="BW28" s="21" t="s">
        <v>214</v>
      </c>
      <c r="BX28" s="33">
        <f t="shared" si="32"/>
        <v>26</v>
      </c>
      <c r="BY28" s="22">
        <f t="shared" si="33"/>
        <v>2</v>
      </c>
      <c r="BZ28" s="22">
        <f>SUM(CA28*2)+(CB28*1) + SUMIFS(MATCH_INPUT!$G$26:$G$29, MATCH_INPUT!$F$26:$F$29, BW28) + SUMIFS(MATCH_INPUT!$I$26:$I$29, MATCH_INPUT!$J$26:$J$29, BW28)
</f>
        <v>1</v>
      </c>
      <c r="CA28" s="22">
        <f>IF(BW28&lt;&gt;"",
    COUNTIFS(MATCH_INPUT!$K$26:$K$29,BW28),
0)</f>
        <v>0</v>
      </c>
      <c r="CB28" s="22">
        <f>IF(BW28&lt;&gt;"",
    COUNTIFS(MATCH_INPUT!$F$26:$F$29, BW28, MATCH_INPUT!$K$26:$K$29, "Draw") +
    COUNTIFS(MATCH_INPUT!$J$26:$J$29, BW28, MATCH_INPUT!$K$26:$K$29, "Draw"),
0)</f>
        <v>0</v>
      </c>
      <c r="CC28" s="22">
        <f>IF(BW28&lt;&gt;"",
    COUNTIFS(MATCH_INPUT!$F$26:$F$29, BW28, MATCH_INPUT!$K$26:$K$29, "&lt;&gt;"&amp;BW28, MATCH_INPUT!$K$26:$K$29, "&lt;&gt;Draw", MATCH_INPUT!$K$26:$K$29, "&lt;&gt;""") +
    COUNTIFS(MATCH_INPUT!$J$26:$J$29, BW28, MATCH_INPUT!$K$26:$K$29, "&lt;&gt;"&amp;BW28, MATCH_INPUT!$K$26:$K$29, "&lt;&gt;Draw", MATCH_INPUT!$K$26:$K$29, "&lt;&gt;"""),
0)</f>
        <v>2</v>
      </c>
      <c r="CD28" s="23" t="str">
        <f t="array" ref="CD28">IFERROR(
  INDEX(PLAYER_STAT!E$2:E64, 
    MATCH(1, 
      (PLAYER_STAT!A$2:A64 = MATCH_DATES!$A$8) * (PLAYER_STAT!D$2:D64 = $B28), 
    0)
  ), 
  ""
)
</f>
        <v/>
      </c>
      <c r="CE28" s="23" t="str">
        <f t="array" ref="CE28">IFERROR(
  INDEX(PLAYER_STAT!F$2:F64, 
    MATCH(1, 
      (PLAYER_STAT!A$2:A64 = MATCH_DATES!$A$8) * (PLAYER_STAT!D$2:D64 = $B28), 
    0)
  ), 
  ""
)
</f>
        <v/>
      </c>
      <c r="CF28" s="34" t="str">
        <f t="array" ref="CF28">IFERROR(
  INDEX(PLAYER_STAT!G$2:G64, 
    MATCH(1, 
      (PLAYER_STAT!A$2:A64 = MATCH_DATES!$A$8) * (PLAYER_STAT!D$2:D64 = $B28), 
    0)
  ), 
  ""
)
</f>
        <v/>
      </c>
      <c r="CG28" s="25">
        <f t="shared" si="34"/>
        <v>29</v>
      </c>
      <c r="CH28" s="26" t="str">
        <f t="shared" si="35"/>
        <v>↓</v>
      </c>
      <c r="CI28" s="27" t="s">
        <v>213</v>
      </c>
      <c r="CJ28" s="28">
        <f t="shared" si="36"/>
        <v>36</v>
      </c>
      <c r="CK28" s="28">
        <f t="shared" si="37"/>
        <v>2</v>
      </c>
      <c r="CL28" s="28">
        <f>SUM(CM28*2)+(CN28*1) + SUMIFS(MATCH_INPUT!$G$30:$G$33, MATCH_INPUT!$F$30:$F$33, CI28) + SUMIFS(MATCH_INPUT!$I$30:$I$33, MATCH_INPUT!$J$30:$J$33, CI28)
</f>
        <v>8</v>
      </c>
      <c r="CM28" s="28">
        <f>IF(CI28&lt;&gt;"",
    COUNTIFS(MATCH_INPUT!$K$30:$K$33,CI28),
0)</f>
        <v>1</v>
      </c>
      <c r="CN28" s="28">
        <f>IF(CI28&lt;&gt;"",
    COUNTIFS(MATCH_INPUT!$F$30:$F$33, CI28, MATCH_INPUT!$K$30:$K$33, "Draw") +
    COUNTIFS(MATCH_INPUT!$J$30:$J$33, CI28, MATCH_INPUT!$K$30:$K$33, "Draw"),
0)</f>
        <v>0</v>
      </c>
      <c r="CO28" s="28">
        <f>IF(CI28&lt;&gt;"",
    COUNTIFS(MATCH_INPUT!$F$30:$F$33, CI28, MATCH_INPUT!$K$30:$K$33, "&lt;&gt;"&amp;CI28, MATCH_INPUT!$K$30:$K$33, "&lt;&gt;Draw", MATCH_INPUT!$K$30:$K$33, "&lt;&gt;""") +
    COUNTIFS(MATCH_INPUT!$J$30:$J$33, CI28, MATCH_INPUT!$K$30:$K$33, "&lt;&gt;"&amp;CI28, MATCH_INPUT!$K$30:$K$33, "&lt;&gt;Draw", MATCH_INPUT!$K$30:$K$33, "&lt;&gt;"""),
0)</f>
        <v>1</v>
      </c>
      <c r="CP28" s="29" t="str">
        <f t="array" ref="CP28">IFERROR(
  INDEX(PLAYER_STAT!E$2:E64, 
    MATCH(1, 
      (PLAYER_STAT!A$2:A64 = MATCH_DATES!$A$9) * (PLAYER_STAT!D$2:D64 = $B28), 
    0)
  ), 
  ""
)
</f>
        <v/>
      </c>
      <c r="CQ28" s="29" t="str">
        <f t="array" ref="CQ28">IFERROR(
  INDEX(PLAYER_STAT!F$2:F64, 
    MATCH(1, 
      (PLAYER_STAT!A$2:A64 = MATCH_DATES!$A$9) * (PLAYER_STAT!D$2:D64 = $B28), 
    0)
  ), 
  ""
)
</f>
        <v/>
      </c>
      <c r="CR28" s="29" t="str">
        <f t="array" ref="CR28">IFERROR(
  INDEX(PLAYER_STAT!G$2:G64, 
    MATCH(1, 
      (PLAYER_STAT!A$2:A64 = MATCH_DATES!$A$9) * (PLAYER_STAT!D$2:D64 = $B28), 
    0)
  ), 
  ""
)
</f>
        <v/>
      </c>
      <c r="CS28" s="35">
        <f t="shared" si="38"/>
        <v>29</v>
      </c>
      <c r="CT28" s="35" t="str">
        <f t="shared" si="39"/>
        <v>=</v>
      </c>
      <c r="CU28" s="36">
        <f t="shared" si="40"/>
        <v>24</v>
      </c>
      <c r="CV28" s="36" t="str">
        <f t="shared" ref="CV28:CW28" si="115">A28</f>
        <v>🍂🎃</v>
      </c>
      <c r="CW28" s="37" t="str">
        <f t="shared" si="115"/>
        <v>Nicky</v>
      </c>
      <c r="CX28" s="37">
        <f t="shared" si="42"/>
        <v>36</v>
      </c>
      <c r="CY28" s="36">
        <f>SUM(
  IF(AND(MATCH_DATES!$A$2 &lt;= TODAY(), NOW() &gt;= MATCH_DATES!$A$2 + TIME(22, 0, 0)), E28, 0),
  IF(AND(MATCH_DATES!$A$3 &lt;= TODAY(), NOW() &gt;= MATCH_DATES!$A$3 + TIME(22, 0, 0)), Q28, 0),
  IF(AND(MATCH_DATES!$A$4 &lt;= TODAY(), NOW() &gt;= MATCH_DATES!$A$4 + TIME(22, 0, 0)), AC28, 0),
  IF(AND(MATCH_DATES!$A$5 &lt;= TODAY(), NOW() &gt;= MATCH_DATES!$A$5 + TIME(22, 0, 0)), AO28, 0),
  IF(AND(MATCH_DATES!$A$6 &lt;= TODAY(), NOW() &gt;= MATCH_DATES!$A$6 + TIME(22, 0, 0)), BA28, 0),
  IF(AND(MATCH_DATES!$A$7 &lt;= TODAY(), NOW() &gt;= MATCH_DATES!$A$7 + TIME(22, 0, 0)), BM28, 0),
  IF(AND(MATCH_DATES!$A$8 &lt;= TODAY(), NOW() &gt;= MATCH_DATES!$A$8 + TIME(22, 0, 0)), BY28, 0),
  IF(AND(MATCH_DATES!$A$9 &lt;= TODAY(), NOW() &gt;= MATCH_DATES!$A$9 + TIME(22, 0, 0)), CK28, 0)
)
</f>
        <v>12</v>
      </c>
      <c r="CZ28" s="37">
        <f t="shared" ref="CZ28:DA28" si="116">SUM(G28,S28,AE28,AQ28,BC28,BO28,CA28,CM28)</f>
        <v>5</v>
      </c>
      <c r="DA28" s="37">
        <f t="shared" si="116"/>
        <v>1</v>
      </c>
      <c r="DB28" s="37">
        <f>SUM(
  IF(AND(MATCH_DATES!$A$2 &lt;= TODAY(), NOW() &gt;= MATCH_DATES!$A$2 + TIME(22, 0, 0)), I28, 0),
  IF(AND(MATCH_DATES!$A$3 &lt;= TODAY(), NOW() &gt;= MATCH_DATES!$A$3 + TIME(22, 0, 0)), U28, 0),
  IF(AND(MATCH_DATES!$A$4 &lt;= TODAY(), NOW() &gt;= MATCH_DATES!$A$4 + TIME(22, 0, 0)), AG28, 0),
  IF(AND(MATCH_DATES!$A$5 &lt;= TODAY(), NOW() &gt;= MATCH_DATES!$A$5 + TIME(22, 0, 0)), AS28, 0),
  IF(AND(MATCH_DATES!$A$6 &lt;= TODAY(), NOW() &gt;= MATCH_DATES!$A$6 + TIME(22, 0, 0)), BE28, 0),
  IF(AND(MATCH_DATES!$A$7 &lt;= TODAY(), NOW() &gt;= MATCH_DATES!$A$7 + TIME(22, 0, 0)), BQ28, 0),
  IF(AND(MATCH_DATES!$A$8 &lt;= TODAY(), NOW() &gt;= MATCH_DATES!$A$8 + TIME(22, 0, 0)), CC28, 0),
  IF(AND(MATCH_DATES!$A$9 &lt;= TODAY(), NOW() &gt;= MATCH_DATES!$A$9 + TIME(22, 0, 0)), CO28, 0)
)</f>
        <v>6</v>
      </c>
      <c r="DC28" s="37">
        <f t="shared" si="44"/>
        <v>2</v>
      </c>
      <c r="DD28" s="37">
        <f t="shared" ref="DD28:DE28" si="117">SUM(K28,W28,AI28,AU28,BG28,BS28,CE28,CQ28)</f>
        <v>0</v>
      </c>
      <c r="DE28" s="37">
        <f t="shared" si="117"/>
        <v>0</v>
      </c>
    </row>
    <row r="29" ht="24.75" customHeight="1">
      <c r="A29" s="19" t="s">
        <v>210</v>
      </c>
      <c r="B29" s="20" t="s">
        <v>235</v>
      </c>
      <c r="C29" s="21" t="s">
        <v>214</v>
      </c>
      <c r="D29" s="22">
        <f t="shared" si="4"/>
        <v>6</v>
      </c>
      <c r="E29" s="22">
        <f t="shared" si="5"/>
        <v>2</v>
      </c>
      <c r="F29" s="22">
        <f t="shared" si="6"/>
        <v>4</v>
      </c>
      <c r="G29" s="22">
        <f>IF(C29&lt;&gt;"",
    COUNTIFS(MATCH_INPUT!$K$2:$K$5,C29),
0)</f>
        <v>2</v>
      </c>
      <c r="H29" s="22">
        <f>IF(C29&lt;&gt;"",
    COUNTIFS(MATCH_INPUT!$F$2:$F$5, C29, MATCH_INPUT!$K$2:$K$5, "Draw") +
    COUNTIFS(MATCH_INPUT!$J$2:$J$5, C29, MATCH_INPUT!$K$2:$K$5, "Draw"),
0)</f>
        <v>0</v>
      </c>
      <c r="I29" s="22">
        <f>IF(C29&lt;&gt;"",
    COUNTIFS(MATCH_INPUT!$F$2:$F$5, C29, MATCH_INPUT!$K$2:$K$5, "&lt;&gt;"&amp;C29, MATCH_INPUT!$K$2:$K$5, "&lt;&gt;Draw", MATCH_INPUT!$K$2:$K$5, "&lt;&gt;""") +
    COUNTIFS(MATCH_INPUT!$J$2:$J$5, C29, MATCH_INPUT!$K$2:$K$5, "&lt;&gt;"&amp;C29, MATCH_INPUT!$K$2:$K$5, "&lt;&gt;Draw", MATCH_INPUT!$K$2:$K$5, "&lt;&gt;"""),
0)</f>
        <v>0</v>
      </c>
      <c r="J29" s="23" t="str">
        <f t="array" ref="J29">IFERROR(
  INDEX(PLAYER_STAT!E$2:E64, 
    MATCH(1, 
      (PLAYER_STAT!A$2:A64 = MATCH_DATES!$A$2) * (PLAYER_STAT!D$2:D64 = $B29), 
    0)
  ), 
  ""
)
</f>
        <v/>
      </c>
      <c r="K29" s="23" t="str">
        <f t="array" ref="K29">IFERROR(
  INDEX(PLAYER_STAT!F$2:F64, 
    MATCH(1, 
      (PLAYER_STAT!A$2:A64 = MATCH_DATES!$A$2) * (PLAYER_STAT!D$2:D64 = $B29), 
    0)
  ), 
  ""
)
</f>
        <v/>
      </c>
      <c r="L29" s="24" t="str">
        <f t="array" ref="L29">IFERROR(
  INDEX(PLAYER_STAT!G$2:G64, 
    MATCH(1, 
      (PLAYER_STAT!A$2:A64 = MATCH_DATES!$A$2) * (PLAYER_STAT!D$2:D64 = $B29), 
    0)
  ), 
  ""
)
</f>
        <v/>
      </c>
      <c r="M29" s="25">
        <f t="shared" si="7"/>
        <v>2</v>
      </c>
      <c r="N29" s="26" t="str">
        <f t="shared" si="8"/>
        <v>↓</v>
      </c>
      <c r="O29" s="27" t="s">
        <v>213</v>
      </c>
      <c r="P29" s="28">
        <f t="shared" si="9"/>
        <v>11</v>
      </c>
      <c r="Q29" s="28">
        <f t="shared" si="10"/>
        <v>2</v>
      </c>
      <c r="R29" s="28">
        <f t="shared" si="11"/>
        <v>3</v>
      </c>
      <c r="S29" s="28">
        <f>IF(O29&lt;&gt;"",
    COUNTIFS(MATCH_INPUT!$K$6:$K$9,O29),
0)</f>
        <v>1</v>
      </c>
      <c r="T29" s="28">
        <f>IF(O29&lt;&gt;"",
    COUNTIFS(MATCH_INPUT!$F$6:$F$9, O29, MATCH_INPUT!$K$6:$K$9, "Draw") +
    COUNTIFS(MATCH_INPUT!$J$6:$J$9, O29, MATCH_INPUT!$K$6:$K$9, "Draw"),
0)</f>
        <v>1</v>
      </c>
      <c r="U29" s="28">
        <f>IF(O29&lt;&gt;"",
    COUNTIFS(MATCH_INPUT!$F$6:$F$9, O29, MATCH_INPUT!$K$6:$K$9, "&lt;&gt;"&amp;O29, MATCH_INPUT!$K$6:$K$9, "&lt;&gt;Draw", MATCH_INPUT!$K$6:$K$9, "&lt;&gt;""") +
    COUNTIFS(MATCH_INPUT!$J$6:$J$9, O29, MATCH_INPUT!$K$6:$K$9, "&lt;&gt;"&amp;O29, MATCH_INPUT!$K$6:$K$9, "&lt;&gt;Draw", MATCH_INPUT!$K$6:$K$9, "&lt;&gt;"""),
0)</f>
        <v>0</v>
      </c>
      <c r="V29" s="29" t="str">
        <f t="array" ref="V29">IFERROR(
  INDEX(PLAYER_STAT!E$2:E64, 
    MATCH(1, 
      (PLAYER_STAT!A$2:A64 = MATCH_DATES!$A$3) * (PLAYER_STAT!D$2:D64 = $B29), 
    0)
  ), 
  ""
)
</f>
        <v/>
      </c>
      <c r="W29" s="29" t="str">
        <f t="array" ref="W29">IFERROR(
  INDEX(PLAYER_STAT!F$2:F64, 
    MATCH(1, 
      (PLAYER_STAT!A$2:A64 = MATCH_DATES!$A$3) * (PLAYER_STAT!D$2:D64 = $B29), 
    0)
  ), 
  ""
)
</f>
        <v/>
      </c>
      <c r="X29" s="30" t="str">
        <f t="array" ref="X29">IFERROR(
  INDEX(PLAYER_STAT!G$2:G64, 
    MATCH(1, 
      (PLAYER_STAT!A$2:A64 = MATCH_DATES!$A$3) * (PLAYER_STAT!D$2:D64 = $B29), 
    0)
  ), 
  ""
)
</f>
        <v/>
      </c>
      <c r="Y29" s="31">
        <f t="shared" si="12"/>
        <v>1</v>
      </c>
      <c r="Z29" s="32" t="str">
        <f t="shared" si="13"/>
        <v>↑</v>
      </c>
      <c r="AA29" s="21" t="s">
        <v>213</v>
      </c>
      <c r="AB29" s="33">
        <f t="shared" si="14"/>
        <v>15</v>
      </c>
      <c r="AC29" s="22">
        <f t="shared" si="15"/>
        <v>2</v>
      </c>
      <c r="AD29" s="22">
        <f t="shared" si="16"/>
        <v>2</v>
      </c>
      <c r="AE29" s="22">
        <f>IF(AA29&lt;&gt;"",
    COUNTIFS(MATCH_INPUT!$K$10:$K$13,AA29),
0)</f>
        <v>1</v>
      </c>
      <c r="AF29" s="22">
        <f>IF(AA29&lt;&gt;"",
    COUNTIFS(MATCH_INPUT!$F$10:$F$13, AA29, MATCH_INPUT!$K$10:$K$13, "Draw") +
    COUNTIFS(MATCH_INPUT!$J$10:$J$13, AA29, MATCH_INPUT!$K$10:$K$13, "Draw"),
0)</f>
        <v>0</v>
      </c>
      <c r="AG29" s="22">
        <f>IF(AA29&lt;&gt;"",
    COUNTIFS(MATCH_INPUT!$F$10:$F$13, AA29, MATCH_INPUT!$K$10:$K$13, "&lt;&gt;"&amp;AA29, MATCH_INPUT!$K$10:$K$13, "&lt;&gt;Draw", MATCH_INPUT!$K$10:$K$13, "&lt;&gt;""") +
    COUNTIFS(MATCH_INPUT!$J$10:$J$13, AA29, MATCH_INPUT!$K$10:$K$13, "&lt;&gt;"&amp;AA29, MATCH_INPUT!$K$10:$K$13, "&lt;&gt;Draw", MATCH_INPUT!$K$10:$K$13, "&lt;&gt;"""),
0)</f>
        <v>1</v>
      </c>
      <c r="AH29" s="23">
        <f t="array" ref="AH29">IFERROR(
  INDEX(PLAYER_STAT!E$2:E64, 
    MATCH(1, 
      (PLAYER_STAT!A$2:A64 = MATCH_DATES!$A$4) * (PLAYER_STAT!D$2:D64 = $B29), 
    0)
  ), 
  ""
)
</f>
        <v>2</v>
      </c>
      <c r="AI29" s="23">
        <f t="array" ref="AI29">IFERROR(
  INDEX(PLAYER_STAT!F$2:F64, 
    MATCH(1, 
      (PLAYER_STAT!A$2:A64 = MATCH_DATES!$A$4) * (PLAYER_STAT!D$2:D64 = $B29), 
    0)
  ), 
  ""
)
</f>
        <v>0</v>
      </c>
      <c r="AJ29" s="34">
        <f t="array" ref="AJ29">IFERROR(
  INDEX(PLAYER_STAT!G$2:G64, 
    MATCH(1, 
      (PLAYER_STAT!A$2:A64 = MATCH_DATES!$A$4) * (PLAYER_STAT!D$2:D64 = $B29), 
    0)
  ), 
  ""
)
</f>
        <v>0</v>
      </c>
      <c r="AK29" s="25">
        <f t="shared" si="17"/>
        <v>1</v>
      </c>
      <c r="AL29" s="26" t="str">
        <f t="shared" si="18"/>
        <v>=</v>
      </c>
      <c r="AM29" s="27" t="s">
        <v>212</v>
      </c>
      <c r="AN29" s="28">
        <f t="shared" si="19"/>
        <v>21</v>
      </c>
      <c r="AO29" s="28">
        <f t="shared" si="20"/>
        <v>2</v>
      </c>
      <c r="AP29" s="28">
        <f t="shared" si="21"/>
        <v>4</v>
      </c>
      <c r="AQ29" s="28">
        <f>IF(AM29&lt;&gt;"",
    COUNTIFS(MATCH_INPUT!$K$14:$K$17,AM29),
0)</f>
        <v>2</v>
      </c>
      <c r="AR29" s="28">
        <f>IF(AM29&lt;&gt;"",
    COUNTIFS(MATCH_INPUT!$F$14:$F$17, AM29, MATCH_INPUT!$K$14:$K$17, "Draw") +
    COUNTIFS(MATCH_INPUT!$J$14:$J$17, AM29, MATCH_INPUT!$K$14:$K$17, "Draw"),
0)</f>
        <v>0</v>
      </c>
      <c r="AS29" s="28">
        <f>IF(AM29&lt;&gt;"",
    COUNTIFS(MATCH_INPUT!$F$14:$F$17, AM29, MATCH_INPUT!$K$14:$K$17, "&lt;&gt;"&amp;AM29, MATCH_INPUT!$K$14:$K$17, "&lt;&gt;Draw", MATCH_INPUT!$K$14:$K$17, "&lt;&gt;""") +
    COUNTIFS(MATCH_INPUT!$J$14:$J$17, AM29, MATCH_INPUT!$K$14:$K$17, "&lt;&gt;"&amp;AM29, MATCH_INPUT!$K$14:$K$17, "&lt;&gt;Draw", MATCH_INPUT!$K$14:$K$17, "&lt;&gt;"""),
0)</f>
        <v>0</v>
      </c>
      <c r="AT29" s="29" t="str">
        <f t="array" ref="AT29">IFERROR(
  INDEX(PLAYER_STAT!E$2:E64, 
    MATCH(1, 
      (PLAYER_STAT!A$2:A64 = MATCH_DATES!$A$5) * (PLAYER_STAT!D$2:D64 = $B29), 
    0)
  ), 
  ""
)
</f>
        <v/>
      </c>
      <c r="AU29" s="29" t="str">
        <f t="array" ref="AU29">IFERROR(
  INDEX(PLAYER_STAT!F$2:F64, 
    MATCH(1, 
      (PLAYER_STAT!A$2:A64 = MATCH_DATES!$A$5) * (PLAYER_STAT!D$2:D64 = $B29), 
    0)
  ), 
  ""
)
</f>
        <v/>
      </c>
      <c r="AV29" s="30" t="str">
        <f t="array" ref="AV29">IFERROR(
  INDEX(PLAYER_STAT!G$2:G64, 
    MATCH(1, 
      (PLAYER_STAT!A$2:A64 = MATCH_DATES!$A$5) * (PLAYER_STAT!D$2:D64 = $B29), 
    0)
  ), 
  ""
)
</f>
        <v/>
      </c>
      <c r="AW29" s="31">
        <f t="shared" si="22"/>
        <v>1</v>
      </c>
      <c r="AX29" s="32" t="str">
        <f t="shared" si="23"/>
        <v>=</v>
      </c>
      <c r="AY29" s="21" t="s">
        <v>212</v>
      </c>
      <c r="AZ29" s="33">
        <f t="shared" si="24"/>
        <v>35</v>
      </c>
      <c r="BA29" s="22">
        <f t="shared" si="25"/>
        <v>2</v>
      </c>
      <c r="BB29" s="22">
        <f>SUM(BC29*2) + (BD29*1) + SUMIFS(MATCH_INPUT!$G$18:$G$21, MATCH_INPUT!$F$18:$F$21, AY29) + SUMIFS(MATCH_INPUT!$I$18:$I$21, MATCH_INPUT!$J$18:$J$21, AY29)
</f>
        <v>11</v>
      </c>
      <c r="BC29" s="22">
        <f>IF(AY29&lt;&gt;"",
    COUNTIFS(MATCH_INPUT!$K$18:$K$21,AY29),
0)</f>
        <v>2</v>
      </c>
      <c r="BD29" s="22">
        <f>IF(AY29&lt;&gt;"",
    COUNTIFS(MATCH_INPUT!$F$18:$F$21, AY29, MATCH_INPUT!$K$18:$K$21, "Draw") +
    COUNTIFS(MATCH_INPUT!$J$18:$J$21, AY29, MATCH_INPUT!$K$18:$K$21, "Draw"),
0)</f>
        <v>0</v>
      </c>
      <c r="BE29" s="22">
        <f>IF(AY29&lt;&gt;"",
    COUNTIFS(MATCH_INPUT!$F$18:$F$21, AY29, MATCH_INPUT!$K$18:$K$21, "&lt;&gt;"&amp;AY29, MATCH_INPUT!$K$18:$K$21, "&lt;&gt;Draw", MATCH_INPUT!$K$18:$K$21, "&lt;&gt;""") +
    COUNTIFS(MATCH_INPUT!$J$18:$J$21, AY29, MATCH_INPUT!$K$18:$K$21, "&lt;&gt;"&amp;AY29, MATCH_INPUT!$K$18:$K$21, "&lt;&gt;Draw", MATCH_INPUT!$K$18:$K$21, "&lt;&gt;"""),
0)</f>
        <v>0</v>
      </c>
      <c r="BF29" s="23">
        <f t="array" ref="BF29">IFERROR(
  INDEX(PLAYER_STAT!E$2:E64, 
    MATCH(1, 
      (PLAYER_STAT!A$2:A64 = MATCH_DATES!$A$6) * (PLAYER_STAT!D$2:D64 = $B29), 
    0)
  ), 
  ""
)
</f>
        <v>0</v>
      </c>
      <c r="BG29" s="23">
        <f t="array" ref="BG29">IFERROR(
  INDEX(PLAYER_STAT!F$2:F64, 
    MATCH(1, 
      (PLAYER_STAT!A$2:A64 = MATCH_DATES!$A$6) * (PLAYER_STAT!D$2:D64 = $B29), 
    0)
  ), 
  ""
)
</f>
        <v>1</v>
      </c>
      <c r="BH29" s="34">
        <f t="array" ref="BH29">IFERROR(
  INDEX(PLAYER_STAT!G$2:G64, 
    MATCH(1, 
      (PLAYER_STAT!A$2:A64 = MATCH_DATES!$A$6) * (PLAYER_STAT!D$2:D64 = $B29), 
    0)
  ), 
  ""
)
</f>
        <v>0</v>
      </c>
      <c r="BI29" s="25">
        <f t="shared" si="26"/>
        <v>1</v>
      </c>
      <c r="BJ29" s="26" t="str">
        <f t="shared" si="27"/>
        <v>=</v>
      </c>
      <c r="BK29" s="27" t="s">
        <v>212</v>
      </c>
      <c r="BL29" s="28">
        <f t="shared" si="28"/>
        <v>38</v>
      </c>
      <c r="BM29" s="28">
        <f t="shared" si="29"/>
        <v>2</v>
      </c>
      <c r="BN29" s="28">
        <f>SUM(BO29*2) + (BP29*1) + SUMIFS(MATCH_INPUT!$G$22:$G$25, MATCH_INPUT!$F$22:$F$25, BK29) + SUMIFS(MATCH_INPUT!$I$22:$I$25, MATCH_INPUT!$J$22:$J$25, BK29)
</f>
        <v>0</v>
      </c>
      <c r="BO29" s="28">
        <f>IF(BK29&lt;&gt;"",
    COUNTIFS(MATCH_INPUT!$K$22:$K$25,BK29),
0)</f>
        <v>0</v>
      </c>
      <c r="BP29" s="28">
        <f>IF(BK29&lt;&gt;"",
    COUNTIFS(MATCH_INPUT!$F$22:$F$25, BK29, MATCH_INPUT!$K$22:$K$25, "Draw") +
    COUNTIFS(MATCH_INPUT!$J$22:$J$25, BK29, MATCH_INPUT!$K$22:$K$25, "Draw"),
0)</f>
        <v>0</v>
      </c>
      <c r="BQ29" s="28">
        <f>IF(BK29&lt;&gt;"",
    COUNTIFS(MATCH_INPUT!$F$22:$F$25, BK29, MATCH_INPUT!$K$22:$K$25, "&lt;&gt;"&amp;BK29, MATCH_INPUT!$K$22:$K$25, "&lt;&gt;Draw", MATCH_INPUT!$K$22:$K$25, "&lt;&gt;""") +
    COUNTIFS(MATCH_INPUT!$J$22:$J$25, BK29, MATCH_INPUT!$K$22:$K$25, "&lt;&gt;"&amp;BK29, MATCH_INPUT!$K$22:$K$25, "&lt;&gt;Draw", MATCH_INPUT!$K$22:$K$25, "&lt;&gt;"""),
0)</f>
        <v>2</v>
      </c>
      <c r="BR29" s="29">
        <f t="array" ref="BR29">IFERROR(
  INDEX(PLAYER_STAT!E$2:E64, 
    MATCH(1, 
      (PLAYER_STAT!A$2:A64 = MATCH_DATES!$A$7) * (PLAYER_STAT!D$2:D64 = $B29), 
    0)
  ), 
  ""
)
</f>
        <v>0</v>
      </c>
      <c r="BS29" s="29">
        <f t="array" ref="BS29">IFERROR(
  INDEX(PLAYER_STAT!F$2:F64, 
    MATCH(1, 
      (PLAYER_STAT!A$2:A64 = MATCH_DATES!$A$7) * (PLAYER_STAT!D$2:D64 = $B29), 
    0)
  ), 
  ""
)
</f>
        <v>1</v>
      </c>
      <c r="BT29" s="30">
        <f t="array" ref="BT29">IFERROR(
  INDEX(PLAYER_STAT!G$2:G64, 
    MATCH(1, 
      (PLAYER_STAT!A$2:A64 = MATCH_DATES!$A$7) * (PLAYER_STAT!D$2:D64 = $B29), 
    0)
  ), 
  ""
)
</f>
        <v>0</v>
      </c>
      <c r="BU29" s="31">
        <f t="shared" si="30"/>
        <v>4</v>
      </c>
      <c r="BV29" s="32" t="str">
        <f t="shared" si="31"/>
        <v>↓</v>
      </c>
      <c r="BW29" s="21" t="s">
        <v>214</v>
      </c>
      <c r="BX29" s="33">
        <f t="shared" si="32"/>
        <v>41</v>
      </c>
      <c r="BY29" s="22">
        <f t="shared" si="33"/>
        <v>2</v>
      </c>
      <c r="BZ29" s="22">
        <f>SUM(CA29*2)+(CB29*1) + SUMIFS(MATCH_INPUT!$G$26:$G$29, MATCH_INPUT!$F$26:$F$29, BW29) + SUMIFS(MATCH_INPUT!$I$26:$I$29, MATCH_INPUT!$J$26:$J$29, BW29)
</f>
        <v>1</v>
      </c>
      <c r="CA29" s="22">
        <f>IF(BW29&lt;&gt;"",
    COUNTIFS(MATCH_INPUT!$K$26:$K$29,BW29),
0)</f>
        <v>0</v>
      </c>
      <c r="CB29" s="22">
        <f>IF(BW29&lt;&gt;"",
    COUNTIFS(MATCH_INPUT!$F$26:$F$29, BW29, MATCH_INPUT!$K$26:$K$29, "Draw") +
    COUNTIFS(MATCH_INPUT!$J$26:$J$29, BW29, MATCH_INPUT!$K$26:$K$29, "Draw"),
0)</f>
        <v>0</v>
      </c>
      <c r="CC29" s="22">
        <f>IF(BW29&lt;&gt;"",
    COUNTIFS(MATCH_INPUT!$F$26:$F$29, BW29, MATCH_INPUT!$K$26:$K$29, "&lt;&gt;"&amp;BW29, MATCH_INPUT!$K$26:$K$29, "&lt;&gt;Draw", MATCH_INPUT!$K$26:$K$29, "&lt;&gt;""") +
    COUNTIFS(MATCH_INPUT!$J$26:$J$29, BW29, MATCH_INPUT!$K$26:$K$29, "&lt;&gt;"&amp;BW29, MATCH_INPUT!$K$26:$K$29, "&lt;&gt;Draw", MATCH_INPUT!$K$26:$K$29, "&lt;&gt;"""),
0)</f>
        <v>2</v>
      </c>
      <c r="CD29" s="23">
        <f t="array" ref="CD29">IFERROR(
  INDEX(PLAYER_STAT!E$2:E64, 
    MATCH(1, 
      (PLAYER_STAT!A$2:A64 = MATCH_DATES!$A$8) * (PLAYER_STAT!D$2:D64 = $B29), 
    0)
  ), 
  ""
)
</f>
        <v>1</v>
      </c>
      <c r="CE29" s="23">
        <f t="array" ref="CE29">IFERROR(
  INDEX(PLAYER_STAT!F$2:F64, 
    MATCH(1, 
      (PLAYER_STAT!A$2:A64 = MATCH_DATES!$A$8) * (PLAYER_STAT!D$2:D64 = $B29), 
    0)
  ), 
  ""
)
</f>
        <v>0</v>
      </c>
      <c r="CF29" s="34">
        <f t="array" ref="CF29">IFERROR(
  INDEX(PLAYER_STAT!G$2:G64, 
    MATCH(1, 
      (PLAYER_STAT!A$2:A64 = MATCH_DATES!$A$8) * (PLAYER_STAT!D$2:D64 = $B29), 
    0)
  ), 
  ""
)
</f>
        <v>0</v>
      </c>
      <c r="CG29" s="25">
        <f t="shared" si="34"/>
        <v>14</v>
      </c>
      <c r="CH29" s="26" t="str">
        <f t="shared" si="35"/>
        <v>↓</v>
      </c>
      <c r="CI29" s="27" t="s">
        <v>212</v>
      </c>
      <c r="CJ29" s="28">
        <f t="shared" si="36"/>
        <v>52</v>
      </c>
      <c r="CK29" s="28">
        <f t="shared" si="37"/>
        <v>2</v>
      </c>
      <c r="CL29" s="28">
        <f>SUM(CM29*2)+(CN29*1) + SUMIFS(MATCH_INPUT!$G$30:$G$33, MATCH_INPUT!$F$30:$F$33, CI29) + SUMIFS(MATCH_INPUT!$I$30:$I$33, MATCH_INPUT!$J$30:$J$33, CI29)
</f>
        <v>9</v>
      </c>
      <c r="CM29" s="28">
        <f>IF(CI29&lt;&gt;"",
    COUNTIFS(MATCH_INPUT!$K$30:$K$33,CI29),
0)</f>
        <v>1</v>
      </c>
      <c r="CN29" s="28">
        <f>IF(CI29&lt;&gt;"",
    COUNTIFS(MATCH_INPUT!$F$30:$F$33, CI29, MATCH_INPUT!$K$30:$K$33, "Draw") +
    COUNTIFS(MATCH_INPUT!$J$30:$J$33, CI29, MATCH_INPUT!$K$30:$K$33, "Draw"),
0)</f>
        <v>1</v>
      </c>
      <c r="CO29" s="28">
        <f>IF(CI29&lt;&gt;"",
    COUNTIFS(MATCH_INPUT!$F$30:$F$33, CI29, MATCH_INPUT!$K$30:$K$33, "&lt;&gt;"&amp;CI29, MATCH_INPUT!$K$30:$K$33, "&lt;&gt;Draw", MATCH_INPUT!$K$30:$K$33, "&lt;&gt;""") +
    COUNTIFS(MATCH_INPUT!$J$30:$J$33, CI29, MATCH_INPUT!$K$30:$K$33, "&lt;&gt;"&amp;CI29, MATCH_INPUT!$K$30:$K$33, "&lt;&gt;Draw", MATCH_INPUT!$K$30:$K$33, "&lt;&gt;"""),
0)</f>
        <v>0</v>
      </c>
      <c r="CP29" s="29">
        <f t="array" ref="CP29">IFERROR(
  INDEX(PLAYER_STAT!E$2:E64, 
    MATCH(1, 
      (PLAYER_STAT!A$2:A64 = MATCH_DATES!$A$9) * (PLAYER_STAT!D$2:D64 = $B29), 
    0)
  ), 
  ""
)
</f>
        <v>0</v>
      </c>
      <c r="CQ29" s="29">
        <f t="array" ref="CQ29">IFERROR(
  INDEX(PLAYER_STAT!F$2:F64, 
    MATCH(1, 
      (PLAYER_STAT!A$2:A64 = MATCH_DATES!$A$9) * (PLAYER_STAT!D$2:D64 = $B29), 
    0)
  ), 
  ""
)
</f>
        <v>0</v>
      </c>
      <c r="CR29" s="29">
        <f t="array" ref="CR29">IFERROR(
  INDEX(PLAYER_STAT!G$2:G64, 
    MATCH(1, 
      (PLAYER_STAT!A$2:A64 = MATCH_DATES!$A$9) * (PLAYER_STAT!D$2:D64 = $B29), 
    0)
  ), 
  ""
)
</f>
        <v>0</v>
      </c>
      <c r="CS29" s="35">
        <f t="shared" si="38"/>
        <v>11</v>
      </c>
      <c r="CT29" s="35" t="str">
        <f t="shared" si="39"/>
        <v>↑</v>
      </c>
      <c r="CU29" s="36">
        <f t="shared" si="40"/>
        <v>34</v>
      </c>
      <c r="CV29" s="36" t="str">
        <f t="shared" ref="CV29:CW29" si="118">A29</f>
        <v>🍂🎃</v>
      </c>
      <c r="CW29" s="37" t="str">
        <f t="shared" si="118"/>
        <v>Nicolás</v>
      </c>
      <c r="CX29" s="37">
        <f t="shared" si="42"/>
        <v>52</v>
      </c>
      <c r="CY29" s="36">
        <f>SUM(
  IF(AND(MATCH_DATES!$A$2 &lt;= TODAY(), NOW() &gt;= MATCH_DATES!$A$2 + TIME(22, 0, 0)), E29, 0),
  IF(AND(MATCH_DATES!$A$3 &lt;= TODAY(), NOW() &gt;= MATCH_DATES!$A$3 + TIME(22, 0, 0)), Q29, 0),
  IF(AND(MATCH_DATES!$A$4 &lt;= TODAY(), NOW() &gt;= MATCH_DATES!$A$4 + TIME(22, 0, 0)), AC29, 0),
  IF(AND(MATCH_DATES!$A$5 &lt;= TODAY(), NOW() &gt;= MATCH_DATES!$A$5 + TIME(22, 0, 0)), AO29, 0),
  IF(AND(MATCH_DATES!$A$6 &lt;= TODAY(), NOW() &gt;= MATCH_DATES!$A$6 + TIME(22, 0, 0)), BA29, 0),
  IF(AND(MATCH_DATES!$A$7 &lt;= TODAY(), NOW() &gt;= MATCH_DATES!$A$7 + TIME(22, 0, 0)), BM29, 0),
  IF(AND(MATCH_DATES!$A$8 &lt;= TODAY(), NOW() &gt;= MATCH_DATES!$A$8 + TIME(22, 0, 0)), BY29, 0),
  IF(AND(MATCH_DATES!$A$9 &lt;= TODAY(), NOW() &gt;= MATCH_DATES!$A$9 + TIME(22, 0, 0)), CK29, 0)
)
</f>
        <v>16</v>
      </c>
      <c r="CZ29" s="37">
        <f t="shared" ref="CZ29:DA29" si="119">SUM(G29,S29,AE29,AQ29,BC29,BO29,CA29,CM29)</f>
        <v>9</v>
      </c>
      <c r="DA29" s="37">
        <f t="shared" si="119"/>
        <v>2</v>
      </c>
      <c r="DB29" s="37">
        <f>SUM(
  IF(AND(MATCH_DATES!$A$2 &lt;= TODAY(), NOW() &gt;= MATCH_DATES!$A$2 + TIME(22, 0, 0)), I29, 0),
  IF(AND(MATCH_DATES!$A$3 &lt;= TODAY(), NOW() &gt;= MATCH_DATES!$A$3 + TIME(22, 0, 0)), U29, 0),
  IF(AND(MATCH_DATES!$A$4 &lt;= TODAY(), NOW() &gt;= MATCH_DATES!$A$4 + TIME(22, 0, 0)), AG29, 0),
  IF(AND(MATCH_DATES!$A$5 &lt;= TODAY(), NOW() &gt;= MATCH_DATES!$A$5 + TIME(22, 0, 0)), AS29, 0),
  IF(AND(MATCH_DATES!$A$6 &lt;= TODAY(), NOW() &gt;= MATCH_DATES!$A$6 + TIME(22, 0, 0)), BE29, 0),
  IF(AND(MATCH_DATES!$A$7 &lt;= TODAY(), NOW() &gt;= MATCH_DATES!$A$7 + TIME(22, 0, 0)), BQ29, 0),
  IF(AND(MATCH_DATES!$A$8 &lt;= TODAY(), NOW() &gt;= MATCH_DATES!$A$8 + TIME(22, 0, 0)), CC29, 0),
  IF(AND(MATCH_DATES!$A$9 &lt;= TODAY(), NOW() &gt;= MATCH_DATES!$A$9 + TIME(22, 0, 0)), CO29, 0)
)</f>
        <v>5</v>
      </c>
      <c r="DC29" s="37">
        <f t="shared" si="44"/>
        <v>3</v>
      </c>
      <c r="DD29" s="37">
        <f t="shared" ref="DD29:DE29" si="120">SUM(K29,W29,AI29,AU29,BG29,BS29,CE29,CQ29)</f>
        <v>2</v>
      </c>
      <c r="DE29" s="37">
        <f t="shared" si="120"/>
        <v>0</v>
      </c>
    </row>
    <row r="30" ht="24.75" customHeight="1">
      <c r="A30" s="19" t="s">
        <v>210</v>
      </c>
      <c r="B30" s="40" t="s">
        <v>88</v>
      </c>
      <c r="C30" s="21" t="s">
        <v>215</v>
      </c>
      <c r="D30" s="22">
        <f t="shared" si="4"/>
        <v>2</v>
      </c>
      <c r="E30" s="22">
        <f t="shared" si="5"/>
        <v>2</v>
      </c>
      <c r="F30" s="22">
        <f t="shared" si="6"/>
        <v>0</v>
      </c>
      <c r="G30" s="22">
        <f>IF(C30&lt;&gt;"",
    COUNTIFS(MATCH_INPUT!$K$2:$K$5,C30),
0)</f>
        <v>0</v>
      </c>
      <c r="H30" s="22">
        <f>IF(C30&lt;&gt;"",
    COUNTIFS(MATCH_INPUT!$F$2:$F$5, C30, MATCH_INPUT!$K$2:$K$5, "Draw") +
    COUNTIFS(MATCH_INPUT!$J$2:$J$5, C30, MATCH_INPUT!$K$2:$K$5, "Draw"),
0)</f>
        <v>0</v>
      </c>
      <c r="I30" s="22">
        <f>IF(C30&lt;&gt;"",
    COUNTIFS(MATCH_INPUT!$F$2:$F$5, C30, MATCH_INPUT!$K$2:$K$5, "&lt;&gt;"&amp;C30, MATCH_INPUT!$K$2:$K$5, "&lt;&gt;Draw", MATCH_INPUT!$K$2:$K$5, "&lt;&gt;""") +
    COUNTIFS(MATCH_INPUT!$J$2:$J$5, C30, MATCH_INPUT!$K$2:$K$5, "&lt;&gt;"&amp;C30, MATCH_INPUT!$K$2:$K$5, "&lt;&gt;Draw", MATCH_INPUT!$K$2:$K$5, "&lt;&gt;"""),
0)</f>
        <v>2</v>
      </c>
      <c r="J30" s="23" t="str">
        <f t="array" ref="J30">IFERROR(
  INDEX(PLAYER_STAT!E$2:E64, 
    MATCH(1, 
      (PLAYER_STAT!A$2:A64 = MATCH_DATES!$A$2) * (PLAYER_STAT!D$2:D64 = $B30), 
    0)
  ), 
  ""
)
</f>
        <v/>
      </c>
      <c r="K30" s="23" t="str">
        <f t="array" ref="K30">IFERROR(
  INDEX(PLAYER_STAT!F$2:F64, 
    MATCH(1, 
      (PLAYER_STAT!A$2:A64 = MATCH_DATES!$A$2) * (PLAYER_STAT!D$2:D64 = $B30), 
    0)
  ), 
  ""
)
</f>
        <v/>
      </c>
      <c r="L30" s="24" t="str">
        <f t="array" ref="L30">IFERROR(
  INDEX(PLAYER_STAT!G$2:G64, 
    MATCH(1, 
      (PLAYER_STAT!A$2:A64 = MATCH_DATES!$A$2) * (PLAYER_STAT!D$2:D64 = $B30), 
    0)
  ), 
  ""
)
</f>
        <v/>
      </c>
      <c r="M30" s="25">
        <f t="shared" si="7"/>
        <v>26</v>
      </c>
      <c r="N30" s="26" t="str">
        <f t="shared" si="8"/>
        <v>↓</v>
      </c>
      <c r="O30" s="27" t="s">
        <v>213</v>
      </c>
      <c r="P30" s="28">
        <f t="shared" si="9"/>
        <v>7</v>
      </c>
      <c r="Q30" s="28">
        <f t="shared" si="10"/>
        <v>2</v>
      </c>
      <c r="R30" s="28">
        <f t="shared" si="11"/>
        <v>3</v>
      </c>
      <c r="S30" s="28">
        <f>IF(O30&lt;&gt;"",
    COUNTIFS(MATCH_INPUT!$K$6:$K$9,O30),
0)</f>
        <v>1</v>
      </c>
      <c r="T30" s="28">
        <f>IF(O30&lt;&gt;"",
    COUNTIFS(MATCH_INPUT!$F$6:$F$9, O30, MATCH_INPUT!$K$6:$K$9, "Draw") +
    COUNTIFS(MATCH_INPUT!$J$6:$J$9, O30, MATCH_INPUT!$K$6:$K$9, "Draw"),
0)</f>
        <v>1</v>
      </c>
      <c r="U30" s="28">
        <f>IF(O30&lt;&gt;"",
    COUNTIFS(MATCH_INPUT!$F$6:$F$9, O30, MATCH_INPUT!$K$6:$K$9, "&lt;&gt;"&amp;O30, MATCH_INPUT!$K$6:$K$9, "&lt;&gt;Draw", MATCH_INPUT!$K$6:$K$9, "&lt;&gt;""") +
    COUNTIFS(MATCH_INPUT!$J$6:$J$9, O30, MATCH_INPUT!$K$6:$K$9, "&lt;&gt;"&amp;O30, MATCH_INPUT!$K$6:$K$9, "&lt;&gt;Draw", MATCH_INPUT!$K$6:$K$9, "&lt;&gt;"""),
0)</f>
        <v>0</v>
      </c>
      <c r="V30" s="29" t="str">
        <f t="array" ref="V30">IFERROR(
  INDEX(PLAYER_STAT!E$2:E64, 
    MATCH(1, 
      (PLAYER_STAT!A$2:A64 = MATCH_DATES!$A$3) * (PLAYER_STAT!D$2:D64 = $B30), 
    0)
  ), 
  ""
)
</f>
        <v/>
      </c>
      <c r="W30" s="29" t="str">
        <f t="array" ref="W30">IFERROR(
  INDEX(PLAYER_STAT!F$2:F64, 
    MATCH(1, 
      (PLAYER_STAT!A$2:A64 = MATCH_DATES!$A$3) * (PLAYER_STAT!D$2:D64 = $B30), 
    0)
  ), 
  ""
)
</f>
        <v/>
      </c>
      <c r="X30" s="30" t="str">
        <f t="array" ref="X30">IFERROR(
  INDEX(PLAYER_STAT!G$2:G64, 
    MATCH(1, 
      (PLAYER_STAT!A$2:A64 = MATCH_DATES!$A$3) * (PLAYER_STAT!D$2:D64 = $B30), 
    0)
  ), 
  ""
)
</f>
        <v/>
      </c>
      <c r="Y30" s="31">
        <f t="shared" si="12"/>
        <v>20</v>
      </c>
      <c r="Z30" s="32" t="str">
        <f t="shared" si="13"/>
        <v>↑</v>
      </c>
      <c r="AA30" s="21" t="s">
        <v>214</v>
      </c>
      <c r="AB30" s="33">
        <f t="shared" si="14"/>
        <v>11</v>
      </c>
      <c r="AC30" s="22">
        <f t="shared" si="15"/>
        <v>2</v>
      </c>
      <c r="AD30" s="22">
        <f t="shared" si="16"/>
        <v>2</v>
      </c>
      <c r="AE30" s="22">
        <f>IF(AA30&lt;&gt;"",
    COUNTIFS(MATCH_INPUT!$K$10:$K$13,AA30),
0)</f>
        <v>1</v>
      </c>
      <c r="AF30" s="22">
        <f>IF(AA30&lt;&gt;"",
    COUNTIFS(MATCH_INPUT!$F$10:$F$13, AA30, MATCH_INPUT!$K$10:$K$13, "Draw") +
    COUNTIFS(MATCH_INPUT!$J$10:$J$13, AA30, MATCH_INPUT!$K$10:$K$13, "Draw"),
0)</f>
        <v>0</v>
      </c>
      <c r="AG30" s="22">
        <f>IF(AA30&lt;&gt;"",
    COUNTIFS(MATCH_INPUT!$F$10:$F$13, AA30, MATCH_INPUT!$K$10:$K$13, "&lt;&gt;"&amp;AA30, MATCH_INPUT!$K$10:$K$13, "&lt;&gt;Draw", MATCH_INPUT!$K$10:$K$13, "&lt;&gt;""") +
    COUNTIFS(MATCH_INPUT!$J$10:$J$13, AA30, MATCH_INPUT!$K$10:$K$13, "&lt;&gt;"&amp;AA30, MATCH_INPUT!$K$10:$K$13, "&lt;&gt;Draw", MATCH_INPUT!$K$10:$K$13, "&lt;&gt;"""),
0)</f>
        <v>1</v>
      </c>
      <c r="AH30" s="23" t="str">
        <f t="array" ref="AH30">IFERROR(
  INDEX(PLAYER_STAT!E$2:E64, 
    MATCH(1, 
      (PLAYER_STAT!A$2:A64 = MATCH_DATES!$A$4) * (PLAYER_STAT!D$2:D64 = $B30), 
    0)
  ), 
  ""
)
</f>
        <v/>
      </c>
      <c r="AI30" s="23" t="str">
        <f t="array" ref="AI30">IFERROR(
  INDEX(PLAYER_STAT!F$2:F64, 
    MATCH(1, 
      (PLAYER_STAT!A$2:A64 = MATCH_DATES!$A$4) * (PLAYER_STAT!D$2:D64 = $B30), 
    0)
  ), 
  ""
)
</f>
        <v/>
      </c>
      <c r="AJ30" s="34" t="str">
        <f t="array" ref="AJ30">IFERROR(
  INDEX(PLAYER_STAT!G$2:G64, 
    MATCH(1, 
      (PLAYER_STAT!A$2:A64 = MATCH_DATES!$A$4) * (PLAYER_STAT!D$2:D64 = $B30), 
    0)
  ), 
  ""
)
</f>
        <v/>
      </c>
      <c r="AK30" s="25">
        <f t="shared" si="17"/>
        <v>21</v>
      </c>
      <c r="AL30" s="26" t="str">
        <f t="shared" si="18"/>
        <v>↓</v>
      </c>
      <c r="AM30" s="27"/>
      <c r="AN30" s="28">
        <f t="shared" si="19"/>
        <v>11</v>
      </c>
      <c r="AO30" s="28">
        <f t="shared" si="20"/>
        <v>0</v>
      </c>
      <c r="AP30" s="28">
        <f t="shared" si="21"/>
        <v>0</v>
      </c>
      <c r="AQ30" s="28">
        <f>IF(AM30&lt;&gt;"",
    COUNTIFS(MATCH_INPUT!$K$14:$K$17,AM30),
0)</f>
        <v>0</v>
      </c>
      <c r="AR30" s="28">
        <f>IF(AM30&lt;&gt;"",
    COUNTIFS(MATCH_INPUT!$F$14:$F$17, AM30, MATCH_INPUT!$K$14:$K$17, "Draw") +
    COUNTIFS(MATCH_INPUT!$J$14:$J$17, AM30, MATCH_INPUT!$K$14:$K$17, "Draw"),
0)</f>
        <v>0</v>
      </c>
      <c r="AS30" s="28">
        <f>IF(AM30&lt;&gt;"",
    COUNTIFS(MATCH_INPUT!$F$14:$F$17, AM30, MATCH_INPUT!$K$14:$K$17, "&lt;&gt;"&amp;AM30, MATCH_INPUT!$K$14:$K$17, "&lt;&gt;Draw", MATCH_INPUT!$K$14:$K$17, "&lt;&gt;""") +
    COUNTIFS(MATCH_INPUT!$J$14:$J$17, AM30, MATCH_INPUT!$K$14:$K$17, "&lt;&gt;"&amp;AM30, MATCH_INPUT!$K$14:$K$17, "&lt;&gt;Draw", MATCH_INPUT!$K$14:$K$17, "&lt;&gt;"""),
0)</f>
        <v>0</v>
      </c>
      <c r="AT30" s="29" t="str">
        <f t="array" ref="AT30">IFERROR(
  INDEX(PLAYER_STAT!E$2:E64, 
    MATCH(1, 
      (PLAYER_STAT!A$2:A64 = MATCH_DATES!$A$5) * (PLAYER_STAT!D$2:D64 = $B30), 
    0)
  ), 
  ""
)
</f>
        <v/>
      </c>
      <c r="AU30" s="29" t="str">
        <f t="array" ref="AU30">IFERROR(
  INDEX(PLAYER_STAT!F$2:F64, 
    MATCH(1, 
      (PLAYER_STAT!A$2:A64 = MATCH_DATES!$A$5) * (PLAYER_STAT!D$2:D64 = $B30), 
    0)
  ), 
  ""
)
</f>
        <v/>
      </c>
      <c r="AV30" s="30" t="str">
        <f t="array" ref="AV30">IFERROR(
  INDEX(PLAYER_STAT!G$2:G64, 
    MATCH(1, 
      (PLAYER_STAT!A$2:A64 = MATCH_DATES!$A$5) * (PLAYER_STAT!D$2:D64 = $B30), 
    0)
  ), 
  ""
)
</f>
        <v/>
      </c>
      <c r="AW30" s="31">
        <f t="shared" si="22"/>
        <v>29</v>
      </c>
      <c r="AX30" s="32" t="str">
        <f t="shared" si="23"/>
        <v>↓</v>
      </c>
      <c r="AY30" s="21" t="s">
        <v>215</v>
      </c>
      <c r="AZ30" s="33">
        <f t="shared" si="24"/>
        <v>14</v>
      </c>
      <c r="BA30" s="22">
        <f t="shared" si="25"/>
        <v>2</v>
      </c>
      <c r="BB30" s="22">
        <f>SUM(BC30*2) + (BD30*1) + SUMIFS(MATCH_INPUT!$G$18:$G$21, MATCH_INPUT!$F$18:$F$21, AY30) + SUMIFS(MATCH_INPUT!$I$18:$I$21, MATCH_INPUT!$J$18:$J$21, AY30)
</f>
        <v>1</v>
      </c>
      <c r="BC30" s="22">
        <f>IF(AY30&lt;&gt;"",
    COUNTIFS(MATCH_INPUT!$K$18:$K$21,AY30),
0)</f>
        <v>0</v>
      </c>
      <c r="BD30" s="22">
        <f>IF(AY30&lt;&gt;"",
    COUNTIFS(MATCH_INPUT!$F$18:$F$21, AY30, MATCH_INPUT!$K$18:$K$21, "Draw") +
    COUNTIFS(MATCH_INPUT!$J$18:$J$21, AY30, MATCH_INPUT!$K$18:$K$21, "Draw"),
0)</f>
        <v>0</v>
      </c>
      <c r="BE30" s="22">
        <f>IF(AY30&lt;&gt;"",
    COUNTIFS(MATCH_INPUT!$F$18:$F$21, AY30, MATCH_INPUT!$K$18:$K$21, "&lt;&gt;"&amp;AY30, MATCH_INPUT!$K$18:$K$21, "&lt;&gt;Draw", MATCH_INPUT!$K$18:$K$21, "&lt;&gt;""") +
    COUNTIFS(MATCH_INPUT!$J$18:$J$21, AY30, MATCH_INPUT!$K$18:$K$21, "&lt;&gt;"&amp;AY30, MATCH_INPUT!$K$18:$K$21, "&lt;&gt;Draw", MATCH_INPUT!$K$18:$K$21, "&lt;&gt;"""),
0)</f>
        <v>2</v>
      </c>
      <c r="BF30" s="23" t="str">
        <f t="array" ref="BF30">IFERROR(
  INDEX(PLAYER_STAT!E$2:E64, 
    MATCH(1, 
      (PLAYER_STAT!A$2:A64 = MATCH_DATES!$A$6) * (PLAYER_STAT!D$2:D64 = $B30), 
    0)
  ), 
  ""
)
</f>
        <v/>
      </c>
      <c r="BG30" s="23" t="str">
        <f t="array" ref="BG30">IFERROR(
  INDEX(PLAYER_STAT!F$2:F64, 
    MATCH(1, 
      (PLAYER_STAT!A$2:A64 = MATCH_DATES!$A$6) * (PLAYER_STAT!D$2:D64 = $B30), 
    0)
  ), 
  ""
)
</f>
        <v/>
      </c>
      <c r="BH30" s="34" t="str">
        <f t="array" ref="BH30">IFERROR(
  INDEX(PLAYER_STAT!G$2:G64, 
    MATCH(1, 
      (PLAYER_STAT!A$2:A64 = MATCH_DATES!$A$6) * (PLAYER_STAT!D$2:D64 = $B30), 
    0)
  ), 
  ""
)
</f>
        <v/>
      </c>
      <c r="BI30" s="25">
        <f t="shared" si="26"/>
        <v>32</v>
      </c>
      <c r="BJ30" s="26" t="str">
        <f t="shared" si="27"/>
        <v>↓</v>
      </c>
      <c r="BK30" s="27" t="s">
        <v>213</v>
      </c>
      <c r="BL30" s="28">
        <f t="shared" si="28"/>
        <v>18</v>
      </c>
      <c r="BM30" s="28">
        <f t="shared" si="29"/>
        <v>2</v>
      </c>
      <c r="BN30" s="28">
        <f>SUM(BO30*2) + (BP30*1) + SUMIFS(MATCH_INPUT!$G$22:$G$25, MATCH_INPUT!$F$22:$F$25, BK30) + SUMIFS(MATCH_INPUT!$I$22:$I$25, MATCH_INPUT!$J$22:$J$25, BK30)
</f>
        <v>2</v>
      </c>
      <c r="BO30" s="28">
        <f>IF(BK30&lt;&gt;"",
    COUNTIFS(MATCH_INPUT!$K$22:$K$25,BK30),
0)</f>
        <v>0</v>
      </c>
      <c r="BP30" s="28">
        <f>IF(BK30&lt;&gt;"",
    COUNTIFS(MATCH_INPUT!$F$22:$F$25, BK30, MATCH_INPUT!$K$22:$K$25, "Draw") +
    COUNTIFS(MATCH_INPUT!$J$22:$J$25, BK30, MATCH_INPUT!$K$22:$K$25, "Draw"),
0)</f>
        <v>1</v>
      </c>
      <c r="BQ30" s="28">
        <f>IF(BK30&lt;&gt;"",
    COUNTIFS(MATCH_INPUT!$F$22:$F$25, BK30, MATCH_INPUT!$K$22:$K$25, "&lt;&gt;"&amp;BK30, MATCH_INPUT!$K$22:$K$25, "&lt;&gt;Draw", MATCH_INPUT!$K$22:$K$25, "&lt;&gt;""") +
    COUNTIFS(MATCH_INPUT!$J$22:$J$25, BK30, MATCH_INPUT!$K$22:$K$25, "&lt;&gt;"&amp;BK30, MATCH_INPUT!$K$22:$K$25, "&lt;&gt;Draw", MATCH_INPUT!$K$22:$K$25, "&lt;&gt;"""),
0)</f>
        <v>1</v>
      </c>
      <c r="BR30" s="29" t="str">
        <f t="array" ref="BR30">IFERROR(
  INDEX(PLAYER_STAT!E$2:E64, 
    MATCH(1, 
      (PLAYER_STAT!A$2:A64 = MATCH_DATES!$A$7) * (PLAYER_STAT!D$2:D64 = $B30), 
    0)
  ), 
  ""
)
</f>
        <v/>
      </c>
      <c r="BS30" s="29" t="str">
        <f t="array" ref="BS30">IFERROR(
  INDEX(PLAYER_STAT!F$2:F64, 
    MATCH(1, 
      (PLAYER_STAT!A$2:A64 = MATCH_DATES!$A$7) * (PLAYER_STAT!D$2:D64 = $B30), 
    0)
  ), 
  ""
)
</f>
        <v/>
      </c>
      <c r="BT30" s="30" t="str">
        <f t="array" ref="BT30">IFERROR(
  INDEX(PLAYER_STAT!G$2:G64, 
    MATCH(1, 
      (PLAYER_STAT!A$2:A64 = MATCH_DATES!$A$7) * (PLAYER_STAT!D$2:D64 = $B30), 
    0)
  ), 
  ""
)
</f>
        <v/>
      </c>
      <c r="BU30" s="31">
        <f t="shared" si="30"/>
        <v>31</v>
      </c>
      <c r="BV30" s="32" t="str">
        <f t="shared" si="31"/>
        <v>↑</v>
      </c>
      <c r="BW30" s="21"/>
      <c r="BX30" s="33">
        <f t="shared" si="32"/>
        <v>18</v>
      </c>
      <c r="BY30" s="22">
        <f t="shared" si="33"/>
        <v>0</v>
      </c>
      <c r="BZ30" s="22">
        <f>SUM(CA30*2)+(CB30*1) + SUMIFS(MATCH_INPUT!$G$26:$G$29, MATCH_INPUT!$F$26:$F$29, BW30) + SUMIFS(MATCH_INPUT!$I$26:$I$29, MATCH_INPUT!$J$26:$J$29, BW30)
</f>
        <v>0</v>
      </c>
      <c r="CA30" s="22">
        <f>IF(BW30&lt;&gt;"",
    COUNTIFS(MATCH_INPUT!$K$26:$K$29,BW30),
0)</f>
        <v>0</v>
      </c>
      <c r="CB30" s="22">
        <f>IF(BW30&lt;&gt;"",
    COUNTIFS(MATCH_INPUT!$F$26:$F$29, BW30, MATCH_INPUT!$K$26:$K$29, "Draw") +
    COUNTIFS(MATCH_INPUT!$J$26:$J$29, BW30, MATCH_INPUT!$K$26:$K$29, "Draw"),
0)</f>
        <v>0</v>
      </c>
      <c r="CC30" s="22">
        <f>IF(BW30&lt;&gt;"",
    COUNTIFS(MATCH_INPUT!$F$26:$F$29, BW30, MATCH_INPUT!$K$26:$K$29, "&lt;&gt;"&amp;BW30, MATCH_INPUT!$K$26:$K$29, "&lt;&gt;Draw", MATCH_INPUT!$K$26:$K$29, "&lt;&gt;""") +
    COUNTIFS(MATCH_INPUT!$J$26:$J$29, BW30, MATCH_INPUT!$K$26:$K$29, "&lt;&gt;"&amp;BW30, MATCH_INPUT!$K$26:$K$29, "&lt;&gt;Draw", MATCH_INPUT!$K$26:$K$29, "&lt;&gt;"""),
0)</f>
        <v>0</v>
      </c>
      <c r="CD30" s="23" t="str">
        <f t="array" ref="CD30">IFERROR(
  INDEX(PLAYER_STAT!E$2:E64, 
    MATCH(1, 
      (PLAYER_STAT!A$2:A64 = MATCH_DATES!$A$8) * (PLAYER_STAT!D$2:D64 = $B30), 
    0)
  ), 
  ""
)
</f>
        <v/>
      </c>
      <c r="CE30" s="23" t="str">
        <f t="array" ref="CE30">IFERROR(
  INDEX(PLAYER_STAT!F$2:F64, 
    MATCH(1, 
      (PLAYER_STAT!A$2:A64 = MATCH_DATES!$A$8) * (PLAYER_STAT!D$2:D64 = $B30), 
    0)
  ), 
  ""
)
</f>
        <v/>
      </c>
      <c r="CF30" s="34" t="str">
        <f t="array" ref="CF30">IFERROR(
  INDEX(PLAYER_STAT!G$2:G64, 
    MATCH(1, 
      (PLAYER_STAT!A$2:A64 = MATCH_DATES!$A$8) * (PLAYER_STAT!D$2:D64 = $B30), 
    0)
  ), 
  ""
)
</f>
        <v/>
      </c>
      <c r="CG30" s="25">
        <f t="shared" si="34"/>
        <v>34</v>
      </c>
      <c r="CH30" s="26" t="str">
        <f t="shared" si="35"/>
        <v>↓</v>
      </c>
      <c r="CI30" s="27" t="s">
        <v>213</v>
      </c>
      <c r="CJ30" s="28">
        <f t="shared" si="36"/>
        <v>28</v>
      </c>
      <c r="CK30" s="28">
        <f t="shared" si="37"/>
        <v>2</v>
      </c>
      <c r="CL30" s="28">
        <f>SUM(CM30*2)+(CN30*1) + SUMIFS(MATCH_INPUT!$G$30:$G$33, MATCH_INPUT!$F$30:$F$33, CI30) + SUMIFS(MATCH_INPUT!$I$30:$I$33, MATCH_INPUT!$J$30:$J$33, CI30)
</f>
        <v>8</v>
      </c>
      <c r="CM30" s="28">
        <f>IF(CI30&lt;&gt;"",
    COUNTIFS(MATCH_INPUT!$K$30:$K$33,CI30),
0)</f>
        <v>1</v>
      </c>
      <c r="CN30" s="28">
        <f>IF(CI30&lt;&gt;"",
    COUNTIFS(MATCH_INPUT!$F$30:$F$33, CI30, MATCH_INPUT!$K$30:$K$33, "Draw") +
    COUNTIFS(MATCH_INPUT!$J$30:$J$33, CI30, MATCH_INPUT!$K$30:$K$33, "Draw"),
0)</f>
        <v>0</v>
      </c>
      <c r="CO30" s="28">
        <f>IF(CI30&lt;&gt;"",
    COUNTIFS(MATCH_INPUT!$F$30:$F$33, CI30, MATCH_INPUT!$K$30:$K$33, "&lt;&gt;"&amp;CI30, MATCH_INPUT!$K$30:$K$33, "&lt;&gt;Draw", MATCH_INPUT!$K$30:$K$33, "&lt;&gt;""") +
    COUNTIFS(MATCH_INPUT!$J$30:$J$33, CI30, MATCH_INPUT!$K$30:$K$33, "&lt;&gt;"&amp;CI30, MATCH_INPUT!$K$30:$K$33, "&lt;&gt;Draw", MATCH_INPUT!$K$30:$K$33, "&lt;&gt;"""),
0)</f>
        <v>1</v>
      </c>
      <c r="CP30" s="29" t="str">
        <f t="array" ref="CP30">IFERROR(
  INDEX(PLAYER_STAT!E$2:E64, 
    MATCH(1, 
      (PLAYER_STAT!A$2:A64 = MATCH_DATES!$A$9) * (PLAYER_STAT!D$2:D64 = $B30), 
    0)
  ), 
  ""
)
</f>
        <v/>
      </c>
      <c r="CQ30" s="29" t="str">
        <f t="array" ref="CQ30">IFERROR(
  INDEX(PLAYER_STAT!F$2:F64, 
    MATCH(1, 
      (PLAYER_STAT!A$2:A64 = MATCH_DATES!$A$9) * (PLAYER_STAT!D$2:D64 = $B30), 
    0)
  ), 
  ""
)
</f>
        <v/>
      </c>
      <c r="CR30" s="29" t="str">
        <f t="array" ref="CR30">IFERROR(
  INDEX(PLAYER_STAT!G$2:G64, 
    MATCH(1, 
      (PLAYER_STAT!A$2:A64 = MATCH_DATES!$A$9) * (PLAYER_STAT!D$2:D64 = $B30), 
    0)
  ), 
  ""
)
</f>
        <v/>
      </c>
      <c r="CS30" s="35">
        <f t="shared" si="38"/>
        <v>34</v>
      </c>
      <c r="CT30" s="35" t="str">
        <f t="shared" si="39"/>
        <v>=</v>
      </c>
      <c r="CU30" s="36">
        <f t="shared" si="40"/>
        <v>16</v>
      </c>
      <c r="CV30" s="36" t="str">
        <f t="shared" ref="CV30:CW30" si="121">A30</f>
        <v>🍂🎃</v>
      </c>
      <c r="CW30" s="37" t="str">
        <f t="shared" si="121"/>
        <v>Pirlo</v>
      </c>
      <c r="CX30" s="37">
        <f t="shared" si="42"/>
        <v>28</v>
      </c>
      <c r="CY30" s="36">
        <f>SUM(
  IF(AND(MATCH_DATES!$A$2 &lt;= TODAY(), NOW() &gt;= MATCH_DATES!$A$2 + TIME(22, 0, 0)), E30, 0),
  IF(AND(MATCH_DATES!$A$3 &lt;= TODAY(), NOW() &gt;= MATCH_DATES!$A$3 + TIME(22, 0, 0)), Q30, 0),
  IF(AND(MATCH_DATES!$A$4 &lt;= TODAY(), NOW() &gt;= MATCH_DATES!$A$4 + TIME(22, 0, 0)), AC30, 0),
  IF(AND(MATCH_DATES!$A$5 &lt;= TODAY(), NOW() &gt;= MATCH_DATES!$A$5 + TIME(22, 0, 0)), AO30, 0),
  IF(AND(MATCH_DATES!$A$6 &lt;= TODAY(), NOW() &gt;= MATCH_DATES!$A$6 + TIME(22, 0, 0)), BA30, 0),
  IF(AND(MATCH_DATES!$A$7 &lt;= TODAY(), NOW() &gt;= MATCH_DATES!$A$7 + TIME(22, 0, 0)), BM30, 0),
  IF(AND(MATCH_DATES!$A$8 &lt;= TODAY(), NOW() &gt;= MATCH_DATES!$A$8 + TIME(22, 0, 0)), BY30, 0),
  IF(AND(MATCH_DATES!$A$9 &lt;= TODAY(), NOW() &gt;= MATCH_DATES!$A$9 + TIME(22, 0, 0)), CK30, 0)
)
</f>
        <v>12</v>
      </c>
      <c r="CZ30" s="37">
        <f t="shared" ref="CZ30:DA30" si="122">SUM(G30,S30,AE30,AQ30,BC30,BO30,CA30,CM30)</f>
        <v>3</v>
      </c>
      <c r="DA30" s="37">
        <f t="shared" si="122"/>
        <v>2</v>
      </c>
      <c r="DB30" s="37">
        <f>SUM(
  IF(AND(MATCH_DATES!$A$2 &lt;= TODAY(), NOW() &gt;= MATCH_DATES!$A$2 + TIME(22, 0, 0)), I30, 0),
  IF(AND(MATCH_DATES!$A$3 &lt;= TODAY(), NOW() &gt;= MATCH_DATES!$A$3 + TIME(22, 0, 0)), U30, 0),
  IF(AND(MATCH_DATES!$A$4 &lt;= TODAY(), NOW() &gt;= MATCH_DATES!$A$4 + TIME(22, 0, 0)), AG30, 0),
  IF(AND(MATCH_DATES!$A$5 &lt;= TODAY(), NOW() &gt;= MATCH_DATES!$A$5 + TIME(22, 0, 0)), AS30, 0),
  IF(AND(MATCH_DATES!$A$6 &lt;= TODAY(), NOW() &gt;= MATCH_DATES!$A$6 + TIME(22, 0, 0)), BE30, 0),
  IF(AND(MATCH_DATES!$A$7 &lt;= TODAY(), NOW() &gt;= MATCH_DATES!$A$7 + TIME(22, 0, 0)), BQ30, 0),
  IF(AND(MATCH_DATES!$A$8 &lt;= TODAY(), NOW() &gt;= MATCH_DATES!$A$8 + TIME(22, 0, 0)), CC30, 0),
  IF(AND(MATCH_DATES!$A$9 &lt;= TODAY(), NOW() &gt;= MATCH_DATES!$A$9 + TIME(22, 0, 0)), CO30, 0)
)</f>
        <v>7</v>
      </c>
      <c r="DC30" s="37">
        <f t="shared" si="44"/>
        <v>0</v>
      </c>
      <c r="DD30" s="37">
        <f t="shared" ref="DD30:DE30" si="123">SUM(K30,W30,AI30,AU30,BG30,BS30,CE30,CQ30)</f>
        <v>0</v>
      </c>
      <c r="DE30" s="37">
        <f t="shared" si="123"/>
        <v>0</v>
      </c>
    </row>
    <row r="31" ht="24.75" customHeight="1">
      <c r="A31" s="19" t="s">
        <v>210</v>
      </c>
      <c r="B31" s="20" t="s">
        <v>236</v>
      </c>
      <c r="C31" s="21" t="s">
        <v>212</v>
      </c>
      <c r="D31" s="22">
        <f t="shared" si="4"/>
        <v>4</v>
      </c>
      <c r="E31" s="22">
        <f t="shared" si="5"/>
        <v>2</v>
      </c>
      <c r="F31" s="22">
        <f t="shared" si="6"/>
        <v>2</v>
      </c>
      <c r="G31" s="22">
        <f>IF(C31&lt;&gt;"",
    COUNTIFS(MATCH_INPUT!$K$2:$K$5,C31),
0)</f>
        <v>1</v>
      </c>
      <c r="H31" s="22">
        <f>IF(C31&lt;&gt;"",
    COUNTIFS(MATCH_INPUT!$F$2:$F$5, C31, MATCH_INPUT!$K$2:$K$5, "Draw") +
    COUNTIFS(MATCH_INPUT!$J$2:$J$5, C31, MATCH_INPUT!$K$2:$K$5, "Draw"),
0)</f>
        <v>0</v>
      </c>
      <c r="I31" s="22">
        <f>IF(C31&lt;&gt;"",
    COUNTIFS(MATCH_INPUT!$F$2:$F$5, C31, MATCH_INPUT!$K$2:$K$5, "&lt;&gt;"&amp;C31, MATCH_INPUT!$K$2:$K$5, "&lt;&gt;Draw", MATCH_INPUT!$K$2:$K$5, "&lt;&gt;""") +
    COUNTIFS(MATCH_INPUT!$J$2:$J$5, C31, MATCH_INPUT!$K$2:$K$5, "&lt;&gt;"&amp;C31, MATCH_INPUT!$K$2:$K$5, "&lt;&gt;Draw", MATCH_INPUT!$K$2:$K$5, "&lt;&gt;"""),
0)</f>
        <v>1</v>
      </c>
      <c r="J31" s="23" t="str">
        <f t="array" ref="J31">IFERROR(
  INDEX(PLAYER_STAT!E$2:E64, 
    MATCH(1, 
      (PLAYER_STAT!A$2:A64 = MATCH_DATES!$A$2) * (PLAYER_STAT!D$2:D64 = $B31), 
    0)
  ), 
  ""
)
</f>
        <v/>
      </c>
      <c r="K31" s="23" t="str">
        <f t="array" ref="K31">IFERROR(
  INDEX(PLAYER_STAT!F$2:F64, 
    MATCH(1, 
      (PLAYER_STAT!A$2:A64 = MATCH_DATES!$A$2) * (PLAYER_STAT!D$2:D64 = $B31), 
    0)
  ), 
  ""
)
</f>
        <v/>
      </c>
      <c r="L31" s="24" t="str">
        <f t="array" ref="L31">IFERROR(
  INDEX(PLAYER_STAT!G$2:G64, 
    MATCH(1, 
      (PLAYER_STAT!A$2:A64 = MATCH_DATES!$A$2) * (PLAYER_STAT!D$2:D64 = $B31), 
    0)
  ), 
  ""
)
</f>
        <v/>
      </c>
      <c r="M31" s="25">
        <f t="shared" si="7"/>
        <v>11</v>
      </c>
      <c r="N31" s="26" t="str">
        <f t="shared" si="8"/>
        <v>↓</v>
      </c>
      <c r="O31" s="27" t="s">
        <v>215</v>
      </c>
      <c r="P31" s="28">
        <f t="shared" si="9"/>
        <v>8</v>
      </c>
      <c r="Q31" s="28">
        <f t="shared" si="10"/>
        <v>2</v>
      </c>
      <c r="R31" s="28">
        <f t="shared" si="11"/>
        <v>2</v>
      </c>
      <c r="S31" s="28">
        <f>IF(O31&lt;&gt;"",
    COUNTIFS(MATCH_INPUT!$K$6:$K$9,O31),
0)</f>
        <v>1</v>
      </c>
      <c r="T31" s="28">
        <f>IF(O31&lt;&gt;"",
    COUNTIFS(MATCH_INPUT!$F$6:$F$9, O31, MATCH_INPUT!$K$6:$K$9, "Draw") +
    COUNTIFS(MATCH_INPUT!$J$6:$J$9, O31, MATCH_INPUT!$K$6:$K$9, "Draw"),
0)</f>
        <v>0</v>
      </c>
      <c r="U31" s="28">
        <f>IF(O31&lt;&gt;"",
    COUNTIFS(MATCH_INPUT!$F$6:$F$9, O31, MATCH_INPUT!$K$6:$K$9, "&lt;&gt;"&amp;O31, MATCH_INPUT!$K$6:$K$9, "&lt;&gt;Draw", MATCH_INPUT!$K$6:$K$9, "&lt;&gt;""") +
    COUNTIFS(MATCH_INPUT!$J$6:$J$9, O31, MATCH_INPUT!$K$6:$K$9, "&lt;&gt;"&amp;O31, MATCH_INPUT!$K$6:$K$9, "&lt;&gt;Draw", MATCH_INPUT!$K$6:$K$9, "&lt;&gt;"""),
0)</f>
        <v>1</v>
      </c>
      <c r="V31" s="29" t="str">
        <f t="array" ref="V31">IFERROR(
  INDEX(PLAYER_STAT!E$2:E64, 
    MATCH(1, 
      (PLAYER_STAT!A$2:A64 = MATCH_DATES!$A$3) * (PLAYER_STAT!D$2:D64 = $B31), 
    0)
  ), 
  ""
)
</f>
        <v/>
      </c>
      <c r="W31" s="29" t="str">
        <f t="array" ref="W31">IFERROR(
  INDEX(PLAYER_STAT!F$2:F64, 
    MATCH(1, 
      (PLAYER_STAT!A$2:A64 = MATCH_DATES!$A$3) * (PLAYER_STAT!D$2:D64 = $B31), 
    0)
  ), 
  ""
)
</f>
        <v/>
      </c>
      <c r="X31" s="30" t="str">
        <f t="array" ref="X31">IFERROR(
  INDEX(PLAYER_STAT!G$2:G64, 
    MATCH(1, 
      (PLAYER_STAT!A$2:A64 = MATCH_DATES!$A$3) * (PLAYER_STAT!D$2:D64 = $B31), 
    0)
  ), 
  ""
)
</f>
        <v/>
      </c>
      <c r="Y31" s="31">
        <f t="shared" si="12"/>
        <v>13</v>
      </c>
      <c r="Z31" s="32" t="str">
        <f t="shared" si="13"/>
        <v>↓</v>
      </c>
      <c r="AA31" s="21" t="s">
        <v>212</v>
      </c>
      <c r="AB31" s="33">
        <f t="shared" si="14"/>
        <v>14</v>
      </c>
      <c r="AC31" s="22">
        <f t="shared" si="15"/>
        <v>2</v>
      </c>
      <c r="AD31" s="22">
        <f t="shared" si="16"/>
        <v>4</v>
      </c>
      <c r="AE31" s="22">
        <f>IF(AA31&lt;&gt;"",
    COUNTIFS(MATCH_INPUT!$K$10:$K$13,AA31),
0)</f>
        <v>2</v>
      </c>
      <c r="AF31" s="22">
        <f>IF(AA31&lt;&gt;"",
    COUNTIFS(MATCH_INPUT!$F$10:$F$13, AA31, MATCH_INPUT!$K$10:$K$13, "Draw") +
    COUNTIFS(MATCH_INPUT!$J$10:$J$13, AA31, MATCH_INPUT!$K$10:$K$13, "Draw"),
0)</f>
        <v>0</v>
      </c>
      <c r="AG31" s="22">
        <f>IF(AA31&lt;&gt;"",
    COUNTIFS(MATCH_INPUT!$F$10:$F$13, AA31, MATCH_INPUT!$K$10:$K$13, "&lt;&gt;"&amp;AA31, MATCH_INPUT!$K$10:$K$13, "&lt;&gt;Draw", MATCH_INPUT!$K$10:$K$13, "&lt;&gt;""") +
    COUNTIFS(MATCH_INPUT!$J$10:$J$13, AA31, MATCH_INPUT!$K$10:$K$13, "&lt;&gt;"&amp;AA31, MATCH_INPUT!$K$10:$K$13, "&lt;&gt;Draw", MATCH_INPUT!$K$10:$K$13, "&lt;&gt;"""),
0)</f>
        <v>0</v>
      </c>
      <c r="AH31" s="23" t="str">
        <f t="array" ref="AH31">IFERROR(
  INDEX(PLAYER_STAT!E$2:E64, 
    MATCH(1, 
      (PLAYER_STAT!A$2:A64 = MATCH_DATES!$A$4) * (PLAYER_STAT!D$2:D64 = $B31), 
    0)
  ), 
  ""
)
</f>
        <v/>
      </c>
      <c r="AI31" s="23" t="str">
        <f t="array" ref="AI31">IFERROR(
  INDEX(PLAYER_STAT!F$2:F64, 
    MATCH(1, 
      (PLAYER_STAT!A$2:A64 = MATCH_DATES!$A$4) * (PLAYER_STAT!D$2:D64 = $B31), 
    0)
  ), 
  ""
)
</f>
        <v/>
      </c>
      <c r="AJ31" s="34" t="str">
        <f t="array" ref="AJ31">IFERROR(
  INDEX(PLAYER_STAT!G$2:G64, 
    MATCH(1, 
      (PLAYER_STAT!A$2:A64 = MATCH_DATES!$A$4) * (PLAYER_STAT!D$2:D64 = $B31), 
    0)
  ), 
  ""
)
</f>
        <v/>
      </c>
      <c r="AK31" s="25">
        <f t="shared" si="17"/>
        <v>6</v>
      </c>
      <c r="AL31" s="26" t="str">
        <f t="shared" si="18"/>
        <v>↑</v>
      </c>
      <c r="AM31" s="27" t="s">
        <v>215</v>
      </c>
      <c r="AN31" s="28">
        <f t="shared" si="19"/>
        <v>18</v>
      </c>
      <c r="AO31" s="28">
        <f t="shared" si="20"/>
        <v>2</v>
      </c>
      <c r="AP31" s="28">
        <f t="shared" si="21"/>
        <v>2</v>
      </c>
      <c r="AQ31" s="28">
        <f>IF(AM31&lt;&gt;"",
    COUNTIFS(MATCH_INPUT!$K$14:$K$17,AM31),
0)</f>
        <v>1</v>
      </c>
      <c r="AR31" s="28">
        <f>IF(AM31&lt;&gt;"",
    COUNTIFS(MATCH_INPUT!$F$14:$F$17, AM31, MATCH_INPUT!$K$14:$K$17, "Draw") +
    COUNTIFS(MATCH_INPUT!$J$14:$J$17, AM31, MATCH_INPUT!$K$14:$K$17, "Draw"),
0)</f>
        <v>0</v>
      </c>
      <c r="AS31" s="28">
        <f>IF(AM31&lt;&gt;"",
    COUNTIFS(MATCH_INPUT!$F$14:$F$17, AM31, MATCH_INPUT!$K$14:$K$17, "&lt;&gt;"&amp;AM31, MATCH_INPUT!$K$14:$K$17, "&lt;&gt;Draw", MATCH_INPUT!$K$14:$K$17, "&lt;&gt;""") +
    COUNTIFS(MATCH_INPUT!$J$14:$J$17, AM31, MATCH_INPUT!$K$14:$K$17, "&lt;&gt;"&amp;AM31, MATCH_INPUT!$K$14:$K$17, "&lt;&gt;Draw", MATCH_INPUT!$K$14:$K$17, "&lt;&gt;"""),
0)</f>
        <v>1</v>
      </c>
      <c r="AT31" s="29" t="str">
        <f t="array" ref="AT31">IFERROR(
  INDEX(PLAYER_STAT!E$2:E64, 
    MATCH(1, 
      (PLAYER_STAT!A$2:A64 = MATCH_DATES!$A$5) * (PLAYER_STAT!D$2:D64 = $B31), 
    0)
  ), 
  ""
)
</f>
        <v/>
      </c>
      <c r="AU31" s="29" t="str">
        <f t="array" ref="AU31">IFERROR(
  INDEX(PLAYER_STAT!F$2:F64, 
    MATCH(1, 
      (PLAYER_STAT!A$2:A64 = MATCH_DATES!$A$5) * (PLAYER_STAT!D$2:D64 = $B31), 
    0)
  ), 
  ""
)
</f>
        <v/>
      </c>
      <c r="AV31" s="30" t="str">
        <f t="array" ref="AV31">IFERROR(
  INDEX(PLAYER_STAT!G$2:G64, 
    MATCH(1, 
      (PLAYER_STAT!A$2:A64 = MATCH_DATES!$A$5) * (PLAYER_STAT!D$2:D64 = $B31), 
    0)
  ), 
  ""
)
</f>
        <v/>
      </c>
      <c r="AW31" s="31">
        <f t="shared" si="22"/>
        <v>8</v>
      </c>
      <c r="AX31" s="32" t="str">
        <f t="shared" si="23"/>
        <v>↓</v>
      </c>
      <c r="AY31" s="21" t="s">
        <v>212</v>
      </c>
      <c r="AZ31" s="33">
        <f t="shared" si="24"/>
        <v>31</v>
      </c>
      <c r="BA31" s="22">
        <f t="shared" si="25"/>
        <v>2</v>
      </c>
      <c r="BB31" s="22">
        <f>SUM(BC31*2) + (BD31*1) + SUMIFS(MATCH_INPUT!$G$18:$G$21, MATCH_INPUT!$F$18:$F$21, AY31) + SUMIFS(MATCH_INPUT!$I$18:$I$21, MATCH_INPUT!$J$18:$J$21, AY31)
</f>
        <v>11</v>
      </c>
      <c r="BC31" s="22">
        <f>IF(AY31&lt;&gt;"",
    COUNTIFS(MATCH_INPUT!$K$18:$K$21,AY31),
0)</f>
        <v>2</v>
      </c>
      <c r="BD31" s="22">
        <f>IF(AY31&lt;&gt;"",
    COUNTIFS(MATCH_INPUT!$F$18:$F$21, AY31, MATCH_INPUT!$K$18:$K$21, "Draw") +
    COUNTIFS(MATCH_INPUT!$J$18:$J$21, AY31, MATCH_INPUT!$K$18:$K$21, "Draw"),
0)</f>
        <v>0</v>
      </c>
      <c r="BE31" s="22">
        <f>IF(AY31&lt;&gt;"",
    COUNTIFS(MATCH_INPUT!$F$18:$F$21, AY31, MATCH_INPUT!$K$18:$K$21, "&lt;&gt;"&amp;AY31, MATCH_INPUT!$K$18:$K$21, "&lt;&gt;Draw", MATCH_INPUT!$K$18:$K$21, "&lt;&gt;""") +
    COUNTIFS(MATCH_INPUT!$J$18:$J$21, AY31, MATCH_INPUT!$K$18:$K$21, "&lt;&gt;"&amp;AY31, MATCH_INPUT!$K$18:$K$21, "&lt;&gt;Draw", MATCH_INPUT!$K$18:$K$21, "&lt;&gt;"""),
0)</f>
        <v>0</v>
      </c>
      <c r="BF31" s="23" t="str">
        <f t="array" ref="BF31">IFERROR(
  INDEX(PLAYER_STAT!E$2:E64, 
    MATCH(1, 
      (PLAYER_STAT!A$2:A64 = MATCH_DATES!$A$6) * (PLAYER_STAT!D$2:D64 = $B31), 
    0)
  ), 
  ""
)
</f>
        <v/>
      </c>
      <c r="BG31" s="23" t="str">
        <f t="array" ref="BG31">IFERROR(
  INDEX(PLAYER_STAT!F$2:F64, 
    MATCH(1, 
      (PLAYER_STAT!A$2:A64 = MATCH_DATES!$A$6) * (PLAYER_STAT!D$2:D64 = $B31), 
    0)
  ), 
  ""
)
</f>
        <v/>
      </c>
      <c r="BH31" s="34" t="str">
        <f t="array" ref="BH31">IFERROR(
  INDEX(PLAYER_STAT!G$2:G64, 
    MATCH(1, 
      (PLAYER_STAT!A$2:A64 = MATCH_DATES!$A$6) * (PLAYER_STAT!D$2:D64 = $B31), 
    0)
  ), 
  ""
)
</f>
        <v/>
      </c>
      <c r="BI31" s="25">
        <f t="shared" si="26"/>
        <v>3</v>
      </c>
      <c r="BJ31" s="26" t="str">
        <f t="shared" si="27"/>
        <v>↑</v>
      </c>
      <c r="BK31" s="27" t="s">
        <v>213</v>
      </c>
      <c r="BL31" s="28">
        <f t="shared" si="28"/>
        <v>35</v>
      </c>
      <c r="BM31" s="28">
        <f t="shared" si="29"/>
        <v>2</v>
      </c>
      <c r="BN31" s="28">
        <f>SUM(BO31*2) + (BP31*1) + SUMIFS(MATCH_INPUT!$G$22:$G$25, MATCH_INPUT!$F$22:$F$25, BK31) + SUMIFS(MATCH_INPUT!$I$22:$I$25, MATCH_INPUT!$J$22:$J$25, BK31)
</f>
        <v>2</v>
      </c>
      <c r="BO31" s="28">
        <f>IF(BK31&lt;&gt;"",
    COUNTIFS(MATCH_INPUT!$K$22:$K$25,BK31),
0)</f>
        <v>0</v>
      </c>
      <c r="BP31" s="28">
        <f>IF(BK31&lt;&gt;"",
    COUNTIFS(MATCH_INPUT!$F$22:$F$25, BK31, MATCH_INPUT!$K$22:$K$25, "Draw") +
    COUNTIFS(MATCH_INPUT!$J$22:$J$25, BK31, MATCH_INPUT!$K$22:$K$25, "Draw"),
0)</f>
        <v>1</v>
      </c>
      <c r="BQ31" s="28">
        <f>IF(BK31&lt;&gt;"",
    COUNTIFS(MATCH_INPUT!$F$22:$F$25, BK31, MATCH_INPUT!$K$22:$K$25, "&lt;&gt;"&amp;BK31, MATCH_INPUT!$K$22:$K$25, "&lt;&gt;Draw", MATCH_INPUT!$K$22:$K$25, "&lt;&gt;""") +
    COUNTIFS(MATCH_INPUT!$J$22:$J$25, BK31, MATCH_INPUT!$K$22:$K$25, "&lt;&gt;"&amp;BK31, MATCH_INPUT!$K$22:$K$25, "&lt;&gt;Draw", MATCH_INPUT!$K$22:$K$25, "&lt;&gt;"""),
0)</f>
        <v>1</v>
      </c>
      <c r="BR31" s="29" t="str">
        <f t="array" ref="BR31">IFERROR(
  INDEX(PLAYER_STAT!E$2:E64, 
    MATCH(1, 
      (PLAYER_STAT!A$2:A64 = MATCH_DATES!$A$7) * (PLAYER_STAT!D$2:D64 = $B31), 
    0)
  ), 
  ""
)
</f>
        <v/>
      </c>
      <c r="BS31" s="29" t="str">
        <f t="array" ref="BS31">IFERROR(
  INDEX(PLAYER_STAT!F$2:F64, 
    MATCH(1, 
      (PLAYER_STAT!A$2:A64 = MATCH_DATES!$A$7) * (PLAYER_STAT!D$2:D64 = $B31), 
    0)
  ), 
  ""
)
</f>
        <v/>
      </c>
      <c r="BT31" s="30" t="str">
        <f t="array" ref="BT31">IFERROR(
  INDEX(PLAYER_STAT!G$2:G64, 
    MATCH(1, 
      (PLAYER_STAT!A$2:A64 = MATCH_DATES!$A$7) * (PLAYER_STAT!D$2:D64 = $B31), 
    0)
  ), 
  ""
)
</f>
        <v/>
      </c>
      <c r="BU31" s="31">
        <f t="shared" si="30"/>
        <v>8</v>
      </c>
      <c r="BV31" s="32" t="str">
        <f t="shared" si="31"/>
        <v>↓</v>
      </c>
      <c r="BW31" s="21" t="s">
        <v>213</v>
      </c>
      <c r="BX31" s="33">
        <f t="shared" si="32"/>
        <v>51</v>
      </c>
      <c r="BY31" s="22">
        <f t="shared" si="33"/>
        <v>2</v>
      </c>
      <c r="BZ31" s="22">
        <f>SUM(CA31*2)+(CB31*1) + SUMIFS(MATCH_INPUT!$G$26:$G$29, MATCH_INPUT!$F$26:$F$29, BW31) + SUMIFS(MATCH_INPUT!$I$26:$I$29, MATCH_INPUT!$J$26:$J$29, BW31)
</f>
        <v>14</v>
      </c>
      <c r="CA31" s="22">
        <f>IF(BW31&lt;&gt;"",
    COUNTIFS(MATCH_INPUT!$K$26:$K$29,BW31),
0)</f>
        <v>2</v>
      </c>
      <c r="CB31" s="22">
        <f>IF(BW31&lt;&gt;"",
    COUNTIFS(MATCH_INPUT!$F$26:$F$29, BW31, MATCH_INPUT!$K$26:$K$29, "Draw") +
    COUNTIFS(MATCH_INPUT!$J$26:$J$29, BW31, MATCH_INPUT!$K$26:$K$29, "Draw"),
0)</f>
        <v>0</v>
      </c>
      <c r="CC31" s="22">
        <f>IF(BW31&lt;&gt;"",
    COUNTIFS(MATCH_INPUT!$F$26:$F$29, BW31, MATCH_INPUT!$K$26:$K$29, "&lt;&gt;"&amp;BW31, MATCH_INPUT!$K$26:$K$29, "&lt;&gt;Draw", MATCH_INPUT!$K$26:$K$29, "&lt;&gt;""") +
    COUNTIFS(MATCH_INPUT!$J$26:$J$29, BW31, MATCH_INPUT!$K$26:$K$29, "&lt;&gt;"&amp;BW31, MATCH_INPUT!$K$26:$K$29, "&lt;&gt;Draw", MATCH_INPUT!$K$26:$K$29, "&lt;&gt;"""),
0)</f>
        <v>0</v>
      </c>
      <c r="CD31" s="23" t="str">
        <f t="array" ref="CD31">IFERROR(
  INDEX(PLAYER_STAT!E$2:E64, 
    MATCH(1, 
      (PLAYER_STAT!A$2:A64 = MATCH_DATES!$A$8) * (PLAYER_STAT!D$2:D64 = $B31), 
    0)
  ), 
  ""
)
</f>
        <v/>
      </c>
      <c r="CE31" s="23" t="str">
        <f t="array" ref="CE31">IFERROR(
  INDEX(PLAYER_STAT!F$2:F64, 
    MATCH(1, 
      (PLAYER_STAT!A$2:A64 = MATCH_DATES!$A$8) * (PLAYER_STAT!D$2:D64 = $B31), 
    0)
  ), 
  ""
)
</f>
        <v/>
      </c>
      <c r="CF31" s="34" t="str">
        <f t="array" ref="CF31">IFERROR(
  INDEX(PLAYER_STAT!G$2:G64, 
    MATCH(1, 
      (PLAYER_STAT!A$2:A64 = MATCH_DATES!$A$8) * (PLAYER_STAT!D$2:D64 = $B31), 
    0)
  ), 
  ""
)
</f>
        <v/>
      </c>
      <c r="CG31" s="25">
        <f t="shared" si="34"/>
        <v>3</v>
      </c>
      <c r="CH31" s="26" t="str">
        <f t="shared" si="35"/>
        <v>↑</v>
      </c>
      <c r="CI31" s="27"/>
      <c r="CJ31" s="28">
        <f t="shared" si="36"/>
        <v>51</v>
      </c>
      <c r="CK31" s="28">
        <f t="shared" si="37"/>
        <v>0</v>
      </c>
      <c r="CL31" s="28">
        <f>SUM(CM31*2)+(CN31*1) + SUMIFS(MATCH_INPUT!$G$30:$G$33, MATCH_INPUT!$F$30:$F$33, CI31) + SUMIFS(MATCH_INPUT!$I$30:$I$33, MATCH_INPUT!$J$30:$J$33, CI31)
</f>
        <v>0</v>
      </c>
      <c r="CM31" s="28">
        <f>IF(CI31&lt;&gt;"",
    COUNTIFS(MATCH_INPUT!$K$30:$K$33,CI31),
0)</f>
        <v>0</v>
      </c>
      <c r="CN31" s="28">
        <f>IF(CI31&lt;&gt;"",
    COUNTIFS(MATCH_INPUT!$F$30:$F$33, CI31, MATCH_INPUT!$K$30:$K$33, "Draw") +
    COUNTIFS(MATCH_INPUT!$J$30:$J$33, CI31, MATCH_INPUT!$K$30:$K$33, "Draw"),
0)</f>
        <v>0</v>
      </c>
      <c r="CO31" s="28">
        <f>IF(CI31&lt;&gt;"",
    COUNTIFS(MATCH_INPUT!$F$30:$F$33, CI31, MATCH_INPUT!$K$30:$K$33, "&lt;&gt;"&amp;CI31, MATCH_INPUT!$K$30:$K$33, "&lt;&gt;Draw", MATCH_INPUT!$K$30:$K$33, "&lt;&gt;""") +
    COUNTIFS(MATCH_INPUT!$J$30:$J$33, CI31, MATCH_INPUT!$K$30:$K$33, "&lt;&gt;"&amp;CI31, MATCH_INPUT!$K$30:$K$33, "&lt;&gt;Draw", MATCH_INPUT!$K$30:$K$33, "&lt;&gt;"""),
0)</f>
        <v>0</v>
      </c>
      <c r="CP31" s="29" t="str">
        <f t="array" ref="CP31">IFERROR(
  INDEX(PLAYER_STAT!E$2:E64, 
    MATCH(1, 
      (PLAYER_STAT!A$2:A64 = MATCH_DATES!$A$9) * (PLAYER_STAT!D$2:D64 = $B31), 
    0)
  ), 
  ""
)
</f>
        <v/>
      </c>
      <c r="CQ31" s="29" t="str">
        <f t="array" ref="CQ31">IFERROR(
  INDEX(PLAYER_STAT!F$2:F64, 
    MATCH(1, 
      (PLAYER_STAT!A$2:A64 = MATCH_DATES!$A$9) * (PLAYER_STAT!D$2:D64 = $B31), 
    0)
  ), 
  ""
)
</f>
        <v/>
      </c>
      <c r="CR31" s="29" t="str">
        <f t="array" ref="CR31">IFERROR(
  INDEX(PLAYER_STAT!G$2:G64, 
    MATCH(1, 
      (PLAYER_STAT!A$2:A64 = MATCH_DATES!$A$9) * (PLAYER_STAT!D$2:D64 = $B31), 
    0)
  ), 
  ""
)
</f>
        <v/>
      </c>
      <c r="CS31" s="35">
        <f t="shared" si="38"/>
        <v>12</v>
      </c>
      <c r="CT31" s="35" t="str">
        <f t="shared" si="39"/>
        <v>↓</v>
      </c>
      <c r="CU31" s="36">
        <f t="shared" si="40"/>
        <v>37</v>
      </c>
      <c r="CV31" s="36" t="str">
        <f t="shared" ref="CV31:CW31" si="124">A31</f>
        <v>🍂🎃</v>
      </c>
      <c r="CW31" s="37" t="str">
        <f t="shared" si="124"/>
        <v>Osmin</v>
      </c>
      <c r="CX31" s="37">
        <f t="shared" si="42"/>
        <v>51</v>
      </c>
      <c r="CY31" s="36">
        <f>SUM(
  IF(AND(MATCH_DATES!$A$2 &lt;= TODAY(), NOW() &gt;= MATCH_DATES!$A$2 + TIME(22, 0, 0)), E31, 0),
  IF(AND(MATCH_DATES!$A$3 &lt;= TODAY(), NOW() &gt;= MATCH_DATES!$A$3 + TIME(22, 0, 0)), Q31, 0),
  IF(AND(MATCH_DATES!$A$4 &lt;= TODAY(), NOW() &gt;= MATCH_DATES!$A$4 + TIME(22, 0, 0)), AC31, 0),
  IF(AND(MATCH_DATES!$A$5 &lt;= TODAY(), NOW() &gt;= MATCH_DATES!$A$5 + TIME(22, 0, 0)), AO31, 0),
  IF(AND(MATCH_DATES!$A$6 &lt;= TODAY(), NOW() &gt;= MATCH_DATES!$A$6 + TIME(22, 0, 0)), BA31, 0),
  IF(AND(MATCH_DATES!$A$7 &lt;= TODAY(), NOW() &gt;= MATCH_DATES!$A$7 + TIME(22, 0, 0)), BM31, 0),
  IF(AND(MATCH_DATES!$A$8 &lt;= TODAY(), NOW() &gt;= MATCH_DATES!$A$8 + TIME(22, 0, 0)), BY31, 0),
  IF(AND(MATCH_DATES!$A$9 &lt;= TODAY(), NOW() &gt;= MATCH_DATES!$A$9 + TIME(22, 0, 0)), CK31, 0)
)
</f>
        <v>14</v>
      </c>
      <c r="CZ31" s="37">
        <f t="shared" ref="CZ31:DA31" si="125">SUM(G31,S31,AE31,AQ31,BC31,BO31,CA31,CM31)</f>
        <v>9</v>
      </c>
      <c r="DA31" s="37">
        <f t="shared" si="125"/>
        <v>1</v>
      </c>
      <c r="DB31" s="37">
        <f>SUM(
  IF(AND(MATCH_DATES!$A$2 &lt;= TODAY(), NOW() &gt;= MATCH_DATES!$A$2 + TIME(22, 0, 0)), I31, 0),
  IF(AND(MATCH_DATES!$A$3 &lt;= TODAY(), NOW() &gt;= MATCH_DATES!$A$3 + TIME(22, 0, 0)), U31, 0),
  IF(AND(MATCH_DATES!$A$4 &lt;= TODAY(), NOW() &gt;= MATCH_DATES!$A$4 + TIME(22, 0, 0)), AG31, 0),
  IF(AND(MATCH_DATES!$A$5 &lt;= TODAY(), NOW() &gt;= MATCH_DATES!$A$5 + TIME(22, 0, 0)), AS31, 0),
  IF(AND(MATCH_DATES!$A$6 &lt;= TODAY(), NOW() &gt;= MATCH_DATES!$A$6 + TIME(22, 0, 0)), BE31, 0),
  IF(AND(MATCH_DATES!$A$7 &lt;= TODAY(), NOW() &gt;= MATCH_DATES!$A$7 + TIME(22, 0, 0)), BQ31, 0),
  IF(AND(MATCH_DATES!$A$8 &lt;= TODAY(), NOW() &gt;= MATCH_DATES!$A$8 + TIME(22, 0, 0)), CC31, 0),
  IF(AND(MATCH_DATES!$A$9 &lt;= TODAY(), NOW() &gt;= MATCH_DATES!$A$9 + TIME(22, 0, 0)), CO31, 0)
)</f>
        <v>4</v>
      </c>
      <c r="DC31" s="37">
        <f t="shared" si="44"/>
        <v>0</v>
      </c>
      <c r="DD31" s="37">
        <f t="shared" ref="DD31:DE31" si="126">SUM(K31,W31,AI31,AU31,BG31,BS31,CE31,CQ31)</f>
        <v>0</v>
      </c>
      <c r="DE31" s="37">
        <f t="shared" si="126"/>
        <v>0</v>
      </c>
    </row>
    <row r="32" ht="24.75" customHeight="1">
      <c r="A32" s="19" t="s">
        <v>210</v>
      </c>
      <c r="B32" s="20" t="s">
        <v>237</v>
      </c>
      <c r="C32" s="21" t="s">
        <v>212</v>
      </c>
      <c r="D32" s="22">
        <f t="shared" si="4"/>
        <v>4</v>
      </c>
      <c r="E32" s="22">
        <f t="shared" si="5"/>
        <v>2</v>
      </c>
      <c r="F32" s="22">
        <f t="shared" si="6"/>
        <v>2</v>
      </c>
      <c r="G32" s="22">
        <f>IF(C32&lt;&gt;"",
    COUNTIFS(MATCH_INPUT!$K$2:$K$5,C32),
0)</f>
        <v>1</v>
      </c>
      <c r="H32" s="22">
        <f>IF(C32&lt;&gt;"",
    COUNTIFS(MATCH_INPUT!$F$2:$F$5, C32, MATCH_INPUT!$K$2:$K$5, "Draw") +
    COUNTIFS(MATCH_INPUT!$J$2:$J$5, C32, MATCH_INPUT!$K$2:$K$5, "Draw"),
0)</f>
        <v>0</v>
      </c>
      <c r="I32" s="22">
        <f>IF(C32&lt;&gt;"",
    COUNTIFS(MATCH_INPUT!$F$2:$F$5, C32, MATCH_INPUT!$K$2:$K$5, "&lt;&gt;"&amp;C32, MATCH_INPUT!$K$2:$K$5, "&lt;&gt;Draw", MATCH_INPUT!$K$2:$K$5, "&lt;&gt;""") +
    COUNTIFS(MATCH_INPUT!$J$2:$J$5, C32, MATCH_INPUT!$K$2:$K$5, "&lt;&gt;"&amp;C32, MATCH_INPUT!$K$2:$K$5, "&lt;&gt;Draw", MATCH_INPUT!$K$2:$K$5, "&lt;&gt;"""),
0)</f>
        <v>1</v>
      </c>
      <c r="J32" s="23" t="str">
        <f t="array" ref="J32">IFERROR(
  INDEX(PLAYER_STAT!E$2:E64, 
    MATCH(1, 
      (PLAYER_STAT!A$2:A64 = MATCH_DATES!$A$2) * (PLAYER_STAT!D$2:D64 = $B32), 
    0)
  ), 
  ""
)
</f>
        <v/>
      </c>
      <c r="K32" s="23" t="str">
        <f t="array" ref="K32">IFERROR(
  INDEX(PLAYER_STAT!F$2:F64, 
    MATCH(1, 
      (PLAYER_STAT!A$2:A64 = MATCH_DATES!$A$2) * (PLAYER_STAT!D$2:D64 = $B32), 
    0)
  ), 
  ""
)
</f>
        <v/>
      </c>
      <c r="L32" s="24" t="str">
        <f t="array" ref="L32">IFERROR(
  INDEX(PLAYER_STAT!G$2:G64, 
    MATCH(1, 
      (PLAYER_STAT!A$2:A64 = MATCH_DATES!$A$2) * (PLAYER_STAT!D$2:D64 = $B32), 
    0)
  ), 
  ""
)
</f>
        <v/>
      </c>
      <c r="M32" s="25">
        <f t="shared" si="7"/>
        <v>11</v>
      </c>
      <c r="N32" s="26" t="str">
        <f t="shared" si="8"/>
        <v>↓</v>
      </c>
      <c r="O32" s="27" t="s">
        <v>215</v>
      </c>
      <c r="P32" s="28">
        <f t="shared" si="9"/>
        <v>9</v>
      </c>
      <c r="Q32" s="28">
        <f t="shared" si="10"/>
        <v>2</v>
      </c>
      <c r="R32" s="28">
        <f t="shared" si="11"/>
        <v>2</v>
      </c>
      <c r="S32" s="28">
        <f>IF(O32&lt;&gt;"",
    COUNTIFS(MATCH_INPUT!$K$6:$K$9,O32),
0)</f>
        <v>1</v>
      </c>
      <c r="T32" s="28">
        <f>IF(O32&lt;&gt;"",
    COUNTIFS(MATCH_INPUT!$F$6:$F$9, O32, MATCH_INPUT!$K$6:$K$9, "Draw") +
    COUNTIFS(MATCH_INPUT!$J$6:$J$9, O32, MATCH_INPUT!$K$6:$K$9, "Draw"),
0)</f>
        <v>0</v>
      </c>
      <c r="U32" s="28">
        <f>IF(O32&lt;&gt;"",
    COUNTIFS(MATCH_INPUT!$F$6:$F$9, O32, MATCH_INPUT!$K$6:$K$9, "&lt;&gt;"&amp;O32, MATCH_INPUT!$K$6:$K$9, "&lt;&gt;Draw", MATCH_INPUT!$K$6:$K$9, "&lt;&gt;""") +
    COUNTIFS(MATCH_INPUT!$J$6:$J$9, O32, MATCH_INPUT!$K$6:$K$9, "&lt;&gt;"&amp;O32, MATCH_INPUT!$K$6:$K$9, "&lt;&gt;Draw", MATCH_INPUT!$K$6:$K$9, "&lt;&gt;"""),
0)</f>
        <v>1</v>
      </c>
      <c r="V32" s="29">
        <f t="array" ref="V32">IFERROR(
  INDEX(PLAYER_STAT!E$2:E64, 
    MATCH(1, 
      (PLAYER_STAT!A$2:A64 = MATCH_DATES!$A$3) * (PLAYER_STAT!D$2:D64 = $B32), 
    0)
  ), 
  ""
)
</f>
        <v>0</v>
      </c>
      <c r="W32" s="29">
        <f t="array" ref="W32">IFERROR(
  INDEX(PLAYER_STAT!F$2:F64, 
    MATCH(1, 
      (PLAYER_STAT!A$2:A64 = MATCH_DATES!$A$3) * (PLAYER_STAT!D$2:D64 = $B32), 
    0)
  ), 
  ""
)
</f>
        <v>1</v>
      </c>
      <c r="X32" s="30">
        <f t="array" ref="X32">IFERROR(
  INDEX(PLAYER_STAT!G$2:G64, 
    MATCH(1, 
      (PLAYER_STAT!A$2:A64 = MATCH_DATES!$A$3) * (PLAYER_STAT!D$2:D64 = $B32), 
    0)
  ), 
  ""
)
</f>
        <v>1</v>
      </c>
      <c r="Y32" s="31">
        <f t="shared" si="12"/>
        <v>9</v>
      </c>
      <c r="Z32" s="32" t="str">
        <f t="shared" si="13"/>
        <v>↑</v>
      </c>
      <c r="AA32" s="21" t="s">
        <v>213</v>
      </c>
      <c r="AB32" s="33">
        <f t="shared" si="14"/>
        <v>14</v>
      </c>
      <c r="AC32" s="22">
        <f t="shared" si="15"/>
        <v>2</v>
      </c>
      <c r="AD32" s="22">
        <f t="shared" si="16"/>
        <v>2</v>
      </c>
      <c r="AE32" s="22">
        <f>IF(AA32&lt;&gt;"",
    COUNTIFS(MATCH_INPUT!$K$10:$K$13,AA32),
0)</f>
        <v>1</v>
      </c>
      <c r="AF32" s="22">
        <f>IF(AA32&lt;&gt;"",
    COUNTIFS(MATCH_INPUT!$F$10:$F$13, AA32, MATCH_INPUT!$K$10:$K$13, "Draw") +
    COUNTIFS(MATCH_INPUT!$J$10:$J$13, AA32, MATCH_INPUT!$K$10:$K$13, "Draw"),
0)</f>
        <v>0</v>
      </c>
      <c r="AG32" s="22">
        <f>IF(AA32&lt;&gt;"",
    COUNTIFS(MATCH_INPUT!$F$10:$F$13, AA32, MATCH_INPUT!$K$10:$K$13, "&lt;&gt;"&amp;AA32, MATCH_INPUT!$K$10:$K$13, "&lt;&gt;Draw", MATCH_INPUT!$K$10:$K$13, "&lt;&gt;""") +
    COUNTIFS(MATCH_INPUT!$J$10:$J$13, AA32, MATCH_INPUT!$K$10:$K$13, "&lt;&gt;"&amp;AA32, MATCH_INPUT!$K$10:$K$13, "&lt;&gt;Draw", MATCH_INPUT!$K$10:$K$13, "&lt;&gt;"""),
0)</f>
        <v>1</v>
      </c>
      <c r="AH32" s="23">
        <f t="array" ref="AH32">IFERROR(
  INDEX(PLAYER_STAT!E$2:E64, 
    MATCH(1, 
      (PLAYER_STAT!A$2:A64 = MATCH_DATES!$A$4) * (PLAYER_STAT!D$2:D64 = $B32), 
    0)
  ), 
  ""
)
</f>
        <v>0</v>
      </c>
      <c r="AI32" s="23">
        <f t="array" ref="AI32">IFERROR(
  INDEX(PLAYER_STAT!F$2:F64, 
    MATCH(1, 
      (PLAYER_STAT!A$2:A64 = MATCH_DATES!$A$4) * (PLAYER_STAT!D$2:D64 = $B32), 
    0)
  ), 
  ""
)
</f>
        <v>1</v>
      </c>
      <c r="AJ32" s="34">
        <f t="array" ref="AJ32">IFERROR(
  INDEX(PLAYER_STAT!G$2:G64, 
    MATCH(1, 
      (PLAYER_STAT!A$2:A64 = MATCH_DATES!$A$4) * (PLAYER_STAT!D$2:D64 = $B32), 
    0)
  ), 
  ""
)
</f>
        <v>0</v>
      </c>
      <c r="AK32" s="25">
        <f t="shared" si="17"/>
        <v>6</v>
      </c>
      <c r="AL32" s="26" t="str">
        <f t="shared" si="18"/>
        <v>↑</v>
      </c>
      <c r="AM32" s="27" t="s">
        <v>215</v>
      </c>
      <c r="AN32" s="28">
        <f t="shared" si="19"/>
        <v>19</v>
      </c>
      <c r="AO32" s="28">
        <f t="shared" si="20"/>
        <v>2</v>
      </c>
      <c r="AP32" s="28">
        <f t="shared" si="21"/>
        <v>2</v>
      </c>
      <c r="AQ32" s="28">
        <f>IF(AM32&lt;&gt;"",
    COUNTIFS(MATCH_INPUT!$K$14:$K$17,AM32),
0)</f>
        <v>1</v>
      </c>
      <c r="AR32" s="28">
        <f>IF(AM32&lt;&gt;"",
    COUNTIFS(MATCH_INPUT!$F$14:$F$17, AM32, MATCH_INPUT!$K$14:$K$17, "Draw") +
    COUNTIFS(MATCH_INPUT!$J$14:$J$17, AM32, MATCH_INPUT!$K$14:$K$17, "Draw"),
0)</f>
        <v>0</v>
      </c>
      <c r="AS32" s="28">
        <f>IF(AM32&lt;&gt;"",
    COUNTIFS(MATCH_INPUT!$F$14:$F$17, AM32, MATCH_INPUT!$K$14:$K$17, "&lt;&gt;"&amp;AM32, MATCH_INPUT!$K$14:$K$17, "&lt;&gt;Draw", MATCH_INPUT!$K$14:$K$17, "&lt;&gt;""") +
    COUNTIFS(MATCH_INPUT!$J$14:$J$17, AM32, MATCH_INPUT!$K$14:$K$17, "&lt;&gt;"&amp;AM32, MATCH_INPUT!$K$14:$K$17, "&lt;&gt;Draw", MATCH_INPUT!$K$14:$K$17, "&lt;&gt;"""),
0)</f>
        <v>1</v>
      </c>
      <c r="AT32" s="29">
        <f t="array" ref="AT32">IFERROR(
  INDEX(PLAYER_STAT!E$2:E64, 
    MATCH(1, 
      (PLAYER_STAT!A$2:A64 = MATCH_DATES!$A$5) * (PLAYER_STAT!D$2:D64 = $B32), 
    0)
  ), 
  ""
)
</f>
        <v>0</v>
      </c>
      <c r="AU32" s="29">
        <f t="array" ref="AU32">IFERROR(
  INDEX(PLAYER_STAT!F$2:F64, 
    MATCH(1, 
      (PLAYER_STAT!A$2:A64 = MATCH_DATES!$A$5) * (PLAYER_STAT!D$2:D64 = $B32), 
    0)
  ), 
  ""
)
</f>
        <v>1</v>
      </c>
      <c r="AV32" s="30">
        <f t="array" ref="AV32">IFERROR(
  INDEX(PLAYER_STAT!G$2:G64, 
    MATCH(1, 
      (PLAYER_STAT!A$2:A64 = MATCH_DATES!$A$5) * (PLAYER_STAT!D$2:D64 = $B32), 
    0)
  ), 
  ""
)
</f>
        <v>0</v>
      </c>
      <c r="AW32" s="31">
        <f t="shared" si="22"/>
        <v>4</v>
      </c>
      <c r="AX32" s="32" t="str">
        <f t="shared" si="23"/>
        <v>↑</v>
      </c>
      <c r="AY32" s="21" t="s">
        <v>215</v>
      </c>
      <c r="AZ32" s="33">
        <f t="shared" si="24"/>
        <v>22</v>
      </c>
      <c r="BA32" s="22">
        <f t="shared" si="25"/>
        <v>2</v>
      </c>
      <c r="BB32" s="22">
        <f>SUM(BC32*2) + (BD32*1) + SUMIFS(MATCH_INPUT!$G$18:$G$21, MATCH_INPUT!$F$18:$F$21, AY32) + SUMIFS(MATCH_INPUT!$I$18:$I$21, MATCH_INPUT!$J$18:$J$21, AY32)
</f>
        <v>1</v>
      </c>
      <c r="BC32" s="22">
        <f>IF(AY32&lt;&gt;"",
    COUNTIFS(MATCH_INPUT!$K$18:$K$21,AY32),
0)</f>
        <v>0</v>
      </c>
      <c r="BD32" s="22">
        <f>IF(AY32&lt;&gt;"",
    COUNTIFS(MATCH_INPUT!$F$18:$F$21, AY32, MATCH_INPUT!$K$18:$K$21, "Draw") +
    COUNTIFS(MATCH_INPUT!$J$18:$J$21, AY32, MATCH_INPUT!$K$18:$K$21, "Draw"),
0)</f>
        <v>0</v>
      </c>
      <c r="BE32" s="22">
        <f>IF(AY32&lt;&gt;"",
    COUNTIFS(MATCH_INPUT!$F$18:$F$21, AY32, MATCH_INPUT!$K$18:$K$21, "&lt;&gt;"&amp;AY32, MATCH_INPUT!$K$18:$K$21, "&lt;&gt;Draw", MATCH_INPUT!$K$18:$K$21, "&lt;&gt;""") +
    COUNTIFS(MATCH_INPUT!$J$18:$J$21, AY32, MATCH_INPUT!$K$18:$K$21, "&lt;&gt;"&amp;AY32, MATCH_INPUT!$K$18:$K$21, "&lt;&gt;Draw", MATCH_INPUT!$K$18:$K$21, "&lt;&gt;"""),
0)</f>
        <v>2</v>
      </c>
      <c r="BF32" s="23" t="str">
        <f t="array" ref="BF32">IFERROR(
  INDEX(PLAYER_STAT!E$2:E64, 
    MATCH(1, 
      (PLAYER_STAT!A$2:A64 = MATCH_DATES!$A$6) * (PLAYER_STAT!D$2:D64 = $B32), 
    0)
  ), 
  ""
)
</f>
        <v/>
      </c>
      <c r="BG32" s="23" t="str">
        <f t="array" ref="BG32">IFERROR(
  INDEX(PLAYER_STAT!F$2:F64, 
    MATCH(1, 
      (PLAYER_STAT!A$2:A64 = MATCH_DATES!$A$6) * (PLAYER_STAT!D$2:D64 = $B32), 
    0)
  ), 
  ""
)
</f>
        <v/>
      </c>
      <c r="BH32" s="34" t="str">
        <f t="array" ref="BH32">IFERROR(
  INDEX(PLAYER_STAT!G$2:G64, 
    MATCH(1, 
      (PLAYER_STAT!A$2:A64 = MATCH_DATES!$A$6) * (PLAYER_STAT!D$2:D64 = $B32), 
    0)
  ), 
  ""
)
</f>
        <v/>
      </c>
      <c r="BI32" s="25">
        <f t="shared" si="26"/>
        <v>16</v>
      </c>
      <c r="BJ32" s="26" t="str">
        <f t="shared" si="27"/>
        <v>↓</v>
      </c>
      <c r="BK32" s="27" t="s">
        <v>215</v>
      </c>
      <c r="BL32" s="28">
        <f t="shared" si="28"/>
        <v>36</v>
      </c>
      <c r="BM32" s="28">
        <f t="shared" si="29"/>
        <v>2</v>
      </c>
      <c r="BN32" s="28">
        <f>SUM(BO32*2) + (BP32*1) + SUMIFS(MATCH_INPUT!$G$22:$G$25, MATCH_INPUT!$F$22:$F$25, BK32) + SUMIFS(MATCH_INPUT!$I$22:$I$25, MATCH_INPUT!$J$22:$J$25, BK32)
</f>
        <v>12</v>
      </c>
      <c r="BO32" s="28">
        <f>IF(BK32&lt;&gt;"",
    COUNTIFS(MATCH_INPUT!$K$22:$K$25,BK32),
0)</f>
        <v>2</v>
      </c>
      <c r="BP32" s="28">
        <f>IF(BK32&lt;&gt;"",
    COUNTIFS(MATCH_INPUT!$F$22:$F$25, BK32, MATCH_INPUT!$K$22:$K$25, "Draw") +
    COUNTIFS(MATCH_INPUT!$J$22:$J$25, BK32, MATCH_INPUT!$K$22:$K$25, "Draw"),
0)</f>
        <v>0</v>
      </c>
      <c r="BQ32" s="28">
        <f>IF(BK32&lt;&gt;"",
    COUNTIFS(MATCH_INPUT!$F$22:$F$25, BK32, MATCH_INPUT!$K$22:$K$25, "&lt;&gt;"&amp;BK32, MATCH_INPUT!$K$22:$K$25, "&lt;&gt;Draw", MATCH_INPUT!$K$22:$K$25, "&lt;&gt;""") +
    COUNTIFS(MATCH_INPUT!$J$22:$J$25, BK32, MATCH_INPUT!$K$22:$K$25, "&lt;&gt;"&amp;BK32, MATCH_INPUT!$K$22:$K$25, "&lt;&gt;Draw", MATCH_INPUT!$K$22:$K$25, "&lt;&gt;"""),
0)</f>
        <v>0</v>
      </c>
      <c r="BR32" s="29">
        <f t="array" ref="BR32">IFERROR(
  INDEX(PLAYER_STAT!E$2:E64, 
    MATCH(1, 
      (PLAYER_STAT!A$2:A64 = MATCH_DATES!$A$7) * (PLAYER_STAT!D$2:D64 = $B32), 
    0)
  ), 
  ""
)
</f>
        <v>0</v>
      </c>
      <c r="BS32" s="29">
        <f t="array" ref="BS32">IFERROR(
  INDEX(PLAYER_STAT!F$2:F64, 
    MATCH(1, 
      (PLAYER_STAT!A$2:A64 = MATCH_DATES!$A$7) * (PLAYER_STAT!D$2:D64 = $B32), 
    0)
  ), 
  ""
)
</f>
        <v>0</v>
      </c>
      <c r="BT32" s="30">
        <f t="array" ref="BT32">IFERROR(
  INDEX(PLAYER_STAT!G$2:G64, 
    MATCH(1, 
      (PLAYER_STAT!A$2:A64 = MATCH_DATES!$A$7) * (PLAYER_STAT!D$2:D64 = $B32), 
    0)
  ), 
  ""
)
</f>
        <v>0</v>
      </c>
      <c r="BU32" s="31">
        <f t="shared" si="30"/>
        <v>6</v>
      </c>
      <c r="BV32" s="32" t="str">
        <f t="shared" si="31"/>
        <v>↑</v>
      </c>
      <c r="BW32" s="21" t="s">
        <v>215</v>
      </c>
      <c r="BX32" s="33">
        <f t="shared" si="32"/>
        <v>43</v>
      </c>
      <c r="BY32" s="22">
        <f t="shared" si="33"/>
        <v>2</v>
      </c>
      <c r="BZ32" s="22">
        <f>SUM(CA32*2)+(CB32*1) + SUMIFS(MATCH_INPUT!$G$26:$G$29, MATCH_INPUT!$F$26:$F$29, BW32) + SUMIFS(MATCH_INPUT!$I$26:$I$29, MATCH_INPUT!$J$26:$J$29, BW32)
</f>
        <v>5</v>
      </c>
      <c r="CA32" s="22">
        <f>IF(BW32&lt;&gt;"",
    COUNTIFS(MATCH_INPUT!$K$26:$K$29,BW32),
0)</f>
        <v>0</v>
      </c>
      <c r="CB32" s="22">
        <f>IF(BW32&lt;&gt;"",
    COUNTIFS(MATCH_INPUT!$F$26:$F$29, BW32, MATCH_INPUT!$K$26:$K$29, "Draw") +
    COUNTIFS(MATCH_INPUT!$J$26:$J$29, BW32, MATCH_INPUT!$K$26:$K$29, "Draw"),
0)</f>
        <v>1</v>
      </c>
      <c r="CC32" s="22">
        <f>IF(BW32&lt;&gt;"",
    COUNTIFS(MATCH_INPUT!$F$26:$F$29, BW32, MATCH_INPUT!$K$26:$K$29, "&lt;&gt;"&amp;BW32, MATCH_INPUT!$K$26:$K$29, "&lt;&gt;Draw", MATCH_INPUT!$K$26:$K$29, "&lt;&gt;""") +
    COUNTIFS(MATCH_INPUT!$J$26:$J$29, BW32, MATCH_INPUT!$K$26:$K$29, "&lt;&gt;"&amp;BW32, MATCH_INPUT!$K$26:$K$29, "&lt;&gt;Draw", MATCH_INPUT!$K$26:$K$29, "&lt;&gt;"""),
0)</f>
        <v>1</v>
      </c>
      <c r="CD32" s="23">
        <f t="array" ref="CD32">IFERROR(
  INDEX(PLAYER_STAT!E$2:E64, 
    MATCH(1, 
      (PLAYER_STAT!A$2:A64 = MATCH_DATES!$A$8) * (PLAYER_STAT!D$2:D64 = $B32), 
    0)
  ), 
  ""
)
</f>
        <v>0</v>
      </c>
      <c r="CE32" s="23">
        <f t="array" ref="CE32">IFERROR(
  INDEX(PLAYER_STAT!F$2:F64, 
    MATCH(1, 
      (PLAYER_STAT!A$2:A64 = MATCH_DATES!$A$8) * (PLAYER_STAT!D$2:D64 = $B32), 
    0)
  ), 
  ""
)
</f>
        <v>0</v>
      </c>
      <c r="CF32" s="34">
        <f t="array" ref="CF32">IFERROR(
  INDEX(PLAYER_STAT!G$2:G64, 
    MATCH(1, 
      (PLAYER_STAT!A$2:A64 = MATCH_DATES!$A$8) * (PLAYER_STAT!D$2:D64 = $B32), 
    0)
  ), 
  ""
)
</f>
        <v>0</v>
      </c>
      <c r="CG32" s="25">
        <f t="shared" si="34"/>
        <v>10</v>
      </c>
      <c r="CH32" s="26" t="str">
        <f t="shared" si="35"/>
        <v>↓</v>
      </c>
      <c r="CI32" s="27" t="s">
        <v>215</v>
      </c>
      <c r="CJ32" s="28">
        <f t="shared" si="36"/>
        <v>49</v>
      </c>
      <c r="CK32" s="28">
        <f t="shared" si="37"/>
        <v>2</v>
      </c>
      <c r="CL32" s="28">
        <f>SUM(CM32*2)+(CN32*1) + SUMIFS(MATCH_INPUT!$G$30:$G$33, MATCH_INPUT!$F$30:$F$33, CI32) + SUMIFS(MATCH_INPUT!$I$30:$I$33, MATCH_INPUT!$J$30:$J$33, CI32)
</f>
        <v>4</v>
      </c>
      <c r="CM32" s="28">
        <f>IF(CI32&lt;&gt;"",
    COUNTIFS(MATCH_INPUT!$K$30:$K$33,CI32),
0)</f>
        <v>0</v>
      </c>
      <c r="CN32" s="28">
        <f>IF(CI32&lt;&gt;"",
    COUNTIFS(MATCH_INPUT!$F$30:$F$33, CI32, MATCH_INPUT!$K$30:$K$33, "Draw") +
    COUNTIFS(MATCH_INPUT!$J$30:$J$33, CI32, MATCH_INPUT!$K$30:$K$33, "Draw"),
0)</f>
        <v>0</v>
      </c>
      <c r="CO32" s="28">
        <f>IF(CI32&lt;&gt;"",
    COUNTIFS(MATCH_INPUT!$F$30:$F$33, CI32, MATCH_INPUT!$K$30:$K$33, "&lt;&gt;"&amp;CI32, MATCH_INPUT!$K$30:$K$33, "&lt;&gt;Draw", MATCH_INPUT!$K$30:$K$33, "&lt;&gt;""") +
    COUNTIFS(MATCH_INPUT!$J$30:$J$33, CI32, MATCH_INPUT!$K$30:$K$33, "&lt;&gt;"&amp;CI32, MATCH_INPUT!$K$30:$K$33, "&lt;&gt;Draw", MATCH_INPUT!$K$30:$K$33, "&lt;&gt;"""),
0)</f>
        <v>2</v>
      </c>
      <c r="CP32" s="29" t="str">
        <f t="array" ref="CP32">IFERROR(
  INDEX(PLAYER_STAT!E$2:E64, 
    MATCH(1, 
      (PLAYER_STAT!A$2:A64 = MATCH_DATES!$A$9) * (PLAYER_STAT!D$2:D64 = $B32), 
    0)
  ), 
  ""
)
</f>
        <v/>
      </c>
      <c r="CQ32" s="29" t="str">
        <f t="array" ref="CQ32">IFERROR(
  INDEX(PLAYER_STAT!F$2:F64, 
    MATCH(1, 
      (PLAYER_STAT!A$2:A64 = MATCH_DATES!$A$9) * (PLAYER_STAT!D$2:D64 = $B32), 
    0)
  ), 
  ""
)
</f>
        <v/>
      </c>
      <c r="CR32" s="29" t="str">
        <f t="array" ref="CR32">IFERROR(
  INDEX(PLAYER_STAT!G$2:G64, 
    MATCH(1, 
      (PLAYER_STAT!A$2:A64 = MATCH_DATES!$A$9) * (PLAYER_STAT!D$2:D64 = $B32), 
    0)
  ), 
  ""
)
</f>
        <v/>
      </c>
      <c r="CS32" s="35">
        <f t="shared" si="38"/>
        <v>14</v>
      </c>
      <c r="CT32" s="35" t="str">
        <f t="shared" si="39"/>
        <v>↓</v>
      </c>
      <c r="CU32" s="36">
        <f t="shared" si="40"/>
        <v>30</v>
      </c>
      <c r="CV32" s="36" t="str">
        <f t="shared" ref="CV32:CW32" si="127">A32</f>
        <v>🍂🎃</v>
      </c>
      <c r="CW32" s="37" t="str">
        <f t="shared" si="127"/>
        <v>Rob</v>
      </c>
      <c r="CX32" s="37">
        <f t="shared" si="42"/>
        <v>49</v>
      </c>
      <c r="CY32" s="36">
        <f>SUM(
  IF(AND(MATCH_DATES!$A$2 &lt;= TODAY(), NOW() &gt;= MATCH_DATES!$A$2 + TIME(22, 0, 0)), E32, 0),
  IF(AND(MATCH_DATES!$A$3 &lt;= TODAY(), NOW() &gt;= MATCH_DATES!$A$3 + TIME(22, 0, 0)), Q32, 0),
  IF(AND(MATCH_DATES!$A$4 &lt;= TODAY(), NOW() &gt;= MATCH_DATES!$A$4 + TIME(22, 0, 0)), AC32, 0),
  IF(AND(MATCH_DATES!$A$5 &lt;= TODAY(), NOW() &gt;= MATCH_DATES!$A$5 + TIME(22, 0, 0)), AO32, 0),
  IF(AND(MATCH_DATES!$A$6 &lt;= TODAY(), NOW() &gt;= MATCH_DATES!$A$6 + TIME(22, 0, 0)), BA32, 0),
  IF(AND(MATCH_DATES!$A$7 &lt;= TODAY(), NOW() &gt;= MATCH_DATES!$A$7 + TIME(22, 0, 0)), BM32, 0),
  IF(AND(MATCH_DATES!$A$8 &lt;= TODAY(), NOW() &gt;= MATCH_DATES!$A$8 + TIME(22, 0, 0)), BY32, 0),
  IF(AND(MATCH_DATES!$A$9 &lt;= TODAY(), NOW() &gt;= MATCH_DATES!$A$9 + TIME(22, 0, 0)), CK32, 0)
)
</f>
        <v>16</v>
      </c>
      <c r="CZ32" s="37">
        <f t="shared" ref="CZ32:DA32" si="128">SUM(G32,S32,AE32,AQ32,BC32,BO32,CA32,CM32)</f>
        <v>6</v>
      </c>
      <c r="DA32" s="37">
        <f t="shared" si="128"/>
        <v>1</v>
      </c>
      <c r="DB32" s="37">
        <f>SUM(
  IF(AND(MATCH_DATES!$A$2 &lt;= TODAY(), NOW() &gt;= MATCH_DATES!$A$2 + TIME(22, 0, 0)), I32, 0),
  IF(AND(MATCH_DATES!$A$3 &lt;= TODAY(), NOW() &gt;= MATCH_DATES!$A$3 + TIME(22, 0, 0)), U32, 0),
  IF(AND(MATCH_DATES!$A$4 &lt;= TODAY(), NOW() &gt;= MATCH_DATES!$A$4 + TIME(22, 0, 0)), AG32, 0),
  IF(AND(MATCH_DATES!$A$5 &lt;= TODAY(), NOW() &gt;= MATCH_DATES!$A$5 + TIME(22, 0, 0)), AS32, 0),
  IF(AND(MATCH_DATES!$A$6 &lt;= TODAY(), NOW() &gt;= MATCH_DATES!$A$6 + TIME(22, 0, 0)), BE32, 0),
  IF(AND(MATCH_DATES!$A$7 &lt;= TODAY(), NOW() &gt;= MATCH_DATES!$A$7 + TIME(22, 0, 0)), BQ32, 0),
  IF(AND(MATCH_DATES!$A$8 &lt;= TODAY(), NOW() &gt;= MATCH_DATES!$A$8 + TIME(22, 0, 0)), CC32, 0),
  IF(AND(MATCH_DATES!$A$9 &lt;= TODAY(), NOW() &gt;= MATCH_DATES!$A$9 + TIME(22, 0, 0)), CO32, 0)
)</f>
        <v>9</v>
      </c>
      <c r="DC32" s="37">
        <f t="shared" si="44"/>
        <v>0</v>
      </c>
      <c r="DD32" s="37">
        <f t="shared" ref="DD32:DE32" si="129">SUM(K32,W32,AI32,AU32,BG32,BS32,CE32,CQ32)</f>
        <v>3</v>
      </c>
      <c r="DE32" s="37">
        <f t="shared" si="129"/>
        <v>1</v>
      </c>
    </row>
    <row r="33" ht="24.75" customHeight="1">
      <c r="A33" s="19" t="s">
        <v>210</v>
      </c>
      <c r="B33" s="40" t="s">
        <v>238</v>
      </c>
      <c r="C33" s="21" t="s">
        <v>215</v>
      </c>
      <c r="D33" s="22">
        <f t="shared" si="4"/>
        <v>2</v>
      </c>
      <c r="E33" s="22">
        <f t="shared" si="5"/>
        <v>2</v>
      </c>
      <c r="F33" s="22">
        <f t="shared" si="6"/>
        <v>0</v>
      </c>
      <c r="G33" s="22">
        <f>IF(C33&lt;&gt;"",
    COUNTIFS(MATCH_INPUT!$K$2:$K$5,C33),
0)</f>
        <v>0</v>
      </c>
      <c r="H33" s="22">
        <f>IF(C33&lt;&gt;"",
    COUNTIFS(MATCH_INPUT!$F$2:$F$5, C33, MATCH_INPUT!$K$2:$K$5, "Draw") +
    COUNTIFS(MATCH_INPUT!$J$2:$J$5, C33, MATCH_INPUT!$K$2:$K$5, "Draw"),
0)</f>
        <v>0</v>
      </c>
      <c r="I33" s="22">
        <f>IF(C33&lt;&gt;"",
    COUNTIFS(MATCH_INPUT!$F$2:$F$5, C33, MATCH_INPUT!$K$2:$K$5, "&lt;&gt;"&amp;C33, MATCH_INPUT!$K$2:$K$5, "&lt;&gt;Draw", MATCH_INPUT!$K$2:$K$5, "&lt;&gt;""") +
    COUNTIFS(MATCH_INPUT!$J$2:$J$5, C33, MATCH_INPUT!$K$2:$K$5, "&lt;&gt;"&amp;C33, MATCH_INPUT!$K$2:$K$5, "&lt;&gt;Draw", MATCH_INPUT!$K$2:$K$5, "&lt;&gt;"""),
0)</f>
        <v>2</v>
      </c>
      <c r="J33" s="23" t="str">
        <f t="array" ref="J33">IFERROR(
  INDEX(PLAYER_STAT!E$2:E64, 
    MATCH(1, 
      (PLAYER_STAT!A$2:A64 = MATCH_DATES!$A$2) * (PLAYER_STAT!D$2:D64 = $B33), 
    0)
  ), 
  ""
)
</f>
        <v/>
      </c>
      <c r="K33" s="23" t="str">
        <f t="array" ref="K33">IFERROR(
  INDEX(PLAYER_STAT!F$2:F64, 
    MATCH(1, 
      (PLAYER_STAT!A$2:A64 = MATCH_DATES!$A$2) * (PLAYER_STAT!D$2:D64 = $B33), 
    0)
  ), 
  ""
)
</f>
        <v/>
      </c>
      <c r="L33" s="24" t="str">
        <f t="array" ref="L33">IFERROR(
  INDEX(PLAYER_STAT!G$2:G64, 
    MATCH(1, 
      (PLAYER_STAT!A$2:A64 = MATCH_DATES!$A$2) * (PLAYER_STAT!D$2:D64 = $B33), 
    0)
  ), 
  ""
)
</f>
        <v/>
      </c>
      <c r="M33" s="25">
        <f t="shared" si="7"/>
        <v>26</v>
      </c>
      <c r="N33" s="26" t="str">
        <f t="shared" si="8"/>
        <v>↓</v>
      </c>
      <c r="O33" s="27" t="s">
        <v>213</v>
      </c>
      <c r="P33" s="28">
        <f t="shared" si="9"/>
        <v>7</v>
      </c>
      <c r="Q33" s="28">
        <f t="shared" si="10"/>
        <v>2</v>
      </c>
      <c r="R33" s="28">
        <f t="shared" si="11"/>
        <v>3</v>
      </c>
      <c r="S33" s="28">
        <f>IF(O33&lt;&gt;"",
    COUNTIFS(MATCH_INPUT!$K$6:$K$9,O33),
0)</f>
        <v>1</v>
      </c>
      <c r="T33" s="28">
        <f>IF(O33&lt;&gt;"",
    COUNTIFS(MATCH_INPUT!$F$6:$F$9, O33, MATCH_INPUT!$K$6:$K$9, "Draw") +
    COUNTIFS(MATCH_INPUT!$J$6:$J$9, O33, MATCH_INPUT!$K$6:$K$9, "Draw"),
0)</f>
        <v>1</v>
      </c>
      <c r="U33" s="28">
        <f>IF(O33&lt;&gt;"",
    COUNTIFS(MATCH_INPUT!$F$6:$F$9, O33, MATCH_INPUT!$K$6:$K$9, "&lt;&gt;"&amp;O33, MATCH_INPUT!$K$6:$K$9, "&lt;&gt;Draw", MATCH_INPUT!$K$6:$K$9, "&lt;&gt;""") +
    COUNTIFS(MATCH_INPUT!$J$6:$J$9, O33, MATCH_INPUT!$K$6:$K$9, "&lt;&gt;"&amp;O33, MATCH_INPUT!$K$6:$K$9, "&lt;&gt;Draw", MATCH_INPUT!$K$6:$K$9, "&lt;&gt;"""),
0)</f>
        <v>0</v>
      </c>
      <c r="V33" s="29">
        <f t="array" ref="V33">IFERROR(
  INDEX(PLAYER_STAT!E$2:E64, 
    MATCH(1, 
      (PLAYER_STAT!A$2:A64 = MATCH_DATES!$A$3) * (PLAYER_STAT!D$2:D64 = $B33), 
    0)
  ), 
  ""
)
</f>
        <v>1</v>
      </c>
      <c r="W33" s="29">
        <f t="array" ref="W33">IFERROR(
  INDEX(PLAYER_STAT!F$2:F64, 
    MATCH(1, 
      (PLAYER_STAT!A$2:A64 = MATCH_DATES!$A$3) * (PLAYER_STAT!D$2:D64 = $B33), 
    0)
  ), 
  ""
)
</f>
        <v>0</v>
      </c>
      <c r="X33" s="30">
        <f t="array" ref="X33">IFERROR(
  INDEX(PLAYER_STAT!G$2:G64, 
    MATCH(1, 
      (PLAYER_STAT!A$2:A64 = MATCH_DATES!$A$3) * (PLAYER_STAT!D$2:D64 = $B33), 
    0)
  ), 
  ""
)
</f>
        <v>0</v>
      </c>
      <c r="Y33" s="31">
        <f t="shared" si="12"/>
        <v>20</v>
      </c>
      <c r="Z33" s="32" t="str">
        <f t="shared" si="13"/>
        <v>↑</v>
      </c>
      <c r="AA33" s="21" t="s">
        <v>212</v>
      </c>
      <c r="AB33" s="33">
        <f t="shared" si="14"/>
        <v>13</v>
      </c>
      <c r="AC33" s="22">
        <f t="shared" si="15"/>
        <v>2</v>
      </c>
      <c r="AD33" s="22">
        <f t="shared" si="16"/>
        <v>4</v>
      </c>
      <c r="AE33" s="22">
        <f>IF(AA33&lt;&gt;"",
    COUNTIFS(MATCH_INPUT!$K$10:$K$13,AA33),
0)</f>
        <v>2</v>
      </c>
      <c r="AF33" s="22">
        <f>IF(AA33&lt;&gt;"",
    COUNTIFS(MATCH_INPUT!$F$10:$F$13, AA33, MATCH_INPUT!$K$10:$K$13, "Draw") +
    COUNTIFS(MATCH_INPUT!$J$10:$J$13, AA33, MATCH_INPUT!$K$10:$K$13, "Draw"),
0)</f>
        <v>0</v>
      </c>
      <c r="AG33" s="22">
        <f>IF(AA33&lt;&gt;"",
    COUNTIFS(MATCH_INPUT!$F$10:$F$13, AA33, MATCH_INPUT!$K$10:$K$13, "&lt;&gt;"&amp;AA33, MATCH_INPUT!$K$10:$K$13, "&lt;&gt;Draw", MATCH_INPUT!$K$10:$K$13, "&lt;&gt;""") +
    COUNTIFS(MATCH_INPUT!$J$10:$J$13, AA33, MATCH_INPUT!$K$10:$K$13, "&lt;&gt;"&amp;AA33, MATCH_INPUT!$K$10:$K$13, "&lt;&gt;Draw", MATCH_INPUT!$K$10:$K$13, "&lt;&gt;"""),
0)</f>
        <v>0</v>
      </c>
      <c r="AH33" s="23" t="str">
        <f t="array" ref="AH33">IFERROR(
  INDEX(PLAYER_STAT!E$2:E64, 
    MATCH(1, 
      (PLAYER_STAT!A$2:A64 = MATCH_DATES!$A$4) * (PLAYER_STAT!D$2:D64 = $B33), 
    0)
  ), 
  ""
)
</f>
        <v/>
      </c>
      <c r="AI33" s="23" t="str">
        <f t="array" ref="AI33">IFERROR(
  INDEX(PLAYER_STAT!F$2:F64, 
    MATCH(1, 
      (PLAYER_STAT!A$2:A64 = MATCH_DATES!$A$4) * (PLAYER_STAT!D$2:D64 = $B33), 
    0)
  ), 
  ""
)
</f>
        <v/>
      </c>
      <c r="AJ33" s="34" t="str">
        <f t="array" ref="AJ33">IFERROR(
  INDEX(PLAYER_STAT!G$2:G64, 
    MATCH(1, 
      (PLAYER_STAT!A$2:A64 = MATCH_DATES!$A$4) * (PLAYER_STAT!D$2:D64 = $B33), 
    0)
  ), 
  ""
)
</f>
        <v/>
      </c>
      <c r="AK33" s="25">
        <f t="shared" si="17"/>
        <v>10</v>
      </c>
      <c r="AL33" s="26" t="str">
        <f t="shared" si="18"/>
        <v>↑</v>
      </c>
      <c r="AM33" s="27" t="s">
        <v>214</v>
      </c>
      <c r="AN33" s="28">
        <f t="shared" si="19"/>
        <v>15</v>
      </c>
      <c r="AO33" s="28">
        <f t="shared" si="20"/>
        <v>2</v>
      </c>
      <c r="AP33" s="28">
        <f t="shared" si="21"/>
        <v>0</v>
      </c>
      <c r="AQ33" s="28">
        <f>IF(AM33&lt;&gt;"",
    COUNTIFS(MATCH_INPUT!$K$14:$K$17,AM33),
0)</f>
        <v>0</v>
      </c>
      <c r="AR33" s="28">
        <f>IF(AM33&lt;&gt;"",
    COUNTIFS(MATCH_INPUT!$F$14:$F$17, AM33, MATCH_INPUT!$K$14:$K$17, "Draw") +
    COUNTIFS(MATCH_INPUT!$J$14:$J$17, AM33, MATCH_INPUT!$K$14:$K$17, "Draw"),
0)</f>
        <v>0</v>
      </c>
      <c r="AS33" s="28">
        <f>IF(AM33&lt;&gt;"",
    COUNTIFS(MATCH_INPUT!$F$14:$F$17, AM33, MATCH_INPUT!$K$14:$K$17, "&lt;&gt;"&amp;AM33, MATCH_INPUT!$K$14:$K$17, "&lt;&gt;Draw", MATCH_INPUT!$K$14:$K$17, "&lt;&gt;""") +
    COUNTIFS(MATCH_INPUT!$J$14:$J$17, AM33, MATCH_INPUT!$K$14:$K$17, "&lt;&gt;"&amp;AM33, MATCH_INPUT!$K$14:$K$17, "&lt;&gt;Draw", MATCH_INPUT!$K$14:$K$17, "&lt;&gt;"""),
0)</f>
        <v>2</v>
      </c>
      <c r="AT33" s="29" t="str">
        <f t="array" ref="AT33">IFERROR(
  INDEX(PLAYER_STAT!E$2:E64, 
    MATCH(1, 
      (PLAYER_STAT!A$2:A64 = MATCH_DATES!$A$5) * (PLAYER_STAT!D$2:D64 = $B33), 
    0)
  ), 
  ""
)
</f>
        <v/>
      </c>
      <c r="AU33" s="29" t="str">
        <f t="array" ref="AU33">IFERROR(
  INDEX(PLAYER_STAT!F$2:F64, 
    MATCH(1, 
      (PLAYER_STAT!A$2:A64 = MATCH_DATES!$A$5) * (PLAYER_STAT!D$2:D64 = $B33), 
    0)
  ), 
  ""
)
</f>
        <v/>
      </c>
      <c r="AV33" s="30" t="str">
        <f t="array" ref="AV33">IFERROR(
  INDEX(PLAYER_STAT!G$2:G64, 
    MATCH(1, 
      (PLAYER_STAT!A$2:A64 = MATCH_DATES!$A$5) * (PLAYER_STAT!D$2:D64 = $B33), 
    0)
  ), 
  ""
)
</f>
        <v/>
      </c>
      <c r="AW33" s="31">
        <f t="shared" si="22"/>
        <v>16</v>
      </c>
      <c r="AX33" s="32" t="str">
        <f t="shared" si="23"/>
        <v>↓</v>
      </c>
      <c r="AY33" s="21" t="s">
        <v>213</v>
      </c>
      <c r="AZ33" s="33">
        <f t="shared" si="24"/>
        <v>19</v>
      </c>
      <c r="BA33" s="22">
        <f t="shared" si="25"/>
        <v>2</v>
      </c>
      <c r="BB33" s="22">
        <f>SUM(BC33*2) + (BD33*1) + SUMIFS(MATCH_INPUT!$G$18:$G$21, MATCH_INPUT!$F$18:$F$21, AY33) + SUMIFS(MATCH_INPUT!$I$18:$I$21, MATCH_INPUT!$J$18:$J$21, AY33)
</f>
        <v>2</v>
      </c>
      <c r="BC33" s="22">
        <f>IF(AY33&lt;&gt;"",
    COUNTIFS(MATCH_INPUT!$K$18:$K$21,AY33),
0)</f>
        <v>0</v>
      </c>
      <c r="BD33" s="22">
        <f>IF(AY33&lt;&gt;"",
    COUNTIFS(MATCH_INPUT!$F$18:$F$21, AY33, MATCH_INPUT!$K$18:$K$21, "Draw") +
    COUNTIFS(MATCH_INPUT!$J$18:$J$21, AY33, MATCH_INPUT!$K$18:$K$21, "Draw"),
0)</f>
        <v>1</v>
      </c>
      <c r="BE33" s="22">
        <f>IF(AY33&lt;&gt;"",
    COUNTIFS(MATCH_INPUT!$F$18:$F$21, AY33, MATCH_INPUT!$K$18:$K$21, "&lt;&gt;"&amp;AY33, MATCH_INPUT!$K$18:$K$21, "&lt;&gt;Draw", MATCH_INPUT!$K$18:$K$21, "&lt;&gt;""") +
    COUNTIFS(MATCH_INPUT!$J$18:$J$21, AY33, MATCH_INPUT!$K$18:$K$21, "&lt;&gt;"&amp;AY33, MATCH_INPUT!$K$18:$K$21, "&lt;&gt;Draw", MATCH_INPUT!$K$18:$K$21, "&lt;&gt;"""),
0)</f>
        <v>1</v>
      </c>
      <c r="BF33" s="23" t="str">
        <f t="array" ref="BF33">IFERROR(
  INDEX(PLAYER_STAT!E$2:E64, 
    MATCH(1, 
      (PLAYER_STAT!A$2:A64 = MATCH_DATES!$A$6) * (PLAYER_STAT!D$2:D64 = $B33), 
    0)
  ), 
  ""
)
</f>
        <v/>
      </c>
      <c r="BG33" s="23" t="str">
        <f t="array" ref="BG33">IFERROR(
  INDEX(PLAYER_STAT!F$2:F64, 
    MATCH(1, 
      (PLAYER_STAT!A$2:A64 = MATCH_DATES!$A$6) * (PLAYER_STAT!D$2:D64 = $B33), 
    0)
  ), 
  ""
)
</f>
        <v/>
      </c>
      <c r="BH33" s="34" t="str">
        <f t="array" ref="BH33">IFERROR(
  INDEX(PLAYER_STAT!G$2:G64, 
    MATCH(1, 
      (PLAYER_STAT!A$2:A64 = MATCH_DATES!$A$6) * (PLAYER_STAT!D$2:D64 = $B33), 
    0)
  ), 
  ""
)
</f>
        <v/>
      </c>
      <c r="BI33" s="25">
        <f t="shared" si="26"/>
        <v>21</v>
      </c>
      <c r="BJ33" s="26" t="str">
        <f t="shared" si="27"/>
        <v>↓</v>
      </c>
      <c r="BK33" s="27" t="s">
        <v>215</v>
      </c>
      <c r="BL33" s="28">
        <f t="shared" si="28"/>
        <v>34</v>
      </c>
      <c r="BM33" s="28">
        <f t="shared" si="29"/>
        <v>2</v>
      </c>
      <c r="BN33" s="28">
        <f>SUM(BO33*2) + (BP33*1) + SUMIFS(MATCH_INPUT!$G$22:$G$25, MATCH_INPUT!$F$22:$F$25, BK33) + SUMIFS(MATCH_INPUT!$I$22:$I$25, MATCH_INPUT!$J$22:$J$25, BK33)
</f>
        <v>12</v>
      </c>
      <c r="BO33" s="28">
        <f>IF(BK33&lt;&gt;"",
    COUNTIFS(MATCH_INPUT!$K$22:$K$25,BK33),
0)</f>
        <v>2</v>
      </c>
      <c r="BP33" s="28">
        <f>IF(BK33&lt;&gt;"",
    COUNTIFS(MATCH_INPUT!$F$22:$F$25, BK33, MATCH_INPUT!$K$22:$K$25, "Draw") +
    COUNTIFS(MATCH_INPUT!$J$22:$J$25, BK33, MATCH_INPUT!$K$22:$K$25, "Draw"),
0)</f>
        <v>0</v>
      </c>
      <c r="BQ33" s="28">
        <f>IF(BK33&lt;&gt;"",
    COUNTIFS(MATCH_INPUT!$F$22:$F$25, BK33, MATCH_INPUT!$K$22:$K$25, "&lt;&gt;"&amp;BK33, MATCH_INPUT!$K$22:$K$25, "&lt;&gt;Draw", MATCH_INPUT!$K$22:$K$25, "&lt;&gt;""") +
    COUNTIFS(MATCH_INPUT!$J$22:$J$25, BK33, MATCH_INPUT!$K$22:$K$25, "&lt;&gt;"&amp;BK33, MATCH_INPUT!$K$22:$K$25, "&lt;&gt;Draw", MATCH_INPUT!$K$22:$K$25, "&lt;&gt;"""),
0)</f>
        <v>0</v>
      </c>
      <c r="BR33" s="29">
        <f t="array" ref="BR33">IFERROR(
  INDEX(PLAYER_STAT!E$2:E64, 
    MATCH(1, 
      (PLAYER_STAT!A$2:A64 = MATCH_DATES!$A$7) * (PLAYER_STAT!D$2:D64 = $B33), 
    0)
  ), 
  ""
)
</f>
        <v>0</v>
      </c>
      <c r="BS33" s="29">
        <f t="array" ref="BS33">IFERROR(
  INDEX(PLAYER_STAT!F$2:F64, 
    MATCH(1, 
      (PLAYER_STAT!A$2:A64 = MATCH_DATES!$A$7) * (PLAYER_STAT!D$2:D64 = $B33), 
    0)
  ), 
  ""
)
</f>
        <v>1</v>
      </c>
      <c r="BT33" s="30">
        <f t="array" ref="BT33">IFERROR(
  INDEX(PLAYER_STAT!G$2:G64, 
    MATCH(1, 
      (PLAYER_STAT!A$2:A64 = MATCH_DATES!$A$7) * (PLAYER_STAT!D$2:D64 = $B33), 
    0)
  ), 
  ""
)
</f>
        <v>2</v>
      </c>
      <c r="BU33" s="31">
        <f t="shared" si="30"/>
        <v>10</v>
      </c>
      <c r="BV33" s="32" t="str">
        <f t="shared" si="31"/>
        <v>↑</v>
      </c>
      <c r="BW33" s="21" t="s">
        <v>214</v>
      </c>
      <c r="BX33" s="33">
        <f t="shared" si="32"/>
        <v>37</v>
      </c>
      <c r="BY33" s="22">
        <f t="shared" si="33"/>
        <v>2</v>
      </c>
      <c r="BZ33" s="22">
        <f>SUM(CA33*2)+(CB33*1) + SUMIFS(MATCH_INPUT!$G$26:$G$29, MATCH_INPUT!$F$26:$F$29, BW33) + SUMIFS(MATCH_INPUT!$I$26:$I$29, MATCH_INPUT!$J$26:$J$29, BW33)
</f>
        <v>1</v>
      </c>
      <c r="CA33" s="22">
        <f>IF(BW33&lt;&gt;"",
    COUNTIFS(MATCH_INPUT!$K$26:$K$29,BW33),
0)</f>
        <v>0</v>
      </c>
      <c r="CB33" s="22">
        <f>IF(BW33&lt;&gt;"",
    COUNTIFS(MATCH_INPUT!$F$26:$F$29, BW33, MATCH_INPUT!$K$26:$K$29, "Draw") +
    COUNTIFS(MATCH_INPUT!$J$26:$J$29, BW33, MATCH_INPUT!$K$26:$K$29, "Draw"),
0)</f>
        <v>0</v>
      </c>
      <c r="CC33" s="22">
        <f>IF(BW33&lt;&gt;"",
    COUNTIFS(MATCH_INPUT!$F$26:$F$29, BW33, MATCH_INPUT!$K$26:$K$29, "&lt;&gt;"&amp;BW33, MATCH_INPUT!$K$26:$K$29, "&lt;&gt;Draw", MATCH_INPUT!$K$26:$K$29, "&lt;&gt;""") +
    COUNTIFS(MATCH_INPUT!$J$26:$J$29, BW33, MATCH_INPUT!$K$26:$K$29, "&lt;&gt;"&amp;BW33, MATCH_INPUT!$K$26:$K$29, "&lt;&gt;Draw", MATCH_INPUT!$K$26:$K$29, "&lt;&gt;"""),
0)</f>
        <v>2</v>
      </c>
      <c r="CD33" s="23" t="str">
        <f t="array" ref="CD33">IFERROR(
  INDEX(PLAYER_STAT!E$2:E64, 
    MATCH(1, 
      (PLAYER_STAT!A$2:A64 = MATCH_DATES!$A$8) * (PLAYER_STAT!D$2:D64 = $B33), 
    0)
  ), 
  ""
)
</f>
        <v/>
      </c>
      <c r="CE33" s="23" t="str">
        <f t="array" ref="CE33">IFERROR(
  INDEX(PLAYER_STAT!F$2:F64, 
    MATCH(1, 
      (PLAYER_STAT!A$2:A64 = MATCH_DATES!$A$8) * (PLAYER_STAT!D$2:D64 = $B33), 
    0)
  ), 
  ""
)
</f>
        <v/>
      </c>
      <c r="CF33" s="34" t="str">
        <f t="array" ref="CF33">IFERROR(
  INDEX(PLAYER_STAT!G$2:G64, 
    MATCH(1, 
      (PLAYER_STAT!A$2:A64 = MATCH_DATES!$A$8) * (PLAYER_STAT!D$2:D64 = $B33), 
    0)
  ), 
  ""
)
</f>
        <v/>
      </c>
      <c r="CG33" s="25">
        <f t="shared" si="34"/>
        <v>17</v>
      </c>
      <c r="CH33" s="26" t="str">
        <f t="shared" si="35"/>
        <v>↓</v>
      </c>
      <c r="CI33" s="27" t="s">
        <v>215</v>
      </c>
      <c r="CJ33" s="28">
        <f t="shared" si="36"/>
        <v>43</v>
      </c>
      <c r="CK33" s="28">
        <f t="shared" si="37"/>
        <v>2</v>
      </c>
      <c r="CL33" s="28">
        <f>SUM(CM33*2)+(CN33*1) + SUMIFS(MATCH_INPUT!$G$30:$G$33, MATCH_INPUT!$F$30:$F$33, CI33) + SUMIFS(MATCH_INPUT!$I$30:$I$33, MATCH_INPUT!$J$30:$J$33, CI33)
</f>
        <v>4</v>
      </c>
      <c r="CM33" s="28">
        <f>IF(CI33&lt;&gt;"",
    COUNTIFS(MATCH_INPUT!$K$30:$K$33,CI33),
0)</f>
        <v>0</v>
      </c>
      <c r="CN33" s="28">
        <f>IF(CI33&lt;&gt;"",
    COUNTIFS(MATCH_INPUT!$F$30:$F$33, CI33, MATCH_INPUT!$K$30:$K$33, "Draw") +
    COUNTIFS(MATCH_INPUT!$J$30:$J$33, CI33, MATCH_INPUT!$K$30:$K$33, "Draw"),
0)</f>
        <v>0</v>
      </c>
      <c r="CO33" s="28">
        <f>IF(CI33&lt;&gt;"",
    COUNTIFS(MATCH_INPUT!$F$30:$F$33, CI33, MATCH_INPUT!$K$30:$K$33, "&lt;&gt;"&amp;CI33, MATCH_INPUT!$K$30:$K$33, "&lt;&gt;Draw", MATCH_INPUT!$K$30:$K$33, "&lt;&gt;""") +
    COUNTIFS(MATCH_INPUT!$J$30:$J$33, CI33, MATCH_INPUT!$K$30:$K$33, "&lt;&gt;"&amp;CI33, MATCH_INPUT!$K$30:$K$33, "&lt;&gt;Draw", MATCH_INPUT!$K$30:$K$33, "&lt;&gt;"""),
0)</f>
        <v>2</v>
      </c>
      <c r="CP33" s="29" t="str">
        <f t="array" ref="CP33">IFERROR(
  INDEX(PLAYER_STAT!E$2:E64, 
    MATCH(1, 
      (PLAYER_STAT!A$2:A64 = MATCH_DATES!$A$9) * (PLAYER_STAT!D$2:D64 = $B33), 
    0)
  ), 
  ""
)
</f>
        <v/>
      </c>
      <c r="CQ33" s="29" t="str">
        <f t="array" ref="CQ33">IFERROR(
  INDEX(PLAYER_STAT!F$2:F64, 
    MATCH(1, 
      (PLAYER_STAT!A$2:A64 = MATCH_DATES!$A$9) * (PLAYER_STAT!D$2:D64 = $B33), 
    0)
  ), 
  ""
)
</f>
        <v/>
      </c>
      <c r="CR33" s="29" t="str">
        <f t="array" ref="CR33">IFERROR(
  INDEX(PLAYER_STAT!G$2:G64, 
    MATCH(1, 
      (PLAYER_STAT!A$2:A64 = MATCH_DATES!$A$9) * (PLAYER_STAT!D$2:D64 = $B33), 
    0)
  ), 
  ""
)
</f>
        <v/>
      </c>
      <c r="CS33" s="35">
        <f t="shared" si="38"/>
        <v>21</v>
      </c>
      <c r="CT33" s="35" t="str">
        <f t="shared" si="39"/>
        <v>↓</v>
      </c>
      <c r="CU33" s="36">
        <f t="shared" si="40"/>
        <v>26</v>
      </c>
      <c r="CV33" s="36" t="str">
        <f t="shared" ref="CV33:CW33" si="130">A33</f>
        <v>🍂🎃</v>
      </c>
      <c r="CW33" s="37" t="str">
        <f t="shared" si="130"/>
        <v>Rodolfo 👬 Víctor S</v>
      </c>
      <c r="CX33" s="37">
        <f t="shared" si="42"/>
        <v>43</v>
      </c>
      <c r="CY33" s="36">
        <f>SUM(
  IF(AND(MATCH_DATES!$A$2 &lt;= TODAY(), NOW() &gt;= MATCH_DATES!$A$2 + TIME(22, 0, 0)), E33, 0),
  IF(AND(MATCH_DATES!$A$3 &lt;= TODAY(), NOW() &gt;= MATCH_DATES!$A$3 + TIME(22, 0, 0)), Q33, 0),
  IF(AND(MATCH_DATES!$A$4 &lt;= TODAY(), NOW() &gt;= MATCH_DATES!$A$4 + TIME(22, 0, 0)), AC33, 0),
  IF(AND(MATCH_DATES!$A$5 &lt;= TODAY(), NOW() &gt;= MATCH_DATES!$A$5 + TIME(22, 0, 0)), AO33, 0),
  IF(AND(MATCH_DATES!$A$6 &lt;= TODAY(), NOW() &gt;= MATCH_DATES!$A$6 + TIME(22, 0, 0)), BA33, 0),
  IF(AND(MATCH_DATES!$A$7 &lt;= TODAY(), NOW() &gt;= MATCH_DATES!$A$7 + TIME(22, 0, 0)), BM33, 0),
  IF(AND(MATCH_DATES!$A$8 &lt;= TODAY(), NOW() &gt;= MATCH_DATES!$A$8 + TIME(22, 0, 0)), BY33, 0),
  IF(AND(MATCH_DATES!$A$9 &lt;= TODAY(), NOW() &gt;= MATCH_DATES!$A$9 + TIME(22, 0, 0)), CK33, 0)
)
</f>
        <v>16</v>
      </c>
      <c r="CZ33" s="37">
        <f t="shared" ref="CZ33:DA33" si="131">SUM(G33,S33,AE33,AQ33,BC33,BO33,CA33,CM33)</f>
        <v>5</v>
      </c>
      <c r="DA33" s="37">
        <f t="shared" si="131"/>
        <v>2</v>
      </c>
      <c r="DB33" s="37">
        <f>SUM(
  IF(AND(MATCH_DATES!$A$2 &lt;= TODAY(), NOW() &gt;= MATCH_DATES!$A$2 + TIME(22, 0, 0)), I33, 0),
  IF(AND(MATCH_DATES!$A$3 &lt;= TODAY(), NOW() &gt;= MATCH_DATES!$A$3 + TIME(22, 0, 0)), U33, 0),
  IF(AND(MATCH_DATES!$A$4 &lt;= TODAY(), NOW() &gt;= MATCH_DATES!$A$4 + TIME(22, 0, 0)), AG33, 0),
  IF(AND(MATCH_DATES!$A$5 &lt;= TODAY(), NOW() &gt;= MATCH_DATES!$A$5 + TIME(22, 0, 0)), AS33, 0),
  IF(AND(MATCH_DATES!$A$6 &lt;= TODAY(), NOW() &gt;= MATCH_DATES!$A$6 + TIME(22, 0, 0)), BE33, 0),
  IF(AND(MATCH_DATES!$A$7 &lt;= TODAY(), NOW() &gt;= MATCH_DATES!$A$7 + TIME(22, 0, 0)), BQ33, 0),
  IF(AND(MATCH_DATES!$A$8 &lt;= TODAY(), NOW() &gt;= MATCH_DATES!$A$8 + TIME(22, 0, 0)), CC33, 0),
  IF(AND(MATCH_DATES!$A$9 &lt;= TODAY(), NOW() &gt;= MATCH_DATES!$A$9 + TIME(22, 0, 0)), CO33, 0)
)</f>
        <v>9</v>
      </c>
      <c r="DC33" s="37">
        <f t="shared" si="44"/>
        <v>1</v>
      </c>
      <c r="DD33" s="37">
        <f t="shared" ref="DD33:DE33" si="132">SUM(K33,W33,AI33,AU33,BG33,BS33,CE33,CQ33)</f>
        <v>1</v>
      </c>
      <c r="DE33" s="37">
        <f t="shared" si="132"/>
        <v>2</v>
      </c>
    </row>
    <row r="34" ht="24.75" customHeight="1">
      <c r="A34" s="19" t="s">
        <v>210</v>
      </c>
      <c r="B34" s="20" t="s">
        <v>239</v>
      </c>
      <c r="C34" s="21" t="s">
        <v>213</v>
      </c>
      <c r="D34" s="22">
        <f t="shared" si="4"/>
        <v>4</v>
      </c>
      <c r="E34" s="22">
        <f t="shared" si="5"/>
        <v>2</v>
      </c>
      <c r="F34" s="22">
        <f t="shared" si="6"/>
        <v>2</v>
      </c>
      <c r="G34" s="22">
        <f>IF(C34&lt;&gt;"",
    COUNTIFS(MATCH_INPUT!$K$2:$K$5,C34),
0)</f>
        <v>1</v>
      </c>
      <c r="H34" s="22">
        <f>IF(C34&lt;&gt;"",
    COUNTIFS(MATCH_INPUT!$F$2:$F$5, C34, MATCH_INPUT!$K$2:$K$5, "Draw") +
    COUNTIFS(MATCH_INPUT!$J$2:$J$5, C34, MATCH_INPUT!$K$2:$K$5, "Draw"),
0)</f>
        <v>0</v>
      </c>
      <c r="I34" s="22">
        <f>IF(C34&lt;&gt;"",
    COUNTIFS(MATCH_INPUT!$F$2:$F$5, C34, MATCH_INPUT!$K$2:$K$5, "&lt;&gt;"&amp;C34, MATCH_INPUT!$K$2:$K$5, "&lt;&gt;Draw", MATCH_INPUT!$K$2:$K$5, "&lt;&gt;""") +
    COUNTIFS(MATCH_INPUT!$J$2:$J$5, C34, MATCH_INPUT!$K$2:$K$5, "&lt;&gt;"&amp;C34, MATCH_INPUT!$K$2:$K$5, "&lt;&gt;Draw", MATCH_INPUT!$K$2:$K$5, "&lt;&gt;"""),
0)</f>
        <v>1</v>
      </c>
      <c r="J34" s="23" t="str">
        <f t="array" ref="J34">IFERROR(
  INDEX(PLAYER_STAT!E$2:E64, 
    MATCH(1, 
      (PLAYER_STAT!A$2:A64 = MATCH_DATES!$A$2) * (PLAYER_STAT!D$2:D64 = $B34), 
    0)
  ), 
  ""
)
</f>
        <v/>
      </c>
      <c r="K34" s="23" t="str">
        <f t="array" ref="K34">IFERROR(
  INDEX(PLAYER_STAT!F$2:F64, 
    MATCH(1, 
      (PLAYER_STAT!A$2:A64 = MATCH_DATES!$A$2) * (PLAYER_STAT!D$2:D64 = $B34), 
    0)
  ), 
  ""
)
</f>
        <v/>
      </c>
      <c r="L34" s="24" t="str">
        <f t="array" ref="L34">IFERROR(
  INDEX(PLAYER_STAT!G$2:G64, 
    MATCH(1, 
      (PLAYER_STAT!A$2:A64 = MATCH_DATES!$A$2) * (PLAYER_STAT!D$2:D64 = $B34), 
    0)
  ), 
  ""
)
</f>
        <v/>
      </c>
      <c r="M34" s="25">
        <f t="shared" si="7"/>
        <v>11</v>
      </c>
      <c r="N34" s="26" t="str">
        <f t="shared" si="8"/>
        <v>↓</v>
      </c>
      <c r="O34" s="27" t="s">
        <v>215</v>
      </c>
      <c r="P34" s="28">
        <f t="shared" si="9"/>
        <v>8</v>
      </c>
      <c r="Q34" s="28">
        <f t="shared" si="10"/>
        <v>2</v>
      </c>
      <c r="R34" s="28">
        <f t="shared" si="11"/>
        <v>2</v>
      </c>
      <c r="S34" s="28">
        <f>IF(O34&lt;&gt;"",
    COUNTIFS(MATCH_INPUT!$K$6:$K$9,O34),
0)</f>
        <v>1</v>
      </c>
      <c r="T34" s="28">
        <f>IF(O34&lt;&gt;"",
    COUNTIFS(MATCH_INPUT!$F$6:$F$9, O34, MATCH_INPUT!$K$6:$K$9, "Draw") +
    COUNTIFS(MATCH_INPUT!$J$6:$J$9, O34, MATCH_INPUT!$K$6:$K$9, "Draw"),
0)</f>
        <v>0</v>
      </c>
      <c r="U34" s="28">
        <f>IF(O34&lt;&gt;"",
    COUNTIFS(MATCH_INPUT!$F$6:$F$9, O34, MATCH_INPUT!$K$6:$K$9, "&lt;&gt;"&amp;O34, MATCH_INPUT!$K$6:$K$9, "&lt;&gt;Draw", MATCH_INPUT!$K$6:$K$9, "&lt;&gt;""") +
    COUNTIFS(MATCH_INPUT!$J$6:$J$9, O34, MATCH_INPUT!$K$6:$K$9, "&lt;&gt;"&amp;O34, MATCH_INPUT!$K$6:$K$9, "&lt;&gt;Draw", MATCH_INPUT!$K$6:$K$9, "&lt;&gt;"""),
0)</f>
        <v>1</v>
      </c>
      <c r="V34" s="29" t="str">
        <f t="array" ref="V34">IFERROR(
  INDEX(PLAYER_STAT!E$2:E64, 
    MATCH(1, 
      (PLAYER_STAT!A$2:A64 = MATCH_DATES!$A$3) * (PLAYER_STAT!D$2:D64 = $B34), 
    0)
  ), 
  ""
)
</f>
        <v/>
      </c>
      <c r="W34" s="29" t="str">
        <f t="array" ref="W34">IFERROR(
  INDEX(PLAYER_STAT!F$2:F64, 
    MATCH(1, 
      (PLAYER_STAT!A$2:A64 = MATCH_DATES!$A$3) * (PLAYER_STAT!D$2:D64 = $B34), 
    0)
  ), 
  ""
)
</f>
        <v/>
      </c>
      <c r="X34" s="30" t="str">
        <f t="array" ref="X34">IFERROR(
  INDEX(PLAYER_STAT!G$2:G64, 
    MATCH(1, 
      (PLAYER_STAT!A$2:A64 = MATCH_DATES!$A$3) * (PLAYER_STAT!D$2:D64 = $B34), 
    0)
  ), 
  ""
)
</f>
        <v/>
      </c>
      <c r="Y34" s="31">
        <f t="shared" si="12"/>
        <v>13</v>
      </c>
      <c r="Z34" s="32" t="str">
        <f t="shared" si="13"/>
        <v>↓</v>
      </c>
      <c r="AA34" s="21" t="s">
        <v>213</v>
      </c>
      <c r="AB34" s="33">
        <f t="shared" si="14"/>
        <v>12</v>
      </c>
      <c r="AC34" s="22">
        <f t="shared" si="15"/>
        <v>2</v>
      </c>
      <c r="AD34" s="22">
        <f t="shared" si="16"/>
        <v>2</v>
      </c>
      <c r="AE34" s="22">
        <f>IF(AA34&lt;&gt;"",
    COUNTIFS(MATCH_INPUT!$K$10:$K$13,AA34),
0)</f>
        <v>1</v>
      </c>
      <c r="AF34" s="22">
        <f>IF(AA34&lt;&gt;"",
    COUNTIFS(MATCH_INPUT!$F$10:$F$13, AA34, MATCH_INPUT!$K$10:$K$13, "Draw") +
    COUNTIFS(MATCH_INPUT!$J$10:$J$13, AA34, MATCH_INPUT!$K$10:$K$13, "Draw"),
0)</f>
        <v>0</v>
      </c>
      <c r="AG34" s="22">
        <f>IF(AA34&lt;&gt;"",
    COUNTIFS(MATCH_INPUT!$F$10:$F$13, AA34, MATCH_INPUT!$K$10:$K$13, "&lt;&gt;"&amp;AA34, MATCH_INPUT!$K$10:$K$13, "&lt;&gt;Draw", MATCH_INPUT!$K$10:$K$13, "&lt;&gt;""") +
    COUNTIFS(MATCH_INPUT!$J$10:$J$13, AA34, MATCH_INPUT!$K$10:$K$13, "&lt;&gt;"&amp;AA34, MATCH_INPUT!$K$10:$K$13, "&lt;&gt;Draw", MATCH_INPUT!$K$10:$K$13, "&lt;&gt;"""),
0)</f>
        <v>1</v>
      </c>
      <c r="AH34" s="23" t="str">
        <f t="array" ref="AH34">IFERROR(
  INDEX(PLAYER_STAT!E$2:E64, 
    MATCH(1, 
      (PLAYER_STAT!A$2:A64 = MATCH_DATES!$A$4) * (PLAYER_STAT!D$2:D64 = $B34), 
    0)
  ), 
  ""
)
</f>
        <v/>
      </c>
      <c r="AI34" s="23" t="str">
        <f t="array" ref="AI34">IFERROR(
  INDEX(PLAYER_STAT!F$2:F64, 
    MATCH(1, 
      (PLAYER_STAT!A$2:A64 = MATCH_DATES!$A$4) * (PLAYER_STAT!D$2:D64 = $B34), 
    0)
  ), 
  ""
)
</f>
        <v/>
      </c>
      <c r="AJ34" s="34" t="str">
        <f t="array" ref="AJ34">IFERROR(
  INDEX(PLAYER_STAT!G$2:G64, 
    MATCH(1, 
      (PLAYER_STAT!A$2:A64 = MATCH_DATES!$A$4) * (PLAYER_STAT!D$2:D64 = $B34), 
    0)
  ), 
  ""
)
</f>
        <v/>
      </c>
      <c r="AK34" s="25">
        <f t="shared" si="17"/>
        <v>16</v>
      </c>
      <c r="AL34" s="26" t="str">
        <f t="shared" si="18"/>
        <v>↓</v>
      </c>
      <c r="AM34" s="27" t="s">
        <v>213</v>
      </c>
      <c r="AN34" s="28">
        <f t="shared" si="19"/>
        <v>16</v>
      </c>
      <c r="AO34" s="28">
        <f t="shared" si="20"/>
        <v>2</v>
      </c>
      <c r="AP34" s="28">
        <f t="shared" si="21"/>
        <v>2</v>
      </c>
      <c r="AQ34" s="28">
        <f>IF(AM34&lt;&gt;"",
    COUNTIFS(MATCH_INPUT!$K$14:$K$17,AM34),
0)</f>
        <v>1</v>
      </c>
      <c r="AR34" s="28">
        <f>IF(AM34&lt;&gt;"",
    COUNTIFS(MATCH_INPUT!$F$14:$F$17, AM34, MATCH_INPUT!$K$14:$K$17, "Draw") +
    COUNTIFS(MATCH_INPUT!$J$14:$J$17, AM34, MATCH_INPUT!$K$14:$K$17, "Draw"),
0)</f>
        <v>0</v>
      </c>
      <c r="AS34" s="28">
        <f>IF(AM34&lt;&gt;"",
    COUNTIFS(MATCH_INPUT!$F$14:$F$17, AM34, MATCH_INPUT!$K$14:$K$17, "&lt;&gt;"&amp;AM34, MATCH_INPUT!$K$14:$K$17, "&lt;&gt;Draw", MATCH_INPUT!$K$14:$K$17, "&lt;&gt;""") +
    COUNTIFS(MATCH_INPUT!$J$14:$J$17, AM34, MATCH_INPUT!$K$14:$K$17, "&lt;&gt;"&amp;AM34, MATCH_INPUT!$K$14:$K$17, "&lt;&gt;Draw", MATCH_INPUT!$K$14:$K$17, "&lt;&gt;"""),
0)</f>
        <v>1</v>
      </c>
      <c r="AT34" s="29">
        <f t="array" ref="AT34">IFERROR(
  INDEX(PLAYER_STAT!E$2:E64, 
    MATCH(1, 
      (PLAYER_STAT!A$2:A64 = MATCH_DATES!$A$5) * (PLAYER_STAT!D$2:D64 = $B34), 
    0)
  ), 
  ""
)
</f>
        <v>1</v>
      </c>
      <c r="AU34" s="29">
        <f t="array" ref="AU34">IFERROR(
  INDEX(PLAYER_STAT!F$2:F64, 
    MATCH(1, 
      (PLAYER_STAT!A$2:A64 = MATCH_DATES!$A$5) * (PLAYER_STAT!D$2:D64 = $B34), 
    0)
  ), 
  ""
)
</f>
        <v>0</v>
      </c>
      <c r="AV34" s="30">
        <f t="array" ref="AV34">IFERROR(
  INDEX(PLAYER_STAT!G$2:G64, 
    MATCH(1, 
      (PLAYER_STAT!A$2:A64 = MATCH_DATES!$A$5) * (PLAYER_STAT!D$2:D64 = $B34), 
    0)
  ), 
  ""
)
</f>
        <v>0</v>
      </c>
      <c r="AW34" s="31">
        <f t="shared" si="22"/>
        <v>13</v>
      </c>
      <c r="AX34" s="32" t="str">
        <f t="shared" si="23"/>
        <v>↑</v>
      </c>
      <c r="AY34" s="21" t="s">
        <v>212</v>
      </c>
      <c r="AZ34" s="33">
        <f t="shared" si="24"/>
        <v>29</v>
      </c>
      <c r="BA34" s="22">
        <f t="shared" si="25"/>
        <v>2</v>
      </c>
      <c r="BB34" s="22">
        <f>SUM(BC34*2) + (BD34*1) + SUMIFS(MATCH_INPUT!$G$18:$G$21, MATCH_INPUT!$F$18:$F$21, AY34) + SUMIFS(MATCH_INPUT!$I$18:$I$21, MATCH_INPUT!$J$18:$J$21, AY34)
</f>
        <v>11</v>
      </c>
      <c r="BC34" s="22">
        <f>IF(AY34&lt;&gt;"",
    COUNTIFS(MATCH_INPUT!$K$18:$K$21,AY34),
0)</f>
        <v>2</v>
      </c>
      <c r="BD34" s="22">
        <f>IF(AY34&lt;&gt;"",
    COUNTIFS(MATCH_INPUT!$F$18:$F$21, AY34, MATCH_INPUT!$K$18:$K$21, "Draw") +
    COUNTIFS(MATCH_INPUT!$J$18:$J$21, AY34, MATCH_INPUT!$K$18:$K$21, "Draw"),
0)</f>
        <v>0</v>
      </c>
      <c r="BE34" s="22">
        <f>IF(AY34&lt;&gt;"",
    COUNTIFS(MATCH_INPUT!$F$18:$F$21, AY34, MATCH_INPUT!$K$18:$K$21, "&lt;&gt;"&amp;AY34, MATCH_INPUT!$K$18:$K$21, "&lt;&gt;Draw", MATCH_INPUT!$K$18:$K$21, "&lt;&gt;""") +
    COUNTIFS(MATCH_INPUT!$J$18:$J$21, AY34, MATCH_INPUT!$K$18:$K$21, "&lt;&gt;"&amp;AY34, MATCH_INPUT!$K$18:$K$21, "&lt;&gt;Draw", MATCH_INPUT!$K$18:$K$21, "&lt;&gt;"""),
0)</f>
        <v>0</v>
      </c>
      <c r="BF34" s="23">
        <f t="array" ref="BF34">IFERROR(
  INDEX(PLAYER_STAT!E$2:E64, 
    MATCH(1, 
      (PLAYER_STAT!A$2:A64 = MATCH_DATES!$A$6) * (PLAYER_STAT!D$2:D64 = $B34), 
    0)
  ), 
  ""
)
</f>
        <v>1</v>
      </c>
      <c r="BG34" s="23">
        <f t="array" ref="BG34">IFERROR(
  INDEX(PLAYER_STAT!F$2:F64, 
    MATCH(1, 
      (PLAYER_STAT!A$2:A64 = MATCH_DATES!$A$6) * (PLAYER_STAT!D$2:D64 = $B34), 
    0)
  ), 
  ""
)
</f>
        <v>0</v>
      </c>
      <c r="BH34" s="34">
        <f t="array" ref="BH34">IFERROR(
  INDEX(PLAYER_STAT!G$2:G64, 
    MATCH(1, 
      (PLAYER_STAT!A$2:A64 = MATCH_DATES!$A$6) * (PLAYER_STAT!D$2:D64 = $B34), 
    0)
  ), 
  ""
)
</f>
        <v>0</v>
      </c>
      <c r="BI34" s="25">
        <f t="shared" si="26"/>
        <v>4</v>
      </c>
      <c r="BJ34" s="26" t="str">
        <f t="shared" si="27"/>
        <v>↑</v>
      </c>
      <c r="BK34" s="27" t="s">
        <v>214</v>
      </c>
      <c r="BL34" s="28">
        <f t="shared" si="28"/>
        <v>38</v>
      </c>
      <c r="BM34" s="28">
        <f t="shared" si="29"/>
        <v>2</v>
      </c>
      <c r="BN34" s="28">
        <f>SUM(BO34*2) + (BP34*1) + SUMIFS(MATCH_INPUT!$G$22:$G$25, MATCH_INPUT!$F$22:$F$25, BK34) + SUMIFS(MATCH_INPUT!$I$22:$I$25, MATCH_INPUT!$J$22:$J$25, BK34)
</f>
        <v>7</v>
      </c>
      <c r="BO34" s="28">
        <f>IF(BK34&lt;&gt;"",
    COUNTIFS(MATCH_INPUT!$K$22:$K$25,BK34),
0)</f>
        <v>1</v>
      </c>
      <c r="BP34" s="28">
        <f>IF(BK34&lt;&gt;"",
    COUNTIFS(MATCH_INPUT!$F$22:$F$25, BK34, MATCH_INPUT!$K$22:$K$25, "Draw") +
    COUNTIFS(MATCH_INPUT!$J$22:$J$25, BK34, MATCH_INPUT!$K$22:$K$25, "Draw"),
0)</f>
        <v>1</v>
      </c>
      <c r="BQ34" s="28">
        <f>IF(BK34&lt;&gt;"",
    COUNTIFS(MATCH_INPUT!$F$22:$F$25, BK34, MATCH_INPUT!$K$22:$K$25, "&lt;&gt;"&amp;BK34, MATCH_INPUT!$K$22:$K$25, "&lt;&gt;Draw", MATCH_INPUT!$K$22:$K$25, "&lt;&gt;""") +
    COUNTIFS(MATCH_INPUT!$J$22:$J$25, BK34, MATCH_INPUT!$K$22:$K$25, "&lt;&gt;"&amp;BK34, MATCH_INPUT!$K$22:$K$25, "&lt;&gt;Draw", MATCH_INPUT!$K$22:$K$25, "&lt;&gt;"""),
0)</f>
        <v>0</v>
      </c>
      <c r="BR34" s="29" t="str">
        <f t="array" ref="BR34">IFERROR(
  INDEX(PLAYER_STAT!E$2:E64, 
    MATCH(1, 
      (PLAYER_STAT!A$2:A64 = MATCH_DATES!$A$7) * (PLAYER_STAT!D$2:D64 = $B34), 
    0)
  ), 
  ""
)
</f>
        <v/>
      </c>
      <c r="BS34" s="29" t="str">
        <f t="array" ref="BS34">IFERROR(
  INDEX(PLAYER_STAT!F$2:F64, 
    MATCH(1, 
      (PLAYER_STAT!A$2:A64 = MATCH_DATES!$A$7) * (PLAYER_STAT!D$2:D64 = $B34), 
    0)
  ), 
  ""
)
</f>
        <v/>
      </c>
      <c r="BT34" s="30" t="str">
        <f t="array" ref="BT34">IFERROR(
  INDEX(PLAYER_STAT!G$2:G64, 
    MATCH(1, 
      (PLAYER_STAT!A$2:A64 = MATCH_DATES!$A$7) * (PLAYER_STAT!D$2:D64 = $B34), 
    0)
  ), 
  ""
)
</f>
        <v/>
      </c>
      <c r="BU34" s="31">
        <f t="shared" si="30"/>
        <v>4</v>
      </c>
      <c r="BV34" s="32" t="str">
        <f t="shared" si="31"/>
        <v>=</v>
      </c>
      <c r="BW34" s="21" t="s">
        <v>213</v>
      </c>
      <c r="BX34" s="33">
        <f t="shared" si="32"/>
        <v>54</v>
      </c>
      <c r="BY34" s="22">
        <f t="shared" si="33"/>
        <v>2</v>
      </c>
      <c r="BZ34" s="22">
        <f>SUM(CA34*2)+(CB34*1) + SUMIFS(MATCH_INPUT!$G$26:$G$29, MATCH_INPUT!$F$26:$F$29, BW34) + SUMIFS(MATCH_INPUT!$I$26:$I$29, MATCH_INPUT!$J$26:$J$29, BW34)
</f>
        <v>14</v>
      </c>
      <c r="CA34" s="22">
        <f>IF(BW34&lt;&gt;"",
    COUNTIFS(MATCH_INPUT!$K$26:$K$29,BW34),
0)</f>
        <v>2</v>
      </c>
      <c r="CB34" s="22">
        <f>IF(BW34&lt;&gt;"",
    COUNTIFS(MATCH_INPUT!$F$26:$F$29, BW34, MATCH_INPUT!$K$26:$K$29, "Draw") +
    COUNTIFS(MATCH_INPUT!$J$26:$J$29, BW34, MATCH_INPUT!$K$26:$K$29, "Draw"),
0)</f>
        <v>0</v>
      </c>
      <c r="CC34" s="22">
        <f>IF(BW34&lt;&gt;"",
    COUNTIFS(MATCH_INPUT!$F$26:$F$29, BW34, MATCH_INPUT!$K$26:$K$29, "&lt;&gt;"&amp;BW34, MATCH_INPUT!$K$26:$K$29, "&lt;&gt;Draw", MATCH_INPUT!$K$26:$K$29, "&lt;&gt;""") +
    COUNTIFS(MATCH_INPUT!$J$26:$J$29, BW34, MATCH_INPUT!$K$26:$K$29, "&lt;&gt;"&amp;BW34, MATCH_INPUT!$K$26:$K$29, "&lt;&gt;Draw", MATCH_INPUT!$K$26:$K$29, "&lt;&gt;"""),
0)</f>
        <v>0</v>
      </c>
      <c r="CD34" s="23" t="str">
        <f t="array" ref="CD34">IFERROR(
  INDEX(PLAYER_STAT!E$2:E64, 
    MATCH(1, 
      (PLAYER_STAT!A$2:A64 = MATCH_DATES!$A$8) * (PLAYER_STAT!D$2:D64 = $B34), 
    0)
  ), 
  ""
)
</f>
        <v/>
      </c>
      <c r="CE34" s="23" t="str">
        <f t="array" ref="CE34">IFERROR(
  INDEX(PLAYER_STAT!F$2:F64, 
    MATCH(1, 
      (PLAYER_STAT!A$2:A64 = MATCH_DATES!$A$8) * (PLAYER_STAT!D$2:D64 = $B34), 
    0)
  ), 
  ""
)
</f>
        <v/>
      </c>
      <c r="CF34" s="34" t="str">
        <f t="array" ref="CF34">IFERROR(
  INDEX(PLAYER_STAT!G$2:G64, 
    MATCH(1, 
      (PLAYER_STAT!A$2:A64 = MATCH_DATES!$A$8) * (PLAYER_STAT!D$2:D64 = $B34), 
    0)
  ), 
  ""
)
</f>
        <v/>
      </c>
      <c r="CG34" s="25">
        <f t="shared" si="34"/>
        <v>2</v>
      </c>
      <c r="CH34" s="26" t="str">
        <f t="shared" si="35"/>
        <v>↑</v>
      </c>
      <c r="CI34" s="27" t="s">
        <v>213</v>
      </c>
      <c r="CJ34" s="28">
        <f t="shared" si="36"/>
        <v>64</v>
      </c>
      <c r="CK34" s="28">
        <f t="shared" si="37"/>
        <v>2</v>
      </c>
      <c r="CL34" s="28">
        <f>SUM(CM34*2)+(CN34*1) + SUMIFS(MATCH_INPUT!$G$30:$G$33, MATCH_INPUT!$F$30:$F$33, CI34) + SUMIFS(MATCH_INPUT!$I$30:$I$33, MATCH_INPUT!$J$30:$J$33, CI34)
</f>
        <v>8</v>
      </c>
      <c r="CM34" s="28">
        <f>IF(CI34&lt;&gt;"",
    COUNTIFS(MATCH_INPUT!$K$30:$K$33,CI34),
0)</f>
        <v>1</v>
      </c>
      <c r="CN34" s="28">
        <f>IF(CI34&lt;&gt;"",
    COUNTIFS(MATCH_INPUT!$F$30:$F$33, CI34, MATCH_INPUT!$K$30:$K$33, "Draw") +
    COUNTIFS(MATCH_INPUT!$J$30:$J$33, CI34, MATCH_INPUT!$K$30:$K$33, "Draw"),
0)</f>
        <v>0</v>
      </c>
      <c r="CO34" s="28">
        <f>IF(CI34&lt;&gt;"",
    COUNTIFS(MATCH_INPUT!$F$30:$F$33, CI34, MATCH_INPUT!$K$30:$K$33, "&lt;&gt;"&amp;CI34, MATCH_INPUT!$K$30:$K$33, "&lt;&gt;Draw", MATCH_INPUT!$K$30:$K$33, "&lt;&gt;""") +
    COUNTIFS(MATCH_INPUT!$J$30:$J$33, CI34, MATCH_INPUT!$K$30:$K$33, "&lt;&gt;"&amp;CI34, MATCH_INPUT!$K$30:$K$33, "&lt;&gt;Draw", MATCH_INPUT!$K$30:$K$33, "&lt;&gt;"""),
0)</f>
        <v>1</v>
      </c>
      <c r="CP34" s="29" t="str">
        <f t="array" ref="CP34">IFERROR(
  INDEX(PLAYER_STAT!E$2:E64, 
    MATCH(1, 
      (PLAYER_STAT!A$2:A64 = MATCH_DATES!$A$9) * (PLAYER_STAT!D$2:D64 = $B34), 
    0)
  ), 
  ""
)
</f>
        <v/>
      </c>
      <c r="CQ34" s="29" t="str">
        <f t="array" ref="CQ34">IFERROR(
  INDEX(PLAYER_STAT!F$2:F64, 
    MATCH(1, 
      (PLAYER_STAT!A$2:A64 = MATCH_DATES!$A$9) * (PLAYER_STAT!D$2:D64 = $B34), 
    0)
  ), 
  ""
)
</f>
        <v/>
      </c>
      <c r="CR34" s="29" t="str">
        <f t="array" ref="CR34">IFERROR(
  INDEX(PLAYER_STAT!G$2:G64, 
    MATCH(1, 
      (PLAYER_STAT!A$2:A64 = MATCH_DATES!$A$9) * (PLAYER_STAT!D$2:D64 = $B34), 
    0)
  ), 
  ""
)
</f>
        <v/>
      </c>
      <c r="CS34" s="35">
        <f t="shared" si="38"/>
        <v>2</v>
      </c>
      <c r="CT34" s="35" t="str">
        <f t="shared" si="39"/>
        <v>=</v>
      </c>
      <c r="CU34" s="36">
        <f t="shared" si="40"/>
        <v>48</v>
      </c>
      <c r="CV34" s="36" t="str">
        <f t="shared" ref="CV34:CW34" si="133">A34</f>
        <v>🍂🎃</v>
      </c>
      <c r="CW34" s="37" t="str">
        <f t="shared" si="133"/>
        <v>Ruben</v>
      </c>
      <c r="CX34" s="37">
        <f t="shared" si="42"/>
        <v>64</v>
      </c>
      <c r="CY34" s="36">
        <f>SUM(
  IF(AND(MATCH_DATES!$A$2 &lt;= TODAY(), NOW() &gt;= MATCH_DATES!$A$2 + TIME(22, 0, 0)), E34, 0),
  IF(AND(MATCH_DATES!$A$3 &lt;= TODAY(), NOW() &gt;= MATCH_DATES!$A$3 + TIME(22, 0, 0)), Q34, 0),
  IF(AND(MATCH_DATES!$A$4 &lt;= TODAY(), NOW() &gt;= MATCH_DATES!$A$4 + TIME(22, 0, 0)), AC34, 0),
  IF(AND(MATCH_DATES!$A$5 &lt;= TODAY(), NOW() &gt;= MATCH_DATES!$A$5 + TIME(22, 0, 0)), AO34, 0),
  IF(AND(MATCH_DATES!$A$6 &lt;= TODAY(), NOW() &gt;= MATCH_DATES!$A$6 + TIME(22, 0, 0)), BA34, 0),
  IF(AND(MATCH_DATES!$A$7 &lt;= TODAY(), NOW() &gt;= MATCH_DATES!$A$7 + TIME(22, 0, 0)), BM34, 0),
  IF(AND(MATCH_DATES!$A$8 &lt;= TODAY(), NOW() &gt;= MATCH_DATES!$A$8 + TIME(22, 0, 0)), BY34, 0),
  IF(AND(MATCH_DATES!$A$9 &lt;= TODAY(), NOW() &gt;= MATCH_DATES!$A$9 + TIME(22, 0, 0)), CK34, 0)
)
</f>
        <v>16</v>
      </c>
      <c r="CZ34" s="37">
        <f t="shared" ref="CZ34:DA34" si="134">SUM(G34,S34,AE34,AQ34,BC34,BO34,CA34,CM34)</f>
        <v>10</v>
      </c>
      <c r="DA34" s="37">
        <f t="shared" si="134"/>
        <v>1</v>
      </c>
      <c r="DB34" s="37">
        <f>SUM(
  IF(AND(MATCH_DATES!$A$2 &lt;= TODAY(), NOW() &gt;= MATCH_DATES!$A$2 + TIME(22, 0, 0)), I34, 0),
  IF(AND(MATCH_DATES!$A$3 &lt;= TODAY(), NOW() &gt;= MATCH_DATES!$A$3 + TIME(22, 0, 0)), U34, 0),
  IF(AND(MATCH_DATES!$A$4 &lt;= TODAY(), NOW() &gt;= MATCH_DATES!$A$4 + TIME(22, 0, 0)), AG34, 0),
  IF(AND(MATCH_DATES!$A$5 &lt;= TODAY(), NOW() &gt;= MATCH_DATES!$A$5 + TIME(22, 0, 0)), AS34, 0),
  IF(AND(MATCH_DATES!$A$6 &lt;= TODAY(), NOW() &gt;= MATCH_DATES!$A$6 + TIME(22, 0, 0)), BE34, 0),
  IF(AND(MATCH_DATES!$A$7 &lt;= TODAY(), NOW() &gt;= MATCH_DATES!$A$7 + TIME(22, 0, 0)), BQ34, 0),
  IF(AND(MATCH_DATES!$A$8 &lt;= TODAY(), NOW() &gt;= MATCH_DATES!$A$8 + TIME(22, 0, 0)), CC34, 0),
  IF(AND(MATCH_DATES!$A$9 &lt;= TODAY(), NOW() &gt;= MATCH_DATES!$A$9 + TIME(22, 0, 0)), CO34, 0)
)</f>
        <v>5</v>
      </c>
      <c r="DC34" s="37">
        <f t="shared" si="44"/>
        <v>2</v>
      </c>
      <c r="DD34" s="37">
        <f t="shared" ref="DD34:DE34" si="135">SUM(K34,W34,AI34,AU34,BG34,BS34,CE34,CQ34)</f>
        <v>0</v>
      </c>
      <c r="DE34" s="37">
        <f t="shared" si="135"/>
        <v>0</v>
      </c>
    </row>
    <row r="35" ht="24.75" customHeight="1">
      <c r="A35" s="19" t="s">
        <v>210</v>
      </c>
      <c r="B35" s="20" t="s">
        <v>240</v>
      </c>
      <c r="C35" s="21" t="s">
        <v>213</v>
      </c>
      <c r="D35" s="22">
        <f t="shared" si="4"/>
        <v>4</v>
      </c>
      <c r="E35" s="22">
        <f t="shared" si="5"/>
        <v>2</v>
      </c>
      <c r="F35" s="22">
        <f t="shared" si="6"/>
        <v>2</v>
      </c>
      <c r="G35" s="22">
        <f>IF(C35&lt;&gt;"",
    COUNTIFS(MATCH_INPUT!$K$2:$K$5,C35),
0)</f>
        <v>1</v>
      </c>
      <c r="H35" s="22">
        <f>IF(C35&lt;&gt;"",
    COUNTIFS(MATCH_INPUT!$F$2:$F$5, C35, MATCH_INPUT!$K$2:$K$5, "Draw") +
    COUNTIFS(MATCH_INPUT!$J$2:$J$5, C35, MATCH_INPUT!$K$2:$K$5, "Draw"),
0)</f>
        <v>0</v>
      </c>
      <c r="I35" s="22">
        <f>IF(C35&lt;&gt;"",
    COUNTIFS(MATCH_INPUT!$F$2:$F$5, C35, MATCH_INPUT!$K$2:$K$5, "&lt;&gt;"&amp;C35, MATCH_INPUT!$K$2:$K$5, "&lt;&gt;Draw", MATCH_INPUT!$K$2:$K$5, "&lt;&gt;""") +
    COUNTIFS(MATCH_INPUT!$J$2:$J$5, C35, MATCH_INPUT!$K$2:$K$5, "&lt;&gt;"&amp;C35, MATCH_INPUT!$K$2:$K$5, "&lt;&gt;Draw", MATCH_INPUT!$K$2:$K$5, "&lt;&gt;"""),
0)</f>
        <v>1</v>
      </c>
      <c r="J35" s="23" t="str">
        <f t="array" ref="J35">IFERROR(
  INDEX(PLAYER_STAT!E$2:E64, 
    MATCH(1, 
      (PLAYER_STAT!A$2:A64 = MATCH_DATES!$A$2) * (PLAYER_STAT!D$2:D64 = $B35), 
    0)
  ), 
  ""
)
</f>
        <v/>
      </c>
      <c r="K35" s="23" t="str">
        <f t="array" ref="K35">IFERROR(
  INDEX(PLAYER_STAT!F$2:F64, 
    MATCH(1, 
      (PLAYER_STAT!A$2:A64 = MATCH_DATES!$A$2) * (PLAYER_STAT!D$2:D64 = $B35), 
    0)
  ), 
  ""
)
</f>
        <v/>
      </c>
      <c r="L35" s="24" t="str">
        <f t="array" ref="L35">IFERROR(
  INDEX(PLAYER_STAT!G$2:G64, 
    MATCH(1, 
      (PLAYER_STAT!A$2:A64 = MATCH_DATES!$A$2) * (PLAYER_STAT!D$2:D64 = $B35), 
    0)
  ), 
  ""
)
</f>
        <v/>
      </c>
      <c r="M35" s="25">
        <f t="shared" si="7"/>
        <v>11</v>
      </c>
      <c r="N35" s="26" t="str">
        <f t="shared" si="8"/>
        <v>↓</v>
      </c>
      <c r="O35" s="27" t="s">
        <v>215</v>
      </c>
      <c r="P35" s="28">
        <f t="shared" si="9"/>
        <v>8</v>
      </c>
      <c r="Q35" s="28">
        <f t="shared" si="10"/>
        <v>2</v>
      </c>
      <c r="R35" s="28">
        <f t="shared" si="11"/>
        <v>2</v>
      </c>
      <c r="S35" s="28">
        <f>IF(O35&lt;&gt;"",
    COUNTIFS(MATCH_INPUT!$K$6:$K$9,O35),
0)</f>
        <v>1</v>
      </c>
      <c r="T35" s="28">
        <f>IF(O35&lt;&gt;"",
    COUNTIFS(MATCH_INPUT!$F$6:$F$9, O35, MATCH_INPUT!$K$6:$K$9, "Draw") +
    COUNTIFS(MATCH_INPUT!$J$6:$J$9, O35, MATCH_INPUT!$K$6:$K$9, "Draw"),
0)</f>
        <v>0</v>
      </c>
      <c r="U35" s="28">
        <f>IF(O35&lt;&gt;"",
    COUNTIFS(MATCH_INPUT!$F$6:$F$9, O35, MATCH_INPUT!$K$6:$K$9, "&lt;&gt;"&amp;O35, MATCH_INPUT!$K$6:$K$9, "&lt;&gt;Draw", MATCH_INPUT!$K$6:$K$9, "&lt;&gt;""") +
    COUNTIFS(MATCH_INPUT!$J$6:$J$9, O35, MATCH_INPUT!$K$6:$K$9, "&lt;&gt;"&amp;O35, MATCH_INPUT!$K$6:$K$9, "&lt;&gt;Draw", MATCH_INPUT!$K$6:$K$9, "&lt;&gt;"""),
0)</f>
        <v>1</v>
      </c>
      <c r="V35" s="29">
        <f t="array" ref="V35">IFERROR(
  INDEX(PLAYER_STAT!E$2:E64, 
    MATCH(1, 
      (PLAYER_STAT!A$2:A64 = MATCH_DATES!$A$3) * (PLAYER_STAT!D$2:D64 = $B35), 
    0)
  ), 
  ""
)
</f>
        <v>1</v>
      </c>
      <c r="W35" s="29">
        <f t="array" ref="W35">IFERROR(
  INDEX(PLAYER_STAT!F$2:F64, 
    MATCH(1, 
      (PLAYER_STAT!A$2:A64 = MATCH_DATES!$A$3) * (PLAYER_STAT!D$2:D64 = $B35), 
    0)
  ), 
  ""
)
</f>
        <v>0</v>
      </c>
      <c r="X35" s="30">
        <f t="array" ref="X35">IFERROR(
  INDEX(PLAYER_STAT!G$2:G64, 
    MATCH(1, 
      (PLAYER_STAT!A$2:A64 = MATCH_DATES!$A$3) * (PLAYER_STAT!D$2:D64 = $B35), 
    0)
  ), 
  ""
)
</f>
        <v>0</v>
      </c>
      <c r="Y35" s="31">
        <f t="shared" si="12"/>
        <v>13</v>
      </c>
      <c r="Z35" s="32" t="str">
        <f t="shared" si="13"/>
        <v>↓</v>
      </c>
      <c r="AA35" s="21" t="s">
        <v>215</v>
      </c>
      <c r="AB35" s="33">
        <f t="shared" si="14"/>
        <v>10</v>
      </c>
      <c r="AC35" s="22">
        <f t="shared" si="15"/>
        <v>2</v>
      </c>
      <c r="AD35" s="22">
        <f t="shared" si="16"/>
        <v>0</v>
      </c>
      <c r="AE35" s="22">
        <f>IF(AA35&lt;&gt;"",
    COUNTIFS(MATCH_INPUT!$K$10:$K$13,AA35),
0)</f>
        <v>0</v>
      </c>
      <c r="AF35" s="22">
        <f>IF(AA35&lt;&gt;"",
    COUNTIFS(MATCH_INPUT!$F$10:$F$13, AA35, MATCH_INPUT!$K$10:$K$13, "Draw") +
    COUNTIFS(MATCH_INPUT!$J$10:$J$13, AA35, MATCH_INPUT!$K$10:$K$13, "Draw"),
0)</f>
        <v>0</v>
      </c>
      <c r="AG35" s="22">
        <f>IF(AA35&lt;&gt;"",
    COUNTIFS(MATCH_INPUT!$F$10:$F$13, AA35, MATCH_INPUT!$K$10:$K$13, "&lt;&gt;"&amp;AA35, MATCH_INPUT!$K$10:$K$13, "&lt;&gt;Draw", MATCH_INPUT!$K$10:$K$13, "&lt;&gt;""") +
    COUNTIFS(MATCH_INPUT!$J$10:$J$13, AA35, MATCH_INPUT!$K$10:$K$13, "&lt;&gt;"&amp;AA35, MATCH_INPUT!$K$10:$K$13, "&lt;&gt;Draw", MATCH_INPUT!$K$10:$K$13, "&lt;&gt;"""),
0)</f>
        <v>2</v>
      </c>
      <c r="AH35" s="23" t="str">
        <f t="array" ref="AH35">IFERROR(
  INDEX(PLAYER_STAT!E$2:E64, 
    MATCH(1, 
      (PLAYER_STAT!A$2:A64 = MATCH_DATES!$A$4) * (PLAYER_STAT!D$2:D64 = $B35), 
    0)
  ), 
  ""
)
</f>
        <v/>
      </c>
      <c r="AI35" s="23" t="str">
        <f t="array" ref="AI35">IFERROR(
  INDEX(PLAYER_STAT!F$2:F64, 
    MATCH(1, 
      (PLAYER_STAT!A$2:A64 = MATCH_DATES!$A$4) * (PLAYER_STAT!D$2:D64 = $B35), 
    0)
  ), 
  ""
)
</f>
        <v/>
      </c>
      <c r="AJ35" s="34" t="str">
        <f t="array" ref="AJ35">IFERROR(
  INDEX(PLAYER_STAT!G$2:G64, 
    MATCH(1, 
      (PLAYER_STAT!A$2:A64 = MATCH_DATES!$A$4) * (PLAYER_STAT!D$2:D64 = $B35), 
    0)
  ), 
  ""
)
</f>
        <v/>
      </c>
      <c r="AK35" s="25">
        <f t="shared" si="17"/>
        <v>25</v>
      </c>
      <c r="AL35" s="26" t="str">
        <f t="shared" si="18"/>
        <v>↓</v>
      </c>
      <c r="AM35" s="27" t="s">
        <v>212</v>
      </c>
      <c r="AN35" s="28">
        <f t="shared" si="19"/>
        <v>16</v>
      </c>
      <c r="AO35" s="28">
        <f t="shared" si="20"/>
        <v>2</v>
      </c>
      <c r="AP35" s="28">
        <f t="shared" si="21"/>
        <v>4</v>
      </c>
      <c r="AQ35" s="28">
        <f>IF(AM35&lt;&gt;"",
    COUNTIFS(MATCH_INPUT!$K$14:$K$17,AM35),
0)</f>
        <v>2</v>
      </c>
      <c r="AR35" s="28">
        <f>IF(AM35&lt;&gt;"",
    COUNTIFS(MATCH_INPUT!$F$14:$F$17, AM35, MATCH_INPUT!$K$14:$K$17, "Draw") +
    COUNTIFS(MATCH_INPUT!$J$14:$J$17, AM35, MATCH_INPUT!$K$14:$K$17, "Draw"),
0)</f>
        <v>0</v>
      </c>
      <c r="AS35" s="28">
        <f>IF(AM35&lt;&gt;"",
    COUNTIFS(MATCH_INPUT!$F$14:$F$17, AM35, MATCH_INPUT!$K$14:$K$17, "&lt;&gt;"&amp;AM35, MATCH_INPUT!$K$14:$K$17, "&lt;&gt;Draw", MATCH_INPUT!$K$14:$K$17, "&lt;&gt;""") +
    COUNTIFS(MATCH_INPUT!$J$14:$J$17, AM35, MATCH_INPUT!$K$14:$K$17, "&lt;&gt;"&amp;AM35, MATCH_INPUT!$K$14:$K$17, "&lt;&gt;Draw", MATCH_INPUT!$K$14:$K$17, "&lt;&gt;"""),
0)</f>
        <v>0</v>
      </c>
      <c r="AT35" s="29">
        <f t="array" ref="AT35">IFERROR(
  INDEX(PLAYER_STAT!E$2:E64, 
    MATCH(1, 
      (PLAYER_STAT!A$2:A64 = MATCH_DATES!$A$5) * (PLAYER_STAT!D$2:D64 = $B35), 
    0)
  ), 
  ""
)
</f>
        <v>2</v>
      </c>
      <c r="AU35" s="29">
        <f t="array" ref="AU35">IFERROR(
  INDEX(PLAYER_STAT!F$2:F64, 
    MATCH(1, 
      (PLAYER_STAT!A$2:A64 = MATCH_DATES!$A$5) * (PLAYER_STAT!D$2:D64 = $B35), 
    0)
  ), 
  ""
)
</f>
        <v>0</v>
      </c>
      <c r="AV35" s="30">
        <f t="array" ref="AV35">IFERROR(
  INDEX(PLAYER_STAT!G$2:G64, 
    MATCH(1, 
      (PLAYER_STAT!A$2:A64 = MATCH_DATES!$A$5) * (PLAYER_STAT!D$2:D64 = $B35), 
    0)
  ), 
  ""
)
</f>
        <v>0</v>
      </c>
      <c r="AW35" s="31">
        <f t="shared" si="22"/>
        <v>13</v>
      </c>
      <c r="AX35" s="32" t="str">
        <f t="shared" si="23"/>
        <v>↑</v>
      </c>
      <c r="AY35" s="21" t="s">
        <v>213</v>
      </c>
      <c r="AZ35" s="33">
        <f t="shared" si="24"/>
        <v>20</v>
      </c>
      <c r="BA35" s="22">
        <f t="shared" si="25"/>
        <v>2</v>
      </c>
      <c r="BB35" s="22">
        <f>SUM(BC35*2) + (BD35*1) + SUMIFS(MATCH_INPUT!$G$18:$G$21, MATCH_INPUT!$F$18:$F$21, AY35) + SUMIFS(MATCH_INPUT!$I$18:$I$21, MATCH_INPUT!$J$18:$J$21, AY35)
</f>
        <v>2</v>
      </c>
      <c r="BC35" s="22">
        <f>IF(AY35&lt;&gt;"",
    COUNTIFS(MATCH_INPUT!$K$18:$K$21,AY35),
0)</f>
        <v>0</v>
      </c>
      <c r="BD35" s="22">
        <f>IF(AY35&lt;&gt;"",
    COUNTIFS(MATCH_INPUT!$F$18:$F$21, AY35, MATCH_INPUT!$K$18:$K$21, "Draw") +
    COUNTIFS(MATCH_INPUT!$J$18:$J$21, AY35, MATCH_INPUT!$K$18:$K$21, "Draw"),
0)</f>
        <v>1</v>
      </c>
      <c r="BE35" s="22">
        <f>IF(AY35&lt;&gt;"",
    COUNTIFS(MATCH_INPUT!$F$18:$F$21, AY35, MATCH_INPUT!$K$18:$K$21, "&lt;&gt;"&amp;AY35, MATCH_INPUT!$K$18:$K$21, "&lt;&gt;Draw", MATCH_INPUT!$K$18:$K$21, "&lt;&gt;""") +
    COUNTIFS(MATCH_INPUT!$J$18:$J$21, AY35, MATCH_INPUT!$K$18:$K$21, "&lt;&gt;"&amp;AY35, MATCH_INPUT!$K$18:$K$21, "&lt;&gt;Draw", MATCH_INPUT!$K$18:$K$21, "&lt;&gt;"""),
0)</f>
        <v>1</v>
      </c>
      <c r="BF35" s="23" t="str">
        <f t="array" ref="BF35">IFERROR(
  INDEX(PLAYER_STAT!E$2:E64, 
    MATCH(1, 
      (PLAYER_STAT!A$2:A64 = MATCH_DATES!$A$6) * (PLAYER_STAT!D$2:D64 = $B35), 
    0)
  ), 
  ""
)
</f>
        <v/>
      </c>
      <c r="BG35" s="23" t="str">
        <f t="array" ref="BG35">IFERROR(
  INDEX(PLAYER_STAT!F$2:F64, 
    MATCH(1, 
      (PLAYER_STAT!A$2:A64 = MATCH_DATES!$A$6) * (PLAYER_STAT!D$2:D64 = $B35), 
    0)
  ), 
  ""
)
</f>
        <v/>
      </c>
      <c r="BH35" s="34" t="str">
        <f t="array" ref="BH35">IFERROR(
  INDEX(PLAYER_STAT!G$2:G64, 
    MATCH(1, 
      (PLAYER_STAT!A$2:A64 = MATCH_DATES!$A$6) * (PLAYER_STAT!D$2:D64 = $B35), 
    0)
  ), 
  ""
)
</f>
        <v/>
      </c>
      <c r="BI35" s="25">
        <f t="shared" si="26"/>
        <v>20</v>
      </c>
      <c r="BJ35" s="26" t="str">
        <f t="shared" si="27"/>
        <v>↓</v>
      </c>
      <c r="BK35" s="27" t="s">
        <v>214</v>
      </c>
      <c r="BL35" s="28">
        <f t="shared" si="28"/>
        <v>29</v>
      </c>
      <c r="BM35" s="28">
        <f t="shared" si="29"/>
        <v>2</v>
      </c>
      <c r="BN35" s="28">
        <f>SUM(BO35*2) + (BP35*1) + SUMIFS(MATCH_INPUT!$G$22:$G$25, MATCH_INPUT!$F$22:$F$25, BK35) + SUMIFS(MATCH_INPUT!$I$22:$I$25, MATCH_INPUT!$J$22:$J$25, BK35)
</f>
        <v>7</v>
      </c>
      <c r="BO35" s="28">
        <f>IF(BK35&lt;&gt;"",
    COUNTIFS(MATCH_INPUT!$K$22:$K$25,BK35),
0)</f>
        <v>1</v>
      </c>
      <c r="BP35" s="28">
        <f>IF(BK35&lt;&gt;"",
    COUNTIFS(MATCH_INPUT!$F$22:$F$25, BK35, MATCH_INPUT!$K$22:$K$25, "Draw") +
    COUNTIFS(MATCH_INPUT!$J$22:$J$25, BK35, MATCH_INPUT!$K$22:$K$25, "Draw"),
0)</f>
        <v>1</v>
      </c>
      <c r="BQ35" s="28">
        <f>IF(BK35&lt;&gt;"",
    COUNTIFS(MATCH_INPUT!$F$22:$F$25, BK35, MATCH_INPUT!$K$22:$K$25, "&lt;&gt;"&amp;BK35, MATCH_INPUT!$K$22:$K$25, "&lt;&gt;Draw", MATCH_INPUT!$K$22:$K$25, "&lt;&gt;""") +
    COUNTIFS(MATCH_INPUT!$J$22:$J$25, BK35, MATCH_INPUT!$K$22:$K$25, "&lt;&gt;"&amp;BK35, MATCH_INPUT!$K$22:$K$25, "&lt;&gt;Draw", MATCH_INPUT!$K$22:$K$25, "&lt;&gt;"""),
0)</f>
        <v>0</v>
      </c>
      <c r="BR35" s="29" t="str">
        <f t="array" ref="BR35">IFERROR(
  INDEX(PLAYER_STAT!E$2:E64, 
    MATCH(1, 
      (PLAYER_STAT!A$2:A64 = MATCH_DATES!$A$7) * (PLAYER_STAT!D$2:D64 = $B35), 
    0)
  ), 
  ""
)
</f>
        <v/>
      </c>
      <c r="BS35" s="29" t="str">
        <f t="array" ref="BS35">IFERROR(
  INDEX(PLAYER_STAT!F$2:F64, 
    MATCH(1, 
      (PLAYER_STAT!A$2:A64 = MATCH_DATES!$A$7) * (PLAYER_STAT!D$2:D64 = $B35), 
    0)
  ), 
  ""
)
</f>
        <v/>
      </c>
      <c r="BT35" s="30" t="str">
        <f t="array" ref="BT35">IFERROR(
  INDEX(PLAYER_STAT!G$2:G64, 
    MATCH(1, 
      (PLAYER_STAT!A$2:A64 = MATCH_DATES!$A$7) * (PLAYER_STAT!D$2:D64 = $B35), 
    0)
  ), 
  ""
)
</f>
        <v/>
      </c>
      <c r="BU35" s="31">
        <f t="shared" si="30"/>
        <v>19</v>
      </c>
      <c r="BV35" s="32" t="str">
        <f t="shared" si="31"/>
        <v>↑</v>
      </c>
      <c r="BW35" s="21" t="s">
        <v>212</v>
      </c>
      <c r="BX35" s="33">
        <f t="shared" si="32"/>
        <v>37</v>
      </c>
      <c r="BY35" s="22">
        <f t="shared" si="33"/>
        <v>2</v>
      </c>
      <c r="BZ35" s="22">
        <f>SUM(CA35*2)+(CB35*1) + SUMIFS(MATCH_INPUT!$G$26:$G$29, MATCH_INPUT!$F$26:$F$29, BW35) + SUMIFS(MATCH_INPUT!$I$26:$I$29, MATCH_INPUT!$J$26:$J$29, BW35)
</f>
        <v>6</v>
      </c>
      <c r="CA35" s="22">
        <f>IF(BW35&lt;&gt;"",
    COUNTIFS(MATCH_INPUT!$K$26:$K$29,BW35),
0)</f>
        <v>1</v>
      </c>
      <c r="CB35" s="22">
        <f>IF(BW35&lt;&gt;"",
    COUNTIFS(MATCH_INPUT!$F$26:$F$29, BW35, MATCH_INPUT!$K$26:$K$29, "Draw") +
    COUNTIFS(MATCH_INPUT!$J$26:$J$29, BW35, MATCH_INPUT!$K$26:$K$29, "Draw"),
0)</f>
        <v>1</v>
      </c>
      <c r="CC35" s="22">
        <f>IF(BW35&lt;&gt;"",
    COUNTIFS(MATCH_INPUT!$F$26:$F$29, BW35, MATCH_INPUT!$K$26:$K$29, "&lt;&gt;"&amp;BW35, MATCH_INPUT!$K$26:$K$29, "&lt;&gt;Draw", MATCH_INPUT!$K$26:$K$29, "&lt;&gt;""") +
    COUNTIFS(MATCH_INPUT!$J$26:$J$29, BW35, MATCH_INPUT!$K$26:$K$29, "&lt;&gt;"&amp;BW35, MATCH_INPUT!$K$26:$K$29, "&lt;&gt;Draw", MATCH_INPUT!$K$26:$K$29, "&lt;&gt;"""),
0)</f>
        <v>0</v>
      </c>
      <c r="CD35" s="23" t="str">
        <f t="array" ref="CD35">IFERROR(
  INDEX(PLAYER_STAT!E$2:E64, 
    MATCH(1, 
      (PLAYER_STAT!A$2:A64 = MATCH_DATES!$A$8) * (PLAYER_STAT!D$2:D64 = $B35), 
    0)
  ), 
  ""
)
</f>
        <v/>
      </c>
      <c r="CE35" s="23" t="str">
        <f t="array" ref="CE35">IFERROR(
  INDEX(PLAYER_STAT!F$2:F64, 
    MATCH(1, 
      (PLAYER_STAT!A$2:A64 = MATCH_DATES!$A$8) * (PLAYER_STAT!D$2:D64 = $B35), 
    0)
  ), 
  ""
)
</f>
        <v/>
      </c>
      <c r="CF35" s="34" t="str">
        <f t="array" ref="CF35">IFERROR(
  INDEX(PLAYER_STAT!G$2:G64, 
    MATCH(1, 
      (PLAYER_STAT!A$2:A64 = MATCH_DATES!$A$8) * (PLAYER_STAT!D$2:D64 = $B35), 
    0)
  ), 
  ""
)
</f>
        <v/>
      </c>
      <c r="CG35" s="25">
        <f t="shared" si="34"/>
        <v>17</v>
      </c>
      <c r="CH35" s="26" t="str">
        <f t="shared" si="35"/>
        <v>↑</v>
      </c>
      <c r="CI35" s="27" t="s">
        <v>214</v>
      </c>
      <c r="CJ35" s="28">
        <f t="shared" si="36"/>
        <v>46</v>
      </c>
      <c r="CK35" s="28">
        <f t="shared" si="37"/>
        <v>2</v>
      </c>
      <c r="CL35" s="28">
        <f>SUM(CM35*2)+(CN35*1) + SUMIFS(MATCH_INPUT!$G$30:$G$33, MATCH_INPUT!$F$30:$F$33, CI35) + SUMIFS(MATCH_INPUT!$I$30:$I$33, MATCH_INPUT!$J$30:$J$33, CI35)
</f>
        <v>7</v>
      </c>
      <c r="CM35" s="28">
        <f>IF(CI35&lt;&gt;"",
    COUNTIFS(MATCH_INPUT!$K$30:$K$33,CI35),
0)</f>
        <v>1</v>
      </c>
      <c r="CN35" s="28">
        <f>IF(CI35&lt;&gt;"",
    COUNTIFS(MATCH_INPUT!$F$30:$F$33, CI35, MATCH_INPUT!$K$30:$K$33, "Draw") +
    COUNTIFS(MATCH_INPUT!$J$30:$J$33, CI35, MATCH_INPUT!$K$30:$K$33, "Draw"),
0)</f>
        <v>1</v>
      </c>
      <c r="CO35" s="28">
        <f>IF(CI35&lt;&gt;"",
    COUNTIFS(MATCH_INPUT!$F$30:$F$33, CI35, MATCH_INPUT!$K$30:$K$33, "&lt;&gt;"&amp;CI35, MATCH_INPUT!$K$30:$K$33, "&lt;&gt;Draw", MATCH_INPUT!$K$30:$K$33, "&lt;&gt;""") +
    COUNTIFS(MATCH_INPUT!$J$30:$J$33, CI35, MATCH_INPUT!$K$30:$K$33, "&lt;&gt;"&amp;CI35, MATCH_INPUT!$K$30:$K$33, "&lt;&gt;Draw", MATCH_INPUT!$K$30:$K$33, "&lt;&gt;"""),
0)</f>
        <v>0</v>
      </c>
      <c r="CP35" s="29" t="str">
        <f t="array" ref="CP35">IFERROR(
  INDEX(PLAYER_STAT!E$2:E64, 
    MATCH(1, 
      (PLAYER_STAT!A$2:A64 = MATCH_DATES!$A$9) * (PLAYER_STAT!D$2:D64 = $B35), 
    0)
  ), 
  ""
)
</f>
        <v/>
      </c>
      <c r="CQ35" s="29" t="str">
        <f t="array" ref="CQ35">IFERROR(
  INDEX(PLAYER_STAT!F$2:F64, 
    MATCH(1, 
      (PLAYER_STAT!A$2:A64 = MATCH_DATES!$A$9) * (PLAYER_STAT!D$2:D64 = $B35), 
    0)
  ), 
  ""
)
</f>
        <v/>
      </c>
      <c r="CR35" s="29" t="str">
        <f t="array" ref="CR35">IFERROR(
  INDEX(PLAYER_STAT!G$2:G64, 
    MATCH(1, 
      (PLAYER_STAT!A$2:A64 = MATCH_DATES!$A$9) * (PLAYER_STAT!D$2:D64 = $B35), 
    0)
  ), 
  ""
)
</f>
        <v/>
      </c>
      <c r="CS35" s="35">
        <f t="shared" si="38"/>
        <v>19</v>
      </c>
      <c r="CT35" s="35" t="str">
        <f t="shared" si="39"/>
        <v>↓</v>
      </c>
      <c r="CU35" s="36">
        <f t="shared" si="40"/>
        <v>30</v>
      </c>
      <c r="CV35" s="36" t="str">
        <f t="shared" ref="CV35:CW35" si="136">A35</f>
        <v>🍂🎃</v>
      </c>
      <c r="CW35" s="37" t="str">
        <f t="shared" si="136"/>
        <v>Rudy</v>
      </c>
      <c r="CX35" s="37">
        <f t="shared" si="42"/>
        <v>46</v>
      </c>
      <c r="CY35" s="36">
        <f>SUM(
  IF(AND(MATCH_DATES!$A$2 &lt;= TODAY(), NOW() &gt;= MATCH_DATES!$A$2 + TIME(22, 0, 0)), E35, 0),
  IF(AND(MATCH_DATES!$A$3 &lt;= TODAY(), NOW() &gt;= MATCH_DATES!$A$3 + TIME(22, 0, 0)), Q35, 0),
  IF(AND(MATCH_DATES!$A$4 &lt;= TODAY(), NOW() &gt;= MATCH_DATES!$A$4 + TIME(22, 0, 0)), AC35, 0),
  IF(AND(MATCH_DATES!$A$5 &lt;= TODAY(), NOW() &gt;= MATCH_DATES!$A$5 + TIME(22, 0, 0)), AO35, 0),
  IF(AND(MATCH_DATES!$A$6 &lt;= TODAY(), NOW() &gt;= MATCH_DATES!$A$6 + TIME(22, 0, 0)), BA35, 0),
  IF(AND(MATCH_DATES!$A$7 &lt;= TODAY(), NOW() &gt;= MATCH_DATES!$A$7 + TIME(22, 0, 0)), BM35, 0),
  IF(AND(MATCH_DATES!$A$8 &lt;= TODAY(), NOW() &gt;= MATCH_DATES!$A$8 + TIME(22, 0, 0)), BY35, 0),
  IF(AND(MATCH_DATES!$A$9 &lt;= TODAY(), NOW() &gt;= MATCH_DATES!$A$9 + TIME(22, 0, 0)), CK35, 0)
)
</f>
        <v>16</v>
      </c>
      <c r="CZ35" s="37">
        <f t="shared" ref="CZ35:DA35" si="137">SUM(G35,S35,AE35,AQ35,BC35,BO35,CA35,CM35)</f>
        <v>7</v>
      </c>
      <c r="DA35" s="37">
        <f t="shared" si="137"/>
        <v>4</v>
      </c>
      <c r="DB35" s="37">
        <f>SUM(
  IF(AND(MATCH_DATES!$A$2 &lt;= TODAY(), NOW() &gt;= MATCH_DATES!$A$2 + TIME(22, 0, 0)), I35, 0),
  IF(AND(MATCH_DATES!$A$3 &lt;= TODAY(), NOW() &gt;= MATCH_DATES!$A$3 + TIME(22, 0, 0)), U35, 0),
  IF(AND(MATCH_DATES!$A$4 &lt;= TODAY(), NOW() &gt;= MATCH_DATES!$A$4 + TIME(22, 0, 0)), AG35, 0),
  IF(AND(MATCH_DATES!$A$5 &lt;= TODAY(), NOW() &gt;= MATCH_DATES!$A$5 + TIME(22, 0, 0)), AS35, 0),
  IF(AND(MATCH_DATES!$A$6 &lt;= TODAY(), NOW() &gt;= MATCH_DATES!$A$6 + TIME(22, 0, 0)), BE35, 0),
  IF(AND(MATCH_DATES!$A$7 &lt;= TODAY(), NOW() &gt;= MATCH_DATES!$A$7 + TIME(22, 0, 0)), BQ35, 0),
  IF(AND(MATCH_DATES!$A$8 &lt;= TODAY(), NOW() &gt;= MATCH_DATES!$A$8 + TIME(22, 0, 0)), CC35, 0),
  IF(AND(MATCH_DATES!$A$9 &lt;= TODAY(), NOW() &gt;= MATCH_DATES!$A$9 + TIME(22, 0, 0)), CO35, 0)
)</f>
        <v>5</v>
      </c>
      <c r="DC35" s="37">
        <f t="shared" si="44"/>
        <v>3</v>
      </c>
      <c r="DD35" s="37">
        <f t="shared" ref="DD35:DE35" si="138">SUM(K35,W35,AI35,AU35,BG35,BS35,CE35,CQ35)</f>
        <v>0</v>
      </c>
      <c r="DE35" s="37">
        <f t="shared" si="138"/>
        <v>0</v>
      </c>
    </row>
    <row r="36" ht="24.75" customHeight="1">
      <c r="A36" s="19" t="s">
        <v>210</v>
      </c>
      <c r="B36" s="40" t="s">
        <v>84</v>
      </c>
      <c r="C36" s="21" t="s">
        <v>213</v>
      </c>
      <c r="D36" s="22">
        <f t="shared" si="4"/>
        <v>4</v>
      </c>
      <c r="E36" s="22">
        <f t="shared" si="5"/>
        <v>2</v>
      </c>
      <c r="F36" s="22">
        <f t="shared" si="6"/>
        <v>2</v>
      </c>
      <c r="G36" s="22">
        <f>IF(C36&lt;&gt;"",
    COUNTIFS(MATCH_INPUT!$K$2:$K$5,C36),
0)</f>
        <v>1</v>
      </c>
      <c r="H36" s="22">
        <f>IF(C36&lt;&gt;"",
    COUNTIFS(MATCH_INPUT!$F$2:$F$5, C36, MATCH_INPUT!$K$2:$K$5, "Draw") +
    COUNTIFS(MATCH_INPUT!$J$2:$J$5, C36, MATCH_INPUT!$K$2:$K$5, "Draw"),
0)</f>
        <v>0</v>
      </c>
      <c r="I36" s="22">
        <f>IF(C36&lt;&gt;"",
    COUNTIFS(MATCH_INPUT!$F$2:$F$5, C36, MATCH_INPUT!$K$2:$K$5, "&lt;&gt;"&amp;C36, MATCH_INPUT!$K$2:$K$5, "&lt;&gt;Draw", MATCH_INPUT!$K$2:$K$5, "&lt;&gt;""") +
    COUNTIFS(MATCH_INPUT!$J$2:$J$5, C36, MATCH_INPUT!$K$2:$K$5, "&lt;&gt;"&amp;C36, MATCH_INPUT!$K$2:$K$5, "&lt;&gt;Draw", MATCH_INPUT!$K$2:$K$5, "&lt;&gt;"""),
0)</f>
        <v>1</v>
      </c>
      <c r="J36" s="23">
        <f t="array" ref="J36">IFERROR(
  INDEX(PLAYER_STAT!E$2:E64, 
    MATCH(1, 
      (PLAYER_STAT!A$2:A64 = MATCH_DATES!$A$2) * (PLAYER_STAT!D$2:D64 = $B36), 
    0)
  ), 
  ""
)
</f>
        <v>2</v>
      </c>
      <c r="K36" s="23">
        <f t="array" ref="K36">IFERROR(
  INDEX(PLAYER_STAT!F$2:F64, 
    MATCH(1, 
      (PLAYER_STAT!A$2:A64 = MATCH_DATES!$A$2) * (PLAYER_STAT!D$2:D64 = $B36), 
    0)
  ), 
  ""
)
</f>
        <v>0</v>
      </c>
      <c r="L36" s="24">
        <f t="array" ref="L36">IFERROR(
  INDEX(PLAYER_STAT!G$2:G64, 
    MATCH(1, 
      (PLAYER_STAT!A$2:A64 = MATCH_DATES!$A$2) * (PLAYER_STAT!D$2:D64 = $B36), 
    0)
  ), 
  ""
)
</f>
        <v>0</v>
      </c>
      <c r="M36" s="25">
        <f t="shared" si="7"/>
        <v>11</v>
      </c>
      <c r="N36" s="26" t="str">
        <f t="shared" si="8"/>
        <v>↓</v>
      </c>
      <c r="O36" s="27" t="s">
        <v>215</v>
      </c>
      <c r="P36" s="28">
        <f t="shared" si="9"/>
        <v>8</v>
      </c>
      <c r="Q36" s="28">
        <f t="shared" si="10"/>
        <v>2</v>
      </c>
      <c r="R36" s="28">
        <f t="shared" si="11"/>
        <v>2</v>
      </c>
      <c r="S36" s="28">
        <f>IF(O36&lt;&gt;"",
    COUNTIFS(MATCH_INPUT!$K$6:$K$9,O36),
0)</f>
        <v>1</v>
      </c>
      <c r="T36" s="28">
        <f>IF(O36&lt;&gt;"",
    COUNTIFS(MATCH_INPUT!$F$6:$F$9, O36, MATCH_INPUT!$K$6:$K$9, "Draw") +
    COUNTIFS(MATCH_INPUT!$J$6:$J$9, O36, MATCH_INPUT!$K$6:$K$9, "Draw"),
0)</f>
        <v>0</v>
      </c>
      <c r="U36" s="28">
        <f>IF(O36&lt;&gt;"",
    COUNTIFS(MATCH_INPUT!$F$6:$F$9, O36, MATCH_INPUT!$K$6:$K$9, "&lt;&gt;"&amp;O36, MATCH_INPUT!$K$6:$K$9, "&lt;&gt;Draw", MATCH_INPUT!$K$6:$K$9, "&lt;&gt;""") +
    COUNTIFS(MATCH_INPUT!$J$6:$J$9, O36, MATCH_INPUT!$K$6:$K$9, "&lt;&gt;"&amp;O36, MATCH_INPUT!$K$6:$K$9, "&lt;&gt;Draw", MATCH_INPUT!$K$6:$K$9, "&lt;&gt;"""),
0)</f>
        <v>1</v>
      </c>
      <c r="V36" s="29">
        <f t="array" ref="V36">IFERROR(
  INDEX(PLAYER_STAT!E$2:E64, 
    MATCH(1, 
      (PLAYER_STAT!A$2:A64 = MATCH_DATES!$A$3) * (PLAYER_STAT!D$2:D64 = $B36), 
    0)
  ), 
  ""
)
</f>
        <v>1</v>
      </c>
      <c r="W36" s="29">
        <f t="array" ref="W36">IFERROR(
  INDEX(PLAYER_STAT!F$2:F64, 
    MATCH(1, 
      (PLAYER_STAT!A$2:A64 = MATCH_DATES!$A$3) * (PLAYER_STAT!D$2:D64 = $B36), 
    0)
  ), 
  ""
)
</f>
        <v>0</v>
      </c>
      <c r="X36" s="30">
        <f t="array" ref="X36">IFERROR(
  INDEX(PLAYER_STAT!G$2:G64, 
    MATCH(1, 
      (PLAYER_STAT!A$2:A64 = MATCH_DATES!$A$3) * (PLAYER_STAT!D$2:D64 = $B36), 
    0)
  ), 
  ""
)
</f>
        <v>0</v>
      </c>
      <c r="Y36" s="31">
        <f t="shared" si="12"/>
        <v>13</v>
      </c>
      <c r="Z36" s="32" t="str">
        <f t="shared" si="13"/>
        <v>↓</v>
      </c>
      <c r="AA36" s="21" t="s">
        <v>214</v>
      </c>
      <c r="AB36" s="33">
        <f t="shared" si="14"/>
        <v>12</v>
      </c>
      <c r="AC36" s="22">
        <f t="shared" si="15"/>
        <v>2</v>
      </c>
      <c r="AD36" s="22">
        <f t="shared" si="16"/>
        <v>2</v>
      </c>
      <c r="AE36" s="22">
        <f>IF(AA36&lt;&gt;"",
    COUNTIFS(MATCH_INPUT!$K$10:$K$13,AA36),
0)</f>
        <v>1</v>
      </c>
      <c r="AF36" s="22">
        <f>IF(AA36&lt;&gt;"",
    COUNTIFS(MATCH_INPUT!$F$10:$F$13, AA36, MATCH_INPUT!$K$10:$K$13, "Draw") +
    COUNTIFS(MATCH_INPUT!$J$10:$J$13, AA36, MATCH_INPUT!$K$10:$K$13, "Draw"),
0)</f>
        <v>0</v>
      </c>
      <c r="AG36" s="22">
        <f>IF(AA36&lt;&gt;"",
    COUNTIFS(MATCH_INPUT!$F$10:$F$13, AA36, MATCH_INPUT!$K$10:$K$13, "&lt;&gt;"&amp;AA36, MATCH_INPUT!$K$10:$K$13, "&lt;&gt;Draw", MATCH_INPUT!$K$10:$K$13, "&lt;&gt;""") +
    COUNTIFS(MATCH_INPUT!$J$10:$J$13, AA36, MATCH_INPUT!$K$10:$K$13, "&lt;&gt;"&amp;AA36, MATCH_INPUT!$K$10:$K$13, "&lt;&gt;Draw", MATCH_INPUT!$K$10:$K$13, "&lt;&gt;"""),
0)</f>
        <v>1</v>
      </c>
      <c r="AH36" s="23">
        <f t="array" ref="AH36">IFERROR(
  INDEX(PLAYER_STAT!E$2:E64, 
    MATCH(1, 
      (PLAYER_STAT!A$2:A64 = MATCH_DATES!$A$4) * (PLAYER_STAT!D$2:D64 = $B36), 
    0)
  ), 
  ""
)
</f>
        <v>1</v>
      </c>
      <c r="AI36" s="23">
        <f t="array" ref="AI36">IFERROR(
  INDEX(PLAYER_STAT!F$2:F64, 
    MATCH(1, 
      (PLAYER_STAT!A$2:A64 = MATCH_DATES!$A$4) * (PLAYER_STAT!D$2:D64 = $B36), 
    0)
  ), 
  ""
)
</f>
        <v>0</v>
      </c>
      <c r="AJ36" s="34">
        <f t="array" ref="AJ36">IFERROR(
  INDEX(PLAYER_STAT!G$2:G64, 
    MATCH(1, 
      (PLAYER_STAT!A$2:A64 = MATCH_DATES!$A$4) * (PLAYER_STAT!D$2:D64 = $B36), 
    0)
  ), 
  ""
)
</f>
        <v>0</v>
      </c>
      <c r="AK36" s="25">
        <f t="shared" si="17"/>
        <v>16</v>
      </c>
      <c r="AL36" s="26" t="str">
        <f t="shared" si="18"/>
        <v>↓</v>
      </c>
      <c r="AM36" s="27"/>
      <c r="AN36" s="28">
        <f t="shared" si="19"/>
        <v>12</v>
      </c>
      <c r="AO36" s="28">
        <f t="shared" si="20"/>
        <v>0</v>
      </c>
      <c r="AP36" s="28">
        <f t="shared" si="21"/>
        <v>0</v>
      </c>
      <c r="AQ36" s="28">
        <f>IF(AM36&lt;&gt;"",
    COUNTIFS(MATCH_INPUT!$K$14:$K$17,AM36),
0)</f>
        <v>0</v>
      </c>
      <c r="AR36" s="28">
        <f>IF(AM36&lt;&gt;"",
    COUNTIFS(MATCH_INPUT!$F$14:$F$17, AM36, MATCH_INPUT!$K$14:$K$17, "Draw") +
    COUNTIFS(MATCH_INPUT!$J$14:$J$17, AM36, MATCH_INPUT!$K$14:$K$17, "Draw"),
0)</f>
        <v>0</v>
      </c>
      <c r="AS36" s="28">
        <f>IF(AM36&lt;&gt;"",
    COUNTIFS(MATCH_INPUT!$F$14:$F$17, AM36, MATCH_INPUT!$K$14:$K$17, "&lt;&gt;"&amp;AM36, MATCH_INPUT!$K$14:$K$17, "&lt;&gt;Draw", MATCH_INPUT!$K$14:$K$17, "&lt;&gt;""") +
    COUNTIFS(MATCH_INPUT!$J$14:$J$17, AM36, MATCH_INPUT!$K$14:$K$17, "&lt;&gt;"&amp;AM36, MATCH_INPUT!$K$14:$K$17, "&lt;&gt;Draw", MATCH_INPUT!$K$14:$K$17, "&lt;&gt;"""),
0)</f>
        <v>0</v>
      </c>
      <c r="AT36" s="29" t="str">
        <f t="array" ref="AT36">IFERROR(
  INDEX(PLAYER_STAT!E$2:E64, 
    MATCH(1, 
      (PLAYER_STAT!A$2:A64 = MATCH_DATES!$A$5) * (PLAYER_STAT!D$2:D64 = $B36), 
    0)
  ), 
  ""
)
</f>
        <v/>
      </c>
      <c r="AU36" s="29" t="str">
        <f t="array" ref="AU36">IFERROR(
  INDEX(PLAYER_STAT!F$2:F64, 
    MATCH(1, 
      (PLAYER_STAT!A$2:A64 = MATCH_DATES!$A$5) * (PLAYER_STAT!D$2:D64 = $B36), 
    0)
  ), 
  ""
)
</f>
        <v/>
      </c>
      <c r="AV36" s="30" t="str">
        <f t="array" ref="AV36">IFERROR(
  INDEX(PLAYER_STAT!G$2:G64, 
    MATCH(1, 
      (PLAYER_STAT!A$2:A64 = MATCH_DATES!$A$5) * (PLAYER_STAT!D$2:D64 = $B36), 
    0)
  ), 
  ""
)
</f>
        <v/>
      </c>
      <c r="AW36" s="31">
        <f t="shared" si="22"/>
        <v>27</v>
      </c>
      <c r="AX36" s="32" t="str">
        <f t="shared" si="23"/>
        <v>↓</v>
      </c>
      <c r="AY36" s="21" t="s">
        <v>212</v>
      </c>
      <c r="AZ36" s="33">
        <f t="shared" si="24"/>
        <v>25</v>
      </c>
      <c r="BA36" s="22">
        <f t="shared" si="25"/>
        <v>2</v>
      </c>
      <c r="BB36" s="22">
        <f>SUM(BC36*2) + (BD36*1) + SUMIFS(MATCH_INPUT!$G$18:$G$21, MATCH_INPUT!$F$18:$F$21, AY36) + SUMIFS(MATCH_INPUT!$I$18:$I$21, MATCH_INPUT!$J$18:$J$21, AY36)
</f>
        <v>11</v>
      </c>
      <c r="BC36" s="22">
        <f>IF(AY36&lt;&gt;"",
    COUNTIFS(MATCH_INPUT!$K$18:$K$21,AY36),
0)</f>
        <v>2</v>
      </c>
      <c r="BD36" s="22">
        <f>IF(AY36&lt;&gt;"",
    COUNTIFS(MATCH_INPUT!$F$18:$F$21, AY36, MATCH_INPUT!$K$18:$K$21, "Draw") +
    COUNTIFS(MATCH_INPUT!$J$18:$J$21, AY36, MATCH_INPUT!$K$18:$K$21, "Draw"),
0)</f>
        <v>0</v>
      </c>
      <c r="BE36" s="22">
        <f>IF(AY36&lt;&gt;"",
    COUNTIFS(MATCH_INPUT!$F$18:$F$21, AY36, MATCH_INPUT!$K$18:$K$21, "&lt;&gt;"&amp;AY36, MATCH_INPUT!$K$18:$K$21, "&lt;&gt;Draw", MATCH_INPUT!$K$18:$K$21, "&lt;&gt;""") +
    COUNTIFS(MATCH_INPUT!$J$18:$J$21, AY36, MATCH_INPUT!$K$18:$K$21, "&lt;&gt;"&amp;AY36, MATCH_INPUT!$K$18:$K$21, "&lt;&gt;Draw", MATCH_INPUT!$K$18:$K$21, "&lt;&gt;"""),
0)</f>
        <v>0</v>
      </c>
      <c r="BF36" s="23">
        <f t="array" ref="BF36">IFERROR(
  INDEX(PLAYER_STAT!E$2:E64, 
    MATCH(1, 
      (PLAYER_STAT!A$2:A64 = MATCH_DATES!$A$6) * (PLAYER_STAT!D$2:D64 = $B36), 
    0)
  ), 
  ""
)
</f>
        <v>3</v>
      </c>
      <c r="BG36" s="23">
        <f t="array" ref="BG36">IFERROR(
  INDEX(PLAYER_STAT!F$2:F64, 
    MATCH(1, 
      (PLAYER_STAT!A$2:A64 = MATCH_DATES!$A$6) * (PLAYER_STAT!D$2:D64 = $B36), 
    0)
  ), 
  ""
)
</f>
        <v>0</v>
      </c>
      <c r="BH36" s="34">
        <f t="array" ref="BH36">IFERROR(
  INDEX(PLAYER_STAT!G$2:G64, 
    MATCH(1, 
      (PLAYER_STAT!A$2:A64 = MATCH_DATES!$A$6) * (PLAYER_STAT!D$2:D64 = $B36), 
    0)
  ), 
  ""
)
</f>
        <v>0</v>
      </c>
      <c r="BI36" s="25">
        <f t="shared" si="26"/>
        <v>10</v>
      </c>
      <c r="BJ36" s="26" t="str">
        <f t="shared" si="27"/>
        <v>↑</v>
      </c>
      <c r="BK36" s="27" t="s">
        <v>215</v>
      </c>
      <c r="BL36" s="28">
        <f t="shared" si="28"/>
        <v>39</v>
      </c>
      <c r="BM36" s="28">
        <f t="shared" si="29"/>
        <v>2</v>
      </c>
      <c r="BN36" s="28">
        <f>SUM(BO36*2) + (BP36*1) + SUMIFS(MATCH_INPUT!$G$22:$G$25, MATCH_INPUT!$F$22:$F$25, BK36) + SUMIFS(MATCH_INPUT!$I$22:$I$25, MATCH_INPUT!$J$22:$J$25, BK36)
</f>
        <v>12</v>
      </c>
      <c r="BO36" s="28">
        <f>IF(BK36&lt;&gt;"",
    COUNTIFS(MATCH_INPUT!$K$22:$K$25,BK36),
0)</f>
        <v>2</v>
      </c>
      <c r="BP36" s="28">
        <f>IF(BK36&lt;&gt;"",
    COUNTIFS(MATCH_INPUT!$F$22:$F$25, BK36, MATCH_INPUT!$K$22:$K$25, "Draw") +
    COUNTIFS(MATCH_INPUT!$J$22:$J$25, BK36, MATCH_INPUT!$K$22:$K$25, "Draw"),
0)</f>
        <v>0</v>
      </c>
      <c r="BQ36" s="28">
        <f>IF(BK36&lt;&gt;"",
    COUNTIFS(MATCH_INPUT!$F$22:$F$25, BK36, MATCH_INPUT!$K$22:$K$25, "&lt;&gt;"&amp;BK36, MATCH_INPUT!$K$22:$K$25, "&lt;&gt;Draw", MATCH_INPUT!$K$22:$K$25, "&lt;&gt;""") +
    COUNTIFS(MATCH_INPUT!$J$22:$J$25, BK36, MATCH_INPUT!$K$22:$K$25, "&lt;&gt;"&amp;BK36, MATCH_INPUT!$K$22:$K$25, "&lt;&gt;Draw", MATCH_INPUT!$K$22:$K$25, "&lt;&gt;"""),
0)</f>
        <v>0</v>
      </c>
      <c r="BR36" s="29">
        <f t="array" ref="BR36">IFERROR(
  INDEX(PLAYER_STAT!E$2:E64, 
    MATCH(1, 
      (PLAYER_STAT!A$2:A64 = MATCH_DATES!$A$7) * (PLAYER_STAT!D$2:D64 = $B36), 
    0)
  ), 
  ""
)
</f>
        <v>2</v>
      </c>
      <c r="BS36" s="29">
        <f t="array" ref="BS36">IFERROR(
  INDEX(PLAYER_STAT!F$2:F64, 
    MATCH(1, 
      (PLAYER_STAT!A$2:A64 = MATCH_DATES!$A$7) * (PLAYER_STAT!D$2:D64 = $B36), 
    0)
  ), 
  ""
)
</f>
        <v>0</v>
      </c>
      <c r="BT36" s="30">
        <f t="array" ref="BT36">IFERROR(
  INDEX(PLAYER_STAT!G$2:G64, 
    MATCH(1, 
      (PLAYER_STAT!A$2:A64 = MATCH_DATES!$A$7) * (PLAYER_STAT!D$2:D64 = $B36), 
    0)
  ), 
  ""
)
</f>
        <v>0</v>
      </c>
      <c r="BU36" s="31">
        <f t="shared" si="30"/>
        <v>3</v>
      </c>
      <c r="BV36" s="32" t="str">
        <f t="shared" si="31"/>
        <v>↑</v>
      </c>
      <c r="BW36" s="21" t="s">
        <v>215</v>
      </c>
      <c r="BX36" s="33">
        <f t="shared" si="32"/>
        <v>46</v>
      </c>
      <c r="BY36" s="22">
        <f t="shared" si="33"/>
        <v>2</v>
      </c>
      <c r="BZ36" s="22">
        <f>SUM(CA36*2)+(CB36*1) + SUMIFS(MATCH_INPUT!$G$26:$G$29, MATCH_INPUT!$F$26:$F$29, BW36) + SUMIFS(MATCH_INPUT!$I$26:$I$29, MATCH_INPUT!$J$26:$J$29, BW36)
</f>
        <v>5</v>
      </c>
      <c r="CA36" s="22">
        <f>IF(BW36&lt;&gt;"",
    COUNTIFS(MATCH_INPUT!$K$26:$K$29,BW36),
0)</f>
        <v>0</v>
      </c>
      <c r="CB36" s="22">
        <f>IF(BW36&lt;&gt;"",
    COUNTIFS(MATCH_INPUT!$F$26:$F$29, BW36, MATCH_INPUT!$K$26:$K$29, "Draw") +
    COUNTIFS(MATCH_INPUT!$J$26:$J$29, BW36, MATCH_INPUT!$K$26:$K$29, "Draw"),
0)</f>
        <v>1</v>
      </c>
      <c r="CC36" s="22">
        <f>IF(BW36&lt;&gt;"",
    COUNTIFS(MATCH_INPUT!$F$26:$F$29, BW36, MATCH_INPUT!$K$26:$K$29, "&lt;&gt;"&amp;BW36, MATCH_INPUT!$K$26:$K$29, "&lt;&gt;Draw", MATCH_INPUT!$K$26:$K$29, "&lt;&gt;""") +
    COUNTIFS(MATCH_INPUT!$J$26:$J$29, BW36, MATCH_INPUT!$K$26:$K$29, "&lt;&gt;"&amp;BW36, MATCH_INPUT!$K$26:$K$29, "&lt;&gt;Draw", MATCH_INPUT!$K$26:$K$29, "&lt;&gt;"""),
0)</f>
        <v>1</v>
      </c>
      <c r="CD36" s="23">
        <f t="array" ref="CD36">IFERROR(
  INDEX(PLAYER_STAT!E$2:E64, 
    MATCH(1, 
      (PLAYER_STAT!A$2:A64 = MATCH_DATES!$A$8) * (PLAYER_STAT!D$2:D64 = $B36), 
    0)
  ), 
  ""
)
</f>
        <v>2</v>
      </c>
      <c r="CE36" s="23">
        <f t="array" ref="CE36">IFERROR(
  INDEX(PLAYER_STAT!F$2:F64, 
    MATCH(1, 
      (PLAYER_STAT!A$2:A64 = MATCH_DATES!$A$8) * (PLAYER_STAT!D$2:D64 = $B36), 
    0)
  ), 
  ""
)
</f>
        <v>0</v>
      </c>
      <c r="CF36" s="34">
        <f t="array" ref="CF36">IFERROR(
  INDEX(PLAYER_STAT!G$2:G64, 
    MATCH(1, 
      (PLAYER_STAT!A$2:A64 = MATCH_DATES!$A$8) * (PLAYER_STAT!D$2:D64 = $B36), 
    0)
  ), 
  ""
)
</f>
        <v>0</v>
      </c>
      <c r="CG36" s="25">
        <f t="shared" si="34"/>
        <v>8</v>
      </c>
      <c r="CH36" s="26" t="str">
        <f t="shared" si="35"/>
        <v>↓</v>
      </c>
      <c r="CI36" s="27" t="s">
        <v>214</v>
      </c>
      <c r="CJ36" s="28">
        <f t="shared" si="36"/>
        <v>55</v>
      </c>
      <c r="CK36" s="28">
        <f t="shared" si="37"/>
        <v>2</v>
      </c>
      <c r="CL36" s="28">
        <f>SUM(CM36*2)+(CN36*1) + SUMIFS(MATCH_INPUT!$G$30:$G$33, MATCH_INPUT!$F$30:$F$33, CI36) + SUMIFS(MATCH_INPUT!$I$30:$I$33, MATCH_INPUT!$J$30:$J$33, CI36)
</f>
        <v>7</v>
      </c>
      <c r="CM36" s="28">
        <f>IF(CI36&lt;&gt;"",
    COUNTIFS(MATCH_INPUT!$K$30:$K$33,CI36),
0)</f>
        <v>1</v>
      </c>
      <c r="CN36" s="28">
        <f>IF(CI36&lt;&gt;"",
    COUNTIFS(MATCH_INPUT!$F$30:$F$33, CI36, MATCH_INPUT!$K$30:$K$33, "Draw") +
    COUNTIFS(MATCH_INPUT!$J$30:$J$33, CI36, MATCH_INPUT!$K$30:$K$33, "Draw"),
0)</f>
        <v>1</v>
      </c>
      <c r="CO36" s="28">
        <f>IF(CI36&lt;&gt;"",
    COUNTIFS(MATCH_INPUT!$F$30:$F$33, CI36, MATCH_INPUT!$K$30:$K$33, "&lt;&gt;"&amp;CI36, MATCH_INPUT!$K$30:$K$33, "&lt;&gt;Draw", MATCH_INPUT!$K$30:$K$33, "&lt;&gt;""") +
    COUNTIFS(MATCH_INPUT!$J$30:$J$33, CI36, MATCH_INPUT!$K$30:$K$33, "&lt;&gt;"&amp;CI36, MATCH_INPUT!$K$30:$K$33, "&lt;&gt;Draw", MATCH_INPUT!$K$30:$K$33, "&lt;&gt;"""),
0)</f>
        <v>0</v>
      </c>
      <c r="CP36" s="29" t="str">
        <f t="array" ref="CP36">IFERROR(
  INDEX(PLAYER_STAT!E$2:E64, 
    MATCH(1, 
      (PLAYER_STAT!A$2:A64 = MATCH_DATES!$A$9) * (PLAYER_STAT!D$2:D64 = $B36), 
    0)
  ), 
  ""
)
</f>
        <v/>
      </c>
      <c r="CQ36" s="29" t="str">
        <f t="array" ref="CQ36">IFERROR(
  INDEX(PLAYER_STAT!F$2:F64, 
    MATCH(1, 
      (PLAYER_STAT!A$2:A64 = MATCH_DATES!$A$9) * (PLAYER_STAT!D$2:D64 = $B36), 
    0)
  ), 
  ""
)
</f>
        <v/>
      </c>
      <c r="CR36" s="29" t="str">
        <f t="array" ref="CR36">IFERROR(
  INDEX(PLAYER_STAT!G$2:G64, 
    MATCH(1, 
      (PLAYER_STAT!A$2:A64 = MATCH_DATES!$A$9) * (PLAYER_STAT!D$2:D64 = $B36), 
    0)
  ), 
  ""
)
</f>
        <v/>
      </c>
      <c r="CS36" s="35">
        <f t="shared" si="38"/>
        <v>7</v>
      </c>
      <c r="CT36" s="35" t="str">
        <f t="shared" si="39"/>
        <v>↑</v>
      </c>
      <c r="CU36" s="36">
        <f t="shared" si="40"/>
        <v>41</v>
      </c>
      <c r="CV36" s="36" t="str">
        <f t="shared" ref="CV36:CW36" si="139">A36</f>
        <v>🍂🎃</v>
      </c>
      <c r="CW36" s="37" t="str">
        <f t="shared" si="139"/>
        <v>Valencia</v>
      </c>
      <c r="CX36" s="37">
        <f t="shared" si="42"/>
        <v>55</v>
      </c>
      <c r="CY36" s="36">
        <f>SUM(
  IF(AND(MATCH_DATES!$A$2 &lt;= TODAY(), NOW() &gt;= MATCH_DATES!$A$2 + TIME(22, 0, 0)), E36, 0),
  IF(AND(MATCH_DATES!$A$3 &lt;= TODAY(), NOW() &gt;= MATCH_DATES!$A$3 + TIME(22, 0, 0)), Q36, 0),
  IF(AND(MATCH_DATES!$A$4 &lt;= TODAY(), NOW() &gt;= MATCH_DATES!$A$4 + TIME(22, 0, 0)), AC36, 0),
  IF(AND(MATCH_DATES!$A$5 &lt;= TODAY(), NOW() &gt;= MATCH_DATES!$A$5 + TIME(22, 0, 0)), AO36, 0),
  IF(AND(MATCH_DATES!$A$6 &lt;= TODAY(), NOW() &gt;= MATCH_DATES!$A$6 + TIME(22, 0, 0)), BA36, 0),
  IF(AND(MATCH_DATES!$A$7 &lt;= TODAY(), NOW() &gt;= MATCH_DATES!$A$7 + TIME(22, 0, 0)), BM36, 0),
  IF(AND(MATCH_DATES!$A$8 &lt;= TODAY(), NOW() &gt;= MATCH_DATES!$A$8 + TIME(22, 0, 0)), BY36, 0),
  IF(AND(MATCH_DATES!$A$9 &lt;= TODAY(), NOW() &gt;= MATCH_DATES!$A$9 + TIME(22, 0, 0)), CK36, 0)
)
</f>
        <v>14</v>
      </c>
      <c r="CZ36" s="37">
        <f t="shared" ref="CZ36:DA36" si="140">SUM(G36,S36,AE36,AQ36,BC36,BO36,CA36,CM36)</f>
        <v>8</v>
      </c>
      <c r="DA36" s="37">
        <f t="shared" si="140"/>
        <v>2</v>
      </c>
      <c r="DB36" s="37">
        <f>SUM(
  IF(AND(MATCH_DATES!$A$2 &lt;= TODAY(), NOW() &gt;= MATCH_DATES!$A$2 + TIME(22, 0, 0)), I36, 0),
  IF(AND(MATCH_DATES!$A$3 &lt;= TODAY(), NOW() &gt;= MATCH_DATES!$A$3 + TIME(22, 0, 0)), U36, 0),
  IF(AND(MATCH_DATES!$A$4 &lt;= TODAY(), NOW() &gt;= MATCH_DATES!$A$4 + TIME(22, 0, 0)), AG36, 0),
  IF(AND(MATCH_DATES!$A$5 &lt;= TODAY(), NOW() &gt;= MATCH_DATES!$A$5 + TIME(22, 0, 0)), AS36, 0),
  IF(AND(MATCH_DATES!$A$6 &lt;= TODAY(), NOW() &gt;= MATCH_DATES!$A$6 + TIME(22, 0, 0)), BE36, 0),
  IF(AND(MATCH_DATES!$A$7 &lt;= TODAY(), NOW() &gt;= MATCH_DATES!$A$7 + TIME(22, 0, 0)), BQ36, 0),
  IF(AND(MATCH_DATES!$A$8 &lt;= TODAY(), NOW() &gt;= MATCH_DATES!$A$8 + TIME(22, 0, 0)), CC36, 0),
  IF(AND(MATCH_DATES!$A$9 &lt;= TODAY(), NOW() &gt;= MATCH_DATES!$A$9 + TIME(22, 0, 0)), CO36, 0)
)</f>
        <v>4</v>
      </c>
      <c r="DC36" s="37">
        <f t="shared" si="44"/>
        <v>11</v>
      </c>
      <c r="DD36" s="37">
        <f t="shared" ref="DD36:DE36" si="141">SUM(K36,W36,AI36,AU36,BG36,BS36,CE36,CQ36)</f>
        <v>0</v>
      </c>
      <c r="DE36" s="37">
        <f t="shared" si="141"/>
        <v>0</v>
      </c>
    </row>
    <row r="37" ht="24.75" customHeight="1">
      <c r="A37" s="19" t="s">
        <v>210</v>
      </c>
      <c r="B37" s="20" t="s">
        <v>58</v>
      </c>
      <c r="C37" s="21" t="s">
        <v>214</v>
      </c>
      <c r="D37" s="22">
        <f t="shared" si="4"/>
        <v>6</v>
      </c>
      <c r="E37" s="22">
        <f t="shared" si="5"/>
        <v>2</v>
      </c>
      <c r="F37" s="22">
        <f t="shared" si="6"/>
        <v>4</v>
      </c>
      <c r="G37" s="22">
        <f>IF(C37&lt;&gt;"",
    COUNTIFS(MATCH_INPUT!$K$2:$K$5,C37),
0)</f>
        <v>2</v>
      </c>
      <c r="H37" s="22">
        <f>IF(C37&lt;&gt;"",
    COUNTIFS(MATCH_INPUT!$F$2:$F$5, C37, MATCH_INPUT!$K$2:$K$5, "Draw") +
    COUNTIFS(MATCH_INPUT!$J$2:$J$5, C37, MATCH_INPUT!$K$2:$K$5, "Draw"),
0)</f>
        <v>0</v>
      </c>
      <c r="I37" s="22">
        <f>IF(C37&lt;&gt;"",
    COUNTIFS(MATCH_INPUT!$F$2:$F$5, C37, MATCH_INPUT!$K$2:$K$5, "&lt;&gt;"&amp;C37, MATCH_INPUT!$K$2:$K$5, "&lt;&gt;Draw", MATCH_INPUT!$K$2:$K$5, "&lt;&gt;""") +
    COUNTIFS(MATCH_INPUT!$J$2:$J$5, C37, MATCH_INPUT!$K$2:$K$5, "&lt;&gt;"&amp;C37, MATCH_INPUT!$K$2:$K$5, "&lt;&gt;Draw", MATCH_INPUT!$K$2:$K$5, "&lt;&gt;"""),
0)</f>
        <v>0</v>
      </c>
      <c r="J37" s="23">
        <f t="array" ref="J37">IFERROR(
  INDEX(PLAYER_STAT!E$2:E64, 
    MATCH(1, 
      (PLAYER_STAT!A$2:A64 = MATCH_DATES!$A$2) * (PLAYER_STAT!D$2:D64 = $B37), 
    0)
  ), 
  ""
)
</f>
        <v>1</v>
      </c>
      <c r="K37" s="23">
        <f t="array" ref="K37">IFERROR(
  INDEX(PLAYER_STAT!F$2:F64, 
    MATCH(1, 
      (PLAYER_STAT!A$2:A64 = MATCH_DATES!$A$2) * (PLAYER_STAT!D$2:D64 = $B37), 
    0)
  ), 
  ""
)
</f>
        <v>0</v>
      </c>
      <c r="L37" s="24">
        <f t="array" ref="L37">IFERROR(
  INDEX(PLAYER_STAT!G$2:G64, 
    MATCH(1, 
      (PLAYER_STAT!A$2:A64 = MATCH_DATES!$A$2) * (PLAYER_STAT!D$2:D64 = $B37), 
    0)
  ), 
  ""
)
</f>
        <v>0</v>
      </c>
      <c r="M37" s="25">
        <f t="shared" si="7"/>
        <v>2</v>
      </c>
      <c r="N37" s="26" t="str">
        <f t="shared" si="8"/>
        <v>↓</v>
      </c>
      <c r="O37" s="27" t="s">
        <v>214</v>
      </c>
      <c r="P37" s="28">
        <f t="shared" si="9"/>
        <v>10</v>
      </c>
      <c r="Q37" s="28">
        <f t="shared" si="10"/>
        <v>2</v>
      </c>
      <c r="R37" s="28">
        <f t="shared" si="11"/>
        <v>2</v>
      </c>
      <c r="S37" s="28">
        <f>IF(O37&lt;&gt;"",
    COUNTIFS(MATCH_INPUT!$K$6:$K$9,O37),
0)</f>
        <v>0</v>
      </c>
      <c r="T37" s="28">
        <f>IF(O37&lt;&gt;"",
    COUNTIFS(MATCH_INPUT!$F$6:$F$9, O37, MATCH_INPUT!$K$6:$K$9, "Draw") +
    COUNTIFS(MATCH_INPUT!$J$6:$J$9, O37, MATCH_INPUT!$K$6:$K$9, "Draw"),
0)</f>
        <v>2</v>
      </c>
      <c r="U37" s="28">
        <f>IF(O37&lt;&gt;"",
    COUNTIFS(MATCH_INPUT!$F$6:$F$9, O37, MATCH_INPUT!$K$6:$K$9, "&lt;&gt;"&amp;O37, MATCH_INPUT!$K$6:$K$9, "&lt;&gt;Draw", MATCH_INPUT!$K$6:$K$9, "&lt;&gt;""") +
    COUNTIFS(MATCH_INPUT!$J$6:$J$9, O37, MATCH_INPUT!$K$6:$K$9, "&lt;&gt;"&amp;O37, MATCH_INPUT!$K$6:$K$9, "&lt;&gt;Draw", MATCH_INPUT!$K$6:$K$9, "&lt;&gt;"""),
0)</f>
        <v>0</v>
      </c>
      <c r="V37" s="29">
        <f t="array" ref="V37">IFERROR(
  INDEX(PLAYER_STAT!E$2:E64, 
    MATCH(1, 
      (PLAYER_STAT!A$2:A64 = MATCH_DATES!$A$3) * (PLAYER_STAT!D$2:D64 = $B37), 
    0)
  ), 
  ""
)
</f>
        <v>2</v>
      </c>
      <c r="W37" s="29">
        <f t="array" ref="W37">IFERROR(
  INDEX(PLAYER_STAT!F$2:F64, 
    MATCH(1, 
      (PLAYER_STAT!A$2:A64 = MATCH_DATES!$A$3) * (PLAYER_STAT!D$2:D64 = $B37), 
    0)
  ), 
  ""
)
</f>
        <v>0</v>
      </c>
      <c r="X37" s="30">
        <f t="array" ref="X37">IFERROR(
  INDEX(PLAYER_STAT!G$2:G64, 
    MATCH(1, 
      (PLAYER_STAT!A$2:A64 = MATCH_DATES!$A$3) * (PLAYER_STAT!D$2:D64 = $B37), 
    0)
  ), 
  ""
)
</f>
        <v>0</v>
      </c>
      <c r="Y37" s="31">
        <f t="shared" si="12"/>
        <v>4</v>
      </c>
      <c r="Z37" s="32" t="str">
        <f t="shared" si="13"/>
        <v>↓</v>
      </c>
      <c r="AA37" s="21" t="s">
        <v>215</v>
      </c>
      <c r="AB37" s="33">
        <f t="shared" si="14"/>
        <v>12</v>
      </c>
      <c r="AC37" s="22">
        <f t="shared" si="15"/>
        <v>2</v>
      </c>
      <c r="AD37" s="22">
        <f t="shared" si="16"/>
        <v>0</v>
      </c>
      <c r="AE37" s="22">
        <f>IF(AA37&lt;&gt;"",
    COUNTIFS(MATCH_INPUT!$K$10:$K$13,AA37),
0)</f>
        <v>0</v>
      </c>
      <c r="AF37" s="22">
        <f>IF(AA37&lt;&gt;"",
    COUNTIFS(MATCH_INPUT!$F$10:$F$13, AA37, MATCH_INPUT!$K$10:$K$13, "Draw") +
    COUNTIFS(MATCH_INPUT!$J$10:$J$13, AA37, MATCH_INPUT!$K$10:$K$13, "Draw"),
0)</f>
        <v>0</v>
      </c>
      <c r="AG37" s="22">
        <f>IF(AA37&lt;&gt;"",
    COUNTIFS(MATCH_INPUT!$F$10:$F$13, AA37, MATCH_INPUT!$K$10:$K$13, "&lt;&gt;"&amp;AA37, MATCH_INPUT!$K$10:$K$13, "&lt;&gt;Draw", MATCH_INPUT!$K$10:$K$13, "&lt;&gt;""") +
    COUNTIFS(MATCH_INPUT!$J$10:$J$13, AA37, MATCH_INPUT!$K$10:$K$13, "&lt;&gt;"&amp;AA37, MATCH_INPUT!$K$10:$K$13, "&lt;&gt;Draw", MATCH_INPUT!$K$10:$K$13, "&lt;&gt;"""),
0)</f>
        <v>2</v>
      </c>
      <c r="AH37" s="23">
        <f t="array" ref="AH37">IFERROR(
  INDEX(PLAYER_STAT!E$2:E64, 
    MATCH(1, 
      (PLAYER_STAT!A$2:A64 = MATCH_DATES!$A$4) * (PLAYER_STAT!D$2:D64 = $B37), 
    0)
  ), 
  ""
)
</f>
        <v>1</v>
      </c>
      <c r="AI37" s="23">
        <f t="array" ref="AI37">IFERROR(
  INDEX(PLAYER_STAT!F$2:F64, 
    MATCH(1, 
      (PLAYER_STAT!A$2:A64 = MATCH_DATES!$A$4) * (PLAYER_STAT!D$2:D64 = $B37), 
    0)
  ), 
  ""
)
</f>
        <v>0</v>
      </c>
      <c r="AJ37" s="34">
        <f t="array" ref="AJ37">IFERROR(
  INDEX(PLAYER_STAT!G$2:G64, 
    MATCH(1, 
      (PLAYER_STAT!A$2:A64 = MATCH_DATES!$A$4) * (PLAYER_STAT!D$2:D64 = $B37), 
    0)
  ), 
  ""
)
</f>
        <v>0</v>
      </c>
      <c r="AK37" s="25">
        <f t="shared" si="17"/>
        <v>16</v>
      </c>
      <c r="AL37" s="26" t="str">
        <f t="shared" si="18"/>
        <v>↓</v>
      </c>
      <c r="AM37" s="27" t="s">
        <v>214</v>
      </c>
      <c r="AN37" s="28">
        <f t="shared" si="19"/>
        <v>14</v>
      </c>
      <c r="AO37" s="28">
        <f t="shared" si="20"/>
        <v>2</v>
      </c>
      <c r="AP37" s="28">
        <f t="shared" si="21"/>
        <v>0</v>
      </c>
      <c r="AQ37" s="28">
        <f>IF(AM37&lt;&gt;"",
    COUNTIFS(MATCH_INPUT!$K$14:$K$17,AM37),
0)</f>
        <v>0</v>
      </c>
      <c r="AR37" s="28">
        <f>IF(AM37&lt;&gt;"",
    COUNTIFS(MATCH_INPUT!$F$14:$F$17, AM37, MATCH_INPUT!$K$14:$K$17, "Draw") +
    COUNTIFS(MATCH_INPUT!$J$14:$J$17, AM37, MATCH_INPUT!$K$14:$K$17, "Draw"),
0)</f>
        <v>0</v>
      </c>
      <c r="AS37" s="28">
        <f>IF(AM37&lt;&gt;"",
    COUNTIFS(MATCH_INPUT!$F$14:$F$17, AM37, MATCH_INPUT!$K$14:$K$17, "&lt;&gt;"&amp;AM37, MATCH_INPUT!$K$14:$K$17, "&lt;&gt;Draw", MATCH_INPUT!$K$14:$K$17, "&lt;&gt;""") +
    COUNTIFS(MATCH_INPUT!$J$14:$J$17, AM37, MATCH_INPUT!$K$14:$K$17, "&lt;&gt;"&amp;AM37, MATCH_INPUT!$K$14:$K$17, "&lt;&gt;Draw", MATCH_INPUT!$K$14:$K$17, "&lt;&gt;"""),
0)</f>
        <v>2</v>
      </c>
      <c r="AT37" s="29" t="str">
        <f t="array" ref="AT37">IFERROR(
  INDEX(PLAYER_STAT!E$2:E64, 
    MATCH(1, 
      (PLAYER_STAT!A$2:A64 = MATCH_DATES!$A$5) * (PLAYER_STAT!D$2:D64 = $B37), 
    0)
  ), 
  ""
)
</f>
        <v/>
      </c>
      <c r="AU37" s="29" t="str">
        <f t="array" ref="AU37">IFERROR(
  INDEX(PLAYER_STAT!F$2:F64, 
    MATCH(1, 
      (PLAYER_STAT!A$2:A64 = MATCH_DATES!$A$5) * (PLAYER_STAT!D$2:D64 = $B37), 
    0)
  ), 
  ""
)
</f>
        <v/>
      </c>
      <c r="AV37" s="30" t="str">
        <f t="array" ref="AV37">IFERROR(
  INDEX(PLAYER_STAT!G$2:G64, 
    MATCH(1, 
      (PLAYER_STAT!A$2:A64 = MATCH_DATES!$A$5) * (PLAYER_STAT!D$2:D64 = $B37), 
    0)
  ), 
  ""
)
</f>
        <v/>
      </c>
      <c r="AW37" s="31">
        <f t="shared" si="22"/>
        <v>22</v>
      </c>
      <c r="AX37" s="32" t="str">
        <f t="shared" si="23"/>
        <v>↓</v>
      </c>
      <c r="AY37" s="21" t="s">
        <v>215</v>
      </c>
      <c r="AZ37" s="33">
        <f t="shared" si="24"/>
        <v>17</v>
      </c>
      <c r="BA37" s="22">
        <f t="shared" si="25"/>
        <v>2</v>
      </c>
      <c r="BB37" s="22">
        <f>SUM(BC37*2) + (BD37*1) + SUMIFS(MATCH_INPUT!$G$18:$G$21, MATCH_INPUT!$F$18:$F$21, AY37) + SUMIFS(MATCH_INPUT!$I$18:$I$21, MATCH_INPUT!$J$18:$J$21, AY37)
</f>
        <v>1</v>
      </c>
      <c r="BC37" s="22">
        <f>IF(AY37&lt;&gt;"",
    COUNTIFS(MATCH_INPUT!$K$18:$K$21,AY37),
0)</f>
        <v>0</v>
      </c>
      <c r="BD37" s="22">
        <f>IF(AY37&lt;&gt;"",
    COUNTIFS(MATCH_INPUT!$F$18:$F$21, AY37, MATCH_INPUT!$K$18:$K$21, "Draw") +
    COUNTIFS(MATCH_INPUT!$J$18:$J$21, AY37, MATCH_INPUT!$K$18:$K$21, "Draw"),
0)</f>
        <v>0</v>
      </c>
      <c r="BE37" s="22">
        <f>IF(AY37&lt;&gt;"",
    COUNTIFS(MATCH_INPUT!$F$18:$F$21, AY37, MATCH_INPUT!$K$18:$K$21, "&lt;&gt;"&amp;AY37, MATCH_INPUT!$K$18:$K$21, "&lt;&gt;Draw", MATCH_INPUT!$K$18:$K$21, "&lt;&gt;""") +
    COUNTIFS(MATCH_INPUT!$J$18:$J$21, AY37, MATCH_INPUT!$K$18:$K$21, "&lt;&gt;"&amp;AY37, MATCH_INPUT!$K$18:$K$21, "&lt;&gt;Draw", MATCH_INPUT!$K$18:$K$21, "&lt;&gt;"""),
0)</f>
        <v>2</v>
      </c>
      <c r="BF37" s="23" t="str">
        <f t="array" ref="BF37">IFERROR(
  INDEX(PLAYER_STAT!E$2:E64, 
    MATCH(1, 
      (PLAYER_STAT!A$2:A64 = MATCH_DATES!$A$6) * (PLAYER_STAT!D$2:D64 = $B37), 
    0)
  ), 
  ""
)
</f>
        <v/>
      </c>
      <c r="BG37" s="23" t="str">
        <f t="array" ref="BG37">IFERROR(
  INDEX(PLAYER_STAT!F$2:F64, 
    MATCH(1, 
      (PLAYER_STAT!A$2:A64 = MATCH_DATES!$A$6) * (PLAYER_STAT!D$2:D64 = $B37), 
    0)
  ), 
  ""
)
</f>
        <v/>
      </c>
      <c r="BH37" s="34" t="str">
        <f t="array" ref="BH37">IFERROR(
  INDEX(PLAYER_STAT!G$2:G64, 
    MATCH(1, 
      (PLAYER_STAT!A$2:A64 = MATCH_DATES!$A$6) * (PLAYER_STAT!D$2:D64 = $B37), 
    0)
  ), 
  ""
)
</f>
        <v/>
      </c>
      <c r="BI37" s="25">
        <f t="shared" si="26"/>
        <v>28</v>
      </c>
      <c r="BJ37" s="26" t="str">
        <f t="shared" si="27"/>
        <v>↓</v>
      </c>
      <c r="BK37" s="27" t="s">
        <v>212</v>
      </c>
      <c r="BL37" s="28">
        <f t="shared" si="28"/>
        <v>19</v>
      </c>
      <c r="BM37" s="28">
        <f t="shared" si="29"/>
        <v>2</v>
      </c>
      <c r="BN37" s="28">
        <f>SUM(BO37*2) + (BP37*1) + SUMIFS(MATCH_INPUT!$G$22:$G$25, MATCH_INPUT!$F$22:$F$25, BK37) + SUMIFS(MATCH_INPUT!$I$22:$I$25, MATCH_INPUT!$J$22:$J$25, BK37)
</f>
        <v>0</v>
      </c>
      <c r="BO37" s="28">
        <f>IF(BK37&lt;&gt;"",
    COUNTIFS(MATCH_INPUT!$K$22:$K$25,BK37),
0)</f>
        <v>0</v>
      </c>
      <c r="BP37" s="28">
        <f>IF(BK37&lt;&gt;"",
    COUNTIFS(MATCH_INPUT!$F$22:$F$25, BK37, MATCH_INPUT!$K$22:$K$25, "Draw") +
    COUNTIFS(MATCH_INPUT!$J$22:$J$25, BK37, MATCH_INPUT!$K$22:$K$25, "Draw"),
0)</f>
        <v>0</v>
      </c>
      <c r="BQ37" s="28">
        <f>IF(BK37&lt;&gt;"",
    COUNTIFS(MATCH_INPUT!$F$22:$F$25, BK37, MATCH_INPUT!$K$22:$K$25, "&lt;&gt;"&amp;BK37, MATCH_INPUT!$K$22:$K$25, "&lt;&gt;Draw", MATCH_INPUT!$K$22:$K$25, "&lt;&gt;""") +
    COUNTIFS(MATCH_INPUT!$J$22:$J$25, BK37, MATCH_INPUT!$K$22:$K$25, "&lt;&gt;"&amp;BK37, MATCH_INPUT!$K$22:$K$25, "&lt;&gt;Draw", MATCH_INPUT!$K$22:$K$25, "&lt;&gt;"""),
0)</f>
        <v>2</v>
      </c>
      <c r="BR37" s="29" t="str">
        <f t="array" ref="BR37">IFERROR(
  INDEX(PLAYER_STAT!E$2:E64, 
    MATCH(1, 
      (PLAYER_STAT!A$2:A64 = MATCH_DATES!$A$7) * (PLAYER_STAT!D$2:D64 = $B37), 
    0)
  ), 
  ""
)
</f>
        <v/>
      </c>
      <c r="BS37" s="29" t="str">
        <f t="array" ref="BS37">IFERROR(
  INDEX(PLAYER_STAT!F$2:F64, 
    MATCH(1, 
      (PLAYER_STAT!A$2:A64 = MATCH_DATES!$A$7) * (PLAYER_STAT!D$2:D64 = $B37), 
    0)
  ), 
  ""
)
</f>
        <v/>
      </c>
      <c r="BT37" s="30" t="str">
        <f t="array" ref="BT37">IFERROR(
  INDEX(PLAYER_STAT!G$2:G64, 
    MATCH(1, 
      (PLAYER_STAT!A$2:A64 = MATCH_DATES!$A$7) * (PLAYER_STAT!D$2:D64 = $B37), 
    0)
  ), 
  ""
)
</f>
        <v/>
      </c>
      <c r="BU37" s="31">
        <f t="shared" si="30"/>
        <v>30</v>
      </c>
      <c r="BV37" s="32" t="str">
        <f t="shared" si="31"/>
        <v>↓</v>
      </c>
      <c r="BW37" s="21" t="s">
        <v>215</v>
      </c>
      <c r="BX37" s="33">
        <f t="shared" si="32"/>
        <v>26</v>
      </c>
      <c r="BY37" s="22">
        <f t="shared" si="33"/>
        <v>2</v>
      </c>
      <c r="BZ37" s="22">
        <f>SUM(CA37*2)+(CB37*1) + SUMIFS(MATCH_INPUT!$G$26:$G$29, MATCH_INPUT!$F$26:$F$29, BW37) + SUMIFS(MATCH_INPUT!$I$26:$I$29, MATCH_INPUT!$J$26:$J$29, BW37)
</f>
        <v>5</v>
      </c>
      <c r="CA37" s="22">
        <f>IF(BW37&lt;&gt;"",
    COUNTIFS(MATCH_INPUT!$K$26:$K$29,BW37),
0)</f>
        <v>0</v>
      </c>
      <c r="CB37" s="22">
        <f>IF(BW37&lt;&gt;"",
    COUNTIFS(MATCH_INPUT!$F$26:$F$29, BW37, MATCH_INPUT!$K$26:$K$29, "Draw") +
    COUNTIFS(MATCH_INPUT!$J$26:$J$29, BW37, MATCH_INPUT!$K$26:$K$29, "Draw"),
0)</f>
        <v>1</v>
      </c>
      <c r="CC37" s="22">
        <f>IF(BW37&lt;&gt;"",
    COUNTIFS(MATCH_INPUT!$F$26:$F$29, BW37, MATCH_INPUT!$K$26:$K$29, "&lt;&gt;"&amp;BW37, MATCH_INPUT!$K$26:$K$29, "&lt;&gt;Draw", MATCH_INPUT!$K$26:$K$29, "&lt;&gt;""") +
    COUNTIFS(MATCH_INPUT!$J$26:$J$29, BW37, MATCH_INPUT!$K$26:$K$29, "&lt;&gt;"&amp;BW37, MATCH_INPUT!$K$26:$K$29, "&lt;&gt;Draw", MATCH_INPUT!$K$26:$K$29, "&lt;&gt;"""),
0)</f>
        <v>1</v>
      </c>
      <c r="CD37" s="23" t="str">
        <f t="array" ref="CD37">IFERROR(
  INDEX(PLAYER_STAT!E$2:E64, 
    MATCH(1, 
      (PLAYER_STAT!A$2:A64 = MATCH_DATES!$A$8) * (PLAYER_STAT!D$2:D64 = $B37), 
    0)
  ), 
  ""
)
</f>
        <v/>
      </c>
      <c r="CE37" s="23" t="str">
        <f t="array" ref="CE37">IFERROR(
  INDEX(PLAYER_STAT!F$2:F64, 
    MATCH(1, 
      (PLAYER_STAT!A$2:A64 = MATCH_DATES!$A$8) * (PLAYER_STAT!D$2:D64 = $B37), 
    0)
  ), 
  ""
)
</f>
        <v/>
      </c>
      <c r="CF37" s="34" t="str">
        <f t="array" ref="CF37">IFERROR(
  INDEX(PLAYER_STAT!G$2:G64, 
    MATCH(1, 
      (PLAYER_STAT!A$2:A64 = MATCH_DATES!$A$8) * (PLAYER_STAT!D$2:D64 = $B37), 
    0)
  ), 
  ""
)
</f>
        <v/>
      </c>
      <c r="CG37" s="25">
        <f t="shared" si="34"/>
        <v>29</v>
      </c>
      <c r="CH37" s="26" t="str">
        <f t="shared" si="35"/>
        <v>↑</v>
      </c>
      <c r="CI37" s="27" t="s">
        <v>215</v>
      </c>
      <c r="CJ37" s="28">
        <f t="shared" si="36"/>
        <v>32</v>
      </c>
      <c r="CK37" s="28">
        <f t="shared" si="37"/>
        <v>2</v>
      </c>
      <c r="CL37" s="28">
        <f>SUM(CM37*2)+(CN37*1) + SUMIFS(MATCH_INPUT!$G$30:$G$33, MATCH_INPUT!$F$30:$F$33, CI37) + SUMIFS(MATCH_INPUT!$I$30:$I$33, MATCH_INPUT!$J$30:$J$33, CI37)
</f>
        <v>4</v>
      </c>
      <c r="CM37" s="28">
        <f>IF(CI37&lt;&gt;"",
    COUNTIFS(MATCH_INPUT!$K$30:$K$33,CI37),
0)</f>
        <v>0</v>
      </c>
      <c r="CN37" s="28">
        <f>IF(CI37&lt;&gt;"",
    COUNTIFS(MATCH_INPUT!$F$30:$F$33, CI37, MATCH_INPUT!$K$30:$K$33, "Draw") +
    COUNTIFS(MATCH_INPUT!$J$30:$J$33, CI37, MATCH_INPUT!$K$30:$K$33, "Draw"),
0)</f>
        <v>0</v>
      </c>
      <c r="CO37" s="28">
        <f>IF(CI37&lt;&gt;"",
    COUNTIFS(MATCH_INPUT!$F$30:$F$33, CI37, MATCH_INPUT!$K$30:$K$33, "&lt;&gt;"&amp;CI37, MATCH_INPUT!$K$30:$K$33, "&lt;&gt;Draw", MATCH_INPUT!$K$30:$K$33, "&lt;&gt;""") +
    COUNTIFS(MATCH_INPUT!$J$30:$J$33, CI37, MATCH_INPUT!$K$30:$K$33, "&lt;&gt;"&amp;CI37, MATCH_INPUT!$K$30:$K$33, "&lt;&gt;Draw", MATCH_INPUT!$K$30:$K$33, "&lt;&gt;"""),
0)</f>
        <v>2</v>
      </c>
      <c r="CP37" s="29" t="str">
        <f t="array" ref="CP37">IFERROR(
  INDEX(PLAYER_STAT!E$2:E64, 
    MATCH(1, 
      (PLAYER_STAT!A$2:A64 = MATCH_DATES!$A$9) * (PLAYER_STAT!D$2:D64 = $B37), 
    0)
  ), 
  ""
)
</f>
        <v/>
      </c>
      <c r="CQ37" s="29" t="str">
        <f t="array" ref="CQ37">IFERROR(
  INDEX(PLAYER_STAT!F$2:F64, 
    MATCH(1, 
      (PLAYER_STAT!A$2:A64 = MATCH_DATES!$A$9) * (PLAYER_STAT!D$2:D64 = $B37), 
    0)
  ), 
  ""
)
</f>
        <v/>
      </c>
      <c r="CR37" s="29" t="str">
        <f t="array" ref="CR37">IFERROR(
  INDEX(PLAYER_STAT!G$2:G64, 
    MATCH(1, 
      (PLAYER_STAT!A$2:A64 = MATCH_DATES!$A$9) * (PLAYER_STAT!D$2:D64 = $B37), 
    0)
  ), 
  ""
)
</f>
        <v/>
      </c>
      <c r="CS37" s="35">
        <f t="shared" si="38"/>
        <v>32</v>
      </c>
      <c r="CT37" s="35" t="str">
        <f t="shared" si="39"/>
        <v>↓</v>
      </c>
      <c r="CU37" s="36">
        <f t="shared" si="40"/>
        <v>16</v>
      </c>
      <c r="CV37" s="36" t="str">
        <f t="shared" ref="CV37:CW37" si="142">A37</f>
        <v>🍂🎃</v>
      </c>
      <c r="CW37" s="37" t="str">
        <f t="shared" si="142"/>
        <v>Valverde</v>
      </c>
      <c r="CX37" s="37">
        <f t="shared" si="42"/>
        <v>32</v>
      </c>
      <c r="CY37" s="36">
        <f>SUM(
  IF(AND(MATCH_DATES!$A$2 &lt;= TODAY(), NOW() &gt;= MATCH_DATES!$A$2 + TIME(22, 0, 0)), E37, 0),
  IF(AND(MATCH_DATES!$A$3 &lt;= TODAY(), NOW() &gt;= MATCH_DATES!$A$3 + TIME(22, 0, 0)), Q37, 0),
  IF(AND(MATCH_DATES!$A$4 &lt;= TODAY(), NOW() &gt;= MATCH_DATES!$A$4 + TIME(22, 0, 0)), AC37, 0),
  IF(AND(MATCH_DATES!$A$5 &lt;= TODAY(), NOW() &gt;= MATCH_DATES!$A$5 + TIME(22, 0, 0)), AO37, 0),
  IF(AND(MATCH_DATES!$A$6 &lt;= TODAY(), NOW() &gt;= MATCH_DATES!$A$6 + TIME(22, 0, 0)), BA37, 0),
  IF(AND(MATCH_DATES!$A$7 &lt;= TODAY(), NOW() &gt;= MATCH_DATES!$A$7 + TIME(22, 0, 0)), BM37, 0),
  IF(AND(MATCH_DATES!$A$8 &lt;= TODAY(), NOW() &gt;= MATCH_DATES!$A$8 + TIME(22, 0, 0)), BY37, 0),
  IF(AND(MATCH_DATES!$A$9 &lt;= TODAY(), NOW() &gt;= MATCH_DATES!$A$9 + TIME(22, 0, 0)), CK37, 0)
)
</f>
        <v>16</v>
      </c>
      <c r="CZ37" s="37">
        <f t="shared" ref="CZ37:DA37" si="143">SUM(G37,S37,AE37,AQ37,BC37,BO37,CA37,CM37)</f>
        <v>2</v>
      </c>
      <c r="DA37" s="37">
        <f t="shared" si="143"/>
        <v>3</v>
      </c>
      <c r="DB37" s="37">
        <f>SUM(
  IF(AND(MATCH_DATES!$A$2 &lt;= TODAY(), NOW() &gt;= MATCH_DATES!$A$2 + TIME(22, 0, 0)), I37, 0),
  IF(AND(MATCH_DATES!$A$3 &lt;= TODAY(), NOW() &gt;= MATCH_DATES!$A$3 + TIME(22, 0, 0)), U37, 0),
  IF(AND(MATCH_DATES!$A$4 &lt;= TODAY(), NOW() &gt;= MATCH_DATES!$A$4 + TIME(22, 0, 0)), AG37, 0),
  IF(AND(MATCH_DATES!$A$5 &lt;= TODAY(), NOW() &gt;= MATCH_DATES!$A$5 + TIME(22, 0, 0)), AS37, 0),
  IF(AND(MATCH_DATES!$A$6 &lt;= TODAY(), NOW() &gt;= MATCH_DATES!$A$6 + TIME(22, 0, 0)), BE37, 0),
  IF(AND(MATCH_DATES!$A$7 &lt;= TODAY(), NOW() &gt;= MATCH_DATES!$A$7 + TIME(22, 0, 0)), BQ37, 0),
  IF(AND(MATCH_DATES!$A$8 &lt;= TODAY(), NOW() &gt;= MATCH_DATES!$A$8 + TIME(22, 0, 0)), CC37, 0),
  IF(AND(MATCH_DATES!$A$9 &lt;= TODAY(), NOW() &gt;= MATCH_DATES!$A$9 + TIME(22, 0, 0)), CO37, 0)
)</f>
        <v>11</v>
      </c>
      <c r="DC37" s="37">
        <f t="shared" si="44"/>
        <v>4</v>
      </c>
      <c r="DD37" s="37">
        <f t="shared" ref="DD37:DE37" si="144">SUM(K37,W37,AI37,AU37,BG37,BS37,CE37,CQ37)</f>
        <v>0</v>
      </c>
      <c r="DE37" s="37">
        <f t="shared" si="144"/>
        <v>0</v>
      </c>
    </row>
    <row r="38" ht="24.75" customHeight="1">
      <c r="A38" s="19" t="s">
        <v>210</v>
      </c>
      <c r="B38" s="20" t="s">
        <v>241</v>
      </c>
      <c r="C38" s="21" t="s">
        <v>213</v>
      </c>
      <c r="D38" s="22">
        <f t="shared" si="4"/>
        <v>5</v>
      </c>
      <c r="E38" s="22">
        <f t="shared" si="5"/>
        <v>2</v>
      </c>
      <c r="F38" s="22">
        <f t="shared" si="6"/>
        <v>2</v>
      </c>
      <c r="G38" s="22">
        <f>IF(C38&lt;&gt;"",
    COUNTIFS(MATCH_INPUT!$K$2:$K$5,C38),
0)</f>
        <v>1</v>
      </c>
      <c r="H38" s="22">
        <f>IF(C38&lt;&gt;"",
    COUNTIFS(MATCH_INPUT!$F$2:$F$5, C38, MATCH_INPUT!$K$2:$K$5, "Draw") +
    COUNTIFS(MATCH_INPUT!$J$2:$J$5, C38, MATCH_INPUT!$K$2:$K$5, "Draw"),
0)</f>
        <v>0</v>
      </c>
      <c r="I38" s="22">
        <f>IF(C38&lt;&gt;"",
    COUNTIFS(MATCH_INPUT!$F$2:$F$5, C38, MATCH_INPUT!$K$2:$K$5, "&lt;&gt;"&amp;C38, MATCH_INPUT!$K$2:$K$5, "&lt;&gt;Draw", MATCH_INPUT!$K$2:$K$5, "&lt;&gt;""") +
    COUNTIFS(MATCH_INPUT!$J$2:$J$5, C38, MATCH_INPUT!$K$2:$K$5, "&lt;&gt;"&amp;C38, MATCH_INPUT!$K$2:$K$5, "&lt;&gt;Draw", MATCH_INPUT!$K$2:$K$5, "&lt;&gt;"""),
0)</f>
        <v>1</v>
      </c>
      <c r="J38" s="23">
        <f t="array" ref="J38">IFERROR(
  INDEX(PLAYER_STAT!E$2:E64, 
    MATCH(1, 
      (PLAYER_STAT!A$2:A64 = MATCH_DATES!$A$2) * (PLAYER_STAT!D$2:D64 = $B38), 
    0)
  ), 
  ""
)
</f>
        <v>0</v>
      </c>
      <c r="K38" s="23">
        <f t="array" ref="K38">IFERROR(
  INDEX(PLAYER_STAT!F$2:F64, 
    MATCH(1, 
      (PLAYER_STAT!A$2:A64 = MATCH_DATES!$A$2) * (PLAYER_STAT!D$2:D64 = $B38), 
    0)
  ), 
  ""
)
</f>
        <v>1</v>
      </c>
      <c r="L38" s="24">
        <f t="array" ref="L38">IFERROR(
  INDEX(PLAYER_STAT!G$2:G64, 
    MATCH(1, 
      (PLAYER_STAT!A$2:A64 = MATCH_DATES!$A$2) * (PLAYER_STAT!D$2:D64 = $B38), 
    0)
  ), 
  ""
)
</f>
        <v>0</v>
      </c>
      <c r="M38" s="25">
        <f t="shared" si="7"/>
        <v>10</v>
      </c>
      <c r="N38" s="26" t="str">
        <f t="shared" si="8"/>
        <v>↓</v>
      </c>
      <c r="O38" s="27" t="s">
        <v>215</v>
      </c>
      <c r="P38" s="28">
        <f t="shared" si="9"/>
        <v>10</v>
      </c>
      <c r="Q38" s="28">
        <f t="shared" si="10"/>
        <v>2</v>
      </c>
      <c r="R38" s="28">
        <f t="shared" si="11"/>
        <v>2</v>
      </c>
      <c r="S38" s="28">
        <f>IF(O38&lt;&gt;"",
    COUNTIFS(MATCH_INPUT!$K$6:$K$9,O38),
0)</f>
        <v>1</v>
      </c>
      <c r="T38" s="28">
        <f>IF(O38&lt;&gt;"",
    COUNTIFS(MATCH_INPUT!$F$6:$F$9, O38, MATCH_INPUT!$K$6:$K$9, "Draw") +
    COUNTIFS(MATCH_INPUT!$J$6:$J$9, O38, MATCH_INPUT!$K$6:$K$9, "Draw"),
0)</f>
        <v>0</v>
      </c>
      <c r="U38" s="28">
        <f>IF(O38&lt;&gt;"",
    COUNTIFS(MATCH_INPUT!$F$6:$F$9, O38, MATCH_INPUT!$K$6:$K$9, "&lt;&gt;"&amp;O38, MATCH_INPUT!$K$6:$K$9, "&lt;&gt;Draw", MATCH_INPUT!$K$6:$K$9, "&lt;&gt;""") +
    COUNTIFS(MATCH_INPUT!$J$6:$J$9, O38, MATCH_INPUT!$K$6:$K$9, "&lt;&gt;"&amp;O38, MATCH_INPUT!$K$6:$K$9, "&lt;&gt;Draw", MATCH_INPUT!$K$6:$K$9, "&lt;&gt;"""),
0)</f>
        <v>1</v>
      </c>
      <c r="V38" s="29">
        <f t="array" ref="V38">IFERROR(
  INDEX(PLAYER_STAT!E$2:E64, 
    MATCH(1, 
      (PLAYER_STAT!A$2:A64 = MATCH_DATES!$A$3) * (PLAYER_STAT!D$2:D64 = $B38), 
    0)
  ), 
  ""
)
</f>
        <v>0</v>
      </c>
      <c r="W38" s="29">
        <f t="array" ref="W38">IFERROR(
  INDEX(PLAYER_STAT!F$2:F64, 
    MATCH(1, 
      (PLAYER_STAT!A$2:A64 = MATCH_DATES!$A$3) * (PLAYER_STAT!D$2:D64 = $B38), 
    0)
  ), 
  ""
)
</f>
        <v>1</v>
      </c>
      <c r="X38" s="30">
        <f t="array" ref="X38">IFERROR(
  INDEX(PLAYER_STAT!G$2:G64, 
    MATCH(1, 
      (PLAYER_STAT!A$2:A64 = MATCH_DATES!$A$3) * (PLAYER_STAT!D$2:D64 = $B38), 
    0)
  ), 
  ""
)
</f>
        <v>0</v>
      </c>
      <c r="Y38" s="31">
        <f t="shared" si="12"/>
        <v>4</v>
      </c>
      <c r="Z38" s="32" t="str">
        <f t="shared" si="13"/>
        <v>↑</v>
      </c>
      <c r="AA38" s="21" t="s">
        <v>213</v>
      </c>
      <c r="AB38" s="33">
        <f t="shared" si="14"/>
        <v>15</v>
      </c>
      <c r="AC38" s="22">
        <f t="shared" si="15"/>
        <v>2</v>
      </c>
      <c r="AD38" s="22">
        <f t="shared" si="16"/>
        <v>2</v>
      </c>
      <c r="AE38" s="22">
        <f>IF(AA38&lt;&gt;"",
    COUNTIFS(MATCH_INPUT!$K$10:$K$13,AA38),
0)</f>
        <v>1</v>
      </c>
      <c r="AF38" s="22">
        <f>IF(AA38&lt;&gt;"",
    COUNTIFS(MATCH_INPUT!$F$10:$F$13, AA38, MATCH_INPUT!$K$10:$K$13, "Draw") +
    COUNTIFS(MATCH_INPUT!$J$10:$J$13, AA38, MATCH_INPUT!$K$10:$K$13, "Draw"),
0)</f>
        <v>0</v>
      </c>
      <c r="AG38" s="22">
        <f>IF(AA38&lt;&gt;"",
    COUNTIFS(MATCH_INPUT!$F$10:$F$13, AA38, MATCH_INPUT!$K$10:$K$13, "&lt;&gt;"&amp;AA38, MATCH_INPUT!$K$10:$K$13, "&lt;&gt;Draw", MATCH_INPUT!$K$10:$K$13, "&lt;&gt;""") +
    COUNTIFS(MATCH_INPUT!$J$10:$J$13, AA38, MATCH_INPUT!$K$10:$K$13, "&lt;&gt;"&amp;AA38, MATCH_INPUT!$K$10:$K$13, "&lt;&gt;Draw", MATCH_INPUT!$K$10:$K$13, "&lt;&gt;"""),
0)</f>
        <v>1</v>
      </c>
      <c r="AH38" s="23">
        <f t="array" ref="AH38">IFERROR(
  INDEX(PLAYER_STAT!E$2:E64, 
    MATCH(1, 
      (PLAYER_STAT!A$2:A64 = MATCH_DATES!$A$4) * (PLAYER_STAT!D$2:D64 = $B38), 
    0)
  ), 
  ""
)
</f>
        <v>0</v>
      </c>
      <c r="AI38" s="23">
        <f t="array" ref="AI38">IFERROR(
  INDEX(PLAYER_STAT!F$2:F64, 
    MATCH(1, 
      (PLAYER_STAT!A$2:A64 = MATCH_DATES!$A$4) * (PLAYER_STAT!D$2:D64 = $B38), 
    0)
  ), 
  ""
)
</f>
        <v>1</v>
      </c>
      <c r="AJ38" s="34">
        <f t="array" ref="AJ38">IFERROR(
  INDEX(PLAYER_STAT!G$2:G64, 
    MATCH(1, 
      (PLAYER_STAT!A$2:A64 = MATCH_DATES!$A$4) * (PLAYER_STAT!D$2:D64 = $B38), 
    0)
  ), 
  ""
)
</f>
        <v>0</v>
      </c>
      <c r="AK38" s="25">
        <f t="shared" si="17"/>
        <v>1</v>
      </c>
      <c r="AL38" s="26" t="str">
        <f t="shared" si="18"/>
        <v>↑</v>
      </c>
      <c r="AM38" s="27" t="s">
        <v>214</v>
      </c>
      <c r="AN38" s="28">
        <f t="shared" si="19"/>
        <v>17</v>
      </c>
      <c r="AO38" s="28">
        <f t="shared" si="20"/>
        <v>2</v>
      </c>
      <c r="AP38" s="28">
        <f t="shared" si="21"/>
        <v>0</v>
      </c>
      <c r="AQ38" s="28">
        <f>IF(AM38&lt;&gt;"",
    COUNTIFS(MATCH_INPUT!$K$14:$K$17,AM38),
0)</f>
        <v>0</v>
      </c>
      <c r="AR38" s="28">
        <f>IF(AM38&lt;&gt;"",
    COUNTIFS(MATCH_INPUT!$F$14:$F$17, AM38, MATCH_INPUT!$K$14:$K$17, "Draw") +
    COUNTIFS(MATCH_INPUT!$J$14:$J$17, AM38, MATCH_INPUT!$K$14:$K$17, "Draw"),
0)</f>
        <v>0</v>
      </c>
      <c r="AS38" s="28">
        <f>IF(AM38&lt;&gt;"",
    COUNTIFS(MATCH_INPUT!$F$14:$F$17, AM38, MATCH_INPUT!$K$14:$K$17, "&lt;&gt;"&amp;AM38, MATCH_INPUT!$K$14:$K$17, "&lt;&gt;Draw", MATCH_INPUT!$K$14:$K$17, "&lt;&gt;""") +
    COUNTIFS(MATCH_INPUT!$J$14:$J$17, AM38, MATCH_INPUT!$K$14:$K$17, "&lt;&gt;"&amp;AM38, MATCH_INPUT!$K$14:$K$17, "&lt;&gt;Draw", MATCH_INPUT!$K$14:$K$17, "&lt;&gt;"""),
0)</f>
        <v>2</v>
      </c>
      <c r="AT38" s="29" t="str">
        <f t="array" ref="AT38">IFERROR(
  INDEX(PLAYER_STAT!E$2:E64, 
    MATCH(1, 
      (PLAYER_STAT!A$2:A64 = MATCH_DATES!$A$5) * (PLAYER_STAT!D$2:D64 = $B38), 
    0)
  ), 
  ""
)
</f>
        <v/>
      </c>
      <c r="AU38" s="29" t="str">
        <f t="array" ref="AU38">IFERROR(
  INDEX(PLAYER_STAT!F$2:F64, 
    MATCH(1, 
      (PLAYER_STAT!A$2:A64 = MATCH_DATES!$A$5) * (PLAYER_STAT!D$2:D64 = $B38), 
    0)
  ), 
  ""
)
</f>
        <v/>
      </c>
      <c r="AV38" s="30" t="str">
        <f t="array" ref="AV38">IFERROR(
  INDEX(PLAYER_STAT!G$2:G64, 
    MATCH(1, 
      (PLAYER_STAT!A$2:A64 = MATCH_DATES!$A$5) * (PLAYER_STAT!D$2:D64 = $B38), 
    0)
  ), 
  ""
)
</f>
        <v/>
      </c>
      <c r="AW38" s="31">
        <f t="shared" si="22"/>
        <v>11</v>
      </c>
      <c r="AX38" s="32" t="str">
        <f t="shared" si="23"/>
        <v>↓</v>
      </c>
      <c r="AY38" s="21" t="s">
        <v>214</v>
      </c>
      <c r="AZ38" s="33">
        <f t="shared" si="24"/>
        <v>29</v>
      </c>
      <c r="BA38" s="22">
        <f t="shared" si="25"/>
        <v>2</v>
      </c>
      <c r="BB38" s="22">
        <f>SUM(BC38*2) + (BD38*1) + SUMIFS(MATCH_INPUT!$G$18:$G$21, MATCH_INPUT!$F$18:$F$21, AY38) + SUMIFS(MATCH_INPUT!$I$18:$I$21, MATCH_INPUT!$J$18:$J$21, AY38)
</f>
        <v>9</v>
      </c>
      <c r="BC38" s="22">
        <f>IF(AY38&lt;&gt;"",
    COUNTIFS(MATCH_INPUT!$K$18:$K$21,AY38),
0)</f>
        <v>1</v>
      </c>
      <c r="BD38" s="22">
        <f>IF(AY38&lt;&gt;"",
    COUNTIFS(MATCH_INPUT!$F$18:$F$21, AY38, MATCH_INPUT!$K$18:$K$21, "Draw") +
    COUNTIFS(MATCH_INPUT!$J$18:$J$21, AY38, MATCH_INPUT!$K$18:$K$21, "Draw"),
0)</f>
        <v>1</v>
      </c>
      <c r="BE38" s="22">
        <f>IF(AY38&lt;&gt;"",
    COUNTIFS(MATCH_INPUT!$F$18:$F$21, AY38, MATCH_INPUT!$K$18:$K$21, "&lt;&gt;"&amp;AY38, MATCH_INPUT!$K$18:$K$21, "&lt;&gt;Draw", MATCH_INPUT!$K$18:$K$21, "&lt;&gt;""") +
    COUNTIFS(MATCH_INPUT!$J$18:$J$21, AY38, MATCH_INPUT!$K$18:$K$21, "&lt;&gt;"&amp;AY38, MATCH_INPUT!$K$18:$K$21, "&lt;&gt;Draw", MATCH_INPUT!$K$18:$K$21, "&lt;&gt;"""),
0)</f>
        <v>0</v>
      </c>
      <c r="BF38" s="23">
        <f t="array" ref="BF38">IFERROR(
  INDEX(PLAYER_STAT!E$2:E64, 
    MATCH(1, 
      (PLAYER_STAT!A$2:A64 = MATCH_DATES!$A$6) * (PLAYER_STAT!D$2:D64 = $B38), 
    0)
  ), 
  ""
)
</f>
        <v>0</v>
      </c>
      <c r="BG38" s="23">
        <f t="array" ref="BG38">IFERROR(
  INDEX(PLAYER_STAT!F$2:F64, 
    MATCH(1, 
      (PLAYER_STAT!A$2:A64 = MATCH_DATES!$A$6) * (PLAYER_STAT!D$2:D64 = $B38), 
    0)
  ), 
  ""
)
</f>
        <v>1</v>
      </c>
      <c r="BH38" s="34">
        <f t="array" ref="BH38">IFERROR(
  INDEX(PLAYER_STAT!G$2:G64, 
    MATCH(1, 
      (PLAYER_STAT!A$2:A64 = MATCH_DATES!$A$6) * (PLAYER_STAT!D$2:D64 = $B38), 
    0)
  ), 
  ""
)
</f>
        <v>1</v>
      </c>
      <c r="BI38" s="25">
        <f t="shared" si="26"/>
        <v>4</v>
      </c>
      <c r="BJ38" s="26" t="str">
        <f t="shared" si="27"/>
        <v>↑</v>
      </c>
      <c r="BK38" s="27" t="s">
        <v>213</v>
      </c>
      <c r="BL38" s="28">
        <f t="shared" si="28"/>
        <v>34</v>
      </c>
      <c r="BM38" s="28">
        <f t="shared" si="29"/>
        <v>2</v>
      </c>
      <c r="BN38" s="28">
        <f>SUM(BO38*2) + (BP38*1) + SUMIFS(MATCH_INPUT!$G$22:$G$25, MATCH_INPUT!$F$22:$F$25, BK38) + SUMIFS(MATCH_INPUT!$I$22:$I$25, MATCH_INPUT!$J$22:$J$25, BK38)
</f>
        <v>2</v>
      </c>
      <c r="BO38" s="28">
        <f>IF(BK38&lt;&gt;"",
    COUNTIFS(MATCH_INPUT!$K$22:$K$25,BK38),
0)</f>
        <v>0</v>
      </c>
      <c r="BP38" s="28">
        <f>IF(BK38&lt;&gt;"",
    COUNTIFS(MATCH_INPUT!$F$22:$F$25, BK38, MATCH_INPUT!$K$22:$K$25, "Draw") +
    COUNTIFS(MATCH_INPUT!$J$22:$J$25, BK38, MATCH_INPUT!$K$22:$K$25, "Draw"),
0)</f>
        <v>1</v>
      </c>
      <c r="BQ38" s="28">
        <f>IF(BK38&lt;&gt;"",
    COUNTIFS(MATCH_INPUT!$F$22:$F$25, BK38, MATCH_INPUT!$K$22:$K$25, "&lt;&gt;"&amp;BK38, MATCH_INPUT!$K$22:$K$25, "&lt;&gt;Draw", MATCH_INPUT!$K$22:$K$25, "&lt;&gt;""") +
    COUNTIFS(MATCH_INPUT!$J$22:$J$25, BK38, MATCH_INPUT!$K$22:$K$25, "&lt;&gt;"&amp;BK38, MATCH_INPUT!$K$22:$K$25, "&lt;&gt;Draw", MATCH_INPUT!$K$22:$K$25, "&lt;&gt;"""),
0)</f>
        <v>1</v>
      </c>
      <c r="BR38" s="29">
        <f t="array" ref="BR38">IFERROR(
  INDEX(PLAYER_STAT!E$2:E64, 
    MATCH(1, 
      (PLAYER_STAT!A$2:A64 = MATCH_DATES!$A$7) * (PLAYER_STAT!D$2:D64 = $B38), 
    0)
  ), 
  ""
)
</f>
        <v>0</v>
      </c>
      <c r="BS38" s="29">
        <f t="array" ref="BS38">IFERROR(
  INDEX(PLAYER_STAT!F$2:F64, 
    MATCH(1, 
      (PLAYER_STAT!A$2:A64 = MATCH_DATES!$A$7) * (PLAYER_STAT!D$2:D64 = $B38), 
    0)
  ), 
  ""
)
</f>
        <v>1</v>
      </c>
      <c r="BT38" s="30">
        <f t="array" ref="BT38">IFERROR(
  INDEX(PLAYER_STAT!G$2:G64, 
    MATCH(1, 
      (PLAYER_STAT!A$2:A64 = MATCH_DATES!$A$7) * (PLAYER_STAT!D$2:D64 = $B38), 
    0)
  ), 
  ""
)
</f>
        <v>0</v>
      </c>
      <c r="BU38" s="31">
        <f t="shared" si="30"/>
        <v>10</v>
      </c>
      <c r="BV38" s="32" t="str">
        <f t="shared" si="31"/>
        <v>↓</v>
      </c>
      <c r="BW38" s="21" t="s">
        <v>212</v>
      </c>
      <c r="BX38" s="33">
        <f t="shared" si="32"/>
        <v>43</v>
      </c>
      <c r="BY38" s="22">
        <f t="shared" si="33"/>
        <v>2</v>
      </c>
      <c r="BZ38" s="22">
        <f>SUM(CA38*2)+(CB38*1) + SUMIFS(MATCH_INPUT!$G$26:$G$29, MATCH_INPUT!$F$26:$F$29, BW38) + SUMIFS(MATCH_INPUT!$I$26:$I$29, MATCH_INPUT!$J$26:$J$29, BW38)
</f>
        <v>6</v>
      </c>
      <c r="CA38" s="22">
        <f>IF(BW38&lt;&gt;"",
    COUNTIFS(MATCH_INPUT!$K$26:$K$29,BW38),
0)</f>
        <v>1</v>
      </c>
      <c r="CB38" s="22">
        <f>IF(BW38&lt;&gt;"",
    COUNTIFS(MATCH_INPUT!$F$26:$F$29, BW38, MATCH_INPUT!$K$26:$K$29, "Draw") +
    COUNTIFS(MATCH_INPUT!$J$26:$J$29, BW38, MATCH_INPUT!$K$26:$K$29, "Draw"),
0)</f>
        <v>1</v>
      </c>
      <c r="CC38" s="22">
        <f>IF(BW38&lt;&gt;"",
    COUNTIFS(MATCH_INPUT!$F$26:$F$29, BW38, MATCH_INPUT!$K$26:$K$29, "&lt;&gt;"&amp;BW38, MATCH_INPUT!$K$26:$K$29, "&lt;&gt;Draw", MATCH_INPUT!$K$26:$K$29, "&lt;&gt;""") +
    COUNTIFS(MATCH_INPUT!$J$26:$J$29, BW38, MATCH_INPUT!$K$26:$K$29, "&lt;&gt;"&amp;BW38, MATCH_INPUT!$K$26:$K$29, "&lt;&gt;Draw", MATCH_INPUT!$K$26:$K$29, "&lt;&gt;"""),
0)</f>
        <v>0</v>
      </c>
      <c r="CD38" s="23">
        <f t="array" ref="CD38">IFERROR(
  INDEX(PLAYER_STAT!E$2:E64, 
    MATCH(1, 
      (PLAYER_STAT!A$2:A64 = MATCH_DATES!$A$8) * (PLAYER_STAT!D$2:D64 = $B38), 
    0)
  ), 
  ""
)
</f>
        <v>0</v>
      </c>
      <c r="CE38" s="23">
        <f t="array" ref="CE38">IFERROR(
  INDEX(PLAYER_STAT!F$2:F64, 
    MATCH(1, 
      (PLAYER_STAT!A$2:A64 = MATCH_DATES!$A$8) * (PLAYER_STAT!D$2:D64 = $B38), 
    0)
  ), 
  ""
)
</f>
        <v>1</v>
      </c>
      <c r="CF38" s="34">
        <f t="array" ref="CF38">IFERROR(
  INDEX(PLAYER_STAT!G$2:G64, 
    MATCH(1, 
      (PLAYER_STAT!A$2:A64 = MATCH_DATES!$A$8) * (PLAYER_STAT!D$2:D64 = $B38), 
    0)
  ), 
  ""
)
</f>
        <v>0</v>
      </c>
      <c r="CG38" s="25">
        <f t="shared" si="34"/>
        <v>10</v>
      </c>
      <c r="CH38" s="26" t="str">
        <f t="shared" si="35"/>
        <v>=</v>
      </c>
      <c r="CI38" s="27" t="s">
        <v>215</v>
      </c>
      <c r="CJ38" s="28">
        <f t="shared" si="36"/>
        <v>49</v>
      </c>
      <c r="CK38" s="28">
        <f t="shared" si="37"/>
        <v>2</v>
      </c>
      <c r="CL38" s="28">
        <f>SUM(CM38*2)+(CN38*1) + SUMIFS(MATCH_INPUT!$G$30:$G$33, MATCH_INPUT!$F$30:$F$33, CI38) + SUMIFS(MATCH_INPUT!$I$30:$I$33, MATCH_INPUT!$J$30:$J$33, CI38)
</f>
        <v>4</v>
      </c>
      <c r="CM38" s="28">
        <f>IF(CI38&lt;&gt;"",
    COUNTIFS(MATCH_INPUT!$K$30:$K$33,CI38),
0)</f>
        <v>0</v>
      </c>
      <c r="CN38" s="28">
        <f>IF(CI38&lt;&gt;"",
    COUNTIFS(MATCH_INPUT!$F$30:$F$33, CI38, MATCH_INPUT!$K$30:$K$33, "Draw") +
    COUNTIFS(MATCH_INPUT!$J$30:$J$33, CI38, MATCH_INPUT!$K$30:$K$33, "Draw"),
0)</f>
        <v>0</v>
      </c>
      <c r="CO38" s="28">
        <f>IF(CI38&lt;&gt;"",
    COUNTIFS(MATCH_INPUT!$F$30:$F$33, CI38, MATCH_INPUT!$K$30:$K$33, "&lt;&gt;"&amp;CI38, MATCH_INPUT!$K$30:$K$33, "&lt;&gt;Draw", MATCH_INPUT!$K$30:$K$33, "&lt;&gt;""") +
    COUNTIFS(MATCH_INPUT!$J$30:$J$33, CI38, MATCH_INPUT!$K$30:$K$33, "&lt;&gt;"&amp;CI38, MATCH_INPUT!$K$30:$K$33, "&lt;&gt;Draw", MATCH_INPUT!$K$30:$K$33, "&lt;&gt;"""),
0)</f>
        <v>2</v>
      </c>
      <c r="CP38" s="29" t="str">
        <f t="array" ref="CP38">IFERROR(
  INDEX(PLAYER_STAT!E$2:E64, 
    MATCH(1, 
      (PLAYER_STAT!A$2:A64 = MATCH_DATES!$A$9) * (PLAYER_STAT!D$2:D64 = $B38), 
    0)
  ), 
  ""
)
</f>
        <v/>
      </c>
      <c r="CQ38" s="29" t="str">
        <f t="array" ref="CQ38">IFERROR(
  INDEX(PLAYER_STAT!F$2:F64, 
    MATCH(1, 
      (PLAYER_STAT!A$2:A64 = MATCH_DATES!$A$9) * (PLAYER_STAT!D$2:D64 = $B38), 
    0)
  ), 
  ""
)
</f>
        <v/>
      </c>
      <c r="CR38" s="29" t="str">
        <f t="array" ref="CR38">IFERROR(
  INDEX(PLAYER_STAT!G$2:G64, 
    MATCH(1, 
      (PLAYER_STAT!A$2:A64 = MATCH_DATES!$A$9) * (PLAYER_STAT!D$2:D64 = $B38), 
    0)
  ), 
  ""
)
</f>
        <v/>
      </c>
      <c r="CS38" s="35">
        <f t="shared" si="38"/>
        <v>14</v>
      </c>
      <c r="CT38" s="35" t="str">
        <f t="shared" si="39"/>
        <v>↓</v>
      </c>
      <c r="CU38" s="36">
        <f t="shared" si="40"/>
        <v>27</v>
      </c>
      <c r="CV38" s="36" t="str">
        <f t="shared" ref="CV38:CW38" si="145">A38</f>
        <v>🍂🎃</v>
      </c>
      <c r="CW38" s="37" t="str">
        <f t="shared" si="145"/>
        <v>Víctor N</v>
      </c>
      <c r="CX38" s="37">
        <f t="shared" si="42"/>
        <v>49</v>
      </c>
      <c r="CY38" s="36">
        <f>SUM(
  IF(AND(MATCH_DATES!$A$2 &lt;= TODAY(), NOW() &gt;= MATCH_DATES!$A$2 + TIME(22, 0, 0)), E38, 0),
  IF(AND(MATCH_DATES!$A$3 &lt;= TODAY(), NOW() &gt;= MATCH_DATES!$A$3 + TIME(22, 0, 0)), Q38, 0),
  IF(AND(MATCH_DATES!$A$4 &lt;= TODAY(), NOW() &gt;= MATCH_DATES!$A$4 + TIME(22, 0, 0)), AC38, 0),
  IF(AND(MATCH_DATES!$A$5 &lt;= TODAY(), NOW() &gt;= MATCH_DATES!$A$5 + TIME(22, 0, 0)), AO38, 0),
  IF(AND(MATCH_DATES!$A$6 &lt;= TODAY(), NOW() &gt;= MATCH_DATES!$A$6 + TIME(22, 0, 0)), BA38, 0),
  IF(AND(MATCH_DATES!$A$7 &lt;= TODAY(), NOW() &gt;= MATCH_DATES!$A$7 + TIME(22, 0, 0)), BM38, 0),
  IF(AND(MATCH_DATES!$A$8 &lt;= TODAY(), NOW() &gt;= MATCH_DATES!$A$8 + TIME(22, 0, 0)), BY38, 0),
  IF(AND(MATCH_DATES!$A$9 &lt;= TODAY(), NOW() &gt;= MATCH_DATES!$A$9 + TIME(22, 0, 0)), CK38, 0)
)
</f>
        <v>16</v>
      </c>
      <c r="CZ38" s="37">
        <f t="shared" ref="CZ38:DA38" si="146">SUM(G38,S38,AE38,AQ38,BC38,BO38,CA38,CM38)</f>
        <v>5</v>
      </c>
      <c r="DA38" s="37">
        <f t="shared" si="146"/>
        <v>3</v>
      </c>
      <c r="DB38" s="37">
        <f>SUM(
  IF(AND(MATCH_DATES!$A$2 &lt;= TODAY(), NOW() &gt;= MATCH_DATES!$A$2 + TIME(22, 0, 0)), I38, 0),
  IF(AND(MATCH_DATES!$A$3 &lt;= TODAY(), NOW() &gt;= MATCH_DATES!$A$3 + TIME(22, 0, 0)), U38, 0),
  IF(AND(MATCH_DATES!$A$4 &lt;= TODAY(), NOW() &gt;= MATCH_DATES!$A$4 + TIME(22, 0, 0)), AG38, 0),
  IF(AND(MATCH_DATES!$A$5 &lt;= TODAY(), NOW() &gt;= MATCH_DATES!$A$5 + TIME(22, 0, 0)), AS38, 0),
  IF(AND(MATCH_DATES!$A$6 &lt;= TODAY(), NOW() &gt;= MATCH_DATES!$A$6 + TIME(22, 0, 0)), BE38, 0),
  IF(AND(MATCH_DATES!$A$7 &lt;= TODAY(), NOW() &gt;= MATCH_DATES!$A$7 + TIME(22, 0, 0)), BQ38, 0),
  IF(AND(MATCH_DATES!$A$8 &lt;= TODAY(), NOW() &gt;= MATCH_DATES!$A$8 + TIME(22, 0, 0)), CC38, 0),
  IF(AND(MATCH_DATES!$A$9 &lt;= TODAY(), NOW() &gt;= MATCH_DATES!$A$9 + TIME(22, 0, 0)), CO38, 0)
)</f>
        <v>8</v>
      </c>
      <c r="DC38" s="37">
        <f t="shared" si="44"/>
        <v>0</v>
      </c>
      <c r="DD38" s="37">
        <f t="shared" ref="DD38:DE38" si="147">SUM(K38,W38,AI38,AU38,BG38,BS38,CE38,CQ38)</f>
        <v>6</v>
      </c>
      <c r="DE38" s="37">
        <f t="shared" si="147"/>
        <v>1</v>
      </c>
    </row>
    <row r="39" ht="24.75" customHeight="1">
      <c r="A39" s="30" t="s">
        <v>242</v>
      </c>
      <c r="B39" s="30" t="s">
        <v>243</v>
      </c>
      <c r="C39" s="21" t="s">
        <v>212</v>
      </c>
      <c r="D39" s="22">
        <f t="shared" si="4"/>
        <v>4</v>
      </c>
      <c r="E39" s="22">
        <f t="shared" si="5"/>
        <v>2</v>
      </c>
      <c r="F39" s="22">
        <f t="shared" si="6"/>
        <v>2</v>
      </c>
      <c r="G39" s="22">
        <f>IF(C39&lt;&gt;"",
    COUNTIFS(MATCH_INPUT!$K$2:$K$5,C39),
0)</f>
        <v>1</v>
      </c>
      <c r="H39" s="22">
        <f>IF(C39&lt;&gt;"",
    COUNTIFS(MATCH_INPUT!$F$2:$F$5, C39, MATCH_INPUT!$K$2:$K$5, "Draw") +
    COUNTIFS(MATCH_INPUT!$J$2:$J$5, C39, MATCH_INPUT!$K$2:$K$5, "Draw"),
0)</f>
        <v>0</v>
      </c>
      <c r="I39" s="22">
        <f>IF(C39&lt;&gt;"",
    COUNTIFS(MATCH_INPUT!$F$2:$F$5, C39, MATCH_INPUT!$K$2:$K$5, "&lt;&gt;"&amp;C39, MATCH_INPUT!$K$2:$K$5, "&lt;&gt;Draw", MATCH_INPUT!$K$2:$K$5, "&lt;&gt;""") +
    COUNTIFS(MATCH_INPUT!$J$2:$J$5, C39, MATCH_INPUT!$K$2:$K$5, "&lt;&gt;"&amp;C39, MATCH_INPUT!$K$2:$K$5, "&lt;&gt;Draw", MATCH_INPUT!$K$2:$K$5, "&lt;&gt;"""),
0)</f>
        <v>1</v>
      </c>
      <c r="J39" s="23" t="str">
        <f t="array" ref="J39">IFERROR(
  INDEX(PLAYER_STAT!E$2:E64, 
    MATCH(1, 
      (PLAYER_STAT!A$2:A64 = MATCH_DATES!$A$2) * (PLAYER_STAT!D$2:D64 = $B39), 
    0)
  ), 
  ""
)
</f>
        <v/>
      </c>
      <c r="K39" s="23" t="str">
        <f t="array" ref="K39">IFERROR(
  INDEX(PLAYER_STAT!F$2:F64, 
    MATCH(1, 
      (PLAYER_STAT!A$2:A64 = MATCH_DATES!$A$2) * (PLAYER_STAT!D$2:D64 = $B39), 
    0)
  ), 
  ""
)
</f>
        <v/>
      </c>
      <c r="L39" s="24" t="str">
        <f t="array" ref="L39">IFERROR(
  INDEX(PLAYER_STAT!G$2:G64, 
    MATCH(1, 
      (PLAYER_STAT!A$2:A64 = MATCH_DATES!$A$2) * (PLAYER_STAT!D$2:D64 = $B39), 
    0)
  ), 
  ""
)
</f>
        <v/>
      </c>
      <c r="M39" s="25">
        <f t="shared" ref="M39:M64" si="151">RANK(D39, D$39:D$64, 0)</f>
        <v>1</v>
      </c>
      <c r="N39" s="26" t="str">
        <f t="shared" si="8"/>
        <v>=</v>
      </c>
      <c r="O39" s="27" t="s">
        <v>215</v>
      </c>
      <c r="P39" s="28">
        <f t="shared" si="9"/>
        <v>8</v>
      </c>
      <c r="Q39" s="28">
        <f t="shared" si="10"/>
        <v>2</v>
      </c>
      <c r="R39" s="28">
        <f t="shared" si="11"/>
        <v>2</v>
      </c>
      <c r="S39" s="28">
        <f>IF(O39&lt;&gt;"",
    COUNTIFS(MATCH_INPUT!$K$6:$K$9,O39),
0)</f>
        <v>1</v>
      </c>
      <c r="T39" s="28">
        <f>IF(O39&lt;&gt;"",
    COUNTIFS(MATCH_INPUT!$F$6:$F$9, O39, MATCH_INPUT!$K$6:$K$9, "Draw") +
    COUNTIFS(MATCH_INPUT!$J$6:$J$9, O39, MATCH_INPUT!$K$6:$K$9, "Draw"),
0)</f>
        <v>0</v>
      </c>
      <c r="U39" s="28">
        <f>IF(O39&lt;&gt;"",
    COUNTIFS(MATCH_INPUT!$F$6:$F$9, O39, MATCH_INPUT!$K$6:$K$9, "&lt;&gt;"&amp;O39, MATCH_INPUT!$K$6:$K$9, "&lt;&gt;Draw", MATCH_INPUT!$K$6:$K$9, "&lt;&gt;""") +
    COUNTIFS(MATCH_INPUT!$J$6:$J$9, O39, MATCH_INPUT!$K$6:$K$9, "&lt;&gt;"&amp;O39, MATCH_INPUT!$K$6:$K$9, "&lt;&gt;Draw", MATCH_INPUT!$K$6:$K$9, "&lt;&gt;"""),
0)</f>
        <v>1</v>
      </c>
      <c r="V39" s="29" t="str">
        <f t="array" ref="V39">IFERROR(
  INDEX(PLAYER_STAT!E$2:E64, 
    MATCH(1, 
      (PLAYER_STAT!A$2:A64 = MATCH_DATES!$A$3) * (PLAYER_STAT!D$2:D64 = $B39), 
    0)
  ), 
  ""
)
</f>
        <v/>
      </c>
      <c r="W39" s="29" t="str">
        <f t="array" ref="W39">IFERROR(
  INDEX(PLAYER_STAT!F$2:F64, 
    MATCH(1, 
      (PLAYER_STAT!A$2:A64 = MATCH_DATES!$A$3) * (PLAYER_STAT!D$2:D64 = $B39), 
    0)
  ), 
  ""
)
</f>
        <v/>
      </c>
      <c r="X39" s="30" t="str">
        <f t="array" ref="X39">IFERROR(
  INDEX(PLAYER_STAT!G$2:G64, 
    MATCH(1, 
      (PLAYER_STAT!A$2:A64 = MATCH_DATES!$A$3) * (PLAYER_STAT!D$2:D64 = $B39), 
    0)
  ), 
  ""
)
</f>
        <v/>
      </c>
      <c r="Y39" s="31">
        <f t="shared" ref="Y39:Y64" si="152">RANK(P39, P$39:P$64, 0)</f>
        <v>1</v>
      </c>
      <c r="Z39" s="32" t="str">
        <f t="shared" si="13"/>
        <v>=</v>
      </c>
      <c r="AA39" s="21" t="s">
        <v>214</v>
      </c>
      <c r="AB39" s="33">
        <f t="shared" si="14"/>
        <v>12</v>
      </c>
      <c r="AC39" s="22">
        <f t="shared" si="15"/>
        <v>2</v>
      </c>
      <c r="AD39" s="22">
        <f t="shared" si="16"/>
        <v>2</v>
      </c>
      <c r="AE39" s="22">
        <f>IF(AA39&lt;&gt;"",
    COUNTIFS(MATCH_INPUT!$K$10:$K$13,AA39),
0)</f>
        <v>1</v>
      </c>
      <c r="AF39" s="22">
        <f>IF(AA39&lt;&gt;"",
    COUNTIFS(MATCH_INPUT!$F$10:$F$13, AA39, MATCH_INPUT!$K$10:$K$13, "Draw") +
    COUNTIFS(MATCH_INPUT!$J$10:$J$13, AA39, MATCH_INPUT!$K$10:$K$13, "Draw"),
0)</f>
        <v>0</v>
      </c>
      <c r="AG39" s="22">
        <f>IF(AA39&lt;&gt;"",
    COUNTIFS(MATCH_INPUT!$F$10:$F$13, AA39, MATCH_INPUT!$K$10:$K$13, "&lt;&gt;"&amp;AA39, MATCH_INPUT!$K$10:$K$13, "&lt;&gt;Draw", MATCH_INPUT!$K$10:$K$13, "&lt;&gt;""") +
    COUNTIFS(MATCH_INPUT!$J$10:$J$13, AA39, MATCH_INPUT!$K$10:$K$13, "&lt;&gt;"&amp;AA39, MATCH_INPUT!$K$10:$K$13, "&lt;&gt;Draw", MATCH_INPUT!$K$10:$K$13, "&lt;&gt;"""),
0)</f>
        <v>1</v>
      </c>
      <c r="AH39" s="23" t="str">
        <f t="array" ref="AH39">IFERROR(
  INDEX(PLAYER_STAT!E$2:E64, 
    MATCH(1, 
      (PLAYER_STAT!A$2:A64 = MATCH_DATES!$A$4) * (PLAYER_STAT!D$2:D64 = $B39), 
    0)
  ), 
  ""
)
</f>
        <v/>
      </c>
      <c r="AI39" s="23" t="str">
        <f t="array" ref="AI39">IFERROR(
  INDEX(PLAYER_STAT!F$2:F64, 
    MATCH(1, 
      (PLAYER_STAT!A$2:A64 = MATCH_DATES!$A$4) * (PLAYER_STAT!D$2:D64 = $B39), 
    0)
  ), 
  ""
)
</f>
        <v/>
      </c>
      <c r="AJ39" s="34" t="str">
        <f t="array" ref="AJ39">IFERROR(
  INDEX(PLAYER_STAT!G$2:G64, 
    MATCH(1, 
      (PLAYER_STAT!A$2:A64 = MATCH_DATES!$A$4) * (PLAYER_STAT!D$2:D64 = $B39), 
    0)
  ), 
  ""
)
</f>
        <v/>
      </c>
      <c r="AK39" s="25">
        <f t="shared" ref="AK39:AK64" si="153">RANK(AB39, AB$39:AB$64, 0)</f>
        <v>1</v>
      </c>
      <c r="AL39" s="26" t="str">
        <f t="shared" si="18"/>
        <v>=</v>
      </c>
      <c r="AM39" s="27" t="s">
        <v>213</v>
      </c>
      <c r="AN39" s="28">
        <f t="shared" si="19"/>
        <v>16</v>
      </c>
      <c r="AO39" s="28">
        <f t="shared" si="20"/>
        <v>2</v>
      </c>
      <c r="AP39" s="28">
        <f t="shared" si="21"/>
        <v>2</v>
      </c>
      <c r="AQ39" s="28">
        <f>IF(AM39&lt;&gt;"",
    COUNTIFS(MATCH_INPUT!$K$14:$K$17,AM39),
0)</f>
        <v>1</v>
      </c>
      <c r="AR39" s="28">
        <f>IF(AM39&lt;&gt;"",
    COUNTIFS(MATCH_INPUT!$F$14:$F$17, AM39, MATCH_INPUT!$K$14:$K$17, "Draw") +
    COUNTIFS(MATCH_INPUT!$J$14:$J$17, AM39, MATCH_INPUT!$K$14:$K$17, "Draw"),
0)</f>
        <v>0</v>
      </c>
      <c r="AS39" s="28">
        <f>IF(AM39&lt;&gt;"",
    COUNTIFS(MATCH_INPUT!$F$14:$F$17, AM39, MATCH_INPUT!$K$14:$K$17, "&lt;&gt;"&amp;AM39, MATCH_INPUT!$K$14:$K$17, "&lt;&gt;Draw", MATCH_INPUT!$K$14:$K$17, "&lt;&gt;""") +
    COUNTIFS(MATCH_INPUT!$J$14:$J$17, AM39, MATCH_INPUT!$K$14:$K$17, "&lt;&gt;"&amp;AM39, MATCH_INPUT!$K$14:$K$17, "&lt;&gt;Draw", MATCH_INPUT!$K$14:$K$17, "&lt;&gt;"""),
0)</f>
        <v>1</v>
      </c>
      <c r="AT39" s="29" t="str">
        <f t="array" ref="AT39">IFERROR(
  INDEX(PLAYER_STAT!E$2:E64, 
    MATCH(1, 
      (PLAYER_STAT!A$2:A64 = MATCH_DATES!$A$5) * (PLAYER_STAT!D$2:D64 = $B39), 
    0)
  ), 
  ""
)
</f>
        <v/>
      </c>
      <c r="AU39" s="29" t="str">
        <f t="array" ref="AU39">IFERROR(
  INDEX(PLAYER_STAT!F$2:F64, 
    MATCH(1, 
      (PLAYER_STAT!A$2:A64 = MATCH_DATES!$A$5) * (PLAYER_STAT!D$2:D64 = $B39), 
    0)
  ), 
  ""
)
</f>
        <v/>
      </c>
      <c r="AV39" s="30" t="str">
        <f t="array" ref="AV39">IFERROR(
  INDEX(PLAYER_STAT!G$2:G64, 
    MATCH(1, 
      (PLAYER_STAT!A$2:A64 = MATCH_DATES!$A$5) * (PLAYER_STAT!D$2:D64 = $B39), 
    0)
  ), 
  ""
)
</f>
        <v/>
      </c>
      <c r="AW39" s="31">
        <f t="shared" ref="AW39:AW64" si="154">RANK(AN39, AN$39:AN$64, 0)</f>
        <v>1</v>
      </c>
      <c r="AX39" s="32" t="str">
        <f t="shared" si="23"/>
        <v>=</v>
      </c>
      <c r="AY39" s="21"/>
      <c r="AZ39" s="33">
        <f t="shared" si="24"/>
        <v>16</v>
      </c>
      <c r="BA39" s="22">
        <f t="shared" si="25"/>
        <v>0</v>
      </c>
      <c r="BB39" s="22">
        <f>SUM(BC39*2) + (BD39*1) + SUMIFS(MATCH_INPUT!$G$18:$G$21, MATCH_INPUT!$F$18:$F$21, AY39) + SUMIFS(MATCH_INPUT!$I$18:$I$21, MATCH_INPUT!$J$18:$J$21, AY39)
</f>
        <v>0</v>
      </c>
      <c r="BC39" s="22">
        <f>IF(AY39&lt;&gt;"",
    COUNTIFS(MATCH_INPUT!$K$18:$K$21,AY39),
0)</f>
        <v>0</v>
      </c>
      <c r="BD39" s="22">
        <f>IF(AY39&lt;&gt;"",
    COUNTIFS(MATCH_INPUT!$F$18:$F$21, AY39, MATCH_INPUT!$K$18:$K$21, "Draw") +
    COUNTIFS(MATCH_INPUT!$J$18:$J$21, AY39, MATCH_INPUT!$K$18:$K$21, "Draw"),
0)</f>
        <v>0</v>
      </c>
      <c r="BE39" s="22">
        <f>IF(AY39&lt;&gt;"",
    COUNTIFS(MATCH_INPUT!$F$18:$F$21, AY39, MATCH_INPUT!$K$18:$K$21, "&lt;&gt;"&amp;AY39, MATCH_INPUT!$K$18:$K$21, "&lt;&gt;Draw", MATCH_INPUT!$K$18:$K$21, "&lt;&gt;""") +
    COUNTIFS(MATCH_INPUT!$J$18:$J$21, AY39, MATCH_INPUT!$K$18:$K$21, "&lt;&gt;"&amp;AY39, MATCH_INPUT!$K$18:$K$21, "&lt;&gt;Draw", MATCH_INPUT!$K$18:$K$21, "&lt;&gt;"""),
0)</f>
        <v>0</v>
      </c>
      <c r="BF39" s="23" t="str">
        <f t="array" ref="BF39">IFERROR(
  INDEX(PLAYER_STAT!E$2:E64, 
    MATCH(1, 
      (PLAYER_STAT!A$2:A64 = MATCH_DATES!$A$6) * (PLAYER_STAT!D$2:D64 = $B39), 
    0)
  ), 
  ""
)
</f>
        <v/>
      </c>
      <c r="BG39" s="23" t="str">
        <f t="array" ref="BG39">IFERROR(
  INDEX(PLAYER_STAT!F$2:F64, 
    MATCH(1, 
      (PLAYER_STAT!A$2:A64 = MATCH_DATES!$A$6) * (PLAYER_STAT!D$2:D64 = $B39), 
    0)
  ), 
  ""
)
</f>
        <v/>
      </c>
      <c r="BH39" s="34" t="str">
        <f t="array" ref="BH39">IFERROR(
  INDEX(PLAYER_STAT!G$2:G64, 
    MATCH(1, 
      (PLAYER_STAT!A$2:A64 = MATCH_DATES!$A$6) * (PLAYER_STAT!D$2:D64 = $B39), 
    0)
  ), 
  ""
)
</f>
        <v/>
      </c>
      <c r="BI39" s="25">
        <f t="shared" ref="BI39:BI64" si="155">RANK(AZ39, AZ$39:AZ$64, 0)</f>
        <v>1</v>
      </c>
      <c r="BJ39" s="26" t="str">
        <f t="shared" si="27"/>
        <v>=</v>
      </c>
      <c r="BK39" s="27"/>
      <c r="BL39" s="28">
        <f t="shared" si="28"/>
        <v>16</v>
      </c>
      <c r="BM39" s="28">
        <f t="shared" si="29"/>
        <v>0</v>
      </c>
      <c r="BN39" s="28">
        <f>SUM(BO39*2) + (BP39*1) + SUMIFS(MATCH_INPUT!$G$22:$G$25, MATCH_INPUT!$F$22:$F$25, BK39) + SUMIFS(MATCH_INPUT!$I$22:$I$25, MATCH_INPUT!$J$22:$J$25, BK39)
</f>
        <v>0</v>
      </c>
      <c r="BO39" s="28">
        <f>IF(BK39&lt;&gt;"",
    COUNTIFS(MATCH_INPUT!$K$22:$K$25,BK39),
0)</f>
        <v>0</v>
      </c>
      <c r="BP39" s="28">
        <f>IF(BK39&lt;&gt;"",
    COUNTIFS(MATCH_INPUT!$F$22:$F$25, BK39, MATCH_INPUT!$K$22:$K$25, "Draw") +
    COUNTIFS(MATCH_INPUT!$J$22:$J$25, BK39, MATCH_INPUT!$K$22:$K$25, "Draw"),
0)</f>
        <v>0</v>
      </c>
      <c r="BQ39" s="28">
        <f>IF(BK39&lt;&gt;"",
    COUNTIFS(MATCH_INPUT!$F$22:$F$25, BK39, MATCH_INPUT!$K$22:$K$25, "&lt;&gt;"&amp;BK39, MATCH_INPUT!$K$22:$K$25, "&lt;&gt;Draw", MATCH_INPUT!$K$22:$K$25, "&lt;&gt;""") +
    COUNTIFS(MATCH_INPUT!$J$22:$J$25, BK39, MATCH_INPUT!$K$22:$K$25, "&lt;&gt;"&amp;BK39, MATCH_INPUT!$K$22:$K$25, "&lt;&gt;Draw", MATCH_INPUT!$K$22:$K$25, "&lt;&gt;"""),
0)</f>
        <v>0</v>
      </c>
      <c r="BR39" s="29" t="str">
        <f t="array" ref="BR39">IFERROR(
  INDEX(PLAYER_STAT!E$2:E64, 
    MATCH(1, 
      (PLAYER_STAT!A$2:A64 = MATCH_DATES!$A$7) * (PLAYER_STAT!D$2:D64 = $B39), 
    0)
  ), 
  ""
)
</f>
        <v/>
      </c>
      <c r="BS39" s="29" t="str">
        <f t="array" ref="BS39">IFERROR(
  INDEX(PLAYER_STAT!F$2:F64, 
    MATCH(1, 
      (PLAYER_STAT!A$2:A64 = MATCH_DATES!$A$7) * (PLAYER_STAT!D$2:D64 = $B39), 
    0)
  ), 
  ""
)
</f>
        <v/>
      </c>
      <c r="BT39" s="30" t="str">
        <f t="array" ref="BT39">IFERROR(
  INDEX(PLAYER_STAT!G$2:G64, 
    MATCH(1, 
      (PLAYER_STAT!A$2:A64 = MATCH_DATES!$A$7) * (PLAYER_STAT!D$2:D64 = $B39), 
    0)
  ), 
  ""
)
</f>
        <v/>
      </c>
      <c r="BU39" s="31">
        <f t="shared" ref="BU39:BU64" si="156">RANK(BL39, BL$39:BL$64, 0)</f>
        <v>1</v>
      </c>
      <c r="BV39" s="32" t="str">
        <f t="shared" si="31"/>
        <v>=</v>
      </c>
      <c r="BW39" s="41"/>
      <c r="BX39" s="33">
        <f t="shared" si="32"/>
        <v>16</v>
      </c>
      <c r="BY39" s="22">
        <f t="shared" si="33"/>
        <v>0</v>
      </c>
      <c r="BZ39" s="22">
        <f>SUM(CA39*2)+(CB39*1) + SUMIFS(MATCH_INPUT!$G$26:$G$29, MATCH_INPUT!$F$26:$F$29, BW39) + SUMIFS(MATCH_INPUT!$I$26:$I$29, MATCH_INPUT!$J$26:$J$29, BW39)
</f>
        <v>0</v>
      </c>
      <c r="CA39" s="22">
        <f>IF(BW39&lt;&gt;"",
    COUNTIFS(MATCH_INPUT!$K$26:$K$29,BW39),
0)</f>
        <v>0</v>
      </c>
      <c r="CB39" s="22">
        <f>IF(BW39&lt;&gt;"",
    COUNTIFS(MATCH_INPUT!$F$26:$F$29, BW39, MATCH_INPUT!$K$26:$K$29, "Draw") +
    COUNTIFS(MATCH_INPUT!$J$26:$J$29, BW39, MATCH_INPUT!$K$26:$K$29, "Draw"),
0)</f>
        <v>0</v>
      </c>
      <c r="CC39" s="22">
        <f>IF(BW39&lt;&gt;"",
    COUNTIFS(MATCH_INPUT!$F$26:$F$29, BW39, MATCH_INPUT!$K$26:$K$29, "&lt;&gt;"&amp;BW39, MATCH_INPUT!$K$26:$K$29, "&lt;&gt;Draw", MATCH_INPUT!$K$26:$K$29, "&lt;&gt;""") +
    COUNTIFS(MATCH_INPUT!$J$26:$J$29, BW39, MATCH_INPUT!$K$26:$K$29, "&lt;&gt;"&amp;BW39, MATCH_INPUT!$K$26:$K$29, "&lt;&gt;Draw", MATCH_INPUT!$K$26:$K$29, "&lt;&gt;"""),
0)</f>
        <v>0</v>
      </c>
      <c r="CD39" s="23" t="str">
        <f t="array" ref="CD39">IFERROR(
  INDEX(PLAYER_STAT!E$2:E64, 
    MATCH(1, 
      (PLAYER_STAT!A$2:A64 = MATCH_DATES!$A$8) * (PLAYER_STAT!D$2:D64 = $B39), 
    0)
  ), 
  ""
)
</f>
        <v/>
      </c>
      <c r="CE39" s="23" t="str">
        <f t="array" ref="CE39">IFERROR(
  INDEX(PLAYER_STAT!F$2:F64, 
    MATCH(1, 
      (PLAYER_STAT!A$2:A64 = MATCH_DATES!$A$8) * (PLAYER_STAT!D$2:D64 = $B39), 
    0)
  ), 
  ""
)
</f>
        <v/>
      </c>
      <c r="CF39" s="34" t="str">
        <f t="array" ref="CF39">IFERROR(
  INDEX(PLAYER_STAT!G$2:G64, 
    MATCH(1, 
      (PLAYER_STAT!A$2:A64 = MATCH_DATES!$A$8) * (PLAYER_STAT!D$2:D64 = $B39), 
    0)
  ), 
  ""
)
</f>
        <v/>
      </c>
      <c r="CG39" s="25">
        <f t="shared" ref="CG39:CG64" si="157">RANK(BX39, BX$39:BX$64, 0)</f>
        <v>2</v>
      </c>
      <c r="CH39" s="26" t="str">
        <f t="shared" si="35"/>
        <v>↓</v>
      </c>
      <c r="CI39" s="27"/>
      <c r="CJ39" s="28">
        <f t="shared" si="36"/>
        <v>16</v>
      </c>
      <c r="CK39" s="28">
        <f t="shared" si="37"/>
        <v>0</v>
      </c>
      <c r="CL39" s="28">
        <f>SUM(CM39*2)+(CN39*1) + SUMIFS(MATCH_INPUT!$G$30:$G$33, MATCH_INPUT!$F$30:$F$33, CI39) + SUMIFS(MATCH_INPUT!$I$30:$I$33, MATCH_INPUT!$J$30:$J$33, CI39)
</f>
        <v>0</v>
      </c>
      <c r="CM39" s="28">
        <f>IF(CI39&lt;&gt;"",
    COUNTIFS(MATCH_INPUT!$K$30:$K$33,CI39),
0)</f>
        <v>0</v>
      </c>
      <c r="CN39" s="28">
        <f>IF(CI39&lt;&gt;"",
    COUNTIFS(MATCH_INPUT!$F$30:$F$33, CI39, MATCH_INPUT!$K$30:$K$33, "Draw") +
    COUNTIFS(MATCH_INPUT!$J$30:$J$33, CI39, MATCH_INPUT!$K$30:$K$33, "Draw"),
0)</f>
        <v>0</v>
      </c>
      <c r="CO39" s="28">
        <f>IF(CI39&lt;&gt;"",
    COUNTIFS(MATCH_INPUT!$F$30:$F$33, CI39, MATCH_INPUT!$K$30:$K$33, "&lt;&gt;"&amp;CI39, MATCH_INPUT!$K$30:$K$33, "&lt;&gt;Draw", MATCH_INPUT!$K$30:$K$33, "&lt;&gt;""") +
    COUNTIFS(MATCH_INPUT!$J$30:$J$33, CI39, MATCH_INPUT!$K$30:$K$33, "&lt;&gt;"&amp;CI39, MATCH_INPUT!$K$30:$K$33, "&lt;&gt;Draw", MATCH_INPUT!$K$30:$K$33, "&lt;&gt;"""),
0)</f>
        <v>0</v>
      </c>
      <c r="CP39" s="29" t="str">
        <f t="array" ref="CP39">IFERROR(
  INDEX(PLAYER_STAT!E$2:E64, 
    MATCH(1, 
      (PLAYER_STAT!A$2:A64 = MATCH_DATES!$A$9) * (PLAYER_STAT!D$2:D64 = $B39), 
    0)
  ), 
  ""
)
</f>
        <v/>
      </c>
      <c r="CQ39" s="29" t="str">
        <f t="array" ref="CQ39">IFERROR(
  INDEX(PLAYER_STAT!F$2:F64, 
    MATCH(1, 
      (PLAYER_STAT!A$2:A64 = MATCH_DATES!$A$9) * (PLAYER_STAT!D$2:D64 = $B39), 
    0)
  ), 
  ""
)
</f>
        <v/>
      </c>
      <c r="CR39" s="30" t="str">
        <f t="array" ref="CR39">IFERROR(
  INDEX(PLAYER_STAT!G$2:G64, 
    MATCH(1, 
      (PLAYER_STAT!A$2:A64 = MATCH_DATES!$A$9) * (PLAYER_STAT!D$2:D64 = $B39), 
    0)
  ), 
  ""
)
</f>
        <v/>
      </c>
      <c r="CS39" s="35">
        <f t="shared" ref="CS39:CS64" si="158">RANK(CJ39, CJ$39:CJ$64, 0)</f>
        <v>2</v>
      </c>
      <c r="CT39" s="35" t="str">
        <f t="shared" si="39"/>
        <v>=</v>
      </c>
      <c r="CU39" s="36">
        <f t="shared" si="40"/>
        <v>8</v>
      </c>
      <c r="CV39" s="36" t="str">
        <f t="shared" ref="CV39:CW39" si="148">A39</f>
        <v>🛗</v>
      </c>
      <c r="CW39" s="37" t="str">
        <f t="shared" si="148"/>
        <v>(Sub) Asdruval</v>
      </c>
      <c r="CX39" s="37">
        <f t="shared" si="42"/>
        <v>16</v>
      </c>
      <c r="CY39" s="36">
        <f>SUM(
  IF(AND(MATCH_DATES!$A$2 &lt;= TODAY(), NOW() &gt;= MATCH_DATES!$A$2 + TIME(22, 0, 0)), E39, 0),
  IF(AND(MATCH_DATES!$A$3 &lt;= TODAY(), NOW() &gt;= MATCH_DATES!$A$3 + TIME(22, 0, 0)), Q39, 0),
  IF(AND(MATCH_DATES!$A$4 &lt;= TODAY(), NOW() &gt;= MATCH_DATES!$A$4 + TIME(22, 0, 0)), AC39, 0),
  IF(AND(MATCH_DATES!$A$5 &lt;= TODAY(), NOW() &gt;= MATCH_DATES!$A$5 + TIME(22, 0, 0)), AO39, 0),
  IF(AND(MATCH_DATES!$A$6 &lt;= TODAY(), NOW() &gt;= MATCH_DATES!$A$6 + TIME(22, 0, 0)), BA39, 0),
  IF(AND(MATCH_DATES!$A$7 &lt;= TODAY(), NOW() &gt;= MATCH_DATES!$A$7 + TIME(22, 0, 0)), BM39, 0),
  IF(AND(MATCH_DATES!$A$8 &lt;= TODAY(), NOW() &gt;= MATCH_DATES!$A$8 + TIME(22, 0, 0)), BY39, 0),
  IF(AND(MATCH_DATES!$A$9 &lt;= TODAY(), NOW() &gt;= MATCH_DATES!$A$9 + TIME(22, 0, 0)), CK39, 0)
)
</f>
        <v>8</v>
      </c>
      <c r="CZ39" s="37">
        <f t="shared" ref="CZ39:DA39" si="149">SUM(G39,S39,AE39,AQ39,BC39,BO39,CA39,CM39)</f>
        <v>4</v>
      </c>
      <c r="DA39" s="37">
        <f t="shared" si="149"/>
        <v>0</v>
      </c>
      <c r="DB39" s="37">
        <f>SUM(
  IF(AND(MATCH_DATES!$A$2 &lt;= TODAY(), NOW() &gt;= MATCH_DATES!$A$2 + TIME(22, 0, 0)), I39, 0),
  IF(AND(MATCH_DATES!$A$3 &lt;= TODAY(), NOW() &gt;= MATCH_DATES!$A$3 + TIME(22, 0, 0)), U39, 0),
  IF(AND(MATCH_DATES!$A$4 &lt;= TODAY(), NOW() &gt;= MATCH_DATES!$A$4 + TIME(22, 0, 0)), AG39, 0),
  IF(AND(MATCH_DATES!$A$5 &lt;= TODAY(), NOW() &gt;= MATCH_DATES!$A$5 + TIME(22, 0, 0)), AS39, 0),
  IF(AND(MATCH_DATES!$A$6 &lt;= TODAY(), NOW() &gt;= MATCH_DATES!$A$6 + TIME(22, 0, 0)), BE39, 0),
  IF(AND(MATCH_DATES!$A$7 &lt;= TODAY(), NOW() &gt;= MATCH_DATES!$A$7 + TIME(22, 0, 0)), BQ39, 0),
  IF(AND(MATCH_DATES!$A$8 &lt;= TODAY(), NOW() &gt;= MATCH_DATES!$A$8 + TIME(22, 0, 0)), CC39, 0),
  IF(AND(MATCH_DATES!$A$9 &lt;= TODAY(), NOW() &gt;= MATCH_DATES!$A$9 + TIME(22, 0, 0)), CO39, 0)
)</f>
        <v>4</v>
      </c>
      <c r="DC39" s="37">
        <f t="shared" si="44"/>
        <v>0</v>
      </c>
      <c r="DD39" s="37">
        <f t="shared" ref="DD39:DE39" si="150">SUM(K39,W39,AI39,AU39,BG39,BS39,CE39,CQ39)</f>
        <v>0</v>
      </c>
      <c r="DE39" s="37">
        <f t="shared" si="150"/>
        <v>0</v>
      </c>
    </row>
    <row r="40" ht="24.75" customHeight="1">
      <c r="A40" s="30" t="s">
        <v>242</v>
      </c>
      <c r="B40" s="30" t="s">
        <v>244</v>
      </c>
      <c r="C40" s="21" t="s">
        <v>212</v>
      </c>
      <c r="D40" s="22">
        <f t="shared" si="4"/>
        <v>4</v>
      </c>
      <c r="E40" s="22">
        <f t="shared" si="5"/>
        <v>2</v>
      </c>
      <c r="F40" s="22">
        <f t="shared" si="6"/>
        <v>2</v>
      </c>
      <c r="G40" s="22">
        <f>IF(C40&lt;&gt;"",
    COUNTIFS(MATCH_INPUT!$K$2:$K$5,C40),
0)</f>
        <v>1</v>
      </c>
      <c r="H40" s="22">
        <f>IF(C40&lt;&gt;"",
    COUNTIFS(MATCH_INPUT!$F$2:$F$5, C40, MATCH_INPUT!$K$2:$K$5, "Draw") +
    COUNTIFS(MATCH_INPUT!$J$2:$J$5, C40, MATCH_INPUT!$K$2:$K$5, "Draw"),
0)</f>
        <v>0</v>
      </c>
      <c r="I40" s="22">
        <f>IF(C40&lt;&gt;"",
    COUNTIFS(MATCH_INPUT!$F$2:$F$5, C40, MATCH_INPUT!$K$2:$K$5, "&lt;&gt;"&amp;C40, MATCH_INPUT!$K$2:$K$5, "&lt;&gt;Draw", MATCH_INPUT!$K$2:$K$5, "&lt;&gt;""") +
    COUNTIFS(MATCH_INPUT!$J$2:$J$5, C40, MATCH_INPUT!$K$2:$K$5, "&lt;&gt;"&amp;C40, MATCH_INPUT!$K$2:$K$5, "&lt;&gt;Draw", MATCH_INPUT!$K$2:$K$5, "&lt;&gt;"""),
0)</f>
        <v>1</v>
      </c>
      <c r="J40" s="23" t="str">
        <f t="array" ref="J40">IFERROR(
  INDEX(PLAYER_STAT!E$2:E64, 
    MATCH(1, 
      (PLAYER_STAT!A$2:A64 = MATCH_DATES!$A$2) * (PLAYER_STAT!D$2:D64 = $B40), 
    0)
  ), 
  ""
)
</f>
        <v/>
      </c>
      <c r="K40" s="23" t="str">
        <f t="array" ref="K40">IFERROR(
  INDEX(PLAYER_STAT!F$2:F64, 
    MATCH(1, 
      (PLAYER_STAT!A$2:A64 = MATCH_DATES!$A$2) * (PLAYER_STAT!D$2:D64 = $B40), 
    0)
  ), 
  ""
)
</f>
        <v/>
      </c>
      <c r="L40" s="24" t="str">
        <f t="array" ref="L40">IFERROR(
  INDEX(PLAYER_STAT!G$2:G64, 
    MATCH(1, 
      (PLAYER_STAT!A$2:A64 = MATCH_DATES!$A$2) * (PLAYER_STAT!D$2:D64 = $B40), 
    0)
  ), 
  ""
)
</f>
        <v/>
      </c>
      <c r="M40" s="25">
        <f t="shared" si="151"/>
        <v>1</v>
      </c>
      <c r="N40" s="26" t="str">
        <f t="shared" si="8"/>
        <v>=</v>
      </c>
      <c r="O40" s="27"/>
      <c r="P40" s="28">
        <f t="shared" si="9"/>
        <v>4</v>
      </c>
      <c r="Q40" s="28">
        <f t="shared" si="10"/>
        <v>0</v>
      </c>
      <c r="R40" s="28">
        <f t="shared" si="11"/>
        <v>0</v>
      </c>
      <c r="S40" s="28">
        <f>IF(O40&lt;&gt;"",
    COUNTIFS(MATCH_INPUT!$K$6:$K$9,O40),
0)</f>
        <v>0</v>
      </c>
      <c r="T40" s="28">
        <f>IF(O40&lt;&gt;"",
    COUNTIFS(MATCH_INPUT!$F$6:$F$9, O40, MATCH_INPUT!$K$6:$K$9, "Draw") +
    COUNTIFS(MATCH_INPUT!$J$6:$J$9, O40, MATCH_INPUT!$K$6:$K$9, "Draw"),
0)</f>
        <v>0</v>
      </c>
      <c r="U40" s="28">
        <f>IF(O40&lt;&gt;"",
    COUNTIFS(MATCH_INPUT!$F$6:$F$9, O40, MATCH_INPUT!$K$6:$K$9, "&lt;&gt;"&amp;O40, MATCH_INPUT!$K$6:$K$9, "&lt;&gt;Draw", MATCH_INPUT!$K$6:$K$9, "&lt;&gt;""") +
    COUNTIFS(MATCH_INPUT!$J$6:$J$9, O40, MATCH_INPUT!$K$6:$K$9, "&lt;&gt;"&amp;O40, MATCH_INPUT!$K$6:$K$9, "&lt;&gt;Draw", MATCH_INPUT!$K$6:$K$9, "&lt;&gt;"""),
0)</f>
        <v>0</v>
      </c>
      <c r="V40" s="29" t="str">
        <f t="array" ref="V40">IFERROR(
  INDEX(PLAYER_STAT!E$2:E64, 
    MATCH(1, 
      (PLAYER_STAT!A$2:A64 = MATCH_DATES!$A$3) * (PLAYER_STAT!D$2:D64 = $B40), 
    0)
  ), 
  ""
)
</f>
        <v/>
      </c>
      <c r="W40" s="29" t="str">
        <f t="array" ref="W40">IFERROR(
  INDEX(PLAYER_STAT!F$2:F64, 
    MATCH(1, 
      (PLAYER_STAT!A$2:A64 = MATCH_DATES!$A$3) * (PLAYER_STAT!D$2:D64 = $B40), 
    0)
  ), 
  ""
)
</f>
        <v/>
      </c>
      <c r="X40" s="30" t="str">
        <f t="array" ref="X40">IFERROR(
  INDEX(PLAYER_STAT!G$2:G64, 
    MATCH(1, 
      (PLAYER_STAT!A$2:A64 = MATCH_DATES!$A$3) * (PLAYER_STAT!D$2:D64 = $B40), 
    0)
  ), 
  ""
)
</f>
        <v/>
      </c>
      <c r="Y40" s="31">
        <f t="shared" si="152"/>
        <v>2</v>
      </c>
      <c r="Z40" s="32" t="str">
        <f t="shared" si="13"/>
        <v>↓</v>
      </c>
      <c r="AA40" s="21"/>
      <c r="AB40" s="33">
        <f t="shared" si="14"/>
        <v>4</v>
      </c>
      <c r="AC40" s="22">
        <f t="shared" si="15"/>
        <v>0</v>
      </c>
      <c r="AD40" s="22">
        <f t="shared" si="16"/>
        <v>0</v>
      </c>
      <c r="AE40" s="22">
        <f>IF(AA40&lt;&gt;"",
    COUNTIFS(MATCH_INPUT!$K$10:$K$13,AA40),
0)</f>
        <v>0</v>
      </c>
      <c r="AF40" s="22">
        <f>IF(AA40&lt;&gt;"",
    COUNTIFS(MATCH_INPUT!$F$10:$F$13, AA40, MATCH_INPUT!$K$10:$K$13, "Draw") +
    COUNTIFS(MATCH_INPUT!$J$10:$J$13, AA40, MATCH_INPUT!$K$10:$K$13, "Draw"),
0)</f>
        <v>0</v>
      </c>
      <c r="AG40" s="22">
        <f>IF(AA40&lt;&gt;"",
    COUNTIFS(MATCH_INPUT!$F$10:$F$13, AA40, MATCH_INPUT!$K$10:$K$13, "&lt;&gt;"&amp;AA40, MATCH_INPUT!$K$10:$K$13, "&lt;&gt;Draw", MATCH_INPUT!$K$10:$K$13, "&lt;&gt;""") +
    COUNTIFS(MATCH_INPUT!$J$10:$J$13, AA40, MATCH_INPUT!$K$10:$K$13, "&lt;&gt;"&amp;AA40, MATCH_INPUT!$K$10:$K$13, "&lt;&gt;Draw", MATCH_INPUT!$K$10:$K$13, "&lt;&gt;"""),
0)</f>
        <v>0</v>
      </c>
      <c r="AH40" s="23" t="str">
        <f t="array" ref="AH40">IFERROR(
  INDEX(PLAYER_STAT!E$2:E64, 
    MATCH(1, 
      (PLAYER_STAT!A$2:A64 = MATCH_DATES!$A$4) * (PLAYER_STAT!D$2:D64 = $B40), 
    0)
  ), 
  ""
)
</f>
        <v/>
      </c>
      <c r="AI40" s="23" t="str">
        <f t="array" ref="AI40">IFERROR(
  INDEX(PLAYER_STAT!F$2:F64, 
    MATCH(1, 
      (PLAYER_STAT!A$2:A64 = MATCH_DATES!$A$4) * (PLAYER_STAT!D$2:D64 = $B40), 
    0)
  ), 
  ""
)
</f>
        <v/>
      </c>
      <c r="AJ40" s="34" t="str">
        <f t="array" ref="AJ40">IFERROR(
  INDEX(PLAYER_STAT!G$2:G64, 
    MATCH(1, 
      (PLAYER_STAT!A$2:A64 = MATCH_DATES!$A$4) * (PLAYER_STAT!D$2:D64 = $B40), 
    0)
  ), 
  ""
)
</f>
        <v/>
      </c>
      <c r="AK40" s="25">
        <f t="shared" si="153"/>
        <v>3</v>
      </c>
      <c r="AL40" s="26" t="str">
        <f t="shared" si="18"/>
        <v>↓</v>
      </c>
      <c r="AM40" s="27" t="s">
        <v>214</v>
      </c>
      <c r="AN40" s="28">
        <f t="shared" si="19"/>
        <v>6</v>
      </c>
      <c r="AO40" s="28">
        <f t="shared" si="20"/>
        <v>2</v>
      </c>
      <c r="AP40" s="28">
        <f t="shared" si="21"/>
        <v>0</v>
      </c>
      <c r="AQ40" s="28">
        <f>IF(AM40&lt;&gt;"",
    COUNTIFS(MATCH_INPUT!$K$14:$K$17,AM40),
0)</f>
        <v>0</v>
      </c>
      <c r="AR40" s="28">
        <f>IF(AM40&lt;&gt;"",
    COUNTIFS(MATCH_INPUT!$F$14:$F$17, AM40, MATCH_INPUT!$K$14:$K$17, "Draw") +
    COUNTIFS(MATCH_INPUT!$J$14:$J$17, AM40, MATCH_INPUT!$K$14:$K$17, "Draw"),
0)</f>
        <v>0</v>
      </c>
      <c r="AS40" s="28">
        <f>IF(AM40&lt;&gt;"",
    COUNTIFS(MATCH_INPUT!$F$14:$F$17, AM40, MATCH_INPUT!$K$14:$K$17, "&lt;&gt;"&amp;AM40, MATCH_INPUT!$K$14:$K$17, "&lt;&gt;Draw", MATCH_INPUT!$K$14:$K$17, "&lt;&gt;""") +
    COUNTIFS(MATCH_INPUT!$J$14:$J$17, AM40, MATCH_INPUT!$K$14:$K$17, "&lt;&gt;"&amp;AM40, MATCH_INPUT!$K$14:$K$17, "&lt;&gt;Draw", MATCH_INPUT!$K$14:$K$17, "&lt;&gt;"""),
0)</f>
        <v>2</v>
      </c>
      <c r="AT40" s="29" t="str">
        <f t="array" ref="AT40">IFERROR(
  INDEX(PLAYER_STAT!E$2:E64, 
    MATCH(1, 
      (PLAYER_STAT!A$2:A64 = MATCH_DATES!$A$5) * (PLAYER_STAT!D$2:D64 = $B40), 
    0)
  ), 
  ""
)
</f>
        <v/>
      </c>
      <c r="AU40" s="29" t="str">
        <f t="array" ref="AU40">IFERROR(
  INDEX(PLAYER_STAT!F$2:F64, 
    MATCH(1, 
      (PLAYER_STAT!A$2:A64 = MATCH_DATES!$A$5) * (PLAYER_STAT!D$2:D64 = $B40), 
    0)
  ), 
  ""
)
</f>
        <v/>
      </c>
      <c r="AV40" s="30" t="str">
        <f t="array" ref="AV40">IFERROR(
  INDEX(PLAYER_STAT!G$2:G64, 
    MATCH(1, 
      (PLAYER_STAT!A$2:A64 = MATCH_DATES!$A$5) * (PLAYER_STAT!D$2:D64 = $B40), 
    0)
  ), 
  ""
)
</f>
        <v/>
      </c>
      <c r="AW40" s="31">
        <f t="shared" si="154"/>
        <v>3</v>
      </c>
      <c r="AX40" s="32" t="str">
        <f t="shared" si="23"/>
        <v>=</v>
      </c>
      <c r="AY40" s="21"/>
      <c r="AZ40" s="33">
        <f t="shared" si="24"/>
        <v>6</v>
      </c>
      <c r="BA40" s="22">
        <f t="shared" si="25"/>
        <v>0</v>
      </c>
      <c r="BB40" s="22">
        <f>SUM(BC40*2) + (BD40*1) + SUMIFS(MATCH_INPUT!$G$18:$G$21, MATCH_INPUT!$F$18:$F$21, AY40) + SUMIFS(MATCH_INPUT!$I$18:$I$21, MATCH_INPUT!$J$18:$J$21, AY40)
</f>
        <v>0</v>
      </c>
      <c r="BC40" s="22">
        <f>IF(AY40&lt;&gt;"",
    COUNTIFS(MATCH_INPUT!$K$18:$K$21,AY40),
0)</f>
        <v>0</v>
      </c>
      <c r="BD40" s="22">
        <f>IF(AY40&lt;&gt;"",
    COUNTIFS(MATCH_INPUT!$F$18:$F$21, AY40, MATCH_INPUT!$K$18:$K$21, "Draw") +
    COUNTIFS(MATCH_INPUT!$J$18:$J$21, AY40, MATCH_INPUT!$K$18:$K$21, "Draw"),
0)</f>
        <v>0</v>
      </c>
      <c r="BE40" s="22">
        <f>IF(AY40&lt;&gt;"",
    COUNTIFS(MATCH_INPUT!$F$18:$F$21, AY40, MATCH_INPUT!$K$18:$K$21, "&lt;&gt;"&amp;AY40, MATCH_INPUT!$K$18:$K$21, "&lt;&gt;Draw", MATCH_INPUT!$K$18:$K$21, "&lt;&gt;""") +
    COUNTIFS(MATCH_INPUT!$J$18:$J$21, AY40, MATCH_INPUT!$K$18:$K$21, "&lt;&gt;"&amp;AY40, MATCH_INPUT!$K$18:$K$21, "&lt;&gt;Draw", MATCH_INPUT!$K$18:$K$21, "&lt;&gt;"""),
0)</f>
        <v>0</v>
      </c>
      <c r="BF40" s="23" t="str">
        <f t="array" ref="BF40">IFERROR(
  INDEX(PLAYER_STAT!E$2:E64, 
    MATCH(1, 
      (PLAYER_STAT!A$2:A64 = MATCH_DATES!$A$6) * (PLAYER_STAT!D$2:D64 = $B40), 
    0)
  ), 
  ""
)
</f>
        <v/>
      </c>
      <c r="BG40" s="23" t="str">
        <f t="array" ref="BG40">IFERROR(
  INDEX(PLAYER_STAT!F$2:F64, 
    MATCH(1, 
      (PLAYER_STAT!A$2:A64 = MATCH_DATES!$A$6) * (PLAYER_STAT!D$2:D64 = $B40), 
    0)
  ), 
  ""
)
</f>
        <v/>
      </c>
      <c r="BH40" s="34" t="str">
        <f t="array" ref="BH40">IFERROR(
  INDEX(PLAYER_STAT!G$2:G64, 
    MATCH(1, 
      (PLAYER_STAT!A$2:A64 = MATCH_DATES!$A$6) * (PLAYER_STAT!D$2:D64 = $B40), 
    0)
  ), 
  ""
)
</f>
        <v/>
      </c>
      <c r="BI40" s="25">
        <f t="shared" si="155"/>
        <v>6</v>
      </c>
      <c r="BJ40" s="26" t="str">
        <f t="shared" si="27"/>
        <v>↓</v>
      </c>
      <c r="BK40" s="27"/>
      <c r="BL40" s="28">
        <f t="shared" si="28"/>
        <v>6</v>
      </c>
      <c r="BM40" s="28">
        <f t="shared" si="29"/>
        <v>0</v>
      </c>
      <c r="BN40" s="28">
        <f>SUM(BO40*2) + (BP40*1) + SUMIFS(MATCH_INPUT!$G$22:$G$25, MATCH_INPUT!$F$22:$F$25, BK40) + SUMIFS(MATCH_INPUT!$I$22:$I$25, MATCH_INPUT!$J$22:$J$25, BK40)
</f>
        <v>0</v>
      </c>
      <c r="BO40" s="28">
        <f>IF(BK40&lt;&gt;"",
    COUNTIFS(MATCH_INPUT!$K$22:$K$25,BK40),
0)</f>
        <v>0</v>
      </c>
      <c r="BP40" s="28">
        <f>IF(BK40&lt;&gt;"",
    COUNTIFS(MATCH_INPUT!$F$22:$F$25, BK40, MATCH_INPUT!$K$22:$K$25, "Draw") +
    COUNTIFS(MATCH_INPUT!$J$22:$J$25, BK40, MATCH_INPUT!$K$22:$K$25, "Draw"),
0)</f>
        <v>0</v>
      </c>
      <c r="BQ40" s="28">
        <f>IF(BK40&lt;&gt;"",
    COUNTIFS(MATCH_INPUT!$F$22:$F$25, BK40, MATCH_INPUT!$K$22:$K$25, "&lt;&gt;"&amp;BK40, MATCH_INPUT!$K$22:$K$25, "&lt;&gt;Draw", MATCH_INPUT!$K$22:$K$25, "&lt;&gt;""") +
    COUNTIFS(MATCH_INPUT!$J$22:$J$25, BK40, MATCH_INPUT!$K$22:$K$25, "&lt;&gt;"&amp;BK40, MATCH_INPUT!$K$22:$K$25, "&lt;&gt;Draw", MATCH_INPUT!$K$22:$K$25, "&lt;&gt;"""),
0)</f>
        <v>0</v>
      </c>
      <c r="BR40" s="29" t="str">
        <f t="array" ref="BR40">IFERROR(
  INDEX(PLAYER_STAT!E$2:E64, 
    MATCH(1, 
      (PLAYER_STAT!A$2:A64 = MATCH_DATES!$A$7) * (PLAYER_STAT!D$2:D64 = $B40), 
    0)
  ), 
  ""
)
</f>
        <v/>
      </c>
      <c r="BS40" s="29" t="str">
        <f t="array" ref="BS40">IFERROR(
  INDEX(PLAYER_STAT!F$2:F64, 
    MATCH(1, 
      (PLAYER_STAT!A$2:A64 = MATCH_DATES!$A$7) * (PLAYER_STAT!D$2:D64 = $B40), 
    0)
  ), 
  ""
)
</f>
        <v/>
      </c>
      <c r="BT40" s="30" t="str">
        <f t="array" ref="BT40">IFERROR(
  INDEX(PLAYER_STAT!G$2:G64, 
    MATCH(1, 
      (PLAYER_STAT!A$2:A64 = MATCH_DATES!$A$7) * (PLAYER_STAT!D$2:D64 = $B40), 
    0)
  ), 
  ""
)
</f>
        <v/>
      </c>
      <c r="BU40" s="31">
        <f t="shared" si="156"/>
        <v>7</v>
      </c>
      <c r="BV40" s="32" t="str">
        <f t="shared" si="31"/>
        <v>↓</v>
      </c>
      <c r="BW40" s="21"/>
      <c r="BX40" s="33">
        <f t="shared" si="32"/>
        <v>6</v>
      </c>
      <c r="BY40" s="22">
        <f t="shared" si="33"/>
        <v>0</v>
      </c>
      <c r="BZ40" s="22">
        <f>SUM(CA40*2)+(CB40*1) + SUMIFS(MATCH_INPUT!$G$26:$G$29, MATCH_INPUT!$F$26:$F$29, BW40) + SUMIFS(MATCH_INPUT!$I$26:$I$29, MATCH_INPUT!$J$26:$J$29, BW40)
</f>
        <v>0</v>
      </c>
      <c r="CA40" s="22">
        <f>IF(BW40&lt;&gt;"",
    COUNTIFS(MATCH_INPUT!$K$26:$K$29,BW40),
0)</f>
        <v>0</v>
      </c>
      <c r="CB40" s="22">
        <f>IF(BW40&lt;&gt;"",
    COUNTIFS(MATCH_INPUT!$F$26:$F$29, BW40, MATCH_INPUT!$K$26:$K$29, "Draw") +
    COUNTIFS(MATCH_INPUT!$J$26:$J$29, BW40, MATCH_INPUT!$K$26:$K$29, "Draw"),
0)</f>
        <v>0</v>
      </c>
      <c r="CC40" s="22">
        <f>IF(BW40&lt;&gt;"",
    COUNTIFS(MATCH_INPUT!$F$26:$F$29, BW40, MATCH_INPUT!$K$26:$K$29, "&lt;&gt;"&amp;BW40, MATCH_INPUT!$K$26:$K$29, "&lt;&gt;Draw", MATCH_INPUT!$K$26:$K$29, "&lt;&gt;""") +
    COUNTIFS(MATCH_INPUT!$J$26:$J$29, BW40, MATCH_INPUT!$K$26:$K$29, "&lt;&gt;"&amp;BW40, MATCH_INPUT!$K$26:$K$29, "&lt;&gt;Draw", MATCH_INPUT!$K$26:$K$29, "&lt;&gt;"""),
0)</f>
        <v>0</v>
      </c>
      <c r="CD40" s="23" t="str">
        <f t="array" ref="CD40">IFERROR(
  INDEX(PLAYER_STAT!E$2:E64, 
    MATCH(1, 
      (PLAYER_STAT!A$2:A64 = MATCH_DATES!$A$8) * (PLAYER_STAT!D$2:D64 = $B40), 
    0)
  ), 
  ""
)
</f>
        <v/>
      </c>
      <c r="CE40" s="23" t="str">
        <f t="array" ref="CE40">IFERROR(
  INDEX(PLAYER_STAT!F$2:F64, 
    MATCH(1, 
      (PLAYER_STAT!A$2:A64 = MATCH_DATES!$A$8) * (PLAYER_STAT!D$2:D64 = $B40), 
    0)
  ), 
  ""
)
</f>
        <v/>
      </c>
      <c r="CF40" s="34" t="str">
        <f t="array" ref="CF40">IFERROR(
  INDEX(PLAYER_STAT!G$2:G64, 
    MATCH(1, 
      (PLAYER_STAT!A$2:A64 = MATCH_DATES!$A$8) * (PLAYER_STAT!D$2:D64 = $B40), 
    0)
  ), 
  ""
)
</f>
        <v/>
      </c>
      <c r="CG40" s="25">
        <f t="shared" si="157"/>
        <v>9</v>
      </c>
      <c r="CH40" s="26" t="str">
        <f t="shared" si="35"/>
        <v>↓</v>
      </c>
      <c r="CI40" s="27"/>
      <c r="CJ40" s="28">
        <f t="shared" si="36"/>
        <v>6</v>
      </c>
      <c r="CK40" s="28">
        <f t="shared" si="37"/>
        <v>0</v>
      </c>
      <c r="CL40" s="28">
        <f>SUM(CM40*2)+(CN40*1) + SUMIFS(MATCH_INPUT!$G$30:$G$33, MATCH_INPUT!$F$30:$F$33, CI40) + SUMIFS(MATCH_INPUT!$I$30:$I$33, MATCH_INPUT!$J$30:$J$33, CI40)
</f>
        <v>0</v>
      </c>
      <c r="CM40" s="28">
        <f>IF(CI40&lt;&gt;"",
    COUNTIFS(MATCH_INPUT!$K$30:$K$33,CI40),
0)</f>
        <v>0</v>
      </c>
      <c r="CN40" s="28">
        <f>IF(CI40&lt;&gt;"",
    COUNTIFS(MATCH_INPUT!$F$30:$F$33, CI40, MATCH_INPUT!$K$30:$K$33, "Draw") +
    COUNTIFS(MATCH_INPUT!$J$30:$J$33, CI40, MATCH_INPUT!$K$30:$K$33, "Draw"),
0)</f>
        <v>0</v>
      </c>
      <c r="CO40" s="28">
        <f>IF(CI40&lt;&gt;"",
    COUNTIFS(MATCH_INPUT!$F$30:$F$33, CI40, MATCH_INPUT!$K$30:$K$33, "&lt;&gt;"&amp;CI40, MATCH_INPUT!$K$30:$K$33, "&lt;&gt;Draw", MATCH_INPUT!$K$30:$K$33, "&lt;&gt;""") +
    COUNTIFS(MATCH_INPUT!$J$30:$J$33, CI40, MATCH_INPUT!$K$30:$K$33, "&lt;&gt;"&amp;CI40, MATCH_INPUT!$K$30:$K$33, "&lt;&gt;Draw", MATCH_INPUT!$K$30:$K$33, "&lt;&gt;"""),
0)</f>
        <v>0</v>
      </c>
      <c r="CP40" s="29" t="str">
        <f t="array" ref="CP40">IFERROR(
  INDEX(PLAYER_STAT!E$2:E64, 
    MATCH(1, 
      (PLAYER_STAT!A$2:A64 = MATCH_DATES!$A$9) * (PLAYER_STAT!D$2:D64 = $B40), 
    0)
  ), 
  ""
)
</f>
        <v/>
      </c>
      <c r="CQ40" s="29" t="str">
        <f t="array" ref="CQ40">IFERROR(
  INDEX(PLAYER_STAT!F$2:F64, 
    MATCH(1, 
      (PLAYER_STAT!A$2:A64 = MATCH_DATES!$A$9) * (PLAYER_STAT!D$2:D64 = $B40), 
    0)
  ), 
  ""
)
</f>
        <v/>
      </c>
      <c r="CR40" s="30" t="str">
        <f t="array" ref="CR40">IFERROR(
  INDEX(PLAYER_STAT!G$2:G64, 
    MATCH(1, 
      (PLAYER_STAT!A$2:A64 = MATCH_DATES!$A$9) * (PLAYER_STAT!D$2:D64 = $B40), 
    0)
  ), 
  ""
)
</f>
        <v/>
      </c>
      <c r="CS40" s="35">
        <f t="shared" si="158"/>
        <v>10</v>
      </c>
      <c r="CT40" s="35" t="str">
        <f t="shared" si="39"/>
        <v>↓</v>
      </c>
      <c r="CU40" s="36">
        <f t="shared" si="40"/>
        <v>2</v>
      </c>
      <c r="CV40" s="36" t="str">
        <f t="shared" ref="CV40:CW40" si="159">A40</f>
        <v>🛗</v>
      </c>
      <c r="CW40" s="37" t="str">
        <f t="shared" si="159"/>
        <v>(Sub) 👬 Víctor S</v>
      </c>
      <c r="CX40" s="37">
        <f t="shared" si="42"/>
        <v>6</v>
      </c>
      <c r="CY40" s="36">
        <f>SUM(
  IF(AND(MATCH_DATES!$A$2 &lt;= TODAY(), NOW() &gt;= MATCH_DATES!$A$2 + TIME(22, 0, 0)), E40, 0),
  IF(AND(MATCH_DATES!$A$3 &lt;= TODAY(), NOW() &gt;= MATCH_DATES!$A$3 + TIME(22, 0, 0)), Q40, 0),
  IF(AND(MATCH_DATES!$A$4 &lt;= TODAY(), NOW() &gt;= MATCH_DATES!$A$4 + TIME(22, 0, 0)), AC40, 0),
  IF(AND(MATCH_DATES!$A$5 &lt;= TODAY(), NOW() &gt;= MATCH_DATES!$A$5 + TIME(22, 0, 0)), AO40, 0),
  IF(AND(MATCH_DATES!$A$6 &lt;= TODAY(), NOW() &gt;= MATCH_DATES!$A$6 + TIME(22, 0, 0)), BA40, 0),
  IF(AND(MATCH_DATES!$A$7 &lt;= TODAY(), NOW() &gt;= MATCH_DATES!$A$7 + TIME(22, 0, 0)), BM40, 0),
  IF(AND(MATCH_DATES!$A$8 &lt;= TODAY(), NOW() &gt;= MATCH_DATES!$A$8 + TIME(22, 0, 0)), BY40, 0),
  IF(AND(MATCH_DATES!$A$9 &lt;= TODAY(), NOW() &gt;= MATCH_DATES!$A$9 + TIME(22, 0, 0)), CK40, 0)
)
</f>
        <v>4</v>
      </c>
      <c r="CZ40" s="37">
        <f t="shared" ref="CZ40:DA40" si="160">SUM(G40,S40,AE40,AQ40,BC40,BO40,CA40,CM40)</f>
        <v>1</v>
      </c>
      <c r="DA40" s="37">
        <f t="shared" si="160"/>
        <v>0</v>
      </c>
      <c r="DB40" s="37">
        <f>SUM(
  IF(AND(MATCH_DATES!$A$2 &lt;= TODAY(), NOW() &gt;= MATCH_DATES!$A$2 + TIME(22, 0, 0)), I40, 0),
  IF(AND(MATCH_DATES!$A$3 &lt;= TODAY(), NOW() &gt;= MATCH_DATES!$A$3 + TIME(22, 0, 0)), U40, 0),
  IF(AND(MATCH_DATES!$A$4 &lt;= TODAY(), NOW() &gt;= MATCH_DATES!$A$4 + TIME(22, 0, 0)), AG40, 0),
  IF(AND(MATCH_DATES!$A$5 &lt;= TODAY(), NOW() &gt;= MATCH_DATES!$A$5 + TIME(22, 0, 0)), AS40, 0),
  IF(AND(MATCH_DATES!$A$6 &lt;= TODAY(), NOW() &gt;= MATCH_DATES!$A$6 + TIME(22, 0, 0)), BE40, 0),
  IF(AND(MATCH_DATES!$A$7 &lt;= TODAY(), NOW() &gt;= MATCH_DATES!$A$7 + TIME(22, 0, 0)), BQ40, 0),
  IF(AND(MATCH_DATES!$A$8 &lt;= TODAY(), NOW() &gt;= MATCH_DATES!$A$8 + TIME(22, 0, 0)), CC40, 0),
  IF(AND(MATCH_DATES!$A$9 &lt;= TODAY(), NOW() &gt;= MATCH_DATES!$A$9 + TIME(22, 0, 0)), CO40, 0)
)</f>
        <v>3</v>
      </c>
      <c r="DC40" s="37">
        <f t="shared" si="44"/>
        <v>0</v>
      </c>
      <c r="DD40" s="37">
        <f t="shared" ref="DD40:DE40" si="161">SUM(K40,W40,AI40,AU40,BG40,BS40,CE40,CQ40)</f>
        <v>0</v>
      </c>
      <c r="DE40" s="37">
        <f t="shared" si="161"/>
        <v>0</v>
      </c>
    </row>
    <row r="41" ht="24.75" customHeight="1">
      <c r="A41" s="30" t="s">
        <v>242</v>
      </c>
      <c r="B41" s="30" t="s">
        <v>245</v>
      </c>
      <c r="C41" s="21" t="s">
        <v>215</v>
      </c>
      <c r="D41" s="22">
        <f t="shared" si="4"/>
        <v>2</v>
      </c>
      <c r="E41" s="22">
        <f t="shared" si="5"/>
        <v>2</v>
      </c>
      <c r="F41" s="22">
        <f t="shared" si="6"/>
        <v>0</v>
      </c>
      <c r="G41" s="22">
        <f>IF(C41&lt;&gt;"",
    COUNTIFS(MATCH_INPUT!$K$2:$K$5,C41),
0)</f>
        <v>0</v>
      </c>
      <c r="H41" s="22">
        <f>IF(C41&lt;&gt;"",
    COUNTIFS(MATCH_INPUT!$F$2:$F$5, C41, MATCH_INPUT!$K$2:$K$5, "Draw") +
    COUNTIFS(MATCH_INPUT!$J$2:$J$5, C41, MATCH_INPUT!$K$2:$K$5, "Draw"),
0)</f>
        <v>0</v>
      </c>
      <c r="I41" s="22">
        <f>IF(C41&lt;&gt;"",
    COUNTIFS(MATCH_INPUT!$F$2:$F$5, C41, MATCH_INPUT!$K$2:$K$5, "&lt;&gt;"&amp;C41, MATCH_INPUT!$K$2:$K$5, "&lt;&gt;Draw", MATCH_INPUT!$K$2:$K$5, "&lt;&gt;""") +
    COUNTIFS(MATCH_INPUT!$J$2:$J$5, C41, MATCH_INPUT!$K$2:$K$5, "&lt;&gt;"&amp;C41, MATCH_INPUT!$K$2:$K$5, "&lt;&gt;Draw", MATCH_INPUT!$K$2:$K$5, "&lt;&gt;"""),
0)</f>
        <v>2</v>
      </c>
      <c r="J41" s="23" t="str">
        <f t="array" ref="J41">IFERROR(
  INDEX(PLAYER_STAT!E$2:E64, 
    MATCH(1, 
      (PLAYER_STAT!A$2:A64 = MATCH_DATES!$A$2) * (PLAYER_STAT!D$2:D64 = $B41), 
    0)
  ), 
  ""
)
</f>
        <v/>
      </c>
      <c r="K41" s="23" t="str">
        <f t="array" ref="K41">IFERROR(
  INDEX(PLAYER_STAT!F$2:F64, 
    MATCH(1, 
      (PLAYER_STAT!A$2:A64 = MATCH_DATES!$A$2) * (PLAYER_STAT!D$2:D64 = $B41), 
    0)
  ), 
  ""
)
</f>
        <v/>
      </c>
      <c r="L41" s="24" t="str">
        <f t="array" ref="L41">IFERROR(
  INDEX(PLAYER_STAT!G$2:G64, 
    MATCH(1, 
      (PLAYER_STAT!A$2:A64 = MATCH_DATES!$A$2) * (PLAYER_STAT!D$2:D64 = $B41), 
    0)
  ), 
  ""
)
</f>
        <v/>
      </c>
      <c r="M41" s="25">
        <f t="shared" si="151"/>
        <v>4</v>
      </c>
      <c r="N41" s="26" t="str">
        <f t="shared" si="8"/>
        <v>↓</v>
      </c>
      <c r="O41" s="27"/>
      <c r="P41" s="28">
        <f t="shared" si="9"/>
        <v>2</v>
      </c>
      <c r="Q41" s="28">
        <f t="shared" si="10"/>
        <v>0</v>
      </c>
      <c r="R41" s="28">
        <f t="shared" si="11"/>
        <v>0</v>
      </c>
      <c r="S41" s="28">
        <f>IF(O41&lt;&gt;"",
    COUNTIFS(MATCH_INPUT!$K$6:$K$9,O41),
0)</f>
        <v>0</v>
      </c>
      <c r="T41" s="28">
        <f>IF(O41&lt;&gt;"",
    COUNTIFS(MATCH_INPUT!$F$6:$F$9, O41, MATCH_INPUT!$K$6:$K$9, "Draw") +
    COUNTIFS(MATCH_INPUT!$J$6:$J$9, O41, MATCH_INPUT!$K$6:$K$9, "Draw"),
0)</f>
        <v>0</v>
      </c>
      <c r="U41" s="28">
        <f>IF(O41&lt;&gt;"",
    COUNTIFS(MATCH_INPUT!$F$6:$F$9, O41, MATCH_INPUT!$K$6:$K$9, "&lt;&gt;"&amp;O41, MATCH_INPUT!$K$6:$K$9, "&lt;&gt;Draw", MATCH_INPUT!$K$6:$K$9, "&lt;&gt;""") +
    COUNTIFS(MATCH_INPUT!$J$6:$J$9, O41, MATCH_INPUT!$K$6:$K$9, "&lt;&gt;"&amp;O41, MATCH_INPUT!$K$6:$K$9, "&lt;&gt;Draw", MATCH_INPUT!$K$6:$K$9, "&lt;&gt;"""),
0)</f>
        <v>0</v>
      </c>
      <c r="V41" s="29" t="str">
        <f t="array" ref="V41">IFERROR(
  INDEX(PLAYER_STAT!E$2:E64, 
    MATCH(1, 
      (PLAYER_STAT!A$2:A64 = MATCH_DATES!$A$3) * (PLAYER_STAT!D$2:D64 = $B41), 
    0)
  ), 
  ""
)
</f>
        <v/>
      </c>
      <c r="W41" s="29" t="str">
        <f t="array" ref="W41">IFERROR(
  INDEX(PLAYER_STAT!F$2:F64, 
    MATCH(1, 
      (PLAYER_STAT!A$2:A64 = MATCH_DATES!$A$3) * (PLAYER_STAT!D$2:D64 = $B41), 
    0)
  ), 
  ""
)
</f>
        <v/>
      </c>
      <c r="X41" s="30" t="str">
        <f t="array" ref="X41">IFERROR(
  INDEX(PLAYER_STAT!G$2:G64, 
    MATCH(1, 
      (PLAYER_STAT!A$2:A64 = MATCH_DATES!$A$3) * (PLAYER_STAT!D$2:D64 = $B41), 
    0)
  ), 
  ""
)
</f>
        <v/>
      </c>
      <c r="Y41" s="31">
        <f t="shared" si="152"/>
        <v>5</v>
      </c>
      <c r="Z41" s="32" t="str">
        <f t="shared" si="13"/>
        <v>↓</v>
      </c>
      <c r="AA41" s="21" t="s">
        <v>215</v>
      </c>
      <c r="AB41" s="33">
        <f t="shared" si="14"/>
        <v>4</v>
      </c>
      <c r="AC41" s="22">
        <f t="shared" si="15"/>
        <v>2</v>
      </c>
      <c r="AD41" s="22">
        <f t="shared" si="16"/>
        <v>0</v>
      </c>
      <c r="AE41" s="22">
        <f>IF(AA41&lt;&gt;"",
    COUNTIFS(MATCH_INPUT!$K$10:$K$13,AA41),
0)</f>
        <v>0</v>
      </c>
      <c r="AF41" s="22">
        <f>IF(AA41&lt;&gt;"",
    COUNTIFS(MATCH_INPUT!$F$10:$F$13, AA41, MATCH_INPUT!$K$10:$K$13, "Draw") +
    COUNTIFS(MATCH_INPUT!$J$10:$J$13, AA41, MATCH_INPUT!$K$10:$K$13, "Draw"),
0)</f>
        <v>0</v>
      </c>
      <c r="AG41" s="22">
        <f>IF(AA41&lt;&gt;"",
    COUNTIFS(MATCH_INPUT!$F$10:$F$13, AA41, MATCH_INPUT!$K$10:$K$13, "&lt;&gt;"&amp;AA41, MATCH_INPUT!$K$10:$K$13, "&lt;&gt;Draw", MATCH_INPUT!$K$10:$K$13, "&lt;&gt;""") +
    COUNTIFS(MATCH_INPUT!$J$10:$J$13, AA41, MATCH_INPUT!$K$10:$K$13, "&lt;&gt;"&amp;AA41, MATCH_INPUT!$K$10:$K$13, "&lt;&gt;Draw", MATCH_INPUT!$K$10:$K$13, "&lt;&gt;"""),
0)</f>
        <v>2</v>
      </c>
      <c r="AH41" s="23" t="str">
        <f t="array" ref="AH41">IFERROR(
  INDEX(PLAYER_STAT!E$2:E64, 
    MATCH(1, 
      (PLAYER_STAT!A$2:A64 = MATCH_DATES!$A$4) * (PLAYER_STAT!D$2:D64 = $B41), 
    0)
  ), 
  ""
)
</f>
        <v/>
      </c>
      <c r="AI41" s="23" t="str">
        <f t="array" ref="AI41">IFERROR(
  INDEX(PLAYER_STAT!F$2:F64, 
    MATCH(1, 
      (PLAYER_STAT!A$2:A64 = MATCH_DATES!$A$4) * (PLAYER_STAT!D$2:D64 = $B41), 
    0)
  ), 
  ""
)
</f>
        <v/>
      </c>
      <c r="AJ41" s="34" t="str">
        <f t="array" ref="AJ41">IFERROR(
  INDEX(PLAYER_STAT!G$2:G64, 
    MATCH(1, 
      (PLAYER_STAT!A$2:A64 = MATCH_DATES!$A$4) * (PLAYER_STAT!D$2:D64 = $B41), 
    0)
  ), 
  ""
)
</f>
        <v/>
      </c>
      <c r="AK41" s="25">
        <f t="shared" si="153"/>
        <v>3</v>
      </c>
      <c r="AL41" s="26" t="str">
        <f t="shared" si="18"/>
        <v>↑</v>
      </c>
      <c r="AM41" s="27" t="s">
        <v>213</v>
      </c>
      <c r="AN41" s="28">
        <f t="shared" si="19"/>
        <v>8</v>
      </c>
      <c r="AO41" s="28">
        <f t="shared" si="20"/>
        <v>2</v>
      </c>
      <c r="AP41" s="28">
        <f t="shared" si="21"/>
        <v>2</v>
      </c>
      <c r="AQ41" s="28">
        <f>IF(AM41&lt;&gt;"",
    COUNTIFS(MATCH_INPUT!$K$14:$K$17,AM41),
0)</f>
        <v>1</v>
      </c>
      <c r="AR41" s="28">
        <f>IF(AM41&lt;&gt;"",
    COUNTIFS(MATCH_INPUT!$F$14:$F$17, AM41, MATCH_INPUT!$K$14:$K$17, "Draw") +
    COUNTIFS(MATCH_INPUT!$J$14:$J$17, AM41, MATCH_INPUT!$K$14:$K$17, "Draw"),
0)</f>
        <v>0</v>
      </c>
      <c r="AS41" s="28">
        <f>IF(AM41&lt;&gt;"",
    COUNTIFS(MATCH_INPUT!$F$14:$F$17, AM41, MATCH_INPUT!$K$14:$K$17, "&lt;&gt;"&amp;AM41, MATCH_INPUT!$K$14:$K$17, "&lt;&gt;Draw", MATCH_INPUT!$K$14:$K$17, "&lt;&gt;""") +
    COUNTIFS(MATCH_INPUT!$J$14:$J$17, AM41, MATCH_INPUT!$K$14:$K$17, "&lt;&gt;"&amp;AM41, MATCH_INPUT!$K$14:$K$17, "&lt;&gt;Draw", MATCH_INPUT!$K$14:$K$17, "&lt;&gt;"""),
0)</f>
        <v>1</v>
      </c>
      <c r="AT41" s="29">
        <f t="array" ref="AT41">IFERROR(
  INDEX(PLAYER_STAT!E$2:E64, 
    MATCH(1, 
      (PLAYER_STAT!A$2:A64 = MATCH_DATES!$A$5) * (PLAYER_STAT!D$2:D64 = $B41), 
    0)
  ), 
  ""
)
</f>
        <v>0</v>
      </c>
      <c r="AU41" s="29">
        <f t="array" ref="AU41">IFERROR(
  INDEX(PLAYER_STAT!F$2:F64, 
    MATCH(1, 
      (PLAYER_STAT!A$2:A64 = MATCH_DATES!$A$5) * (PLAYER_STAT!D$2:D64 = $B41), 
    0)
  ), 
  ""
)
</f>
        <v>0</v>
      </c>
      <c r="AV41" s="30">
        <f t="array" ref="AV41">IFERROR(
  INDEX(PLAYER_STAT!G$2:G64, 
    MATCH(1, 
      (PLAYER_STAT!A$2:A64 = MATCH_DATES!$A$5) * (PLAYER_STAT!D$2:D64 = $B41), 
    0)
  ), 
  ""
)
</f>
        <v>1</v>
      </c>
      <c r="AW41" s="31">
        <f t="shared" si="154"/>
        <v>2</v>
      </c>
      <c r="AX41" s="32" t="str">
        <f t="shared" si="23"/>
        <v>↑</v>
      </c>
      <c r="AY41" s="21"/>
      <c r="AZ41" s="33">
        <f t="shared" si="24"/>
        <v>8</v>
      </c>
      <c r="BA41" s="22">
        <f t="shared" si="25"/>
        <v>0</v>
      </c>
      <c r="BB41" s="22">
        <f>SUM(BC41*2) + (BD41*1) + SUMIFS(MATCH_INPUT!$G$18:$G$21, MATCH_INPUT!$F$18:$F$21, AY41) + SUMIFS(MATCH_INPUT!$I$18:$I$21, MATCH_INPUT!$J$18:$J$21, AY41)
</f>
        <v>0</v>
      </c>
      <c r="BC41" s="22">
        <f>IF(AY41&lt;&gt;"",
    COUNTIFS(MATCH_INPUT!$K$18:$K$21,AY41),
0)</f>
        <v>0</v>
      </c>
      <c r="BD41" s="22">
        <f>IF(AY41&lt;&gt;"",
    COUNTIFS(MATCH_INPUT!$F$18:$F$21, AY41, MATCH_INPUT!$K$18:$K$21, "Draw") +
    COUNTIFS(MATCH_INPUT!$J$18:$J$21, AY41, MATCH_INPUT!$K$18:$K$21, "Draw"),
0)</f>
        <v>0</v>
      </c>
      <c r="BE41" s="22">
        <f>IF(AY41&lt;&gt;"",
    COUNTIFS(MATCH_INPUT!$F$18:$F$21, AY41, MATCH_INPUT!$K$18:$K$21, "&lt;&gt;"&amp;AY41, MATCH_INPUT!$K$18:$K$21, "&lt;&gt;Draw", MATCH_INPUT!$K$18:$K$21, "&lt;&gt;""") +
    COUNTIFS(MATCH_INPUT!$J$18:$J$21, AY41, MATCH_INPUT!$K$18:$K$21, "&lt;&gt;"&amp;AY41, MATCH_INPUT!$K$18:$K$21, "&lt;&gt;Draw", MATCH_INPUT!$K$18:$K$21, "&lt;&gt;"""),
0)</f>
        <v>0</v>
      </c>
      <c r="BF41" s="23" t="str">
        <f t="array" ref="BF41">IFERROR(
  INDEX(PLAYER_STAT!E$2:E64, 
    MATCH(1, 
      (PLAYER_STAT!A$2:A64 = MATCH_DATES!$A$6) * (PLAYER_STAT!D$2:D64 = $B41), 
    0)
  ), 
  ""
)
</f>
        <v/>
      </c>
      <c r="BG41" s="23" t="str">
        <f t="array" ref="BG41">IFERROR(
  INDEX(PLAYER_STAT!F$2:F64, 
    MATCH(1, 
      (PLAYER_STAT!A$2:A64 = MATCH_DATES!$A$6) * (PLAYER_STAT!D$2:D64 = $B41), 
    0)
  ), 
  ""
)
</f>
        <v/>
      </c>
      <c r="BH41" s="34" t="str">
        <f t="array" ref="BH41">IFERROR(
  INDEX(PLAYER_STAT!G$2:G64, 
    MATCH(1, 
      (PLAYER_STAT!A$2:A64 = MATCH_DATES!$A$6) * (PLAYER_STAT!D$2:D64 = $B41), 
    0)
  ), 
  ""
)
</f>
        <v/>
      </c>
      <c r="BI41" s="25">
        <f t="shared" si="155"/>
        <v>5</v>
      </c>
      <c r="BJ41" s="26" t="str">
        <f t="shared" si="27"/>
        <v>↓</v>
      </c>
      <c r="BK41" s="27"/>
      <c r="BL41" s="28">
        <f t="shared" si="28"/>
        <v>8</v>
      </c>
      <c r="BM41" s="28">
        <f t="shared" si="29"/>
        <v>0</v>
      </c>
      <c r="BN41" s="28">
        <f>SUM(BO41*2) + (BP41*1) + SUMIFS(MATCH_INPUT!$G$22:$G$25, MATCH_INPUT!$F$22:$F$25, BK41) + SUMIFS(MATCH_INPUT!$I$22:$I$25, MATCH_INPUT!$J$22:$J$25, BK41)
</f>
        <v>0</v>
      </c>
      <c r="BO41" s="28">
        <f>IF(BK41&lt;&gt;"",
    COUNTIFS(MATCH_INPUT!$K$22:$K$25,BK41),
0)</f>
        <v>0</v>
      </c>
      <c r="BP41" s="28">
        <f>IF(BK41&lt;&gt;"",
    COUNTIFS(MATCH_INPUT!$F$22:$F$25, BK41, MATCH_INPUT!$K$22:$K$25, "Draw") +
    COUNTIFS(MATCH_INPUT!$J$22:$J$25, BK41, MATCH_INPUT!$K$22:$K$25, "Draw"),
0)</f>
        <v>0</v>
      </c>
      <c r="BQ41" s="28">
        <f>IF(BK41&lt;&gt;"",
    COUNTIFS(MATCH_INPUT!$F$22:$F$25, BK41, MATCH_INPUT!$K$22:$K$25, "&lt;&gt;"&amp;BK41, MATCH_INPUT!$K$22:$K$25, "&lt;&gt;Draw", MATCH_INPUT!$K$22:$K$25, "&lt;&gt;""") +
    COUNTIFS(MATCH_INPUT!$J$22:$J$25, BK41, MATCH_INPUT!$K$22:$K$25, "&lt;&gt;"&amp;BK41, MATCH_INPUT!$K$22:$K$25, "&lt;&gt;Draw", MATCH_INPUT!$K$22:$K$25, "&lt;&gt;"""),
0)</f>
        <v>0</v>
      </c>
      <c r="BR41" s="29" t="str">
        <f t="array" ref="BR41">IFERROR(
  INDEX(PLAYER_STAT!E$2:E64, 
    MATCH(1, 
      (PLAYER_STAT!A$2:A64 = MATCH_DATES!$A$7) * (PLAYER_STAT!D$2:D64 = $B41), 
    0)
  ), 
  ""
)
</f>
        <v/>
      </c>
      <c r="BS41" s="29" t="str">
        <f t="array" ref="BS41">IFERROR(
  INDEX(PLAYER_STAT!F$2:F64, 
    MATCH(1, 
      (PLAYER_STAT!A$2:A64 = MATCH_DATES!$A$7) * (PLAYER_STAT!D$2:D64 = $B41), 
    0)
  ), 
  ""
)
</f>
        <v/>
      </c>
      <c r="BT41" s="30" t="str">
        <f t="array" ref="BT41">IFERROR(
  INDEX(PLAYER_STAT!G$2:G64, 
    MATCH(1, 
      (PLAYER_STAT!A$2:A64 = MATCH_DATES!$A$7) * (PLAYER_STAT!D$2:D64 = $B41), 
    0)
  ), 
  ""
)
</f>
        <v/>
      </c>
      <c r="BU41" s="31">
        <f t="shared" si="156"/>
        <v>5</v>
      </c>
      <c r="BV41" s="32" t="str">
        <f t="shared" si="31"/>
        <v>=</v>
      </c>
      <c r="BW41" s="21" t="s">
        <v>215</v>
      </c>
      <c r="BX41" s="33">
        <f t="shared" si="32"/>
        <v>15</v>
      </c>
      <c r="BY41" s="22">
        <f t="shared" si="33"/>
        <v>2</v>
      </c>
      <c r="BZ41" s="22">
        <f>SUM(CA41*2)+(CB41*1) + SUMIFS(MATCH_INPUT!$G$26:$G$29, MATCH_INPUT!$F$26:$F$29, BW41) + SUMIFS(MATCH_INPUT!$I$26:$I$29, MATCH_INPUT!$J$26:$J$29, BW41)
</f>
        <v>5</v>
      </c>
      <c r="CA41" s="22">
        <f>IF(BW41&lt;&gt;"",
    COUNTIFS(MATCH_INPUT!$K$26:$K$29,BW41),
0)</f>
        <v>0</v>
      </c>
      <c r="CB41" s="22">
        <f>IF(BW41&lt;&gt;"",
    COUNTIFS(MATCH_INPUT!$F$26:$F$29, BW41, MATCH_INPUT!$K$26:$K$29, "Draw") +
    COUNTIFS(MATCH_INPUT!$J$26:$J$29, BW41, MATCH_INPUT!$K$26:$K$29, "Draw"),
0)</f>
        <v>1</v>
      </c>
      <c r="CC41" s="22">
        <f>IF(BW41&lt;&gt;"",
    COUNTIFS(MATCH_INPUT!$F$26:$F$29, BW41, MATCH_INPUT!$K$26:$K$29, "&lt;&gt;"&amp;BW41, MATCH_INPUT!$K$26:$K$29, "&lt;&gt;Draw", MATCH_INPUT!$K$26:$K$29, "&lt;&gt;""") +
    COUNTIFS(MATCH_INPUT!$J$26:$J$29, BW41, MATCH_INPUT!$K$26:$K$29, "&lt;&gt;"&amp;BW41, MATCH_INPUT!$K$26:$K$29, "&lt;&gt;Draw", MATCH_INPUT!$K$26:$K$29, "&lt;&gt;"""),
0)</f>
        <v>1</v>
      </c>
      <c r="CD41" s="23" t="str">
        <f t="array" ref="CD41">IFERROR(
  INDEX(PLAYER_STAT!E$2:E64, 
    MATCH(1, 
      (PLAYER_STAT!A$2:A64 = MATCH_DATES!$A$8) * (PLAYER_STAT!D$2:D64 = $B41), 
    0)
  ), 
  ""
)
</f>
        <v/>
      </c>
      <c r="CE41" s="23" t="str">
        <f t="array" ref="CE41">IFERROR(
  INDEX(PLAYER_STAT!F$2:F64, 
    MATCH(1, 
      (PLAYER_STAT!A$2:A64 = MATCH_DATES!$A$8) * (PLAYER_STAT!D$2:D64 = $B41), 
    0)
  ), 
  ""
)
</f>
        <v/>
      </c>
      <c r="CF41" s="34" t="str">
        <f t="array" ref="CF41">IFERROR(
  INDEX(PLAYER_STAT!G$2:G64, 
    MATCH(1, 
      (PLAYER_STAT!A$2:A64 = MATCH_DATES!$A$8) * (PLAYER_STAT!D$2:D64 = $B41), 
    0)
  ), 
  ""
)
</f>
        <v/>
      </c>
      <c r="CG41" s="25">
        <f t="shared" si="157"/>
        <v>3</v>
      </c>
      <c r="CH41" s="26" t="str">
        <f t="shared" si="35"/>
        <v>↑</v>
      </c>
      <c r="CI41" s="27"/>
      <c r="CJ41" s="28">
        <f t="shared" si="36"/>
        <v>15</v>
      </c>
      <c r="CK41" s="28">
        <f t="shared" si="37"/>
        <v>0</v>
      </c>
      <c r="CL41" s="28">
        <f>SUM(CM41*2)+(CN41*1) + SUMIFS(MATCH_INPUT!$G$30:$G$33, MATCH_INPUT!$F$30:$F$33, CI41) + SUMIFS(MATCH_INPUT!$I$30:$I$33, MATCH_INPUT!$J$30:$J$33, CI41)
</f>
        <v>0</v>
      </c>
      <c r="CM41" s="28">
        <f>IF(CI41&lt;&gt;"",
    COUNTIFS(MATCH_INPUT!$K$30:$K$33,CI41),
0)</f>
        <v>0</v>
      </c>
      <c r="CN41" s="28">
        <f>IF(CI41&lt;&gt;"",
    COUNTIFS(MATCH_INPUT!$F$30:$F$33, CI41, MATCH_INPUT!$K$30:$K$33, "Draw") +
    COUNTIFS(MATCH_INPUT!$J$30:$J$33, CI41, MATCH_INPUT!$K$30:$K$33, "Draw"),
0)</f>
        <v>0</v>
      </c>
      <c r="CO41" s="28">
        <f>IF(CI41&lt;&gt;"",
    COUNTIFS(MATCH_INPUT!$F$30:$F$33, CI41, MATCH_INPUT!$K$30:$K$33, "&lt;&gt;"&amp;CI41, MATCH_INPUT!$K$30:$K$33, "&lt;&gt;Draw", MATCH_INPUT!$K$30:$K$33, "&lt;&gt;""") +
    COUNTIFS(MATCH_INPUT!$J$30:$J$33, CI41, MATCH_INPUT!$K$30:$K$33, "&lt;&gt;"&amp;CI41, MATCH_INPUT!$K$30:$K$33, "&lt;&gt;Draw", MATCH_INPUT!$K$30:$K$33, "&lt;&gt;"""),
0)</f>
        <v>0</v>
      </c>
      <c r="CP41" s="29" t="str">
        <f t="array" ref="CP41">IFERROR(
  INDEX(PLAYER_STAT!E$2:E64, 
    MATCH(1, 
      (PLAYER_STAT!A$2:A64 = MATCH_DATES!$A$9) * (PLAYER_STAT!D$2:D64 = $B41), 
    0)
  ), 
  ""
)
</f>
        <v/>
      </c>
      <c r="CQ41" s="29" t="str">
        <f t="array" ref="CQ41">IFERROR(
  INDEX(PLAYER_STAT!F$2:F64, 
    MATCH(1, 
      (PLAYER_STAT!A$2:A64 = MATCH_DATES!$A$9) * (PLAYER_STAT!D$2:D64 = $B41), 
    0)
  ), 
  ""
)
</f>
        <v/>
      </c>
      <c r="CR41" s="30" t="str">
        <f t="array" ref="CR41">IFERROR(
  INDEX(PLAYER_STAT!G$2:G64, 
    MATCH(1, 
      (PLAYER_STAT!A$2:A64 = MATCH_DATES!$A$9) * (PLAYER_STAT!D$2:D64 = $B41), 
    0)
  ), 
  ""
)
</f>
        <v/>
      </c>
      <c r="CS41" s="35">
        <f t="shared" si="158"/>
        <v>3</v>
      </c>
      <c r="CT41" s="35" t="str">
        <f t="shared" si="39"/>
        <v>=</v>
      </c>
      <c r="CU41" s="36">
        <f t="shared" si="40"/>
        <v>7</v>
      </c>
      <c r="CV41" s="36" t="str">
        <f t="shared" ref="CV41:CW41" si="162">A41</f>
        <v>🛗</v>
      </c>
      <c r="CW41" s="37" t="str">
        <f t="shared" si="162"/>
        <v>(Sub) Walter Acero</v>
      </c>
      <c r="CX41" s="37">
        <f t="shared" si="42"/>
        <v>15</v>
      </c>
      <c r="CY41" s="36">
        <f>SUM(
  IF(AND(MATCH_DATES!$A$2 &lt;= TODAY(), NOW() &gt;= MATCH_DATES!$A$2 + TIME(22, 0, 0)), E41, 0),
  IF(AND(MATCH_DATES!$A$3 &lt;= TODAY(), NOW() &gt;= MATCH_DATES!$A$3 + TIME(22, 0, 0)), Q41, 0),
  IF(AND(MATCH_DATES!$A$4 &lt;= TODAY(), NOW() &gt;= MATCH_DATES!$A$4 + TIME(22, 0, 0)), AC41, 0),
  IF(AND(MATCH_DATES!$A$5 &lt;= TODAY(), NOW() &gt;= MATCH_DATES!$A$5 + TIME(22, 0, 0)), AO41, 0),
  IF(AND(MATCH_DATES!$A$6 &lt;= TODAY(), NOW() &gt;= MATCH_DATES!$A$6 + TIME(22, 0, 0)), BA41, 0),
  IF(AND(MATCH_DATES!$A$7 &lt;= TODAY(), NOW() &gt;= MATCH_DATES!$A$7 + TIME(22, 0, 0)), BM41, 0),
  IF(AND(MATCH_DATES!$A$8 &lt;= TODAY(), NOW() &gt;= MATCH_DATES!$A$8 + TIME(22, 0, 0)), BY41, 0),
  IF(AND(MATCH_DATES!$A$9 &lt;= TODAY(), NOW() &gt;= MATCH_DATES!$A$9 + TIME(22, 0, 0)), CK41, 0)
)
</f>
        <v>8</v>
      </c>
      <c r="CZ41" s="37">
        <f t="shared" ref="CZ41:DA41" si="163">SUM(G41,S41,AE41,AQ41,BC41,BO41,CA41,CM41)</f>
        <v>1</v>
      </c>
      <c r="DA41" s="37">
        <f t="shared" si="163"/>
        <v>1</v>
      </c>
      <c r="DB41" s="37">
        <f>SUM(
  IF(AND(MATCH_DATES!$A$2 &lt;= TODAY(), NOW() &gt;= MATCH_DATES!$A$2 + TIME(22, 0, 0)), I41, 0),
  IF(AND(MATCH_DATES!$A$3 &lt;= TODAY(), NOW() &gt;= MATCH_DATES!$A$3 + TIME(22, 0, 0)), U41, 0),
  IF(AND(MATCH_DATES!$A$4 &lt;= TODAY(), NOW() &gt;= MATCH_DATES!$A$4 + TIME(22, 0, 0)), AG41, 0),
  IF(AND(MATCH_DATES!$A$5 &lt;= TODAY(), NOW() &gt;= MATCH_DATES!$A$5 + TIME(22, 0, 0)), AS41, 0),
  IF(AND(MATCH_DATES!$A$6 &lt;= TODAY(), NOW() &gt;= MATCH_DATES!$A$6 + TIME(22, 0, 0)), BE41, 0),
  IF(AND(MATCH_DATES!$A$7 &lt;= TODAY(), NOW() &gt;= MATCH_DATES!$A$7 + TIME(22, 0, 0)), BQ41, 0),
  IF(AND(MATCH_DATES!$A$8 &lt;= TODAY(), NOW() &gt;= MATCH_DATES!$A$8 + TIME(22, 0, 0)), CC41, 0),
  IF(AND(MATCH_DATES!$A$9 &lt;= TODAY(), NOW() &gt;= MATCH_DATES!$A$9 + TIME(22, 0, 0)), CO41, 0)
)</f>
        <v>6</v>
      </c>
      <c r="DC41" s="37">
        <f t="shared" si="44"/>
        <v>0</v>
      </c>
      <c r="DD41" s="37">
        <f t="shared" ref="DD41:DE41" si="164">SUM(K41,W41,AI41,AU41,BG41,BS41,CE41,CQ41)</f>
        <v>0</v>
      </c>
      <c r="DE41" s="37">
        <f t="shared" si="164"/>
        <v>1</v>
      </c>
    </row>
    <row r="42" ht="24.75" customHeight="1">
      <c r="A42" s="30" t="s">
        <v>242</v>
      </c>
      <c r="B42" s="30" t="s">
        <v>246</v>
      </c>
      <c r="C42" s="21" t="s">
        <v>213</v>
      </c>
      <c r="D42" s="22">
        <f t="shared" si="4"/>
        <v>4</v>
      </c>
      <c r="E42" s="22">
        <f t="shared" si="5"/>
        <v>2</v>
      </c>
      <c r="F42" s="22">
        <f t="shared" si="6"/>
        <v>2</v>
      </c>
      <c r="G42" s="22">
        <f>IF(C42&lt;&gt;"",
    COUNTIFS(MATCH_INPUT!$K$2:$K$5,C42),
0)</f>
        <v>1</v>
      </c>
      <c r="H42" s="22">
        <f>IF(C42&lt;&gt;"",
    COUNTIFS(MATCH_INPUT!$F$2:$F$5, C42, MATCH_INPUT!$K$2:$K$5, "Draw") +
    COUNTIFS(MATCH_INPUT!$J$2:$J$5, C42, MATCH_INPUT!$K$2:$K$5, "Draw"),
0)</f>
        <v>0</v>
      </c>
      <c r="I42" s="22">
        <f>IF(C42&lt;&gt;"",
    COUNTIFS(MATCH_INPUT!$F$2:$F$5, C42, MATCH_INPUT!$K$2:$K$5, "&lt;&gt;"&amp;C42, MATCH_INPUT!$K$2:$K$5, "&lt;&gt;Draw", MATCH_INPUT!$K$2:$K$5, "&lt;&gt;""") +
    COUNTIFS(MATCH_INPUT!$J$2:$J$5, C42, MATCH_INPUT!$K$2:$K$5, "&lt;&gt;"&amp;C42, MATCH_INPUT!$K$2:$K$5, "&lt;&gt;Draw", MATCH_INPUT!$K$2:$K$5, "&lt;&gt;"""),
0)</f>
        <v>1</v>
      </c>
      <c r="J42" s="23" t="str">
        <f t="array" ref="J42">IFERROR(
  INDEX(PLAYER_STAT!E$2:E64, 
    MATCH(1, 
      (PLAYER_STAT!A$2:A64 = MATCH_DATES!$A$2) * (PLAYER_STAT!D$2:D64 = $B42), 
    0)
  ), 
  ""
)
</f>
        <v/>
      </c>
      <c r="K42" s="23" t="str">
        <f t="array" ref="K42">IFERROR(
  INDEX(PLAYER_STAT!F$2:F64, 
    MATCH(1, 
      (PLAYER_STAT!A$2:A64 = MATCH_DATES!$A$2) * (PLAYER_STAT!D$2:D64 = $B42), 
    0)
  ), 
  ""
)
</f>
        <v/>
      </c>
      <c r="L42" s="24" t="str">
        <f t="array" ref="L42">IFERROR(
  INDEX(PLAYER_STAT!G$2:G64, 
    MATCH(1, 
      (PLAYER_STAT!A$2:A64 = MATCH_DATES!$A$2) * (PLAYER_STAT!D$2:D64 = $B42), 
    0)
  ), 
  ""
)
</f>
        <v/>
      </c>
      <c r="M42" s="25">
        <f t="shared" si="151"/>
        <v>1</v>
      </c>
      <c r="N42" s="26" t="str">
        <f t="shared" si="8"/>
        <v>=</v>
      </c>
      <c r="O42" s="27"/>
      <c r="P42" s="28">
        <f t="shared" si="9"/>
        <v>4</v>
      </c>
      <c r="Q42" s="28">
        <f t="shared" si="10"/>
        <v>0</v>
      </c>
      <c r="R42" s="28">
        <f t="shared" si="11"/>
        <v>0</v>
      </c>
      <c r="S42" s="28">
        <f>IF(O42&lt;&gt;"",
    COUNTIFS(MATCH_INPUT!$K$6:$K$9,O42),
0)</f>
        <v>0</v>
      </c>
      <c r="T42" s="28">
        <f>IF(O42&lt;&gt;"",
    COUNTIFS(MATCH_INPUT!$F$6:$F$9, O42, MATCH_INPUT!$K$6:$K$9, "Draw") +
    COUNTIFS(MATCH_INPUT!$J$6:$J$9, O42, MATCH_INPUT!$K$6:$K$9, "Draw"),
0)</f>
        <v>0</v>
      </c>
      <c r="U42" s="28">
        <f>IF(O42&lt;&gt;"",
    COUNTIFS(MATCH_INPUT!$F$6:$F$9, O42, MATCH_INPUT!$K$6:$K$9, "&lt;&gt;"&amp;O42, MATCH_INPUT!$K$6:$K$9, "&lt;&gt;Draw", MATCH_INPUT!$K$6:$K$9, "&lt;&gt;""") +
    COUNTIFS(MATCH_INPUT!$J$6:$J$9, O42, MATCH_INPUT!$K$6:$K$9, "&lt;&gt;"&amp;O42, MATCH_INPUT!$K$6:$K$9, "&lt;&gt;Draw", MATCH_INPUT!$K$6:$K$9, "&lt;&gt;"""),
0)</f>
        <v>0</v>
      </c>
      <c r="V42" s="29" t="str">
        <f t="array" ref="V42">IFERROR(
  INDEX(PLAYER_STAT!E$2:E64, 
    MATCH(1, 
      (PLAYER_STAT!A$2:A64 = MATCH_DATES!$A$3) * (PLAYER_STAT!D$2:D64 = $B42), 
    0)
  ), 
  ""
)
</f>
        <v/>
      </c>
      <c r="W42" s="29" t="str">
        <f t="array" ref="W42">IFERROR(
  INDEX(PLAYER_STAT!F$2:F64, 
    MATCH(1, 
      (PLAYER_STAT!A$2:A64 = MATCH_DATES!$A$3) * (PLAYER_STAT!D$2:D64 = $B42), 
    0)
  ), 
  ""
)
</f>
        <v/>
      </c>
      <c r="X42" s="30" t="str">
        <f t="array" ref="X42">IFERROR(
  INDEX(PLAYER_STAT!G$2:G64, 
    MATCH(1, 
      (PLAYER_STAT!A$2:A64 = MATCH_DATES!$A$3) * (PLAYER_STAT!D$2:D64 = $B42), 
    0)
  ), 
  ""
)
</f>
        <v/>
      </c>
      <c r="Y42" s="31">
        <f t="shared" si="152"/>
        <v>2</v>
      </c>
      <c r="Z42" s="32" t="str">
        <f t="shared" si="13"/>
        <v>↓</v>
      </c>
      <c r="AA42" s="21"/>
      <c r="AB42" s="33">
        <f t="shared" si="14"/>
        <v>4</v>
      </c>
      <c r="AC42" s="22">
        <f t="shared" si="15"/>
        <v>0</v>
      </c>
      <c r="AD42" s="22">
        <f t="shared" si="16"/>
        <v>0</v>
      </c>
      <c r="AE42" s="22">
        <f>IF(AA42&lt;&gt;"",
    COUNTIFS(MATCH_INPUT!$K$10:$K$13,AA42),
0)</f>
        <v>0</v>
      </c>
      <c r="AF42" s="22">
        <f>IF(AA42&lt;&gt;"",
    COUNTIFS(MATCH_INPUT!$F$10:$F$13, AA42, MATCH_INPUT!$K$10:$K$13, "Draw") +
    COUNTIFS(MATCH_INPUT!$J$10:$J$13, AA42, MATCH_INPUT!$K$10:$K$13, "Draw"),
0)</f>
        <v>0</v>
      </c>
      <c r="AG42" s="22">
        <f>IF(AA42&lt;&gt;"",
    COUNTIFS(MATCH_INPUT!$F$10:$F$13, AA42, MATCH_INPUT!$K$10:$K$13, "&lt;&gt;"&amp;AA42, MATCH_INPUT!$K$10:$K$13, "&lt;&gt;Draw", MATCH_INPUT!$K$10:$K$13, "&lt;&gt;""") +
    COUNTIFS(MATCH_INPUT!$J$10:$J$13, AA42, MATCH_INPUT!$K$10:$K$13, "&lt;&gt;"&amp;AA42, MATCH_INPUT!$K$10:$K$13, "&lt;&gt;Draw", MATCH_INPUT!$K$10:$K$13, "&lt;&gt;"""),
0)</f>
        <v>0</v>
      </c>
      <c r="AH42" s="23" t="str">
        <f t="array" ref="AH42">IFERROR(
  INDEX(PLAYER_STAT!E$2:E64, 
    MATCH(1, 
      (PLAYER_STAT!A$2:A64 = MATCH_DATES!$A$4) * (PLAYER_STAT!D$2:D64 = $B42), 
    0)
  ), 
  ""
)
</f>
        <v/>
      </c>
      <c r="AI42" s="23" t="str">
        <f t="array" ref="AI42">IFERROR(
  INDEX(PLAYER_STAT!F$2:F64, 
    MATCH(1, 
      (PLAYER_STAT!A$2:A64 = MATCH_DATES!$A$4) * (PLAYER_STAT!D$2:D64 = $B42), 
    0)
  ), 
  ""
)
</f>
        <v/>
      </c>
      <c r="AJ42" s="34" t="str">
        <f t="array" ref="AJ42">IFERROR(
  INDEX(PLAYER_STAT!G$2:G64, 
    MATCH(1, 
      (PLAYER_STAT!A$2:A64 = MATCH_DATES!$A$4) * (PLAYER_STAT!D$2:D64 = $B42), 
    0)
  ), 
  ""
)
</f>
        <v/>
      </c>
      <c r="AK42" s="25">
        <f t="shared" si="153"/>
        <v>3</v>
      </c>
      <c r="AL42" s="26" t="str">
        <f t="shared" si="18"/>
        <v>↓</v>
      </c>
      <c r="AM42" s="27"/>
      <c r="AN42" s="28">
        <f t="shared" si="19"/>
        <v>4</v>
      </c>
      <c r="AO42" s="28">
        <f t="shared" si="20"/>
        <v>0</v>
      </c>
      <c r="AP42" s="28">
        <f t="shared" si="21"/>
        <v>0</v>
      </c>
      <c r="AQ42" s="28">
        <f>IF(AM42&lt;&gt;"",
    COUNTIFS(MATCH_INPUT!$K$14:$K$17,AM42),
0)</f>
        <v>0</v>
      </c>
      <c r="AR42" s="28">
        <f>IF(AM42&lt;&gt;"",
    COUNTIFS(MATCH_INPUT!$F$14:$F$17, AM42, MATCH_INPUT!$K$14:$K$17, "Draw") +
    COUNTIFS(MATCH_INPUT!$J$14:$J$17, AM42, MATCH_INPUT!$K$14:$K$17, "Draw"),
0)</f>
        <v>0</v>
      </c>
      <c r="AS42" s="28">
        <f>IF(AM42&lt;&gt;"",
    COUNTIFS(MATCH_INPUT!$F$14:$F$17, AM42, MATCH_INPUT!$K$14:$K$17, "&lt;&gt;"&amp;AM42, MATCH_INPUT!$K$14:$K$17, "&lt;&gt;Draw", MATCH_INPUT!$K$14:$K$17, "&lt;&gt;""") +
    COUNTIFS(MATCH_INPUT!$J$14:$J$17, AM42, MATCH_INPUT!$K$14:$K$17, "&lt;&gt;"&amp;AM42, MATCH_INPUT!$K$14:$K$17, "&lt;&gt;Draw", MATCH_INPUT!$K$14:$K$17, "&lt;&gt;"""),
0)</f>
        <v>0</v>
      </c>
      <c r="AT42" s="29" t="str">
        <f t="array" ref="AT42">IFERROR(
  INDEX(PLAYER_STAT!E$2:E64, 
    MATCH(1, 
      (PLAYER_STAT!A$2:A64 = MATCH_DATES!$A$5) * (PLAYER_STAT!D$2:D64 = $B42), 
    0)
  ), 
  ""
)
</f>
        <v/>
      </c>
      <c r="AU42" s="29" t="str">
        <f t="array" ref="AU42">IFERROR(
  INDEX(PLAYER_STAT!F$2:F64, 
    MATCH(1, 
      (PLAYER_STAT!A$2:A64 = MATCH_DATES!$A$5) * (PLAYER_STAT!D$2:D64 = $B42), 
    0)
  ), 
  ""
)
</f>
        <v/>
      </c>
      <c r="AV42" s="30" t="str">
        <f t="array" ref="AV42">IFERROR(
  INDEX(PLAYER_STAT!G$2:G64, 
    MATCH(1, 
      (PLAYER_STAT!A$2:A64 = MATCH_DATES!$A$5) * (PLAYER_STAT!D$2:D64 = $B42), 
    0)
  ), 
  ""
)
</f>
        <v/>
      </c>
      <c r="AW42" s="31">
        <f t="shared" si="154"/>
        <v>5</v>
      </c>
      <c r="AX42" s="32" t="str">
        <f t="shared" si="23"/>
        <v>↓</v>
      </c>
      <c r="AY42" s="21" t="s">
        <v>214</v>
      </c>
      <c r="AZ42" s="33">
        <f t="shared" si="24"/>
        <v>15</v>
      </c>
      <c r="BA42" s="22">
        <f t="shared" si="25"/>
        <v>2</v>
      </c>
      <c r="BB42" s="22">
        <f>SUM(BC42*2) + (BD42*1) + SUMIFS(MATCH_INPUT!$G$18:$G$21, MATCH_INPUT!$F$18:$F$21, AY42) + SUMIFS(MATCH_INPUT!$I$18:$I$21, MATCH_INPUT!$J$18:$J$21, AY42)
</f>
        <v>9</v>
      </c>
      <c r="BC42" s="22">
        <f>IF(AY42&lt;&gt;"",
    COUNTIFS(MATCH_INPUT!$K$18:$K$21,AY42),
0)</f>
        <v>1</v>
      </c>
      <c r="BD42" s="22">
        <f>IF(AY42&lt;&gt;"",
    COUNTIFS(MATCH_INPUT!$F$18:$F$21, AY42, MATCH_INPUT!$K$18:$K$21, "Draw") +
    COUNTIFS(MATCH_INPUT!$J$18:$J$21, AY42, MATCH_INPUT!$K$18:$K$21, "Draw"),
0)</f>
        <v>1</v>
      </c>
      <c r="BE42" s="22">
        <f>IF(AY42&lt;&gt;"",
    COUNTIFS(MATCH_INPUT!$F$18:$F$21, AY42, MATCH_INPUT!$K$18:$K$21, "&lt;&gt;"&amp;AY42, MATCH_INPUT!$K$18:$K$21, "&lt;&gt;Draw", MATCH_INPUT!$K$18:$K$21, "&lt;&gt;""") +
    COUNTIFS(MATCH_INPUT!$J$18:$J$21, AY42, MATCH_INPUT!$K$18:$K$21, "&lt;&gt;"&amp;AY42, MATCH_INPUT!$K$18:$K$21, "&lt;&gt;Draw", MATCH_INPUT!$K$18:$K$21, "&lt;&gt;"""),
0)</f>
        <v>0</v>
      </c>
      <c r="BF42" s="23" t="str">
        <f t="array" ref="BF42">IFERROR(
  INDEX(PLAYER_STAT!E$2:E64, 
    MATCH(1, 
      (PLAYER_STAT!A$2:A64 = MATCH_DATES!$A$6) * (PLAYER_STAT!D$2:D64 = $B42), 
    0)
  ), 
  ""
)
</f>
        <v/>
      </c>
      <c r="BG42" s="23" t="str">
        <f t="array" ref="BG42">IFERROR(
  INDEX(PLAYER_STAT!F$2:F64, 
    MATCH(1, 
      (PLAYER_STAT!A$2:A64 = MATCH_DATES!$A$6) * (PLAYER_STAT!D$2:D64 = $B42), 
    0)
  ), 
  ""
)
</f>
        <v/>
      </c>
      <c r="BH42" s="34" t="str">
        <f t="array" ref="BH42">IFERROR(
  INDEX(PLAYER_STAT!G$2:G64, 
    MATCH(1, 
      (PLAYER_STAT!A$2:A64 = MATCH_DATES!$A$6) * (PLAYER_STAT!D$2:D64 = $B42), 
    0)
  ), 
  ""
)
</f>
        <v/>
      </c>
      <c r="BI42" s="25">
        <f t="shared" si="155"/>
        <v>2</v>
      </c>
      <c r="BJ42" s="26" t="str">
        <f t="shared" si="27"/>
        <v>↑</v>
      </c>
      <c r="BK42" s="27"/>
      <c r="BL42" s="28">
        <f t="shared" si="28"/>
        <v>15</v>
      </c>
      <c r="BM42" s="28">
        <f t="shared" si="29"/>
        <v>0</v>
      </c>
      <c r="BN42" s="28">
        <f>SUM(BO42*2) + (BP42*1) + SUMIFS(MATCH_INPUT!$G$22:$G$25, MATCH_INPUT!$F$22:$F$25, BK42) + SUMIFS(MATCH_INPUT!$I$22:$I$25, MATCH_INPUT!$J$22:$J$25, BK42)
</f>
        <v>0</v>
      </c>
      <c r="BO42" s="28">
        <f>IF(BK42&lt;&gt;"",
    COUNTIFS(MATCH_INPUT!$K$22:$K$25,BK42),
0)</f>
        <v>0</v>
      </c>
      <c r="BP42" s="28">
        <f>IF(BK42&lt;&gt;"",
    COUNTIFS(MATCH_INPUT!$F$22:$F$25, BK42, MATCH_INPUT!$K$22:$K$25, "Draw") +
    COUNTIFS(MATCH_INPUT!$J$22:$J$25, BK42, MATCH_INPUT!$K$22:$K$25, "Draw"),
0)</f>
        <v>0</v>
      </c>
      <c r="BQ42" s="28">
        <f>IF(BK42&lt;&gt;"",
    COUNTIFS(MATCH_INPUT!$F$22:$F$25, BK42, MATCH_INPUT!$K$22:$K$25, "&lt;&gt;"&amp;BK42, MATCH_INPUT!$K$22:$K$25, "&lt;&gt;Draw", MATCH_INPUT!$K$22:$K$25, "&lt;&gt;""") +
    COUNTIFS(MATCH_INPUT!$J$22:$J$25, BK42, MATCH_INPUT!$K$22:$K$25, "&lt;&gt;"&amp;BK42, MATCH_INPUT!$K$22:$K$25, "&lt;&gt;Draw", MATCH_INPUT!$K$22:$K$25, "&lt;&gt;"""),
0)</f>
        <v>0</v>
      </c>
      <c r="BR42" s="29" t="str">
        <f t="array" ref="BR42">IFERROR(
  INDEX(PLAYER_STAT!E$2:E64, 
    MATCH(1, 
      (PLAYER_STAT!A$2:A64 = MATCH_DATES!$A$7) * (PLAYER_STAT!D$2:D64 = $B42), 
    0)
  ), 
  ""
)
</f>
        <v/>
      </c>
      <c r="BS42" s="29" t="str">
        <f t="array" ref="BS42">IFERROR(
  INDEX(PLAYER_STAT!F$2:F64, 
    MATCH(1, 
      (PLAYER_STAT!A$2:A64 = MATCH_DATES!$A$7) * (PLAYER_STAT!D$2:D64 = $B42), 
    0)
  ), 
  ""
)
</f>
        <v/>
      </c>
      <c r="BT42" s="30" t="str">
        <f t="array" ref="BT42">IFERROR(
  INDEX(PLAYER_STAT!G$2:G64, 
    MATCH(1, 
      (PLAYER_STAT!A$2:A64 = MATCH_DATES!$A$7) * (PLAYER_STAT!D$2:D64 = $B42), 
    0)
  ), 
  ""
)
</f>
        <v/>
      </c>
      <c r="BU42" s="31">
        <f t="shared" si="156"/>
        <v>2</v>
      </c>
      <c r="BV42" s="32" t="str">
        <f t="shared" si="31"/>
        <v>=</v>
      </c>
      <c r="BW42" s="21" t="s">
        <v>214</v>
      </c>
      <c r="BX42" s="33">
        <f t="shared" si="32"/>
        <v>18</v>
      </c>
      <c r="BY42" s="22">
        <f t="shared" si="33"/>
        <v>2</v>
      </c>
      <c r="BZ42" s="22">
        <f>SUM(CA42*2)+(CB42*1) + SUMIFS(MATCH_INPUT!$G$26:$G$29, MATCH_INPUT!$F$26:$F$29, BW42) + SUMIFS(MATCH_INPUT!$I$26:$I$29, MATCH_INPUT!$J$26:$J$29, BW42)
</f>
        <v>1</v>
      </c>
      <c r="CA42" s="22">
        <f>IF(BW42&lt;&gt;"",
    COUNTIFS(MATCH_INPUT!$K$26:$K$29,BW42),
0)</f>
        <v>0</v>
      </c>
      <c r="CB42" s="22">
        <f>IF(BW42&lt;&gt;"",
    COUNTIFS(MATCH_INPUT!$F$26:$F$29, BW42, MATCH_INPUT!$K$26:$K$29, "Draw") +
    COUNTIFS(MATCH_INPUT!$J$26:$J$29, BW42, MATCH_INPUT!$K$26:$K$29, "Draw"),
0)</f>
        <v>0</v>
      </c>
      <c r="CC42" s="22">
        <f>IF(BW42&lt;&gt;"",
    COUNTIFS(MATCH_INPUT!$F$26:$F$29, BW42, MATCH_INPUT!$K$26:$K$29, "&lt;&gt;"&amp;BW42, MATCH_INPUT!$K$26:$K$29, "&lt;&gt;Draw", MATCH_INPUT!$K$26:$K$29, "&lt;&gt;""") +
    COUNTIFS(MATCH_INPUT!$J$26:$J$29, BW42, MATCH_INPUT!$K$26:$K$29, "&lt;&gt;"&amp;BW42, MATCH_INPUT!$K$26:$K$29, "&lt;&gt;Draw", MATCH_INPUT!$K$26:$K$29, "&lt;&gt;"""),
0)</f>
        <v>2</v>
      </c>
      <c r="CD42" s="23" t="str">
        <f t="array" ref="CD42">IFERROR(
  INDEX(PLAYER_STAT!E$2:E64, 
    MATCH(1, 
      (PLAYER_STAT!A$2:A64 = MATCH_DATES!$A$8) * (PLAYER_STAT!D$2:D64 = $B42), 
    0)
  ), 
  ""
)
</f>
        <v/>
      </c>
      <c r="CE42" s="23" t="str">
        <f t="array" ref="CE42">IFERROR(
  INDEX(PLAYER_STAT!F$2:F64, 
    MATCH(1, 
      (PLAYER_STAT!A$2:A64 = MATCH_DATES!$A$8) * (PLAYER_STAT!D$2:D64 = $B42), 
    0)
  ), 
  ""
)
</f>
        <v/>
      </c>
      <c r="CF42" s="34" t="str">
        <f t="array" ref="CF42">IFERROR(
  INDEX(PLAYER_STAT!G$2:G64, 
    MATCH(1, 
      (PLAYER_STAT!A$2:A64 = MATCH_DATES!$A$8) * (PLAYER_STAT!D$2:D64 = $B42), 
    0)
  ), 
  ""
)
</f>
        <v/>
      </c>
      <c r="CG42" s="25">
        <f t="shared" si="157"/>
        <v>1</v>
      </c>
      <c r="CH42" s="26" t="str">
        <f t="shared" si="35"/>
        <v>↑</v>
      </c>
      <c r="CI42" s="27"/>
      <c r="CJ42" s="28">
        <f t="shared" si="36"/>
        <v>18</v>
      </c>
      <c r="CK42" s="28">
        <f t="shared" si="37"/>
        <v>0</v>
      </c>
      <c r="CL42" s="28">
        <f>SUM(CM42*2)+(CN42*1) + SUMIFS(MATCH_INPUT!$G$30:$G$33, MATCH_INPUT!$F$30:$F$33, CI42) + SUMIFS(MATCH_INPUT!$I$30:$I$33, MATCH_INPUT!$J$30:$J$33, CI42)
</f>
        <v>0</v>
      </c>
      <c r="CM42" s="28">
        <f>IF(CI42&lt;&gt;"",
    COUNTIFS(MATCH_INPUT!$K$30:$K$33,CI42),
0)</f>
        <v>0</v>
      </c>
      <c r="CN42" s="28">
        <f>IF(CI42&lt;&gt;"",
    COUNTIFS(MATCH_INPUT!$F$30:$F$33, CI42, MATCH_INPUT!$K$30:$K$33, "Draw") +
    COUNTIFS(MATCH_INPUT!$J$30:$J$33, CI42, MATCH_INPUT!$K$30:$K$33, "Draw"),
0)</f>
        <v>0</v>
      </c>
      <c r="CO42" s="28">
        <f>IF(CI42&lt;&gt;"",
    COUNTIFS(MATCH_INPUT!$F$30:$F$33, CI42, MATCH_INPUT!$K$30:$K$33, "&lt;&gt;"&amp;CI42, MATCH_INPUT!$K$30:$K$33, "&lt;&gt;Draw", MATCH_INPUT!$K$30:$K$33, "&lt;&gt;""") +
    COUNTIFS(MATCH_INPUT!$J$30:$J$33, CI42, MATCH_INPUT!$K$30:$K$33, "&lt;&gt;"&amp;CI42, MATCH_INPUT!$K$30:$K$33, "&lt;&gt;Draw", MATCH_INPUT!$K$30:$K$33, "&lt;&gt;"""),
0)</f>
        <v>0</v>
      </c>
      <c r="CP42" s="29" t="str">
        <f t="array" ref="CP42">IFERROR(
  INDEX(PLAYER_STAT!E$2:E64, 
    MATCH(1, 
      (PLAYER_STAT!A$2:A64 = MATCH_DATES!$A$9) * (PLAYER_STAT!D$2:D64 = $B42), 
    0)
  ), 
  ""
)
</f>
        <v/>
      </c>
      <c r="CQ42" s="29" t="str">
        <f t="array" ref="CQ42">IFERROR(
  INDEX(PLAYER_STAT!F$2:F64, 
    MATCH(1, 
      (PLAYER_STAT!A$2:A64 = MATCH_DATES!$A$9) * (PLAYER_STAT!D$2:D64 = $B42), 
    0)
  ), 
  ""
)
</f>
        <v/>
      </c>
      <c r="CR42" s="30" t="str">
        <f t="array" ref="CR42">IFERROR(
  INDEX(PLAYER_STAT!G$2:G64, 
    MATCH(1, 
      (PLAYER_STAT!A$2:A64 = MATCH_DATES!$A$9) * (PLAYER_STAT!D$2:D64 = $B42), 
    0)
  ), 
  ""
)
</f>
        <v/>
      </c>
      <c r="CS42" s="35">
        <f t="shared" si="158"/>
        <v>1</v>
      </c>
      <c r="CT42" s="35" t="str">
        <f t="shared" si="39"/>
        <v>=</v>
      </c>
      <c r="CU42" s="36">
        <f t="shared" si="40"/>
        <v>12</v>
      </c>
      <c r="CV42" s="36" t="str">
        <f t="shared" ref="CV42:CW42" si="165">A42</f>
        <v>🛗</v>
      </c>
      <c r="CW42" s="37" t="str">
        <f t="shared" si="165"/>
        <v>(Sub) Emilio</v>
      </c>
      <c r="CX42" s="37">
        <f t="shared" si="42"/>
        <v>18</v>
      </c>
      <c r="CY42" s="36">
        <f>SUM(
  IF(AND(MATCH_DATES!$A$2 &lt;= TODAY(), NOW() &gt;= MATCH_DATES!$A$2 + TIME(22, 0, 0)), E42, 0),
  IF(AND(MATCH_DATES!$A$3 &lt;= TODAY(), NOW() &gt;= MATCH_DATES!$A$3 + TIME(22, 0, 0)), Q42, 0),
  IF(AND(MATCH_DATES!$A$4 &lt;= TODAY(), NOW() &gt;= MATCH_DATES!$A$4 + TIME(22, 0, 0)), AC42, 0),
  IF(AND(MATCH_DATES!$A$5 &lt;= TODAY(), NOW() &gt;= MATCH_DATES!$A$5 + TIME(22, 0, 0)), AO42, 0),
  IF(AND(MATCH_DATES!$A$6 &lt;= TODAY(), NOW() &gt;= MATCH_DATES!$A$6 + TIME(22, 0, 0)), BA42, 0),
  IF(AND(MATCH_DATES!$A$7 &lt;= TODAY(), NOW() &gt;= MATCH_DATES!$A$7 + TIME(22, 0, 0)), BM42, 0),
  IF(AND(MATCH_DATES!$A$8 &lt;= TODAY(), NOW() &gt;= MATCH_DATES!$A$8 + TIME(22, 0, 0)), BY42, 0),
  IF(AND(MATCH_DATES!$A$9 &lt;= TODAY(), NOW() &gt;= MATCH_DATES!$A$9 + TIME(22, 0, 0)), CK42, 0)
)
</f>
        <v>6</v>
      </c>
      <c r="CZ42" s="37">
        <f t="shared" ref="CZ42:DA42" si="166">SUM(G42,S42,AE42,AQ42,BC42,BO42,CA42,CM42)</f>
        <v>2</v>
      </c>
      <c r="DA42" s="37">
        <f t="shared" si="166"/>
        <v>1</v>
      </c>
      <c r="DB42" s="37">
        <f>SUM(
  IF(AND(MATCH_DATES!$A$2 &lt;= TODAY(), NOW() &gt;= MATCH_DATES!$A$2 + TIME(22, 0, 0)), I42, 0),
  IF(AND(MATCH_DATES!$A$3 &lt;= TODAY(), NOW() &gt;= MATCH_DATES!$A$3 + TIME(22, 0, 0)), U42, 0),
  IF(AND(MATCH_DATES!$A$4 &lt;= TODAY(), NOW() &gt;= MATCH_DATES!$A$4 + TIME(22, 0, 0)), AG42, 0),
  IF(AND(MATCH_DATES!$A$5 &lt;= TODAY(), NOW() &gt;= MATCH_DATES!$A$5 + TIME(22, 0, 0)), AS42, 0),
  IF(AND(MATCH_DATES!$A$6 &lt;= TODAY(), NOW() &gt;= MATCH_DATES!$A$6 + TIME(22, 0, 0)), BE42, 0),
  IF(AND(MATCH_DATES!$A$7 &lt;= TODAY(), NOW() &gt;= MATCH_DATES!$A$7 + TIME(22, 0, 0)), BQ42, 0),
  IF(AND(MATCH_DATES!$A$8 &lt;= TODAY(), NOW() &gt;= MATCH_DATES!$A$8 + TIME(22, 0, 0)), CC42, 0),
  IF(AND(MATCH_DATES!$A$9 &lt;= TODAY(), NOW() &gt;= MATCH_DATES!$A$9 + TIME(22, 0, 0)), CO42, 0)
)</f>
        <v>3</v>
      </c>
      <c r="DC42" s="37">
        <f t="shared" si="44"/>
        <v>0</v>
      </c>
      <c r="DD42" s="37">
        <f t="shared" ref="DD42:DE42" si="167">SUM(K42,W42,AI42,AU42,BG42,BS42,CE42,CQ42)</f>
        <v>0</v>
      </c>
      <c r="DE42" s="37">
        <f t="shared" si="167"/>
        <v>0</v>
      </c>
    </row>
    <row r="43" ht="24.75" customHeight="1">
      <c r="A43" s="30" t="s">
        <v>242</v>
      </c>
      <c r="B43" s="30" t="s">
        <v>247</v>
      </c>
      <c r="C43" s="21"/>
      <c r="D43" s="22">
        <f t="shared" si="4"/>
        <v>0</v>
      </c>
      <c r="E43" s="22">
        <f t="shared" si="5"/>
        <v>0</v>
      </c>
      <c r="F43" s="22">
        <f t="shared" si="6"/>
        <v>0</v>
      </c>
      <c r="G43" s="22">
        <f>IF(C43&lt;&gt;"",
    COUNTIFS(MATCH_INPUT!$K$2:$K$5,C43),
0)</f>
        <v>0</v>
      </c>
      <c r="H43" s="22">
        <f>IF(C43&lt;&gt;"",
    COUNTIFS(MATCH_INPUT!$F$2:$F$5, C43, MATCH_INPUT!$K$2:$K$5, "Draw") +
    COUNTIFS(MATCH_INPUT!$J$2:$J$5, C43, MATCH_INPUT!$K$2:$K$5, "Draw"),
0)</f>
        <v>0</v>
      </c>
      <c r="I43" s="22">
        <f>IF(C43&lt;&gt;"",
    COUNTIFS(MATCH_INPUT!$F$2:$F$5, C43, MATCH_INPUT!$K$2:$K$5, "&lt;&gt;"&amp;C43, MATCH_INPUT!$K$2:$K$5, "&lt;&gt;Draw", MATCH_INPUT!$K$2:$K$5, "&lt;&gt;""") +
    COUNTIFS(MATCH_INPUT!$J$2:$J$5, C43, MATCH_INPUT!$K$2:$K$5, "&lt;&gt;"&amp;C43, MATCH_INPUT!$K$2:$K$5, "&lt;&gt;Draw", MATCH_INPUT!$K$2:$K$5, "&lt;&gt;"""),
0)</f>
        <v>0</v>
      </c>
      <c r="J43" s="23" t="str">
        <f t="array" ref="J43">IFERROR(
  INDEX(PLAYER_STAT!E$2:E64, 
    MATCH(1, 
      (PLAYER_STAT!A$2:A64 = MATCH_DATES!$A$2) * (PLAYER_STAT!D$2:D64 = $B43), 
    0)
  ), 
  ""
)
</f>
        <v/>
      </c>
      <c r="K43" s="23" t="str">
        <f t="array" ref="K43">IFERROR(
  INDEX(PLAYER_STAT!F$2:F64, 
    MATCH(1, 
      (PLAYER_STAT!A$2:A64 = MATCH_DATES!$A$2) * (PLAYER_STAT!D$2:D64 = $B43), 
    0)
  ), 
  ""
)
</f>
        <v/>
      </c>
      <c r="L43" s="24" t="str">
        <f t="array" ref="L43">IFERROR(
  INDEX(PLAYER_STAT!G$2:G64, 
    MATCH(1, 
      (PLAYER_STAT!A$2:A64 = MATCH_DATES!$A$2) * (PLAYER_STAT!D$2:D64 = $B43), 
    0)
  ), 
  ""
)
</f>
        <v/>
      </c>
      <c r="M43" s="25">
        <f t="shared" si="151"/>
        <v>6</v>
      </c>
      <c r="N43" s="26" t="str">
        <f t="shared" si="8"/>
        <v>↓</v>
      </c>
      <c r="O43" s="27"/>
      <c r="P43" s="28">
        <f t="shared" si="9"/>
        <v>0</v>
      </c>
      <c r="Q43" s="28">
        <f t="shared" si="10"/>
        <v>0</v>
      </c>
      <c r="R43" s="28">
        <f t="shared" si="11"/>
        <v>0</v>
      </c>
      <c r="S43" s="28">
        <f>IF(O43&lt;&gt;"",
    COUNTIFS(MATCH_INPUT!$K$6:$K$9,O43),
0)</f>
        <v>0</v>
      </c>
      <c r="T43" s="28">
        <f>IF(O43&lt;&gt;"",
    COUNTIFS(MATCH_INPUT!$F$6:$F$9, O43, MATCH_INPUT!$K$6:$K$9, "Draw") +
    COUNTIFS(MATCH_INPUT!$J$6:$J$9, O43, MATCH_INPUT!$K$6:$K$9, "Draw"),
0)</f>
        <v>0</v>
      </c>
      <c r="U43" s="28">
        <f>IF(O43&lt;&gt;"",
    COUNTIFS(MATCH_INPUT!$F$6:$F$9, O43, MATCH_INPUT!$K$6:$K$9, "&lt;&gt;"&amp;O43, MATCH_INPUT!$K$6:$K$9, "&lt;&gt;Draw", MATCH_INPUT!$K$6:$K$9, "&lt;&gt;""") +
    COUNTIFS(MATCH_INPUT!$J$6:$J$9, O43, MATCH_INPUT!$K$6:$K$9, "&lt;&gt;"&amp;O43, MATCH_INPUT!$K$6:$K$9, "&lt;&gt;Draw", MATCH_INPUT!$K$6:$K$9, "&lt;&gt;"""),
0)</f>
        <v>0</v>
      </c>
      <c r="V43" s="29" t="str">
        <f t="array" ref="V43">IFERROR(
  INDEX(PLAYER_STAT!E$2:E64, 
    MATCH(1, 
      (PLAYER_STAT!A$2:A64 = MATCH_DATES!$A$3) * (PLAYER_STAT!D$2:D64 = $B43), 
    0)
  ), 
  ""
)
</f>
        <v/>
      </c>
      <c r="W43" s="29" t="str">
        <f t="array" ref="W43">IFERROR(
  INDEX(PLAYER_STAT!F$2:F64, 
    MATCH(1, 
      (PLAYER_STAT!A$2:A64 = MATCH_DATES!$A$3) * (PLAYER_STAT!D$2:D64 = $B43), 
    0)
  ), 
  ""
)
</f>
        <v/>
      </c>
      <c r="X43" s="30" t="str">
        <f t="array" ref="X43">IFERROR(
  INDEX(PLAYER_STAT!G$2:G64, 
    MATCH(1, 
      (PLAYER_STAT!A$2:A64 = MATCH_DATES!$A$3) * (PLAYER_STAT!D$2:D64 = $B43), 
    0)
  ), 
  ""
)
</f>
        <v/>
      </c>
      <c r="Y43" s="31">
        <f t="shared" si="152"/>
        <v>7</v>
      </c>
      <c r="Z43" s="32" t="str">
        <f t="shared" si="13"/>
        <v>↓</v>
      </c>
      <c r="AA43" s="21"/>
      <c r="AB43" s="33">
        <f t="shared" si="14"/>
        <v>0</v>
      </c>
      <c r="AC43" s="22">
        <f t="shared" si="15"/>
        <v>0</v>
      </c>
      <c r="AD43" s="22">
        <f t="shared" si="16"/>
        <v>0</v>
      </c>
      <c r="AE43" s="22">
        <f>IF(AA43&lt;&gt;"",
    COUNTIFS(MATCH_INPUT!$K$10:$K$13,AA43),
0)</f>
        <v>0</v>
      </c>
      <c r="AF43" s="22">
        <f>IF(AA43&lt;&gt;"",
    COUNTIFS(MATCH_INPUT!$F$10:$F$13, AA43, MATCH_INPUT!$K$10:$K$13, "Draw") +
    COUNTIFS(MATCH_INPUT!$J$10:$J$13, AA43, MATCH_INPUT!$K$10:$K$13, "Draw"),
0)</f>
        <v>0</v>
      </c>
      <c r="AG43" s="22">
        <f>IF(AA43&lt;&gt;"",
    COUNTIFS(MATCH_INPUT!$F$10:$F$13, AA43, MATCH_INPUT!$K$10:$K$13, "&lt;&gt;"&amp;AA43, MATCH_INPUT!$K$10:$K$13, "&lt;&gt;Draw", MATCH_INPUT!$K$10:$K$13, "&lt;&gt;""") +
    COUNTIFS(MATCH_INPUT!$J$10:$J$13, AA43, MATCH_INPUT!$K$10:$K$13, "&lt;&gt;"&amp;AA43, MATCH_INPUT!$K$10:$K$13, "&lt;&gt;Draw", MATCH_INPUT!$K$10:$K$13, "&lt;&gt;"""),
0)</f>
        <v>0</v>
      </c>
      <c r="AH43" s="23" t="str">
        <f t="array" ref="AH43">IFERROR(
  INDEX(PLAYER_STAT!E$2:E64, 
    MATCH(1, 
      (PLAYER_STAT!A$2:A64 = MATCH_DATES!$A$4) * (PLAYER_STAT!D$2:D64 = $B43), 
    0)
  ), 
  ""
)
</f>
        <v/>
      </c>
      <c r="AI43" s="23" t="str">
        <f t="array" ref="AI43">IFERROR(
  INDEX(PLAYER_STAT!F$2:F64, 
    MATCH(1, 
      (PLAYER_STAT!A$2:A64 = MATCH_DATES!$A$4) * (PLAYER_STAT!D$2:D64 = $B43), 
    0)
  ), 
  ""
)
</f>
        <v/>
      </c>
      <c r="AJ43" s="34" t="str">
        <f t="array" ref="AJ43">IFERROR(
  INDEX(PLAYER_STAT!G$2:G64, 
    MATCH(1, 
      (PLAYER_STAT!A$2:A64 = MATCH_DATES!$A$4) * (PLAYER_STAT!D$2:D64 = $B43), 
    0)
  ), 
  ""
)
</f>
        <v/>
      </c>
      <c r="AK43" s="25">
        <f t="shared" si="153"/>
        <v>7</v>
      </c>
      <c r="AL43" s="26" t="str">
        <f t="shared" si="18"/>
        <v>=</v>
      </c>
      <c r="AM43" s="27" t="s">
        <v>213</v>
      </c>
      <c r="AN43" s="28">
        <f t="shared" si="19"/>
        <v>4</v>
      </c>
      <c r="AO43" s="28">
        <f t="shared" si="20"/>
        <v>2</v>
      </c>
      <c r="AP43" s="28">
        <f t="shared" si="21"/>
        <v>2</v>
      </c>
      <c r="AQ43" s="28">
        <f>IF(AM43&lt;&gt;"",
    COUNTIFS(MATCH_INPUT!$K$14:$K$17,AM43),
0)</f>
        <v>1</v>
      </c>
      <c r="AR43" s="28">
        <f>IF(AM43&lt;&gt;"",
    COUNTIFS(MATCH_INPUT!$F$14:$F$17, AM43, MATCH_INPUT!$K$14:$K$17, "Draw") +
    COUNTIFS(MATCH_INPUT!$J$14:$J$17, AM43, MATCH_INPUT!$K$14:$K$17, "Draw"),
0)</f>
        <v>0</v>
      </c>
      <c r="AS43" s="28">
        <f>IF(AM43&lt;&gt;"",
    COUNTIFS(MATCH_INPUT!$F$14:$F$17, AM43, MATCH_INPUT!$K$14:$K$17, "&lt;&gt;"&amp;AM43, MATCH_INPUT!$K$14:$K$17, "&lt;&gt;Draw", MATCH_INPUT!$K$14:$K$17, "&lt;&gt;""") +
    COUNTIFS(MATCH_INPUT!$J$14:$J$17, AM43, MATCH_INPUT!$K$14:$K$17, "&lt;&gt;"&amp;AM43, MATCH_INPUT!$K$14:$K$17, "&lt;&gt;Draw", MATCH_INPUT!$K$14:$K$17, "&lt;&gt;"""),
0)</f>
        <v>1</v>
      </c>
      <c r="AT43" s="29" t="str">
        <f t="array" ref="AT43">IFERROR(
  INDEX(PLAYER_STAT!E$2:E64, 
    MATCH(1, 
      (PLAYER_STAT!A$2:A64 = MATCH_DATES!$A$5) * (PLAYER_STAT!D$2:D64 = $B43), 
    0)
  ), 
  ""
)
</f>
        <v/>
      </c>
      <c r="AU43" s="29" t="str">
        <f t="array" ref="AU43">IFERROR(
  INDEX(PLAYER_STAT!F$2:F64, 
    MATCH(1, 
      (PLAYER_STAT!A$2:A64 = MATCH_DATES!$A$5) * (PLAYER_STAT!D$2:D64 = $B43), 
    0)
  ), 
  ""
)
</f>
        <v/>
      </c>
      <c r="AV43" s="30" t="str">
        <f t="array" ref="AV43">IFERROR(
  INDEX(PLAYER_STAT!G$2:G64, 
    MATCH(1, 
      (PLAYER_STAT!A$2:A64 = MATCH_DATES!$A$5) * (PLAYER_STAT!D$2:D64 = $B43), 
    0)
  ), 
  ""
)
</f>
        <v/>
      </c>
      <c r="AW43" s="31">
        <f t="shared" si="154"/>
        <v>5</v>
      </c>
      <c r="AX43" s="32" t="str">
        <f t="shared" si="23"/>
        <v>↑</v>
      </c>
      <c r="AY43" s="21"/>
      <c r="AZ43" s="33">
        <f t="shared" si="24"/>
        <v>4</v>
      </c>
      <c r="BA43" s="22">
        <f t="shared" si="25"/>
        <v>0</v>
      </c>
      <c r="BB43" s="22">
        <f>SUM(BC43*2) + (BD43*1) + SUMIFS(MATCH_INPUT!$G$18:$G$21, MATCH_INPUT!$F$18:$F$21, AY43) + SUMIFS(MATCH_INPUT!$I$18:$I$21, MATCH_INPUT!$J$18:$J$21, AY43)
</f>
        <v>0</v>
      </c>
      <c r="BC43" s="22">
        <f>IF(AY43&lt;&gt;"",
    COUNTIFS(MATCH_INPUT!$K$18:$K$21,AY43),
0)</f>
        <v>0</v>
      </c>
      <c r="BD43" s="22">
        <f>IF(AY43&lt;&gt;"",
    COUNTIFS(MATCH_INPUT!$F$18:$F$21, AY43, MATCH_INPUT!$K$18:$K$21, "Draw") +
    COUNTIFS(MATCH_INPUT!$J$18:$J$21, AY43, MATCH_INPUT!$K$18:$K$21, "Draw"),
0)</f>
        <v>0</v>
      </c>
      <c r="BE43" s="22">
        <f>IF(AY43&lt;&gt;"",
    COUNTIFS(MATCH_INPUT!$F$18:$F$21, AY43, MATCH_INPUT!$K$18:$K$21, "&lt;&gt;"&amp;AY43, MATCH_INPUT!$K$18:$K$21, "&lt;&gt;Draw", MATCH_INPUT!$K$18:$K$21, "&lt;&gt;""") +
    COUNTIFS(MATCH_INPUT!$J$18:$J$21, AY43, MATCH_INPUT!$K$18:$K$21, "&lt;&gt;"&amp;AY43, MATCH_INPUT!$K$18:$K$21, "&lt;&gt;Draw", MATCH_INPUT!$K$18:$K$21, "&lt;&gt;"""),
0)</f>
        <v>0</v>
      </c>
      <c r="BF43" s="23" t="str">
        <f t="array" ref="BF43">IFERROR(
  INDEX(PLAYER_STAT!E$2:E64, 
    MATCH(1, 
      (PLAYER_STAT!A$2:A64 = MATCH_DATES!$A$6) * (PLAYER_STAT!D$2:D64 = $B43), 
    0)
  ), 
  ""
)
</f>
        <v/>
      </c>
      <c r="BG43" s="23" t="str">
        <f t="array" ref="BG43">IFERROR(
  INDEX(PLAYER_STAT!F$2:F64, 
    MATCH(1, 
      (PLAYER_STAT!A$2:A64 = MATCH_DATES!$A$6) * (PLAYER_STAT!D$2:D64 = $B43), 
    0)
  ), 
  ""
)
</f>
        <v/>
      </c>
      <c r="BH43" s="34" t="str">
        <f t="array" ref="BH43">IFERROR(
  INDEX(PLAYER_STAT!G$2:G64, 
    MATCH(1, 
      (PLAYER_STAT!A$2:A64 = MATCH_DATES!$A$6) * (PLAYER_STAT!D$2:D64 = $B43), 
    0)
  ), 
  ""
)
</f>
        <v/>
      </c>
      <c r="BI43" s="25">
        <f t="shared" si="155"/>
        <v>8</v>
      </c>
      <c r="BJ43" s="26" t="str">
        <f t="shared" si="27"/>
        <v>↓</v>
      </c>
      <c r="BK43" s="27" t="s">
        <v>213</v>
      </c>
      <c r="BL43" s="28">
        <f t="shared" si="28"/>
        <v>8</v>
      </c>
      <c r="BM43" s="28">
        <f t="shared" si="29"/>
        <v>2</v>
      </c>
      <c r="BN43" s="28">
        <f>SUM(BO43*2) + (BP43*1) + SUMIFS(MATCH_INPUT!$G$22:$G$25, MATCH_INPUT!$F$22:$F$25, BK43) + SUMIFS(MATCH_INPUT!$I$22:$I$25, MATCH_INPUT!$J$22:$J$25, BK43)
</f>
        <v>2</v>
      </c>
      <c r="BO43" s="28">
        <f>IF(BK43&lt;&gt;"",
    COUNTIFS(MATCH_INPUT!$K$22:$K$25,BK43),
0)</f>
        <v>0</v>
      </c>
      <c r="BP43" s="28">
        <f>IF(BK43&lt;&gt;"",
    COUNTIFS(MATCH_INPUT!$F$22:$F$25, BK43, MATCH_INPUT!$K$22:$K$25, "Draw") +
    COUNTIFS(MATCH_INPUT!$J$22:$J$25, BK43, MATCH_INPUT!$K$22:$K$25, "Draw"),
0)</f>
        <v>1</v>
      </c>
      <c r="BQ43" s="28">
        <f>IF(BK43&lt;&gt;"",
    COUNTIFS(MATCH_INPUT!$F$22:$F$25, BK43, MATCH_INPUT!$K$22:$K$25, "&lt;&gt;"&amp;BK43, MATCH_INPUT!$K$22:$K$25, "&lt;&gt;Draw", MATCH_INPUT!$K$22:$K$25, "&lt;&gt;""") +
    COUNTIFS(MATCH_INPUT!$J$22:$J$25, BK43, MATCH_INPUT!$K$22:$K$25, "&lt;&gt;"&amp;BK43, MATCH_INPUT!$K$22:$K$25, "&lt;&gt;Draw", MATCH_INPUT!$K$22:$K$25, "&lt;&gt;"""),
0)</f>
        <v>1</v>
      </c>
      <c r="BR43" s="29" t="str">
        <f t="array" ref="BR43">IFERROR(
  INDEX(PLAYER_STAT!E$2:E64, 
    MATCH(1, 
      (PLAYER_STAT!A$2:A64 = MATCH_DATES!$A$7) * (PLAYER_STAT!D$2:D64 = $B43), 
    0)
  ), 
  ""
)
</f>
        <v/>
      </c>
      <c r="BS43" s="29" t="str">
        <f t="array" ref="BS43">IFERROR(
  INDEX(PLAYER_STAT!F$2:F64, 
    MATCH(1, 
      (PLAYER_STAT!A$2:A64 = MATCH_DATES!$A$7) * (PLAYER_STAT!D$2:D64 = $B43), 
    0)
  ), 
  ""
)
</f>
        <v/>
      </c>
      <c r="BT43" s="30" t="str">
        <f t="array" ref="BT43">IFERROR(
  INDEX(PLAYER_STAT!G$2:G64, 
    MATCH(1, 
      (PLAYER_STAT!A$2:A64 = MATCH_DATES!$A$7) * (PLAYER_STAT!D$2:D64 = $B43), 
    0)
  ), 
  ""
)
</f>
        <v/>
      </c>
      <c r="BU43" s="31">
        <f t="shared" si="156"/>
        <v>5</v>
      </c>
      <c r="BV43" s="32" t="str">
        <f t="shared" si="31"/>
        <v>↑</v>
      </c>
      <c r="BW43" s="21"/>
      <c r="BX43" s="33">
        <f t="shared" si="32"/>
        <v>8</v>
      </c>
      <c r="BY43" s="22">
        <f t="shared" si="33"/>
        <v>0</v>
      </c>
      <c r="BZ43" s="22">
        <f>SUM(CA43*2)+(CB43*1) + SUMIFS(MATCH_INPUT!$G$26:$G$29, MATCH_INPUT!$F$26:$F$29, BW43) + SUMIFS(MATCH_INPUT!$I$26:$I$29, MATCH_INPUT!$J$26:$J$29, BW43)
</f>
        <v>0</v>
      </c>
      <c r="CA43" s="22">
        <f>IF(BW43&lt;&gt;"",
    COUNTIFS(MATCH_INPUT!$K$26:$K$29,BW43),
0)</f>
        <v>0</v>
      </c>
      <c r="CB43" s="22">
        <f>IF(BW43&lt;&gt;"",
    COUNTIFS(MATCH_INPUT!$F$26:$F$29, BW43, MATCH_INPUT!$K$26:$K$29, "Draw") +
    COUNTIFS(MATCH_INPUT!$J$26:$J$29, BW43, MATCH_INPUT!$K$26:$K$29, "Draw"),
0)</f>
        <v>0</v>
      </c>
      <c r="CC43" s="22">
        <f>IF(BW43&lt;&gt;"",
    COUNTIFS(MATCH_INPUT!$F$26:$F$29, BW43, MATCH_INPUT!$K$26:$K$29, "&lt;&gt;"&amp;BW43, MATCH_INPUT!$K$26:$K$29, "&lt;&gt;Draw", MATCH_INPUT!$K$26:$K$29, "&lt;&gt;""") +
    COUNTIFS(MATCH_INPUT!$J$26:$J$29, BW43, MATCH_INPUT!$K$26:$K$29, "&lt;&gt;"&amp;BW43, MATCH_INPUT!$K$26:$K$29, "&lt;&gt;Draw", MATCH_INPUT!$K$26:$K$29, "&lt;&gt;"""),
0)</f>
        <v>0</v>
      </c>
      <c r="CD43" s="23" t="str">
        <f t="array" ref="CD43">IFERROR(
  INDEX(PLAYER_STAT!E$2:E64, 
    MATCH(1, 
      (PLAYER_STAT!A$2:A64 = MATCH_DATES!$A$8) * (PLAYER_STAT!D$2:D64 = $B43), 
    0)
  ), 
  ""
)
</f>
        <v/>
      </c>
      <c r="CE43" s="23" t="str">
        <f t="array" ref="CE43">IFERROR(
  INDEX(PLAYER_STAT!F$2:F64, 
    MATCH(1, 
      (PLAYER_STAT!A$2:A64 = MATCH_DATES!$A$8) * (PLAYER_STAT!D$2:D64 = $B43), 
    0)
  ), 
  ""
)
</f>
        <v/>
      </c>
      <c r="CF43" s="34" t="str">
        <f t="array" ref="CF43">IFERROR(
  INDEX(PLAYER_STAT!G$2:G64, 
    MATCH(1, 
      (PLAYER_STAT!A$2:A64 = MATCH_DATES!$A$8) * (PLAYER_STAT!D$2:D64 = $B43), 
    0)
  ), 
  ""
)
</f>
        <v/>
      </c>
      <c r="CG43" s="25">
        <f t="shared" si="157"/>
        <v>6</v>
      </c>
      <c r="CH43" s="26" t="str">
        <f t="shared" si="35"/>
        <v>↓</v>
      </c>
      <c r="CI43" s="27"/>
      <c r="CJ43" s="28">
        <f t="shared" si="36"/>
        <v>8</v>
      </c>
      <c r="CK43" s="28">
        <f t="shared" si="37"/>
        <v>0</v>
      </c>
      <c r="CL43" s="28">
        <f>SUM(CM43*2)+(CN43*1) + SUMIFS(MATCH_INPUT!$G$30:$G$33, MATCH_INPUT!$F$30:$F$33, CI43) + SUMIFS(MATCH_INPUT!$I$30:$I$33, MATCH_INPUT!$J$30:$J$33, CI43)
</f>
        <v>0</v>
      </c>
      <c r="CM43" s="28">
        <f>IF(CI43&lt;&gt;"",
    COUNTIFS(MATCH_INPUT!$K$30:$K$33,CI43),
0)</f>
        <v>0</v>
      </c>
      <c r="CN43" s="28">
        <f>IF(CI43&lt;&gt;"",
    COUNTIFS(MATCH_INPUT!$F$30:$F$33, CI43, MATCH_INPUT!$K$30:$K$33, "Draw") +
    COUNTIFS(MATCH_INPUT!$J$30:$J$33, CI43, MATCH_INPUT!$K$30:$K$33, "Draw"),
0)</f>
        <v>0</v>
      </c>
      <c r="CO43" s="28">
        <f>IF(CI43&lt;&gt;"",
    COUNTIFS(MATCH_INPUT!$F$30:$F$33, CI43, MATCH_INPUT!$K$30:$K$33, "&lt;&gt;"&amp;CI43, MATCH_INPUT!$K$30:$K$33, "&lt;&gt;Draw", MATCH_INPUT!$K$30:$K$33, "&lt;&gt;""") +
    COUNTIFS(MATCH_INPUT!$J$30:$J$33, CI43, MATCH_INPUT!$K$30:$K$33, "&lt;&gt;"&amp;CI43, MATCH_INPUT!$K$30:$K$33, "&lt;&gt;Draw", MATCH_INPUT!$K$30:$K$33, "&lt;&gt;"""),
0)</f>
        <v>0</v>
      </c>
      <c r="CP43" s="29" t="str">
        <f t="array" ref="CP43">IFERROR(
  INDEX(PLAYER_STAT!E$2:E64, 
    MATCH(1, 
      (PLAYER_STAT!A$2:A64 = MATCH_DATES!$A$9) * (PLAYER_STAT!D$2:D64 = $B43), 
    0)
  ), 
  ""
)
</f>
        <v/>
      </c>
      <c r="CQ43" s="29" t="str">
        <f t="array" ref="CQ43">IFERROR(
  INDEX(PLAYER_STAT!F$2:F64, 
    MATCH(1, 
      (PLAYER_STAT!A$2:A64 = MATCH_DATES!$A$9) * (PLAYER_STAT!D$2:D64 = $B43), 
    0)
  ), 
  ""
)
</f>
        <v/>
      </c>
      <c r="CR43" s="30" t="str">
        <f t="array" ref="CR43">IFERROR(
  INDEX(PLAYER_STAT!G$2:G64, 
    MATCH(1, 
      (PLAYER_STAT!A$2:A64 = MATCH_DATES!$A$9) * (PLAYER_STAT!D$2:D64 = $B43), 
    0)
  ), 
  ""
)
</f>
        <v/>
      </c>
      <c r="CS43" s="35">
        <f t="shared" si="158"/>
        <v>7</v>
      </c>
      <c r="CT43" s="35" t="str">
        <f t="shared" si="39"/>
        <v>↓</v>
      </c>
      <c r="CU43" s="36">
        <f t="shared" si="40"/>
        <v>4</v>
      </c>
      <c r="CV43" s="36" t="str">
        <f t="shared" ref="CV43:CW43" si="168">A43</f>
        <v>🛗</v>
      </c>
      <c r="CW43" s="37" t="str">
        <f t="shared" si="168"/>
        <v>(Sub)  👬 Joseph</v>
      </c>
      <c r="CX43" s="37">
        <f t="shared" si="42"/>
        <v>8</v>
      </c>
      <c r="CY43" s="36">
        <f>SUM(
  IF(AND(MATCH_DATES!$A$2 &lt;= TODAY(), NOW() &gt;= MATCH_DATES!$A$2 + TIME(22, 0, 0)), E43, 0),
  IF(AND(MATCH_DATES!$A$3 &lt;= TODAY(), NOW() &gt;= MATCH_DATES!$A$3 + TIME(22, 0, 0)), Q43, 0),
  IF(AND(MATCH_DATES!$A$4 &lt;= TODAY(), NOW() &gt;= MATCH_DATES!$A$4 + TIME(22, 0, 0)), AC43, 0),
  IF(AND(MATCH_DATES!$A$5 &lt;= TODAY(), NOW() &gt;= MATCH_DATES!$A$5 + TIME(22, 0, 0)), AO43, 0),
  IF(AND(MATCH_DATES!$A$6 &lt;= TODAY(), NOW() &gt;= MATCH_DATES!$A$6 + TIME(22, 0, 0)), BA43, 0),
  IF(AND(MATCH_DATES!$A$7 &lt;= TODAY(), NOW() &gt;= MATCH_DATES!$A$7 + TIME(22, 0, 0)), BM43, 0),
  IF(AND(MATCH_DATES!$A$8 &lt;= TODAY(), NOW() &gt;= MATCH_DATES!$A$8 + TIME(22, 0, 0)), BY43, 0),
  IF(AND(MATCH_DATES!$A$9 &lt;= TODAY(), NOW() &gt;= MATCH_DATES!$A$9 + TIME(22, 0, 0)), CK43, 0)
)
</f>
        <v>4</v>
      </c>
      <c r="CZ43" s="37">
        <f t="shared" ref="CZ43:DA43" si="169">SUM(G43,S43,AE43,AQ43,BC43,BO43,CA43,CM43)</f>
        <v>1</v>
      </c>
      <c r="DA43" s="37">
        <f t="shared" si="169"/>
        <v>1</v>
      </c>
      <c r="DB43" s="37">
        <f>SUM(
  IF(AND(MATCH_DATES!$A$2 &lt;= TODAY(), NOW() &gt;= MATCH_DATES!$A$2 + TIME(22, 0, 0)), I43, 0),
  IF(AND(MATCH_DATES!$A$3 &lt;= TODAY(), NOW() &gt;= MATCH_DATES!$A$3 + TIME(22, 0, 0)), U43, 0),
  IF(AND(MATCH_DATES!$A$4 &lt;= TODAY(), NOW() &gt;= MATCH_DATES!$A$4 + TIME(22, 0, 0)), AG43, 0),
  IF(AND(MATCH_DATES!$A$5 &lt;= TODAY(), NOW() &gt;= MATCH_DATES!$A$5 + TIME(22, 0, 0)), AS43, 0),
  IF(AND(MATCH_DATES!$A$6 &lt;= TODAY(), NOW() &gt;= MATCH_DATES!$A$6 + TIME(22, 0, 0)), BE43, 0),
  IF(AND(MATCH_DATES!$A$7 &lt;= TODAY(), NOW() &gt;= MATCH_DATES!$A$7 + TIME(22, 0, 0)), BQ43, 0),
  IF(AND(MATCH_DATES!$A$8 &lt;= TODAY(), NOW() &gt;= MATCH_DATES!$A$8 + TIME(22, 0, 0)), CC43, 0),
  IF(AND(MATCH_DATES!$A$9 &lt;= TODAY(), NOW() &gt;= MATCH_DATES!$A$9 + TIME(22, 0, 0)), CO43, 0)
)</f>
        <v>2</v>
      </c>
      <c r="DC43" s="37">
        <f t="shared" si="44"/>
        <v>0</v>
      </c>
      <c r="DD43" s="37">
        <f t="shared" ref="DD43:DE43" si="170">SUM(K43,W43,AI43,AU43,BG43,BS43,CE43,CQ43)</f>
        <v>0</v>
      </c>
      <c r="DE43" s="37">
        <f t="shared" si="170"/>
        <v>0</v>
      </c>
    </row>
    <row r="44" ht="24.75" customHeight="1">
      <c r="A44" s="30" t="s">
        <v>242</v>
      </c>
      <c r="B44" s="30" t="s">
        <v>248</v>
      </c>
      <c r="C44" s="21" t="s">
        <v>215</v>
      </c>
      <c r="D44" s="22">
        <f t="shared" si="4"/>
        <v>2</v>
      </c>
      <c r="E44" s="22">
        <f t="shared" si="5"/>
        <v>2</v>
      </c>
      <c r="F44" s="22">
        <f t="shared" si="6"/>
        <v>0</v>
      </c>
      <c r="G44" s="22">
        <f>IF(C44&lt;&gt;"",
    COUNTIFS(MATCH_INPUT!$K$2:$K$5,C44),
0)</f>
        <v>0</v>
      </c>
      <c r="H44" s="22">
        <f>IF(C44&lt;&gt;"",
    COUNTIFS(MATCH_INPUT!$F$2:$F$5, C44, MATCH_INPUT!$K$2:$K$5, "Draw") +
    COUNTIFS(MATCH_INPUT!$J$2:$J$5, C44, MATCH_INPUT!$K$2:$K$5, "Draw"),
0)</f>
        <v>0</v>
      </c>
      <c r="I44" s="22">
        <f>IF(C44&lt;&gt;"",
    COUNTIFS(MATCH_INPUT!$F$2:$F$5, C44, MATCH_INPUT!$K$2:$K$5, "&lt;&gt;"&amp;C44, MATCH_INPUT!$K$2:$K$5, "&lt;&gt;Draw", MATCH_INPUT!$K$2:$K$5, "&lt;&gt;""") +
    COUNTIFS(MATCH_INPUT!$J$2:$J$5, C44, MATCH_INPUT!$K$2:$K$5, "&lt;&gt;"&amp;C44, MATCH_INPUT!$K$2:$K$5, "&lt;&gt;Draw", MATCH_INPUT!$K$2:$K$5, "&lt;&gt;"""),
0)</f>
        <v>2</v>
      </c>
      <c r="J44" s="23" t="str">
        <f t="array" ref="J44">IFERROR(
  INDEX(PLAYER_STAT!E$2:E64, 
    MATCH(1, 
      (PLAYER_STAT!A$2:A64 = MATCH_DATES!$A$2) * (PLAYER_STAT!D$2:D64 = $B44), 
    0)
  ), 
  ""
)
</f>
        <v/>
      </c>
      <c r="K44" s="23" t="str">
        <f t="array" ref="K44">IFERROR(
  INDEX(PLAYER_STAT!F$2:F64, 
    MATCH(1, 
      (PLAYER_STAT!A$2:A64 = MATCH_DATES!$A$2) * (PLAYER_STAT!D$2:D64 = $B44), 
    0)
  ), 
  ""
)
</f>
        <v/>
      </c>
      <c r="L44" s="24" t="str">
        <f t="array" ref="L44">IFERROR(
  INDEX(PLAYER_STAT!G$2:G64, 
    MATCH(1, 
      (PLAYER_STAT!A$2:A64 = MATCH_DATES!$A$2) * (PLAYER_STAT!D$2:D64 = $B44), 
    0)
  ), 
  ""
)
</f>
        <v/>
      </c>
      <c r="M44" s="25">
        <f t="shared" si="151"/>
        <v>4</v>
      </c>
      <c r="N44" s="26" t="str">
        <f t="shared" si="8"/>
        <v>↓</v>
      </c>
      <c r="O44" s="27"/>
      <c r="P44" s="28">
        <f t="shared" si="9"/>
        <v>2</v>
      </c>
      <c r="Q44" s="28">
        <f t="shared" si="10"/>
        <v>0</v>
      </c>
      <c r="R44" s="28">
        <f t="shared" si="11"/>
        <v>0</v>
      </c>
      <c r="S44" s="28">
        <f>IF(O44&lt;&gt;"",
    COUNTIFS(MATCH_INPUT!$K$6:$K$9,O44),
0)</f>
        <v>0</v>
      </c>
      <c r="T44" s="28">
        <f>IF(O44&lt;&gt;"",
    COUNTIFS(MATCH_INPUT!$F$6:$F$9, O44, MATCH_INPUT!$K$6:$K$9, "Draw") +
    COUNTIFS(MATCH_INPUT!$J$6:$J$9, O44, MATCH_INPUT!$K$6:$K$9, "Draw"),
0)</f>
        <v>0</v>
      </c>
      <c r="U44" s="28">
        <f>IF(O44&lt;&gt;"",
    COUNTIFS(MATCH_INPUT!$F$6:$F$9, O44, MATCH_INPUT!$K$6:$K$9, "&lt;&gt;"&amp;O44, MATCH_INPUT!$K$6:$K$9, "&lt;&gt;Draw", MATCH_INPUT!$K$6:$K$9, "&lt;&gt;""") +
    COUNTIFS(MATCH_INPUT!$J$6:$J$9, O44, MATCH_INPUT!$K$6:$K$9, "&lt;&gt;"&amp;O44, MATCH_INPUT!$K$6:$K$9, "&lt;&gt;Draw", MATCH_INPUT!$K$6:$K$9, "&lt;&gt;"""),
0)</f>
        <v>0</v>
      </c>
      <c r="V44" s="29" t="str">
        <f t="array" ref="V44">IFERROR(
  INDEX(PLAYER_STAT!E$2:E64, 
    MATCH(1, 
      (PLAYER_STAT!A$2:A64 = MATCH_DATES!$A$3) * (PLAYER_STAT!D$2:D64 = $B44), 
    0)
  ), 
  ""
)
</f>
        <v/>
      </c>
      <c r="W44" s="29" t="str">
        <f t="array" ref="W44">IFERROR(
  INDEX(PLAYER_STAT!F$2:F64, 
    MATCH(1, 
      (PLAYER_STAT!A$2:A64 = MATCH_DATES!$A$3) * (PLAYER_STAT!D$2:D64 = $B44), 
    0)
  ), 
  ""
)
</f>
        <v/>
      </c>
      <c r="X44" s="30" t="str">
        <f t="array" ref="X44">IFERROR(
  INDEX(PLAYER_STAT!G$2:G64, 
    MATCH(1, 
      (PLAYER_STAT!A$2:A64 = MATCH_DATES!$A$3) * (PLAYER_STAT!D$2:D64 = $B44), 
    0)
  ), 
  ""
)
</f>
        <v/>
      </c>
      <c r="Y44" s="31">
        <f t="shared" si="152"/>
        <v>5</v>
      </c>
      <c r="Z44" s="32" t="str">
        <f t="shared" si="13"/>
        <v>↓</v>
      </c>
      <c r="AA44" s="21" t="s">
        <v>214</v>
      </c>
      <c r="AB44" s="33">
        <f t="shared" si="14"/>
        <v>6</v>
      </c>
      <c r="AC44" s="22">
        <f t="shared" si="15"/>
        <v>2</v>
      </c>
      <c r="AD44" s="22">
        <f t="shared" si="16"/>
        <v>2</v>
      </c>
      <c r="AE44" s="22">
        <f>IF(AA44&lt;&gt;"",
    COUNTIFS(MATCH_INPUT!$K$10:$K$13,AA44),
0)</f>
        <v>1</v>
      </c>
      <c r="AF44" s="22">
        <f>IF(AA44&lt;&gt;"",
    COUNTIFS(MATCH_INPUT!$F$10:$F$13, AA44, MATCH_INPUT!$K$10:$K$13, "Draw") +
    COUNTIFS(MATCH_INPUT!$J$10:$J$13, AA44, MATCH_INPUT!$K$10:$K$13, "Draw"),
0)</f>
        <v>0</v>
      </c>
      <c r="AG44" s="22">
        <f>IF(AA44&lt;&gt;"",
    COUNTIFS(MATCH_INPUT!$F$10:$F$13, AA44, MATCH_INPUT!$K$10:$K$13, "&lt;&gt;"&amp;AA44, MATCH_INPUT!$K$10:$K$13, "&lt;&gt;Draw", MATCH_INPUT!$K$10:$K$13, "&lt;&gt;""") +
    COUNTIFS(MATCH_INPUT!$J$10:$J$13, AA44, MATCH_INPUT!$K$10:$K$13, "&lt;&gt;"&amp;AA44, MATCH_INPUT!$K$10:$K$13, "&lt;&gt;Draw", MATCH_INPUT!$K$10:$K$13, "&lt;&gt;"""),
0)</f>
        <v>1</v>
      </c>
      <c r="AH44" s="23" t="str">
        <f t="array" ref="AH44">IFERROR(
  INDEX(PLAYER_STAT!E$2:E64, 
    MATCH(1, 
      (PLAYER_STAT!A$2:A64 = MATCH_DATES!$A$4) * (PLAYER_STAT!D$2:D64 = $B44), 
    0)
  ), 
  ""
)
</f>
        <v/>
      </c>
      <c r="AI44" s="23" t="str">
        <f t="array" ref="AI44">IFERROR(
  INDEX(PLAYER_STAT!F$2:F64, 
    MATCH(1, 
      (PLAYER_STAT!A$2:A64 = MATCH_DATES!$A$4) * (PLAYER_STAT!D$2:D64 = $B44), 
    0)
  ), 
  ""
)
</f>
        <v/>
      </c>
      <c r="AJ44" s="34" t="str">
        <f t="array" ref="AJ44">IFERROR(
  INDEX(PLAYER_STAT!G$2:G64, 
    MATCH(1, 
      (PLAYER_STAT!A$2:A64 = MATCH_DATES!$A$4) * (PLAYER_STAT!D$2:D64 = $B44), 
    0)
  ), 
  ""
)
</f>
        <v/>
      </c>
      <c r="AK44" s="25">
        <f t="shared" si="153"/>
        <v>2</v>
      </c>
      <c r="AL44" s="26" t="str">
        <f t="shared" si="18"/>
        <v>↑</v>
      </c>
      <c r="AM44" s="27"/>
      <c r="AN44" s="28">
        <f t="shared" si="19"/>
        <v>6</v>
      </c>
      <c r="AO44" s="28">
        <f t="shared" si="20"/>
        <v>0</v>
      </c>
      <c r="AP44" s="28">
        <f t="shared" si="21"/>
        <v>0</v>
      </c>
      <c r="AQ44" s="28">
        <f>IF(AM44&lt;&gt;"",
    COUNTIFS(MATCH_INPUT!$K$14:$K$17,AM44),
0)</f>
        <v>0</v>
      </c>
      <c r="AR44" s="28">
        <f>IF(AM44&lt;&gt;"",
    COUNTIFS(MATCH_INPUT!$F$14:$F$17, AM44, MATCH_INPUT!$K$14:$K$17, "Draw") +
    COUNTIFS(MATCH_INPUT!$J$14:$J$17, AM44, MATCH_INPUT!$K$14:$K$17, "Draw"),
0)</f>
        <v>0</v>
      </c>
      <c r="AS44" s="28">
        <f>IF(AM44&lt;&gt;"",
    COUNTIFS(MATCH_INPUT!$F$14:$F$17, AM44, MATCH_INPUT!$K$14:$K$17, "&lt;&gt;"&amp;AM44, MATCH_INPUT!$K$14:$K$17, "&lt;&gt;Draw", MATCH_INPUT!$K$14:$K$17, "&lt;&gt;""") +
    COUNTIFS(MATCH_INPUT!$J$14:$J$17, AM44, MATCH_INPUT!$K$14:$K$17, "&lt;&gt;"&amp;AM44, MATCH_INPUT!$K$14:$K$17, "&lt;&gt;Draw", MATCH_INPUT!$K$14:$K$17, "&lt;&gt;"""),
0)</f>
        <v>0</v>
      </c>
      <c r="AT44" s="29" t="str">
        <f t="array" ref="AT44">IFERROR(
  INDEX(PLAYER_STAT!E$2:E64, 
    MATCH(1, 
      (PLAYER_STAT!A$2:A64 = MATCH_DATES!$A$5) * (PLAYER_STAT!D$2:D64 = $B44), 
    0)
  ), 
  ""
)
</f>
        <v/>
      </c>
      <c r="AU44" s="29" t="str">
        <f t="array" ref="AU44">IFERROR(
  INDEX(PLAYER_STAT!F$2:F64, 
    MATCH(1, 
      (PLAYER_STAT!A$2:A64 = MATCH_DATES!$A$5) * (PLAYER_STAT!D$2:D64 = $B44), 
    0)
  ), 
  ""
)
</f>
        <v/>
      </c>
      <c r="AV44" s="30" t="str">
        <f t="array" ref="AV44">IFERROR(
  INDEX(PLAYER_STAT!G$2:G64, 
    MATCH(1, 
      (PLAYER_STAT!A$2:A64 = MATCH_DATES!$A$5) * (PLAYER_STAT!D$2:D64 = $B44), 
    0)
  ), 
  ""
)
</f>
        <v/>
      </c>
      <c r="AW44" s="31">
        <f t="shared" si="154"/>
        <v>3</v>
      </c>
      <c r="AX44" s="32" t="str">
        <f t="shared" si="23"/>
        <v>↓</v>
      </c>
      <c r="AY44" s="21"/>
      <c r="AZ44" s="33">
        <f t="shared" si="24"/>
        <v>6</v>
      </c>
      <c r="BA44" s="22">
        <f t="shared" si="25"/>
        <v>0</v>
      </c>
      <c r="BB44" s="22">
        <f>SUM(BC44*2) + (BD44*1) + SUMIFS(MATCH_INPUT!$G$18:$G$21, MATCH_INPUT!$F$18:$F$21, AY44) + SUMIFS(MATCH_INPUT!$I$18:$I$21, MATCH_INPUT!$J$18:$J$21, AY44)
</f>
        <v>0</v>
      </c>
      <c r="BC44" s="22">
        <f>IF(AY44&lt;&gt;"",
    COUNTIFS(MATCH_INPUT!$K$18:$K$21,AY44),
0)</f>
        <v>0</v>
      </c>
      <c r="BD44" s="22">
        <f>IF(AY44&lt;&gt;"",
    COUNTIFS(MATCH_INPUT!$F$18:$F$21, AY44, MATCH_INPUT!$K$18:$K$21, "Draw") +
    COUNTIFS(MATCH_INPUT!$J$18:$J$21, AY44, MATCH_INPUT!$K$18:$K$21, "Draw"),
0)</f>
        <v>0</v>
      </c>
      <c r="BE44" s="22">
        <f>IF(AY44&lt;&gt;"",
    COUNTIFS(MATCH_INPUT!$F$18:$F$21, AY44, MATCH_INPUT!$K$18:$K$21, "&lt;&gt;"&amp;AY44, MATCH_INPUT!$K$18:$K$21, "&lt;&gt;Draw", MATCH_INPUT!$K$18:$K$21, "&lt;&gt;""") +
    COUNTIFS(MATCH_INPUT!$J$18:$J$21, AY44, MATCH_INPUT!$K$18:$K$21, "&lt;&gt;"&amp;AY44, MATCH_INPUT!$K$18:$K$21, "&lt;&gt;Draw", MATCH_INPUT!$K$18:$K$21, "&lt;&gt;"""),
0)</f>
        <v>0</v>
      </c>
      <c r="BF44" s="23" t="str">
        <f t="array" ref="BF44">IFERROR(
  INDEX(PLAYER_STAT!E$2:E64, 
    MATCH(1, 
      (PLAYER_STAT!A$2:A64 = MATCH_DATES!$A$6) * (PLAYER_STAT!D$2:D64 = $B44), 
    0)
  ), 
  ""
)
</f>
        <v/>
      </c>
      <c r="BG44" s="23" t="str">
        <f t="array" ref="BG44">IFERROR(
  INDEX(PLAYER_STAT!F$2:F64, 
    MATCH(1, 
      (PLAYER_STAT!A$2:A64 = MATCH_DATES!$A$6) * (PLAYER_STAT!D$2:D64 = $B44), 
    0)
  ), 
  ""
)
</f>
        <v/>
      </c>
      <c r="BH44" s="34" t="str">
        <f t="array" ref="BH44">IFERROR(
  INDEX(PLAYER_STAT!G$2:G64, 
    MATCH(1, 
      (PLAYER_STAT!A$2:A64 = MATCH_DATES!$A$6) * (PLAYER_STAT!D$2:D64 = $B44), 
    0)
  ), 
  ""
)
</f>
        <v/>
      </c>
      <c r="BI44" s="25">
        <f t="shared" si="155"/>
        <v>6</v>
      </c>
      <c r="BJ44" s="26" t="str">
        <f t="shared" si="27"/>
        <v>↓</v>
      </c>
      <c r="BK44" s="27"/>
      <c r="BL44" s="28">
        <f t="shared" si="28"/>
        <v>6</v>
      </c>
      <c r="BM44" s="28">
        <f t="shared" si="29"/>
        <v>0</v>
      </c>
      <c r="BN44" s="28">
        <f>SUM(BO44*2) + (BP44*1) + SUMIFS(MATCH_INPUT!$G$22:$G$25, MATCH_INPUT!$F$22:$F$25, BK44) + SUMIFS(MATCH_INPUT!$I$22:$I$25, MATCH_INPUT!$J$22:$J$25, BK44)
</f>
        <v>0</v>
      </c>
      <c r="BO44" s="28">
        <f>IF(BK44&lt;&gt;"",
    COUNTIFS(MATCH_INPUT!$K$22:$K$25,BK44),
0)</f>
        <v>0</v>
      </c>
      <c r="BP44" s="28">
        <f>IF(BK44&lt;&gt;"",
    COUNTIFS(MATCH_INPUT!$F$22:$F$25, BK44, MATCH_INPUT!$K$22:$K$25, "Draw") +
    COUNTIFS(MATCH_INPUT!$J$22:$J$25, BK44, MATCH_INPUT!$K$22:$K$25, "Draw"),
0)</f>
        <v>0</v>
      </c>
      <c r="BQ44" s="28">
        <f>IF(BK44&lt;&gt;"",
    COUNTIFS(MATCH_INPUT!$F$22:$F$25, BK44, MATCH_INPUT!$K$22:$K$25, "&lt;&gt;"&amp;BK44, MATCH_INPUT!$K$22:$K$25, "&lt;&gt;Draw", MATCH_INPUT!$K$22:$K$25, "&lt;&gt;""") +
    COUNTIFS(MATCH_INPUT!$J$22:$J$25, BK44, MATCH_INPUT!$K$22:$K$25, "&lt;&gt;"&amp;BK44, MATCH_INPUT!$K$22:$K$25, "&lt;&gt;Draw", MATCH_INPUT!$K$22:$K$25, "&lt;&gt;"""),
0)</f>
        <v>0</v>
      </c>
      <c r="BR44" s="29" t="str">
        <f t="array" ref="BR44">IFERROR(
  INDEX(PLAYER_STAT!E$2:E64, 
    MATCH(1, 
      (PLAYER_STAT!A$2:A64 = MATCH_DATES!$A$7) * (PLAYER_STAT!D$2:D64 = $B44), 
    0)
  ), 
  ""
)
</f>
        <v/>
      </c>
      <c r="BS44" s="29" t="str">
        <f t="array" ref="BS44">IFERROR(
  INDEX(PLAYER_STAT!F$2:F64, 
    MATCH(1, 
      (PLAYER_STAT!A$2:A64 = MATCH_DATES!$A$7) * (PLAYER_STAT!D$2:D64 = $B44), 
    0)
  ), 
  ""
)
</f>
        <v/>
      </c>
      <c r="BT44" s="30" t="str">
        <f t="array" ref="BT44">IFERROR(
  INDEX(PLAYER_STAT!G$2:G64, 
    MATCH(1, 
      (PLAYER_STAT!A$2:A64 = MATCH_DATES!$A$7) * (PLAYER_STAT!D$2:D64 = $B44), 
    0)
  ), 
  ""
)
</f>
        <v/>
      </c>
      <c r="BU44" s="31">
        <f t="shared" si="156"/>
        <v>7</v>
      </c>
      <c r="BV44" s="32" t="str">
        <f t="shared" si="31"/>
        <v>↓</v>
      </c>
      <c r="BW44" s="21"/>
      <c r="BX44" s="33">
        <f t="shared" si="32"/>
        <v>6</v>
      </c>
      <c r="BY44" s="22">
        <f t="shared" si="33"/>
        <v>0</v>
      </c>
      <c r="BZ44" s="22">
        <f>SUM(CA44*2)+(CB44*1) + SUMIFS(MATCH_INPUT!$G$26:$G$29, MATCH_INPUT!$F$26:$F$29, BW44) + SUMIFS(MATCH_INPUT!$I$26:$I$29, MATCH_INPUT!$J$26:$J$29, BW44)
</f>
        <v>0</v>
      </c>
      <c r="CA44" s="22">
        <f>IF(BW44&lt;&gt;"",
    COUNTIFS(MATCH_INPUT!$K$26:$K$29,BW44),
0)</f>
        <v>0</v>
      </c>
      <c r="CB44" s="22">
        <f>IF(BW44&lt;&gt;"",
    COUNTIFS(MATCH_INPUT!$F$26:$F$29, BW44, MATCH_INPUT!$K$26:$K$29, "Draw") +
    COUNTIFS(MATCH_INPUT!$J$26:$J$29, BW44, MATCH_INPUT!$K$26:$K$29, "Draw"),
0)</f>
        <v>0</v>
      </c>
      <c r="CC44" s="22">
        <f>IF(BW44&lt;&gt;"",
    COUNTIFS(MATCH_INPUT!$F$26:$F$29, BW44, MATCH_INPUT!$K$26:$K$29, "&lt;&gt;"&amp;BW44, MATCH_INPUT!$K$26:$K$29, "&lt;&gt;Draw", MATCH_INPUT!$K$26:$K$29, "&lt;&gt;""") +
    COUNTIFS(MATCH_INPUT!$J$26:$J$29, BW44, MATCH_INPUT!$K$26:$K$29, "&lt;&gt;"&amp;BW44, MATCH_INPUT!$K$26:$K$29, "&lt;&gt;Draw", MATCH_INPUT!$K$26:$K$29, "&lt;&gt;"""),
0)</f>
        <v>0</v>
      </c>
      <c r="CD44" s="23" t="str">
        <f t="array" ref="CD44">IFERROR(
  INDEX(PLAYER_STAT!E$2:E64, 
    MATCH(1, 
      (PLAYER_STAT!A$2:A64 = MATCH_DATES!$A$8) * (PLAYER_STAT!D$2:D64 = $B44), 
    0)
  ), 
  ""
)
</f>
        <v/>
      </c>
      <c r="CE44" s="23" t="str">
        <f t="array" ref="CE44">IFERROR(
  INDEX(PLAYER_STAT!F$2:F64, 
    MATCH(1, 
      (PLAYER_STAT!A$2:A64 = MATCH_DATES!$A$8) * (PLAYER_STAT!D$2:D64 = $B44), 
    0)
  ), 
  ""
)
</f>
        <v/>
      </c>
      <c r="CF44" s="34" t="str">
        <f t="array" ref="CF44">IFERROR(
  INDEX(PLAYER_STAT!G$2:G64, 
    MATCH(1, 
      (PLAYER_STAT!A$2:A64 = MATCH_DATES!$A$8) * (PLAYER_STAT!D$2:D64 = $B44), 
    0)
  ), 
  ""
)
</f>
        <v/>
      </c>
      <c r="CG44" s="25">
        <f t="shared" si="157"/>
        <v>9</v>
      </c>
      <c r="CH44" s="26" t="str">
        <f t="shared" si="35"/>
        <v>↓</v>
      </c>
      <c r="CI44" s="27"/>
      <c r="CJ44" s="28">
        <f t="shared" si="36"/>
        <v>6</v>
      </c>
      <c r="CK44" s="28">
        <f t="shared" si="37"/>
        <v>0</v>
      </c>
      <c r="CL44" s="28">
        <f>SUM(CM44*2)+(CN44*1) + SUMIFS(MATCH_INPUT!$G$30:$G$33, MATCH_INPUT!$F$30:$F$33, CI44) + SUMIFS(MATCH_INPUT!$I$30:$I$33, MATCH_INPUT!$J$30:$J$33, CI44)
</f>
        <v>0</v>
      </c>
      <c r="CM44" s="28">
        <f>IF(CI44&lt;&gt;"",
    COUNTIFS(MATCH_INPUT!$K$30:$K$33,CI44),
0)</f>
        <v>0</v>
      </c>
      <c r="CN44" s="28">
        <f>IF(CI44&lt;&gt;"",
    COUNTIFS(MATCH_INPUT!$F$30:$F$33, CI44, MATCH_INPUT!$K$30:$K$33, "Draw") +
    COUNTIFS(MATCH_INPUT!$J$30:$J$33, CI44, MATCH_INPUT!$K$30:$K$33, "Draw"),
0)</f>
        <v>0</v>
      </c>
      <c r="CO44" s="28">
        <f>IF(CI44&lt;&gt;"",
    COUNTIFS(MATCH_INPUT!$F$30:$F$33, CI44, MATCH_INPUT!$K$30:$K$33, "&lt;&gt;"&amp;CI44, MATCH_INPUT!$K$30:$K$33, "&lt;&gt;Draw", MATCH_INPUT!$K$30:$K$33, "&lt;&gt;""") +
    COUNTIFS(MATCH_INPUT!$J$30:$J$33, CI44, MATCH_INPUT!$K$30:$K$33, "&lt;&gt;"&amp;CI44, MATCH_INPUT!$K$30:$K$33, "&lt;&gt;Draw", MATCH_INPUT!$K$30:$K$33, "&lt;&gt;"""),
0)</f>
        <v>0</v>
      </c>
      <c r="CP44" s="29" t="str">
        <f t="array" ref="CP44">IFERROR(
  INDEX(PLAYER_STAT!E$2:E64, 
    MATCH(1, 
      (PLAYER_STAT!A$2:A64 = MATCH_DATES!$A$9) * (PLAYER_STAT!D$2:D64 = $B44), 
    0)
  ), 
  ""
)
</f>
        <v/>
      </c>
      <c r="CQ44" s="29" t="str">
        <f t="array" ref="CQ44">IFERROR(
  INDEX(PLAYER_STAT!F$2:F64, 
    MATCH(1, 
      (PLAYER_STAT!A$2:A64 = MATCH_DATES!$A$9) * (PLAYER_STAT!D$2:D64 = $B44), 
    0)
  ), 
  ""
)
</f>
        <v/>
      </c>
      <c r="CR44" s="30" t="str">
        <f t="array" ref="CR44">IFERROR(
  INDEX(PLAYER_STAT!G$2:G64, 
    MATCH(1, 
      (PLAYER_STAT!A$2:A64 = MATCH_DATES!$A$9) * (PLAYER_STAT!D$2:D64 = $B44), 
    0)
  ), 
  ""
)
</f>
        <v/>
      </c>
      <c r="CS44" s="35">
        <f t="shared" si="158"/>
        <v>10</v>
      </c>
      <c r="CT44" s="35" t="str">
        <f t="shared" si="39"/>
        <v>↓</v>
      </c>
      <c r="CU44" s="36">
        <f t="shared" si="40"/>
        <v>2</v>
      </c>
      <c r="CV44" s="36" t="str">
        <f t="shared" ref="CV44:CW44" si="171">A44</f>
        <v>🛗</v>
      </c>
      <c r="CW44" s="37" t="str">
        <f t="shared" si="171"/>
        <v>(Sub) Eder 👬 Honorio </v>
      </c>
      <c r="CX44" s="37">
        <f t="shared" si="42"/>
        <v>6</v>
      </c>
      <c r="CY44" s="36">
        <f>SUM(
  IF(AND(MATCH_DATES!$A$2 &lt;= TODAY(), NOW() &gt;= MATCH_DATES!$A$2 + TIME(22, 0, 0)), E44, 0),
  IF(AND(MATCH_DATES!$A$3 &lt;= TODAY(), NOW() &gt;= MATCH_DATES!$A$3 + TIME(22, 0, 0)), Q44, 0),
  IF(AND(MATCH_DATES!$A$4 &lt;= TODAY(), NOW() &gt;= MATCH_DATES!$A$4 + TIME(22, 0, 0)), AC44, 0),
  IF(AND(MATCH_DATES!$A$5 &lt;= TODAY(), NOW() &gt;= MATCH_DATES!$A$5 + TIME(22, 0, 0)), AO44, 0),
  IF(AND(MATCH_DATES!$A$6 &lt;= TODAY(), NOW() &gt;= MATCH_DATES!$A$6 + TIME(22, 0, 0)), BA44, 0),
  IF(AND(MATCH_DATES!$A$7 &lt;= TODAY(), NOW() &gt;= MATCH_DATES!$A$7 + TIME(22, 0, 0)), BM44, 0),
  IF(AND(MATCH_DATES!$A$8 &lt;= TODAY(), NOW() &gt;= MATCH_DATES!$A$8 + TIME(22, 0, 0)), BY44, 0),
  IF(AND(MATCH_DATES!$A$9 &lt;= TODAY(), NOW() &gt;= MATCH_DATES!$A$9 + TIME(22, 0, 0)), CK44, 0)
)
</f>
        <v>4</v>
      </c>
      <c r="CZ44" s="37">
        <f t="shared" ref="CZ44:DA44" si="172">SUM(G44,S44,AE44,AQ44,BC44,BO44,CA44,CM44)</f>
        <v>1</v>
      </c>
      <c r="DA44" s="37">
        <f t="shared" si="172"/>
        <v>0</v>
      </c>
      <c r="DB44" s="37">
        <f>SUM(
  IF(AND(MATCH_DATES!$A$2 &lt;= TODAY(), NOW() &gt;= MATCH_DATES!$A$2 + TIME(22, 0, 0)), I44, 0),
  IF(AND(MATCH_DATES!$A$3 &lt;= TODAY(), NOW() &gt;= MATCH_DATES!$A$3 + TIME(22, 0, 0)), U44, 0),
  IF(AND(MATCH_DATES!$A$4 &lt;= TODAY(), NOW() &gt;= MATCH_DATES!$A$4 + TIME(22, 0, 0)), AG44, 0),
  IF(AND(MATCH_DATES!$A$5 &lt;= TODAY(), NOW() &gt;= MATCH_DATES!$A$5 + TIME(22, 0, 0)), AS44, 0),
  IF(AND(MATCH_DATES!$A$6 &lt;= TODAY(), NOW() &gt;= MATCH_DATES!$A$6 + TIME(22, 0, 0)), BE44, 0),
  IF(AND(MATCH_DATES!$A$7 &lt;= TODAY(), NOW() &gt;= MATCH_DATES!$A$7 + TIME(22, 0, 0)), BQ44, 0),
  IF(AND(MATCH_DATES!$A$8 &lt;= TODAY(), NOW() &gt;= MATCH_DATES!$A$8 + TIME(22, 0, 0)), CC44, 0),
  IF(AND(MATCH_DATES!$A$9 &lt;= TODAY(), NOW() &gt;= MATCH_DATES!$A$9 + TIME(22, 0, 0)), CO44, 0)
)</f>
        <v>3</v>
      </c>
      <c r="DC44" s="37">
        <f t="shared" si="44"/>
        <v>0</v>
      </c>
      <c r="DD44" s="37">
        <f t="shared" ref="DD44:DE44" si="173">SUM(K44,W44,AI44,AU44,BG44,BS44,CE44,CQ44)</f>
        <v>0</v>
      </c>
      <c r="DE44" s="37">
        <f t="shared" si="173"/>
        <v>0</v>
      </c>
    </row>
    <row r="45" ht="24.75" customHeight="1">
      <c r="A45" s="30" t="s">
        <v>242</v>
      </c>
      <c r="B45" s="30" t="s">
        <v>249</v>
      </c>
      <c r="C45" s="21"/>
      <c r="D45" s="22">
        <f t="shared" si="4"/>
        <v>0</v>
      </c>
      <c r="E45" s="22">
        <f t="shared" si="5"/>
        <v>0</v>
      </c>
      <c r="F45" s="22">
        <f t="shared" si="6"/>
        <v>0</v>
      </c>
      <c r="G45" s="22">
        <f>IF(C45&lt;&gt;"",
    COUNTIFS(MATCH_INPUT!$K$2:$K$5,C45),
0)</f>
        <v>0</v>
      </c>
      <c r="H45" s="22">
        <f>IF(C45&lt;&gt;"",
    COUNTIFS(MATCH_INPUT!$F$2:$F$5, C45, MATCH_INPUT!$K$2:$K$5, "Draw") +
    COUNTIFS(MATCH_INPUT!$J$2:$J$5, C45, MATCH_INPUT!$K$2:$K$5, "Draw"),
0)</f>
        <v>0</v>
      </c>
      <c r="I45" s="22">
        <f>IF(C45&lt;&gt;"",
    COUNTIFS(MATCH_INPUT!$F$2:$F$5, C45, MATCH_INPUT!$K$2:$K$5, "&lt;&gt;"&amp;C45, MATCH_INPUT!$K$2:$K$5, "&lt;&gt;Draw", MATCH_INPUT!$K$2:$K$5, "&lt;&gt;""") +
    COUNTIFS(MATCH_INPUT!$J$2:$J$5, C45, MATCH_INPUT!$K$2:$K$5, "&lt;&gt;"&amp;C45, MATCH_INPUT!$K$2:$K$5, "&lt;&gt;Draw", MATCH_INPUT!$K$2:$K$5, "&lt;&gt;"""),
0)</f>
        <v>0</v>
      </c>
      <c r="J45" s="23" t="str">
        <f t="array" ref="J45">IFERROR(
  INDEX(PLAYER_STAT!E$2:E64, 
    MATCH(1, 
      (PLAYER_STAT!A$2:A64 = MATCH_DATES!$A$2) * (PLAYER_STAT!D$2:D64 = $B45), 
    0)
  ), 
  ""
)
</f>
        <v/>
      </c>
      <c r="K45" s="23" t="str">
        <f t="array" ref="K45">IFERROR(
  INDEX(PLAYER_STAT!F$2:F64, 
    MATCH(1, 
      (PLAYER_STAT!A$2:A64 = MATCH_DATES!$A$2) * (PLAYER_STAT!D$2:D64 = $B45), 
    0)
  ), 
  ""
)
</f>
        <v/>
      </c>
      <c r="L45" s="24" t="str">
        <f t="array" ref="L45">IFERROR(
  INDEX(PLAYER_STAT!G$2:G64, 
    MATCH(1, 
      (PLAYER_STAT!A$2:A64 = MATCH_DATES!$A$2) * (PLAYER_STAT!D$2:D64 = $B45), 
    0)
  ), 
  ""
)
</f>
        <v/>
      </c>
      <c r="M45" s="25">
        <f t="shared" si="151"/>
        <v>6</v>
      </c>
      <c r="N45" s="26" t="str">
        <f t="shared" si="8"/>
        <v>↓</v>
      </c>
      <c r="O45" s="27"/>
      <c r="P45" s="28">
        <f t="shared" si="9"/>
        <v>0</v>
      </c>
      <c r="Q45" s="28">
        <f t="shared" si="10"/>
        <v>0</v>
      </c>
      <c r="R45" s="28">
        <f t="shared" si="11"/>
        <v>0</v>
      </c>
      <c r="S45" s="28">
        <f>IF(O45&lt;&gt;"",
    COUNTIFS(MATCH_INPUT!$K$6:$K$9,O45),
0)</f>
        <v>0</v>
      </c>
      <c r="T45" s="28">
        <f>IF(O45&lt;&gt;"",
    COUNTIFS(MATCH_INPUT!$F$6:$F$9, O45, MATCH_INPUT!$K$6:$K$9, "Draw") +
    COUNTIFS(MATCH_INPUT!$J$6:$J$9, O45, MATCH_INPUT!$K$6:$K$9, "Draw"),
0)</f>
        <v>0</v>
      </c>
      <c r="U45" s="28">
        <f>IF(O45&lt;&gt;"",
    COUNTIFS(MATCH_INPUT!$F$6:$F$9, O45, MATCH_INPUT!$K$6:$K$9, "&lt;&gt;"&amp;O45, MATCH_INPUT!$K$6:$K$9, "&lt;&gt;Draw", MATCH_INPUT!$K$6:$K$9, "&lt;&gt;""") +
    COUNTIFS(MATCH_INPUT!$J$6:$J$9, O45, MATCH_INPUT!$K$6:$K$9, "&lt;&gt;"&amp;O45, MATCH_INPUT!$K$6:$K$9, "&lt;&gt;Draw", MATCH_INPUT!$K$6:$K$9, "&lt;&gt;"""),
0)</f>
        <v>0</v>
      </c>
      <c r="V45" s="29" t="str">
        <f t="array" ref="V45">IFERROR(
  INDEX(PLAYER_STAT!E$2:E64, 
    MATCH(1, 
      (PLAYER_STAT!A$2:A64 = MATCH_DATES!$A$3) * (PLAYER_STAT!D$2:D64 = $B45), 
    0)
  ), 
  ""
)
</f>
        <v/>
      </c>
      <c r="W45" s="29" t="str">
        <f t="array" ref="W45">IFERROR(
  INDEX(PLAYER_STAT!F$2:F64, 
    MATCH(1, 
      (PLAYER_STAT!A$2:A64 = MATCH_DATES!$A$3) * (PLAYER_STAT!D$2:D64 = $B45), 
    0)
  ), 
  ""
)
</f>
        <v/>
      </c>
      <c r="X45" s="30" t="str">
        <f t="array" ref="X45">IFERROR(
  INDEX(PLAYER_STAT!G$2:G64, 
    MATCH(1, 
      (PLAYER_STAT!A$2:A64 = MATCH_DATES!$A$3) * (PLAYER_STAT!D$2:D64 = $B45), 
    0)
  ), 
  ""
)
</f>
        <v/>
      </c>
      <c r="Y45" s="31">
        <f t="shared" si="152"/>
        <v>7</v>
      </c>
      <c r="Z45" s="32" t="str">
        <f t="shared" si="13"/>
        <v>↓</v>
      </c>
      <c r="AA45" s="21"/>
      <c r="AB45" s="33">
        <f t="shared" si="14"/>
        <v>0</v>
      </c>
      <c r="AC45" s="22">
        <f t="shared" si="15"/>
        <v>0</v>
      </c>
      <c r="AD45" s="22">
        <f t="shared" si="16"/>
        <v>0</v>
      </c>
      <c r="AE45" s="22">
        <f>IF(AA45&lt;&gt;"",
    COUNTIFS(MATCH_INPUT!$K$10:$K$13,AA45),
0)</f>
        <v>0</v>
      </c>
      <c r="AF45" s="22">
        <f>IF(AA45&lt;&gt;"",
    COUNTIFS(MATCH_INPUT!$F$10:$F$13, AA45, MATCH_INPUT!$K$10:$K$13, "Draw") +
    COUNTIFS(MATCH_INPUT!$J$10:$J$13, AA45, MATCH_INPUT!$K$10:$K$13, "Draw"),
0)</f>
        <v>0</v>
      </c>
      <c r="AG45" s="22">
        <f>IF(AA45&lt;&gt;"",
    COUNTIFS(MATCH_INPUT!$F$10:$F$13, AA45, MATCH_INPUT!$K$10:$K$13, "&lt;&gt;"&amp;AA45, MATCH_INPUT!$K$10:$K$13, "&lt;&gt;Draw", MATCH_INPUT!$K$10:$K$13, "&lt;&gt;""") +
    COUNTIFS(MATCH_INPUT!$J$10:$J$13, AA45, MATCH_INPUT!$K$10:$K$13, "&lt;&gt;"&amp;AA45, MATCH_INPUT!$K$10:$K$13, "&lt;&gt;Draw", MATCH_INPUT!$K$10:$K$13, "&lt;&gt;"""),
0)</f>
        <v>0</v>
      </c>
      <c r="AH45" s="23" t="str">
        <f t="array" ref="AH45">IFERROR(
  INDEX(PLAYER_STAT!E$2:E64, 
    MATCH(1, 
      (PLAYER_STAT!A$2:A64 = MATCH_DATES!$A$4) * (PLAYER_STAT!D$2:D64 = $B45), 
    0)
  ), 
  ""
)
</f>
        <v/>
      </c>
      <c r="AI45" s="23" t="str">
        <f t="array" ref="AI45">IFERROR(
  INDEX(PLAYER_STAT!F$2:F64, 
    MATCH(1, 
      (PLAYER_STAT!A$2:A64 = MATCH_DATES!$A$4) * (PLAYER_STAT!D$2:D64 = $B45), 
    0)
  ), 
  ""
)
</f>
        <v/>
      </c>
      <c r="AJ45" s="34" t="str">
        <f t="array" ref="AJ45">IFERROR(
  INDEX(PLAYER_STAT!G$2:G64, 
    MATCH(1, 
      (PLAYER_STAT!A$2:A64 = MATCH_DATES!$A$4) * (PLAYER_STAT!D$2:D64 = $B45), 
    0)
  ), 
  ""
)
</f>
        <v/>
      </c>
      <c r="AK45" s="25">
        <f t="shared" si="153"/>
        <v>7</v>
      </c>
      <c r="AL45" s="26" t="str">
        <f t="shared" si="18"/>
        <v>=</v>
      </c>
      <c r="AM45" s="27" t="s">
        <v>213</v>
      </c>
      <c r="AN45" s="28">
        <f t="shared" si="19"/>
        <v>4</v>
      </c>
      <c r="AO45" s="28">
        <f t="shared" si="20"/>
        <v>2</v>
      </c>
      <c r="AP45" s="28">
        <f t="shared" si="21"/>
        <v>2</v>
      </c>
      <c r="AQ45" s="28">
        <f>IF(AM45&lt;&gt;"",
    COUNTIFS(MATCH_INPUT!$K$14:$K$17,AM45),
0)</f>
        <v>1</v>
      </c>
      <c r="AR45" s="28">
        <f>IF(AM45&lt;&gt;"",
    COUNTIFS(MATCH_INPUT!$F$14:$F$17, AM45, MATCH_INPUT!$K$14:$K$17, "Draw") +
    COUNTIFS(MATCH_INPUT!$J$14:$J$17, AM45, MATCH_INPUT!$K$14:$K$17, "Draw"),
0)</f>
        <v>0</v>
      </c>
      <c r="AS45" s="28">
        <f>IF(AM45&lt;&gt;"",
    COUNTIFS(MATCH_INPUT!$F$14:$F$17, AM45, MATCH_INPUT!$K$14:$K$17, "&lt;&gt;"&amp;AM45, MATCH_INPUT!$K$14:$K$17, "&lt;&gt;Draw", MATCH_INPUT!$K$14:$K$17, "&lt;&gt;""") +
    COUNTIFS(MATCH_INPUT!$J$14:$J$17, AM45, MATCH_INPUT!$K$14:$K$17, "&lt;&gt;"&amp;AM45, MATCH_INPUT!$K$14:$K$17, "&lt;&gt;Draw", MATCH_INPUT!$K$14:$K$17, "&lt;&gt;"""),
0)</f>
        <v>1</v>
      </c>
      <c r="AT45" s="29">
        <f t="array" ref="AT45">IFERROR(
  INDEX(PLAYER_STAT!E$2:E64, 
    MATCH(1, 
      (PLAYER_STAT!A$2:A64 = MATCH_DATES!$A$5) * (PLAYER_STAT!D$2:D64 = $B45), 
    0)
  ), 
  ""
)
</f>
        <v>1</v>
      </c>
      <c r="AU45" s="29">
        <f t="array" ref="AU45">IFERROR(
  INDEX(PLAYER_STAT!F$2:F64, 
    MATCH(1, 
      (PLAYER_STAT!A$2:A64 = MATCH_DATES!$A$5) * (PLAYER_STAT!D$2:D64 = $B45), 
    0)
  ), 
  ""
)
</f>
        <v>0</v>
      </c>
      <c r="AV45" s="30">
        <f t="array" ref="AV45">IFERROR(
  INDEX(PLAYER_STAT!G$2:G64, 
    MATCH(1, 
      (PLAYER_STAT!A$2:A64 = MATCH_DATES!$A$5) * (PLAYER_STAT!D$2:D64 = $B45), 
    0)
  ), 
  ""
)
</f>
        <v>0</v>
      </c>
      <c r="AW45" s="31">
        <f t="shared" si="154"/>
        <v>5</v>
      </c>
      <c r="AX45" s="32" t="str">
        <f t="shared" si="23"/>
        <v>↑</v>
      </c>
      <c r="AY45" s="21"/>
      <c r="AZ45" s="33">
        <f t="shared" si="24"/>
        <v>4</v>
      </c>
      <c r="BA45" s="22">
        <f t="shared" si="25"/>
        <v>0</v>
      </c>
      <c r="BB45" s="22">
        <f>SUM(BC45*2) + (BD45*1) + SUMIFS(MATCH_INPUT!$G$18:$G$21, MATCH_INPUT!$F$18:$F$21, AY45) + SUMIFS(MATCH_INPUT!$I$18:$I$21, MATCH_INPUT!$J$18:$J$21, AY45)
</f>
        <v>0</v>
      </c>
      <c r="BC45" s="22">
        <f>IF(AY45&lt;&gt;"",
    COUNTIFS(MATCH_INPUT!$K$18:$K$21,AY45),
0)</f>
        <v>0</v>
      </c>
      <c r="BD45" s="22">
        <f>IF(AY45&lt;&gt;"",
    COUNTIFS(MATCH_INPUT!$F$18:$F$21, AY45, MATCH_INPUT!$K$18:$K$21, "Draw") +
    COUNTIFS(MATCH_INPUT!$J$18:$J$21, AY45, MATCH_INPUT!$K$18:$K$21, "Draw"),
0)</f>
        <v>0</v>
      </c>
      <c r="BE45" s="22">
        <f>IF(AY45&lt;&gt;"",
    COUNTIFS(MATCH_INPUT!$F$18:$F$21, AY45, MATCH_INPUT!$K$18:$K$21, "&lt;&gt;"&amp;AY45, MATCH_INPUT!$K$18:$K$21, "&lt;&gt;Draw", MATCH_INPUT!$K$18:$K$21, "&lt;&gt;""") +
    COUNTIFS(MATCH_INPUT!$J$18:$J$21, AY45, MATCH_INPUT!$K$18:$K$21, "&lt;&gt;"&amp;AY45, MATCH_INPUT!$K$18:$K$21, "&lt;&gt;Draw", MATCH_INPUT!$K$18:$K$21, "&lt;&gt;"""),
0)</f>
        <v>0</v>
      </c>
      <c r="BF45" s="23" t="str">
        <f t="array" ref="BF45">IFERROR(
  INDEX(PLAYER_STAT!E$2:E64, 
    MATCH(1, 
      (PLAYER_STAT!A$2:A64 = MATCH_DATES!$A$6) * (PLAYER_STAT!D$2:D64 = $B45), 
    0)
  ), 
  ""
)
</f>
        <v/>
      </c>
      <c r="BG45" s="23" t="str">
        <f t="array" ref="BG45">IFERROR(
  INDEX(PLAYER_STAT!F$2:F64, 
    MATCH(1, 
      (PLAYER_STAT!A$2:A64 = MATCH_DATES!$A$6) * (PLAYER_STAT!D$2:D64 = $B45), 
    0)
  ), 
  ""
)
</f>
        <v/>
      </c>
      <c r="BH45" s="34" t="str">
        <f t="array" ref="BH45">IFERROR(
  INDEX(PLAYER_STAT!G$2:G64, 
    MATCH(1, 
      (PLAYER_STAT!A$2:A64 = MATCH_DATES!$A$6) * (PLAYER_STAT!D$2:D64 = $B45), 
    0)
  ), 
  ""
)
</f>
        <v/>
      </c>
      <c r="BI45" s="25">
        <f t="shared" si="155"/>
        <v>8</v>
      </c>
      <c r="BJ45" s="26" t="str">
        <f t="shared" si="27"/>
        <v>↓</v>
      </c>
      <c r="BK45" s="27"/>
      <c r="BL45" s="28">
        <f t="shared" si="28"/>
        <v>4</v>
      </c>
      <c r="BM45" s="28">
        <f t="shared" si="29"/>
        <v>0</v>
      </c>
      <c r="BN45" s="28">
        <f>SUM(BO45*2) + (BP45*1) + SUMIFS(MATCH_INPUT!$G$22:$G$25, MATCH_INPUT!$F$22:$F$25, BK45) + SUMIFS(MATCH_INPUT!$I$22:$I$25, MATCH_INPUT!$J$22:$J$25, BK45)
</f>
        <v>0</v>
      </c>
      <c r="BO45" s="28">
        <f>IF(BK45&lt;&gt;"",
    COUNTIFS(MATCH_INPUT!$K$22:$K$25,BK45),
0)</f>
        <v>0</v>
      </c>
      <c r="BP45" s="28">
        <f>IF(BK45&lt;&gt;"",
    COUNTIFS(MATCH_INPUT!$F$22:$F$25, BK45, MATCH_INPUT!$K$22:$K$25, "Draw") +
    COUNTIFS(MATCH_INPUT!$J$22:$J$25, BK45, MATCH_INPUT!$K$22:$K$25, "Draw"),
0)</f>
        <v>0</v>
      </c>
      <c r="BQ45" s="28">
        <f>IF(BK45&lt;&gt;"",
    COUNTIFS(MATCH_INPUT!$F$22:$F$25, BK45, MATCH_INPUT!$K$22:$K$25, "&lt;&gt;"&amp;BK45, MATCH_INPUT!$K$22:$K$25, "&lt;&gt;Draw", MATCH_INPUT!$K$22:$K$25, "&lt;&gt;""") +
    COUNTIFS(MATCH_INPUT!$J$22:$J$25, BK45, MATCH_INPUT!$K$22:$K$25, "&lt;&gt;"&amp;BK45, MATCH_INPUT!$K$22:$K$25, "&lt;&gt;Draw", MATCH_INPUT!$K$22:$K$25, "&lt;&gt;"""),
0)</f>
        <v>0</v>
      </c>
      <c r="BR45" s="29" t="str">
        <f t="array" ref="BR45">IFERROR(
  INDEX(PLAYER_STAT!E$2:E64, 
    MATCH(1, 
      (PLAYER_STAT!A$2:A64 = MATCH_DATES!$A$7) * (PLAYER_STAT!D$2:D64 = $B45), 
    0)
  ), 
  ""
)
</f>
        <v/>
      </c>
      <c r="BS45" s="29" t="str">
        <f t="array" ref="BS45">IFERROR(
  INDEX(PLAYER_STAT!F$2:F64, 
    MATCH(1, 
      (PLAYER_STAT!A$2:A64 = MATCH_DATES!$A$7) * (PLAYER_STAT!D$2:D64 = $B45), 
    0)
  ), 
  ""
)
</f>
        <v/>
      </c>
      <c r="BT45" s="30" t="str">
        <f t="array" ref="BT45">IFERROR(
  INDEX(PLAYER_STAT!G$2:G64, 
    MATCH(1, 
      (PLAYER_STAT!A$2:A64 = MATCH_DATES!$A$7) * (PLAYER_STAT!D$2:D64 = $B45), 
    0)
  ), 
  ""
)
</f>
        <v/>
      </c>
      <c r="BU45" s="31">
        <f t="shared" si="156"/>
        <v>9</v>
      </c>
      <c r="BV45" s="32" t="str">
        <f t="shared" si="31"/>
        <v>↓</v>
      </c>
      <c r="BW45" s="21"/>
      <c r="BX45" s="33">
        <f t="shared" si="32"/>
        <v>4</v>
      </c>
      <c r="BY45" s="22">
        <f t="shared" si="33"/>
        <v>0</v>
      </c>
      <c r="BZ45" s="22">
        <f>SUM(CA45*2)+(CB45*1) + SUMIFS(MATCH_INPUT!$G$26:$G$29, MATCH_INPUT!$F$26:$F$29, BW45) + SUMIFS(MATCH_INPUT!$I$26:$I$29, MATCH_INPUT!$J$26:$J$29, BW45)
</f>
        <v>0</v>
      </c>
      <c r="CA45" s="22">
        <f>IF(BW45&lt;&gt;"",
    COUNTIFS(MATCH_INPUT!$K$26:$K$29,BW45),
0)</f>
        <v>0</v>
      </c>
      <c r="CB45" s="22">
        <f>IF(BW45&lt;&gt;"",
    COUNTIFS(MATCH_INPUT!$F$26:$F$29, BW45, MATCH_INPUT!$K$26:$K$29, "Draw") +
    COUNTIFS(MATCH_INPUT!$J$26:$J$29, BW45, MATCH_INPUT!$K$26:$K$29, "Draw"),
0)</f>
        <v>0</v>
      </c>
      <c r="CC45" s="22">
        <f>IF(BW45&lt;&gt;"",
    COUNTIFS(MATCH_INPUT!$F$26:$F$29, BW45, MATCH_INPUT!$K$26:$K$29, "&lt;&gt;"&amp;BW45, MATCH_INPUT!$K$26:$K$29, "&lt;&gt;Draw", MATCH_INPUT!$K$26:$K$29, "&lt;&gt;""") +
    COUNTIFS(MATCH_INPUT!$J$26:$J$29, BW45, MATCH_INPUT!$K$26:$K$29, "&lt;&gt;"&amp;BW45, MATCH_INPUT!$K$26:$K$29, "&lt;&gt;Draw", MATCH_INPUT!$K$26:$K$29, "&lt;&gt;"""),
0)</f>
        <v>0</v>
      </c>
      <c r="CD45" s="23" t="str">
        <f t="array" ref="CD45">IFERROR(
  INDEX(PLAYER_STAT!E$2:E64, 
    MATCH(1, 
      (PLAYER_STAT!A$2:A64 = MATCH_DATES!$A$8) * (PLAYER_STAT!D$2:D64 = $B45), 
    0)
  ), 
  ""
)
</f>
        <v/>
      </c>
      <c r="CE45" s="23" t="str">
        <f t="array" ref="CE45">IFERROR(
  INDEX(PLAYER_STAT!F$2:F64, 
    MATCH(1, 
      (PLAYER_STAT!A$2:A64 = MATCH_DATES!$A$8) * (PLAYER_STAT!D$2:D64 = $B45), 
    0)
  ), 
  ""
)
</f>
        <v/>
      </c>
      <c r="CF45" s="34" t="str">
        <f t="array" ref="CF45">IFERROR(
  INDEX(PLAYER_STAT!G$2:G64, 
    MATCH(1, 
      (PLAYER_STAT!A$2:A64 = MATCH_DATES!$A$8) * (PLAYER_STAT!D$2:D64 = $B45), 
    0)
  ), 
  ""
)
</f>
        <v/>
      </c>
      <c r="CG45" s="25">
        <f t="shared" si="157"/>
        <v>11</v>
      </c>
      <c r="CH45" s="26" t="str">
        <f t="shared" si="35"/>
        <v>↓</v>
      </c>
      <c r="CI45" s="27" t="s">
        <v>212</v>
      </c>
      <c r="CJ45" s="28">
        <f t="shared" si="36"/>
        <v>15</v>
      </c>
      <c r="CK45" s="28">
        <f t="shared" si="37"/>
        <v>2</v>
      </c>
      <c r="CL45" s="28">
        <f>SUM(CM45*2)+(CN45*1) + SUMIFS(MATCH_INPUT!$G$30:$G$33, MATCH_INPUT!$F$30:$F$33, CI45) + SUMIFS(MATCH_INPUT!$I$30:$I$33, MATCH_INPUT!$J$30:$J$33, CI45)
</f>
        <v>9</v>
      </c>
      <c r="CM45" s="28">
        <f>IF(CI45&lt;&gt;"",
    COUNTIFS(MATCH_INPUT!$K$30:$K$33,CI45),
0)</f>
        <v>1</v>
      </c>
      <c r="CN45" s="28">
        <f>IF(CI45&lt;&gt;"",
    COUNTIFS(MATCH_INPUT!$F$30:$F$33, CI45, MATCH_INPUT!$K$30:$K$33, "Draw") +
    COUNTIFS(MATCH_INPUT!$J$30:$J$33, CI45, MATCH_INPUT!$K$30:$K$33, "Draw"),
0)</f>
        <v>1</v>
      </c>
      <c r="CO45" s="28">
        <f>IF(CI45&lt;&gt;"",
    COUNTIFS(MATCH_INPUT!$F$30:$F$33, CI45, MATCH_INPUT!$K$30:$K$33, "&lt;&gt;"&amp;CI45, MATCH_INPUT!$K$30:$K$33, "&lt;&gt;Draw", MATCH_INPUT!$K$30:$K$33, "&lt;&gt;""") +
    COUNTIFS(MATCH_INPUT!$J$30:$J$33, CI45, MATCH_INPUT!$K$30:$K$33, "&lt;&gt;"&amp;CI45, MATCH_INPUT!$K$30:$K$33, "&lt;&gt;Draw", MATCH_INPUT!$K$30:$K$33, "&lt;&gt;"""),
0)</f>
        <v>0</v>
      </c>
      <c r="CP45" s="29" t="str">
        <f t="array" ref="CP45">IFERROR(
  INDEX(PLAYER_STAT!E$2:E64, 
    MATCH(1, 
      (PLAYER_STAT!A$2:A64 = MATCH_DATES!$A$9) * (PLAYER_STAT!D$2:D64 = $B45), 
    0)
  ), 
  ""
)
</f>
        <v/>
      </c>
      <c r="CQ45" s="29" t="str">
        <f t="array" ref="CQ45">IFERROR(
  INDEX(PLAYER_STAT!F$2:F64, 
    MATCH(1, 
      (PLAYER_STAT!A$2:A64 = MATCH_DATES!$A$9) * (PLAYER_STAT!D$2:D64 = $B45), 
    0)
  ), 
  ""
)
</f>
        <v/>
      </c>
      <c r="CR45" s="30" t="str">
        <f t="array" ref="CR45">IFERROR(
  INDEX(PLAYER_STAT!G$2:G64, 
    MATCH(1, 
      (PLAYER_STAT!A$2:A64 = MATCH_DATES!$A$9) * (PLAYER_STAT!D$2:D64 = $B45), 
    0)
  ), 
  ""
)
</f>
        <v/>
      </c>
      <c r="CS45" s="35">
        <f t="shared" si="158"/>
        <v>3</v>
      </c>
      <c r="CT45" s="35" t="str">
        <f t="shared" si="39"/>
        <v>↑</v>
      </c>
      <c r="CU45" s="36">
        <f t="shared" si="40"/>
        <v>11</v>
      </c>
      <c r="CV45" s="36" t="str">
        <f t="shared" ref="CV45:CW45" si="174">A45</f>
        <v>🛗</v>
      </c>
      <c r="CW45" s="37" t="str">
        <f t="shared" si="174"/>
        <v>(Sub)  👬 Jesús</v>
      </c>
      <c r="CX45" s="37">
        <f t="shared" si="42"/>
        <v>15</v>
      </c>
      <c r="CY45" s="36">
        <f>SUM(
  IF(AND(MATCH_DATES!$A$2 &lt;= TODAY(), NOW() &gt;= MATCH_DATES!$A$2 + TIME(22, 0, 0)), E45, 0),
  IF(AND(MATCH_DATES!$A$3 &lt;= TODAY(), NOW() &gt;= MATCH_DATES!$A$3 + TIME(22, 0, 0)), Q45, 0),
  IF(AND(MATCH_DATES!$A$4 &lt;= TODAY(), NOW() &gt;= MATCH_DATES!$A$4 + TIME(22, 0, 0)), AC45, 0),
  IF(AND(MATCH_DATES!$A$5 &lt;= TODAY(), NOW() &gt;= MATCH_DATES!$A$5 + TIME(22, 0, 0)), AO45, 0),
  IF(AND(MATCH_DATES!$A$6 &lt;= TODAY(), NOW() &gt;= MATCH_DATES!$A$6 + TIME(22, 0, 0)), BA45, 0),
  IF(AND(MATCH_DATES!$A$7 &lt;= TODAY(), NOW() &gt;= MATCH_DATES!$A$7 + TIME(22, 0, 0)), BM45, 0),
  IF(AND(MATCH_DATES!$A$8 &lt;= TODAY(), NOW() &gt;= MATCH_DATES!$A$8 + TIME(22, 0, 0)), BY45, 0),
  IF(AND(MATCH_DATES!$A$9 &lt;= TODAY(), NOW() &gt;= MATCH_DATES!$A$9 + TIME(22, 0, 0)), CK45, 0)
)
</f>
        <v>4</v>
      </c>
      <c r="CZ45" s="37">
        <f t="shared" ref="CZ45:DA45" si="175">SUM(G45,S45,AE45,AQ45,BC45,BO45,CA45,CM45)</f>
        <v>2</v>
      </c>
      <c r="DA45" s="37">
        <f t="shared" si="175"/>
        <v>1</v>
      </c>
      <c r="DB45" s="37">
        <f>SUM(
  IF(AND(MATCH_DATES!$A$2 &lt;= TODAY(), NOW() &gt;= MATCH_DATES!$A$2 + TIME(22, 0, 0)), I45, 0),
  IF(AND(MATCH_DATES!$A$3 &lt;= TODAY(), NOW() &gt;= MATCH_DATES!$A$3 + TIME(22, 0, 0)), U45, 0),
  IF(AND(MATCH_DATES!$A$4 &lt;= TODAY(), NOW() &gt;= MATCH_DATES!$A$4 + TIME(22, 0, 0)), AG45, 0),
  IF(AND(MATCH_DATES!$A$5 &lt;= TODAY(), NOW() &gt;= MATCH_DATES!$A$5 + TIME(22, 0, 0)), AS45, 0),
  IF(AND(MATCH_DATES!$A$6 &lt;= TODAY(), NOW() &gt;= MATCH_DATES!$A$6 + TIME(22, 0, 0)), BE45, 0),
  IF(AND(MATCH_DATES!$A$7 &lt;= TODAY(), NOW() &gt;= MATCH_DATES!$A$7 + TIME(22, 0, 0)), BQ45, 0),
  IF(AND(MATCH_DATES!$A$8 &lt;= TODAY(), NOW() &gt;= MATCH_DATES!$A$8 + TIME(22, 0, 0)), CC45, 0),
  IF(AND(MATCH_DATES!$A$9 &lt;= TODAY(), NOW() &gt;= MATCH_DATES!$A$9 + TIME(22, 0, 0)), CO45, 0)
)</f>
        <v>1</v>
      </c>
      <c r="DC45" s="37">
        <f t="shared" si="44"/>
        <v>1</v>
      </c>
      <c r="DD45" s="37">
        <f t="shared" ref="DD45:DE45" si="176">SUM(K45,W45,AI45,AU45,BG45,BS45,CE45,CQ45)</f>
        <v>0</v>
      </c>
      <c r="DE45" s="37">
        <f t="shared" si="176"/>
        <v>0</v>
      </c>
    </row>
    <row r="46" ht="24.75" customHeight="1">
      <c r="A46" s="30" t="s">
        <v>242</v>
      </c>
      <c r="B46" s="30" t="s">
        <v>250</v>
      </c>
      <c r="C46" s="21"/>
      <c r="D46" s="22">
        <f t="shared" si="4"/>
        <v>0</v>
      </c>
      <c r="E46" s="22">
        <f t="shared" si="5"/>
        <v>0</v>
      </c>
      <c r="F46" s="22">
        <f t="shared" si="6"/>
        <v>0</v>
      </c>
      <c r="G46" s="22">
        <f>IF(C46&lt;&gt;"",
    COUNTIFS(MATCH_INPUT!$K$2:$K$5,C46),
0)</f>
        <v>0</v>
      </c>
      <c r="H46" s="22">
        <f>IF(C46&lt;&gt;"",
    COUNTIFS(MATCH_INPUT!$F$2:$F$5, C46, MATCH_INPUT!$K$2:$K$5, "Draw") +
    COUNTIFS(MATCH_INPUT!$J$2:$J$5, C46, MATCH_INPUT!$K$2:$K$5, "Draw"),
0)</f>
        <v>0</v>
      </c>
      <c r="I46" s="22">
        <f>IF(C46&lt;&gt;"",
    COUNTIFS(MATCH_INPUT!$F$2:$F$5, C46, MATCH_INPUT!$K$2:$K$5, "&lt;&gt;"&amp;C46, MATCH_INPUT!$K$2:$K$5, "&lt;&gt;Draw", MATCH_INPUT!$K$2:$K$5, "&lt;&gt;""") +
    COUNTIFS(MATCH_INPUT!$J$2:$J$5, C46, MATCH_INPUT!$K$2:$K$5, "&lt;&gt;"&amp;C46, MATCH_INPUT!$K$2:$K$5, "&lt;&gt;Draw", MATCH_INPUT!$K$2:$K$5, "&lt;&gt;"""),
0)</f>
        <v>0</v>
      </c>
      <c r="J46" s="23" t="str">
        <f t="array" ref="J46">IFERROR(
  INDEX(PLAYER_STAT!E$2:E64, 
    MATCH(1, 
      (PLAYER_STAT!A$2:A64 = MATCH_DATES!$A$2) * (PLAYER_STAT!D$2:D64 = $B46), 
    0)
  ), 
  ""
)
</f>
        <v/>
      </c>
      <c r="K46" s="23" t="str">
        <f t="array" ref="K46">IFERROR(
  INDEX(PLAYER_STAT!F$2:F64, 
    MATCH(1, 
      (PLAYER_STAT!A$2:A64 = MATCH_DATES!$A$2) * (PLAYER_STAT!D$2:D64 = $B46), 
    0)
  ), 
  ""
)
</f>
        <v/>
      </c>
      <c r="L46" s="24" t="str">
        <f t="array" ref="L46">IFERROR(
  INDEX(PLAYER_STAT!G$2:G64, 
    MATCH(1, 
      (PLAYER_STAT!A$2:A64 = MATCH_DATES!$A$2) * (PLAYER_STAT!D$2:D64 = $B46), 
    0)
  ), 
  ""
)
</f>
        <v/>
      </c>
      <c r="M46" s="25">
        <f t="shared" si="151"/>
        <v>6</v>
      </c>
      <c r="N46" s="26" t="str">
        <f t="shared" si="8"/>
        <v>↓</v>
      </c>
      <c r="O46" s="27"/>
      <c r="P46" s="28">
        <f t="shared" si="9"/>
        <v>0</v>
      </c>
      <c r="Q46" s="28">
        <f t="shared" si="10"/>
        <v>0</v>
      </c>
      <c r="R46" s="28">
        <f t="shared" si="11"/>
        <v>0</v>
      </c>
      <c r="S46" s="28">
        <f>IF(O46&lt;&gt;"",
    COUNTIFS(MATCH_INPUT!$K$6:$K$9,O46),
0)</f>
        <v>0</v>
      </c>
      <c r="T46" s="28">
        <f>IF(O46&lt;&gt;"",
    COUNTIFS(MATCH_INPUT!$F$6:$F$9, O46, MATCH_INPUT!$K$6:$K$9, "Draw") +
    COUNTIFS(MATCH_INPUT!$J$6:$J$9, O46, MATCH_INPUT!$K$6:$K$9, "Draw"),
0)</f>
        <v>0</v>
      </c>
      <c r="U46" s="28">
        <f>IF(O46&lt;&gt;"",
    COUNTIFS(MATCH_INPUT!$F$6:$F$9, O46, MATCH_INPUT!$K$6:$K$9, "&lt;&gt;"&amp;O46, MATCH_INPUT!$K$6:$K$9, "&lt;&gt;Draw", MATCH_INPUT!$K$6:$K$9, "&lt;&gt;""") +
    COUNTIFS(MATCH_INPUT!$J$6:$J$9, O46, MATCH_INPUT!$K$6:$K$9, "&lt;&gt;"&amp;O46, MATCH_INPUT!$K$6:$K$9, "&lt;&gt;Draw", MATCH_INPUT!$K$6:$K$9, "&lt;&gt;"""),
0)</f>
        <v>0</v>
      </c>
      <c r="V46" s="29" t="str">
        <f t="array" ref="V46">IFERROR(
  INDEX(PLAYER_STAT!E$2:E64, 
    MATCH(1, 
      (PLAYER_STAT!A$2:A64 = MATCH_DATES!$A$3) * (PLAYER_STAT!D$2:D64 = $B46), 
    0)
  ), 
  ""
)
</f>
        <v/>
      </c>
      <c r="W46" s="29" t="str">
        <f t="array" ref="W46">IFERROR(
  INDEX(PLAYER_STAT!F$2:F64, 
    MATCH(1, 
      (PLAYER_STAT!A$2:A64 = MATCH_DATES!$A$3) * (PLAYER_STAT!D$2:D64 = $B46), 
    0)
  ), 
  ""
)
</f>
        <v/>
      </c>
      <c r="X46" s="30" t="str">
        <f t="array" ref="X46">IFERROR(
  INDEX(PLAYER_STAT!G$2:G64, 
    MATCH(1, 
      (PLAYER_STAT!A$2:A64 = MATCH_DATES!$A$3) * (PLAYER_STAT!D$2:D64 = $B46), 
    0)
  ), 
  ""
)
</f>
        <v/>
      </c>
      <c r="Y46" s="31">
        <f t="shared" si="152"/>
        <v>7</v>
      </c>
      <c r="Z46" s="32" t="str">
        <f t="shared" si="13"/>
        <v>↓</v>
      </c>
      <c r="AA46" s="21"/>
      <c r="AB46" s="33">
        <f t="shared" si="14"/>
        <v>0</v>
      </c>
      <c r="AC46" s="22">
        <f t="shared" si="15"/>
        <v>0</v>
      </c>
      <c r="AD46" s="22">
        <f t="shared" si="16"/>
        <v>0</v>
      </c>
      <c r="AE46" s="22">
        <f>IF(AA46&lt;&gt;"",
    COUNTIFS(MATCH_INPUT!$K$10:$K$13,AA46),
0)</f>
        <v>0</v>
      </c>
      <c r="AF46" s="22">
        <f>IF(AA46&lt;&gt;"",
    COUNTIFS(MATCH_INPUT!$F$10:$F$13, AA46, MATCH_INPUT!$K$10:$K$13, "Draw") +
    COUNTIFS(MATCH_INPUT!$J$10:$J$13, AA46, MATCH_INPUT!$K$10:$K$13, "Draw"),
0)</f>
        <v>0</v>
      </c>
      <c r="AG46" s="22">
        <f>IF(AA46&lt;&gt;"",
    COUNTIFS(MATCH_INPUT!$F$10:$F$13, AA46, MATCH_INPUT!$K$10:$K$13, "&lt;&gt;"&amp;AA46, MATCH_INPUT!$K$10:$K$13, "&lt;&gt;Draw", MATCH_INPUT!$K$10:$K$13, "&lt;&gt;""") +
    COUNTIFS(MATCH_INPUT!$J$10:$J$13, AA46, MATCH_INPUT!$K$10:$K$13, "&lt;&gt;"&amp;AA46, MATCH_INPUT!$K$10:$K$13, "&lt;&gt;Draw", MATCH_INPUT!$K$10:$K$13, "&lt;&gt;"""),
0)</f>
        <v>0</v>
      </c>
      <c r="AH46" s="23" t="str">
        <f t="array" ref="AH46">IFERROR(
  INDEX(PLAYER_STAT!E$2:E64, 
    MATCH(1, 
      (PLAYER_STAT!A$2:A64 = MATCH_DATES!$A$4) * (PLAYER_STAT!D$2:D64 = $B46), 
    0)
  ), 
  ""
)
</f>
        <v/>
      </c>
      <c r="AI46" s="23" t="str">
        <f t="array" ref="AI46">IFERROR(
  INDEX(PLAYER_STAT!F$2:F64, 
    MATCH(1, 
      (PLAYER_STAT!A$2:A64 = MATCH_DATES!$A$4) * (PLAYER_STAT!D$2:D64 = $B46), 
    0)
  ), 
  ""
)
</f>
        <v/>
      </c>
      <c r="AJ46" s="34" t="str">
        <f t="array" ref="AJ46">IFERROR(
  INDEX(PLAYER_STAT!G$2:G64, 
    MATCH(1, 
      (PLAYER_STAT!A$2:A64 = MATCH_DATES!$A$4) * (PLAYER_STAT!D$2:D64 = $B46), 
    0)
  ), 
  ""
)
</f>
        <v/>
      </c>
      <c r="AK46" s="25">
        <f t="shared" si="153"/>
        <v>7</v>
      </c>
      <c r="AL46" s="26" t="str">
        <f t="shared" si="18"/>
        <v>=</v>
      </c>
      <c r="AM46" s="27" t="s">
        <v>215</v>
      </c>
      <c r="AN46" s="28">
        <f t="shared" si="19"/>
        <v>4</v>
      </c>
      <c r="AO46" s="28">
        <f t="shared" si="20"/>
        <v>2</v>
      </c>
      <c r="AP46" s="28">
        <f t="shared" si="21"/>
        <v>2</v>
      </c>
      <c r="AQ46" s="28">
        <f>IF(AM46&lt;&gt;"",
    COUNTIFS(MATCH_INPUT!$K$14:$K$17,AM46),
0)</f>
        <v>1</v>
      </c>
      <c r="AR46" s="28">
        <f>IF(AM46&lt;&gt;"",
    COUNTIFS(MATCH_INPUT!$F$14:$F$17, AM46, MATCH_INPUT!$K$14:$K$17, "Draw") +
    COUNTIFS(MATCH_INPUT!$J$14:$J$17, AM46, MATCH_INPUT!$K$14:$K$17, "Draw"),
0)</f>
        <v>0</v>
      </c>
      <c r="AS46" s="28">
        <f>IF(AM46&lt;&gt;"",
    COUNTIFS(MATCH_INPUT!$F$14:$F$17, AM46, MATCH_INPUT!$K$14:$K$17, "&lt;&gt;"&amp;AM46, MATCH_INPUT!$K$14:$K$17, "&lt;&gt;Draw", MATCH_INPUT!$K$14:$K$17, "&lt;&gt;""") +
    COUNTIFS(MATCH_INPUT!$J$14:$J$17, AM46, MATCH_INPUT!$K$14:$K$17, "&lt;&gt;"&amp;AM46, MATCH_INPUT!$K$14:$K$17, "&lt;&gt;Draw", MATCH_INPUT!$K$14:$K$17, "&lt;&gt;"""),
0)</f>
        <v>1</v>
      </c>
      <c r="AT46" s="29" t="str">
        <f t="array" ref="AT46">IFERROR(
  INDEX(PLAYER_STAT!E$2:E64, 
    MATCH(1, 
      (PLAYER_STAT!A$2:A64 = MATCH_DATES!$A$5) * (PLAYER_STAT!D$2:D64 = $B46), 
    0)
  ), 
  ""
)
</f>
        <v/>
      </c>
      <c r="AU46" s="29" t="str">
        <f t="array" ref="AU46">IFERROR(
  INDEX(PLAYER_STAT!F$2:F64, 
    MATCH(1, 
      (PLAYER_STAT!A$2:A64 = MATCH_DATES!$A$5) * (PLAYER_STAT!D$2:D64 = $B46), 
    0)
  ), 
  ""
)
</f>
        <v/>
      </c>
      <c r="AV46" s="30" t="str">
        <f t="array" ref="AV46">IFERROR(
  INDEX(PLAYER_STAT!G$2:G64, 
    MATCH(1, 
      (PLAYER_STAT!A$2:A64 = MATCH_DATES!$A$5) * (PLAYER_STAT!D$2:D64 = $B46), 
    0)
  ), 
  ""
)
</f>
        <v/>
      </c>
      <c r="AW46" s="31">
        <f t="shared" si="154"/>
        <v>5</v>
      </c>
      <c r="AX46" s="32" t="str">
        <f t="shared" si="23"/>
        <v>↑</v>
      </c>
      <c r="AY46" s="21"/>
      <c r="AZ46" s="33">
        <f t="shared" si="24"/>
        <v>4</v>
      </c>
      <c r="BA46" s="22">
        <f t="shared" si="25"/>
        <v>0</v>
      </c>
      <c r="BB46" s="22">
        <f>SUM(BC46*2) + (BD46*1) + SUMIFS(MATCH_INPUT!$G$18:$G$21, MATCH_INPUT!$F$18:$F$21, AY46) + SUMIFS(MATCH_INPUT!$I$18:$I$21, MATCH_INPUT!$J$18:$J$21, AY46)
</f>
        <v>0</v>
      </c>
      <c r="BC46" s="22">
        <f>IF(AY46&lt;&gt;"",
    COUNTIFS(MATCH_INPUT!$K$18:$K$21,AY46),
0)</f>
        <v>0</v>
      </c>
      <c r="BD46" s="22">
        <f>IF(AY46&lt;&gt;"",
    COUNTIFS(MATCH_INPUT!$F$18:$F$21, AY46, MATCH_INPUT!$K$18:$K$21, "Draw") +
    COUNTIFS(MATCH_INPUT!$J$18:$J$21, AY46, MATCH_INPUT!$K$18:$K$21, "Draw"),
0)</f>
        <v>0</v>
      </c>
      <c r="BE46" s="22">
        <f>IF(AY46&lt;&gt;"",
    COUNTIFS(MATCH_INPUT!$F$18:$F$21, AY46, MATCH_INPUT!$K$18:$K$21, "&lt;&gt;"&amp;AY46, MATCH_INPUT!$K$18:$K$21, "&lt;&gt;Draw", MATCH_INPUT!$K$18:$K$21, "&lt;&gt;""") +
    COUNTIFS(MATCH_INPUT!$J$18:$J$21, AY46, MATCH_INPUT!$K$18:$K$21, "&lt;&gt;"&amp;AY46, MATCH_INPUT!$K$18:$K$21, "&lt;&gt;Draw", MATCH_INPUT!$K$18:$K$21, "&lt;&gt;"""),
0)</f>
        <v>0</v>
      </c>
      <c r="BF46" s="23" t="str">
        <f t="array" ref="BF46">IFERROR(
  INDEX(PLAYER_STAT!E$2:E64, 
    MATCH(1, 
      (PLAYER_STAT!A$2:A64 = MATCH_DATES!$A$6) * (PLAYER_STAT!D$2:D64 = $B46), 
    0)
  ), 
  ""
)
</f>
        <v/>
      </c>
      <c r="BG46" s="23" t="str">
        <f t="array" ref="BG46">IFERROR(
  INDEX(PLAYER_STAT!F$2:F64, 
    MATCH(1, 
      (PLAYER_STAT!A$2:A64 = MATCH_DATES!$A$6) * (PLAYER_STAT!D$2:D64 = $B46), 
    0)
  ), 
  ""
)
</f>
        <v/>
      </c>
      <c r="BH46" s="34" t="str">
        <f t="array" ref="BH46">IFERROR(
  INDEX(PLAYER_STAT!G$2:G64, 
    MATCH(1, 
      (PLAYER_STAT!A$2:A64 = MATCH_DATES!$A$6) * (PLAYER_STAT!D$2:D64 = $B46), 
    0)
  ), 
  ""
)
</f>
        <v/>
      </c>
      <c r="BI46" s="25">
        <f t="shared" si="155"/>
        <v>8</v>
      </c>
      <c r="BJ46" s="26" t="str">
        <f t="shared" si="27"/>
        <v>↓</v>
      </c>
      <c r="BK46" s="27"/>
      <c r="BL46" s="28">
        <f t="shared" si="28"/>
        <v>4</v>
      </c>
      <c r="BM46" s="28">
        <f t="shared" si="29"/>
        <v>0</v>
      </c>
      <c r="BN46" s="28">
        <f>SUM(BO46*2) + (BP46*1) + SUMIFS(MATCH_INPUT!$G$22:$G$25, MATCH_INPUT!$F$22:$F$25, BK46) + SUMIFS(MATCH_INPUT!$I$22:$I$25, MATCH_INPUT!$J$22:$J$25, BK46)
</f>
        <v>0</v>
      </c>
      <c r="BO46" s="28">
        <f>IF(BK46&lt;&gt;"",
    COUNTIFS(MATCH_INPUT!$K$22:$K$25,BK46),
0)</f>
        <v>0</v>
      </c>
      <c r="BP46" s="28">
        <f>IF(BK46&lt;&gt;"",
    COUNTIFS(MATCH_INPUT!$F$22:$F$25, BK46, MATCH_INPUT!$K$22:$K$25, "Draw") +
    COUNTIFS(MATCH_INPUT!$J$22:$J$25, BK46, MATCH_INPUT!$K$22:$K$25, "Draw"),
0)</f>
        <v>0</v>
      </c>
      <c r="BQ46" s="28">
        <f>IF(BK46&lt;&gt;"",
    COUNTIFS(MATCH_INPUT!$F$22:$F$25, BK46, MATCH_INPUT!$K$22:$K$25, "&lt;&gt;"&amp;BK46, MATCH_INPUT!$K$22:$K$25, "&lt;&gt;Draw", MATCH_INPUT!$K$22:$K$25, "&lt;&gt;""") +
    COUNTIFS(MATCH_INPUT!$J$22:$J$25, BK46, MATCH_INPUT!$K$22:$K$25, "&lt;&gt;"&amp;BK46, MATCH_INPUT!$K$22:$K$25, "&lt;&gt;Draw", MATCH_INPUT!$K$22:$K$25, "&lt;&gt;"""),
0)</f>
        <v>0</v>
      </c>
      <c r="BR46" s="29" t="str">
        <f t="array" ref="BR46">IFERROR(
  INDEX(PLAYER_STAT!E$2:E64, 
    MATCH(1, 
      (PLAYER_STAT!A$2:A64 = MATCH_DATES!$A$7) * (PLAYER_STAT!D$2:D64 = $B46), 
    0)
  ), 
  ""
)
</f>
        <v/>
      </c>
      <c r="BS46" s="29" t="str">
        <f t="array" ref="BS46">IFERROR(
  INDEX(PLAYER_STAT!F$2:F64, 
    MATCH(1, 
      (PLAYER_STAT!A$2:A64 = MATCH_DATES!$A$7) * (PLAYER_STAT!D$2:D64 = $B46), 
    0)
  ), 
  ""
)
</f>
        <v/>
      </c>
      <c r="BT46" s="30" t="str">
        <f t="array" ref="BT46">IFERROR(
  INDEX(PLAYER_STAT!G$2:G64, 
    MATCH(1, 
      (PLAYER_STAT!A$2:A64 = MATCH_DATES!$A$7) * (PLAYER_STAT!D$2:D64 = $B46), 
    0)
  ), 
  ""
)
</f>
        <v/>
      </c>
      <c r="BU46" s="31">
        <f t="shared" si="156"/>
        <v>9</v>
      </c>
      <c r="BV46" s="32" t="str">
        <f t="shared" si="31"/>
        <v>↓</v>
      </c>
      <c r="BW46" s="21"/>
      <c r="BX46" s="33">
        <f t="shared" si="32"/>
        <v>4</v>
      </c>
      <c r="BY46" s="22">
        <f t="shared" si="33"/>
        <v>0</v>
      </c>
      <c r="BZ46" s="22">
        <f>SUM(CA46*2)+(CB46*1) + SUMIFS(MATCH_INPUT!$G$26:$G$29, MATCH_INPUT!$F$26:$F$29, BW46) + SUMIFS(MATCH_INPUT!$I$26:$I$29, MATCH_INPUT!$J$26:$J$29, BW46)
</f>
        <v>0</v>
      </c>
      <c r="CA46" s="22">
        <f>IF(BW46&lt;&gt;"",
    COUNTIFS(MATCH_INPUT!$K$26:$K$29,BW46),
0)</f>
        <v>0</v>
      </c>
      <c r="CB46" s="22">
        <f>IF(BW46&lt;&gt;"",
    COUNTIFS(MATCH_INPUT!$F$26:$F$29, BW46, MATCH_INPUT!$K$26:$K$29, "Draw") +
    COUNTIFS(MATCH_INPUT!$J$26:$J$29, BW46, MATCH_INPUT!$K$26:$K$29, "Draw"),
0)</f>
        <v>0</v>
      </c>
      <c r="CC46" s="22">
        <f>IF(BW46&lt;&gt;"",
    COUNTIFS(MATCH_INPUT!$F$26:$F$29, BW46, MATCH_INPUT!$K$26:$K$29, "&lt;&gt;"&amp;BW46, MATCH_INPUT!$K$26:$K$29, "&lt;&gt;Draw", MATCH_INPUT!$K$26:$K$29, "&lt;&gt;""") +
    COUNTIFS(MATCH_INPUT!$J$26:$J$29, BW46, MATCH_INPUT!$K$26:$K$29, "&lt;&gt;"&amp;BW46, MATCH_INPUT!$K$26:$K$29, "&lt;&gt;Draw", MATCH_INPUT!$K$26:$K$29, "&lt;&gt;"""),
0)</f>
        <v>0</v>
      </c>
      <c r="CD46" s="23" t="str">
        <f t="array" ref="CD46">IFERROR(
  INDEX(PLAYER_STAT!E$2:E64, 
    MATCH(1, 
      (PLAYER_STAT!A$2:A64 = MATCH_DATES!$A$8) * (PLAYER_STAT!D$2:D64 = $B46), 
    0)
  ), 
  ""
)
</f>
        <v/>
      </c>
      <c r="CE46" s="23" t="str">
        <f t="array" ref="CE46">IFERROR(
  INDEX(PLAYER_STAT!F$2:F64, 
    MATCH(1, 
      (PLAYER_STAT!A$2:A64 = MATCH_DATES!$A$8) * (PLAYER_STAT!D$2:D64 = $B46), 
    0)
  ), 
  ""
)
</f>
        <v/>
      </c>
      <c r="CF46" s="34" t="str">
        <f t="array" ref="CF46">IFERROR(
  INDEX(PLAYER_STAT!G$2:G64, 
    MATCH(1, 
      (PLAYER_STAT!A$2:A64 = MATCH_DATES!$A$8) * (PLAYER_STAT!D$2:D64 = $B46), 
    0)
  ), 
  ""
)
</f>
        <v/>
      </c>
      <c r="CG46" s="25">
        <f t="shared" si="157"/>
        <v>11</v>
      </c>
      <c r="CH46" s="26" t="str">
        <f t="shared" si="35"/>
        <v>↓</v>
      </c>
      <c r="CI46" s="27"/>
      <c r="CJ46" s="28">
        <f t="shared" si="36"/>
        <v>4</v>
      </c>
      <c r="CK46" s="28">
        <f t="shared" si="37"/>
        <v>0</v>
      </c>
      <c r="CL46" s="28">
        <f>SUM(CM46*2)+(CN46*1) + SUMIFS(MATCH_INPUT!$G$30:$G$33, MATCH_INPUT!$F$30:$F$33, CI46) + SUMIFS(MATCH_INPUT!$I$30:$I$33, MATCH_INPUT!$J$30:$J$33, CI46)
</f>
        <v>0</v>
      </c>
      <c r="CM46" s="28">
        <f>IF(CI46&lt;&gt;"",
    COUNTIFS(MATCH_INPUT!$K$30:$K$33,CI46),
0)</f>
        <v>0</v>
      </c>
      <c r="CN46" s="28">
        <f>IF(CI46&lt;&gt;"",
    COUNTIFS(MATCH_INPUT!$F$30:$F$33, CI46, MATCH_INPUT!$K$30:$K$33, "Draw") +
    COUNTIFS(MATCH_INPUT!$J$30:$J$33, CI46, MATCH_INPUT!$K$30:$K$33, "Draw"),
0)</f>
        <v>0</v>
      </c>
      <c r="CO46" s="28">
        <f>IF(CI46&lt;&gt;"",
    COUNTIFS(MATCH_INPUT!$F$30:$F$33, CI46, MATCH_INPUT!$K$30:$K$33, "&lt;&gt;"&amp;CI46, MATCH_INPUT!$K$30:$K$33, "&lt;&gt;Draw", MATCH_INPUT!$K$30:$K$33, "&lt;&gt;""") +
    COUNTIFS(MATCH_INPUT!$J$30:$J$33, CI46, MATCH_INPUT!$K$30:$K$33, "&lt;&gt;"&amp;CI46, MATCH_INPUT!$K$30:$K$33, "&lt;&gt;Draw", MATCH_INPUT!$K$30:$K$33, "&lt;&gt;"""),
0)</f>
        <v>0</v>
      </c>
      <c r="CP46" s="29" t="str">
        <f t="array" ref="CP46">IFERROR(
  INDEX(PLAYER_STAT!E$2:E64, 
    MATCH(1, 
      (PLAYER_STAT!A$2:A64 = MATCH_DATES!$A$9) * (PLAYER_STAT!D$2:D64 = $B46), 
    0)
  ), 
  ""
)
</f>
        <v/>
      </c>
      <c r="CQ46" s="29" t="str">
        <f t="array" ref="CQ46">IFERROR(
  INDEX(PLAYER_STAT!F$2:F64, 
    MATCH(1, 
      (PLAYER_STAT!A$2:A64 = MATCH_DATES!$A$9) * (PLAYER_STAT!D$2:D64 = $B46), 
    0)
  ), 
  ""
)
</f>
        <v/>
      </c>
      <c r="CR46" s="30" t="str">
        <f t="array" ref="CR46">IFERROR(
  INDEX(PLAYER_STAT!G$2:G64, 
    MATCH(1, 
      (PLAYER_STAT!A$2:A64 = MATCH_DATES!$A$9) * (PLAYER_STAT!D$2:D64 = $B46), 
    0)
  ), 
  ""
)
</f>
        <v/>
      </c>
      <c r="CS46" s="35">
        <f t="shared" si="158"/>
        <v>12</v>
      </c>
      <c r="CT46" s="35" t="str">
        <f t="shared" si="39"/>
        <v>↓</v>
      </c>
      <c r="CU46" s="36">
        <f t="shared" si="40"/>
        <v>2</v>
      </c>
      <c r="CV46" s="36" t="str">
        <f t="shared" ref="CV46:CW46" si="177">A46</f>
        <v>🛗</v>
      </c>
      <c r="CW46" s="37" t="str">
        <f t="shared" si="177"/>
        <v>(Sub)  👬 Calin</v>
      </c>
      <c r="CX46" s="37">
        <f t="shared" si="42"/>
        <v>4</v>
      </c>
      <c r="CY46" s="36">
        <f>SUM(
  IF(AND(MATCH_DATES!$A$2 &lt;= TODAY(), NOW() &gt;= MATCH_DATES!$A$2 + TIME(22, 0, 0)), E46, 0),
  IF(AND(MATCH_DATES!$A$3 &lt;= TODAY(), NOW() &gt;= MATCH_DATES!$A$3 + TIME(22, 0, 0)), Q46, 0),
  IF(AND(MATCH_DATES!$A$4 &lt;= TODAY(), NOW() &gt;= MATCH_DATES!$A$4 + TIME(22, 0, 0)), AC46, 0),
  IF(AND(MATCH_DATES!$A$5 &lt;= TODAY(), NOW() &gt;= MATCH_DATES!$A$5 + TIME(22, 0, 0)), AO46, 0),
  IF(AND(MATCH_DATES!$A$6 &lt;= TODAY(), NOW() &gt;= MATCH_DATES!$A$6 + TIME(22, 0, 0)), BA46, 0),
  IF(AND(MATCH_DATES!$A$7 &lt;= TODAY(), NOW() &gt;= MATCH_DATES!$A$7 + TIME(22, 0, 0)), BM46, 0),
  IF(AND(MATCH_DATES!$A$8 &lt;= TODAY(), NOW() &gt;= MATCH_DATES!$A$8 + TIME(22, 0, 0)), BY46, 0),
  IF(AND(MATCH_DATES!$A$9 &lt;= TODAY(), NOW() &gt;= MATCH_DATES!$A$9 + TIME(22, 0, 0)), CK46, 0)
)
</f>
        <v>2</v>
      </c>
      <c r="CZ46" s="37">
        <f t="shared" ref="CZ46:DA46" si="178">SUM(G46,S46,AE46,AQ46,BC46,BO46,CA46,CM46)</f>
        <v>1</v>
      </c>
      <c r="DA46" s="37">
        <f t="shared" si="178"/>
        <v>0</v>
      </c>
      <c r="DB46" s="37">
        <f>SUM(
  IF(AND(MATCH_DATES!$A$2 &lt;= TODAY(), NOW() &gt;= MATCH_DATES!$A$2 + TIME(22, 0, 0)), I46, 0),
  IF(AND(MATCH_DATES!$A$3 &lt;= TODAY(), NOW() &gt;= MATCH_DATES!$A$3 + TIME(22, 0, 0)), U46, 0),
  IF(AND(MATCH_DATES!$A$4 &lt;= TODAY(), NOW() &gt;= MATCH_DATES!$A$4 + TIME(22, 0, 0)), AG46, 0),
  IF(AND(MATCH_DATES!$A$5 &lt;= TODAY(), NOW() &gt;= MATCH_DATES!$A$5 + TIME(22, 0, 0)), AS46, 0),
  IF(AND(MATCH_DATES!$A$6 &lt;= TODAY(), NOW() &gt;= MATCH_DATES!$A$6 + TIME(22, 0, 0)), BE46, 0),
  IF(AND(MATCH_DATES!$A$7 &lt;= TODAY(), NOW() &gt;= MATCH_DATES!$A$7 + TIME(22, 0, 0)), BQ46, 0),
  IF(AND(MATCH_DATES!$A$8 &lt;= TODAY(), NOW() &gt;= MATCH_DATES!$A$8 + TIME(22, 0, 0)), CC46, 0),
  IF(AND(MATCH_DATES!$A$9 &lt;= TODAY(), NOW() &gt;= MATCH_DATES!$A$9 + TIME(22, 0, 0)), CO46, 0)
)</f>
        <v>1</v>
      </c>
      <c r="DC46" s="37">
        <f t="shared" si="44"/>
        <v>0</v>
      </c>
      <c r="DD46" s="37">
        <f t="shared" ref="DD46:DE46" si="179">SUM(K46,W46,AI46,AU46,BG46,BS46,CE46,CQ46)</f>
        <v>0</v>
      </c>
      <c r="DE46" s="37">
        <f t="shared" si="179"/>
        <v>0</v>
      </c>
    </row>
    <row r="47" ht="24.75" customHeight="1">
      <c r="A47" s="30" t="s">
        <v>242</v>
      </c>
      <c r="B47" s="30" t="s">
        <v>251</v>
      </c>
      <c r="C47" s="41"/>
      <c r="D47" s="22">
        <f t="shared" si="4"/>
        <v>0</v>
      </c>
      <c r="E47" s="22">
        <f t="shared" si="5"/>
        <v>0</v>
      </c>
      <c r="F47" s="22">
        <f t="shared" si="6"/>
        <v>0</v>
      </c>
      <c r="G47" s="22">
        <f>IF(C47&lt;&gt;"",
    COUNTIFS(MATCH_INPUT!$K$2:$K$5,C47),
0)</f>
        <v>0</v>
      </c>
      <c r="H47" s="22">
        <f>IF(C47&lt;&gt;"",
    COUNTIFS(MATCH_INPUT!$F$2:$F$5, C47, MATCH_INPUT!$K$2:$K$5, "Draw") +
    COUNTIFS(MATCH_INPUT!$J$2:$J$5, C47, MATCH_INPUT!$K$2:$K$5, "Draw"),
0)</f>
        <v>0</v>
      </c>
      <c r="I47" s="22">
        <f>IF(C47&lt;&gt;"",
    COUNTIFS(MATCH_INPUT!$F$2:$F$5, C47, MATCH_INPUT!$K$2:$K$5, "&lt;&gt;"&amp;C47, MATCH_INPUT!$K$2:$K$5, "&lt;&gt;Draw", MATCH_INPUT!$K$2:$K$5, "&lt;&gt;""") +
    COUNTIFS(MATCH_INPUT!$J$2:$J$5, C47, MATCH_INPUT!$K$2:$K$5, "&lt;&gt;"&amp;C47, MATCH_INPUT!$K$2:$K$5, "&lt;&gt;Draw", MATCH_INPUT!$K$2:$K$5, "&lt;&gt;"""),
0)</f>
        <v>0</v>
      </c>
      <c r="J47" s="23" t="str">
        <f t="array" ref="J47">IFERROR(
  INDEX(PLAYER_STAT!E$2:E64, 
    MATCH(1, 
      (PLAYER_STAT!A$2:A64 = MATCH_DATES!$A$2) * (PLAYER_STAT!D$2:D64 = $B47), 
    0)
  ), 
  ""
)
</f>
        <v/>
      </c>
      <c r="K47" s="23" t="str">
        <f t="array" ref="K47">IFERROR(
  INDEX(PLAYER_STAT!F$2:F64, 
    MATCH(1, 
      (PLAYER_STAT!A$2:A64 = MATCH_DATES!$A$2) * (PLAYER_STAT!D$2:D64 = $B47), 
    0)
  ), 
  ""
)
</f>
        <v/>
      </c>
      <c r="L47" s="24" t="str">
        <f t="array" ref="L47">IFERROR(
  INDEX(PLAYER_STAT!G$2:G64, 
    MATCH(1, 
      (PLAYER_STAT!A$2:A64 = MATCH_DATES!$A$2) * (PLAYER_STAT!D$2:D64 = $B47), 
    0)
  ), 
  ""
)
</f>
        <v/>
      </c>
      <c r="M47" s="25">
        <f t="shared" si="151"/>
        <v>6</v>
      </c>
      <c r="N47" s="26" t="str">
        <f t="shared" si="8"/>
        <v>↓</v>
      </c>
      <c r="O47" s="27" t="s">
        <v>212</v>
      </c>
      <c r="P47" s="28">
        <f t="shared" si="9"/>
        <v>3</v>
      </c>
      <c r="Q47" s="28">
        <f t="shared" si="10"/>
        <v>2</v>
      </c>
      <c r="R47" s="28">
        <f t="shared" si="11"/>
        <v>1</v>
      </c>
      <c r="S47" s="28">
        <f>IF(O47&lt;&gt;"",
    COUNTIFS(MATCH_INPUT!$K$6:$K$9,O47),
0)</f>
        <v>0</v>
      </c>
      <c r="T47" s="28">
        <f>IF(O47&lt;&gt;"",
    COUNTIFS(MATCH_INPUT!$F$6:$F$9, O47, MATCH_INPUT!$K$6:$K$9, "Draw") +
    COUNTIFS(MATCH_INPUT!$J$6:$J$9, O47, MATCH_INPUT!$K$6:$K$9, "Draw"),
0)</f>
        <v>1</v>
      </c>
      <c r="U47" s="28">
        <f>IF(O47&lt;&gt;"",
    COUNTIFS(MATCH_INPUT!$F$6:$F$9, O47, MATCH_INPUT!$K$6:$K$9, "&lt;&gt;"&amp;O47, MATCH_INPUT!$K$6:$K$9, "&lt;&gt;Draw", MATCH_INPUT!$K$6:$K$9, "&lt;&gt;""") +
    COUNTIFS(MATCH_INPUT!$J$6:$J$9, O47, MATCH_INPUT!$K$6:$K$9, "&lt;&gt;"&amp;O47, MATCH_INPUT!$K$6:$K$9, "&lt;&gt;Draw", MATCH_INPUT!$K$6:$K$9, "&lt;&gt;"""),
0)</f>
        <v>1</v>
      </c>
      <c r="V47" s="29" t="str">
        <f t="array" ref="V47">IFERROR(
  INDEX(PLAYER_STAT!E$2:E64, 
    MATCH(1, 
      (PLAYER_STAT!A$2:A64 = MATCH_DATES!$A$3) * (PLAYER_STAT!D$2:D64 = $B47), 
    0)
  ), 
  ""
)
</f>
        <v/>
      </c>
      <c r="W47" s="29" t="str">
        <f t="array" ref="W47">IFERROR(
  INDEX(PLAYER_STAT!F$2:F64, 
    MATCH(1, 
      (PLAYER_STAT!A$2:A64 = MATCH_DATES!$A$3) * (PLAYER_STAT!D$2:D64 = $B47), 
    0)
  ), 
  ""
)
</f>
        <v/>
      </c>
      <c r="X47" s="30" t="str">
        <f t="array" ref="X47">IFERROR(
  INDEX(PLAYER_STAT!G$2:G64, 
    MATCH(1, 
      (PLAYER_STAT!A$2:A64 = MATCH_DATES!$A$3) * (PLAYER_STAT!D$2:D64 = $B47), 
    0)
  ), 
  ""
)
</f>
        <v/>
      </c>
      <c r="Y47" s="31">
        <f t="shared" si="152"/>
        <v>4</v>
      </c>
      <c r="Z47" s="32" t="str">
        <f t="shared" si="13"/>
        <v>↑</v>
      </c>
      <c r="AA47" s="21"/>
      <c r="AB47" s="33">
        <f t="shared" si="14"/>
        <v>3</v>
      </c>
      <c r="AC47" s="22">
        <f t="shared" si="15"/>
        <v>0</v>
      </c>
      <c r="AD47" s="22">
        <f t="shared" si="16"/>
        <v>0</v>
      </c>
      <c r="AE47" s="22">
        <f>IF(AA47&lt;&gt;"",
    COUNTIFS(MATCH_INPUT!$K$10:$K$13,AA47),
0)</f>
        <v>0</v>
      </c>
      <c r="AF47" s="22">
        <f>IF(AA47&lt;&gt;"",
    COUNTIFS(MATCH_INPUT!$F$10:$F$13, AA47, MATCH_INPUT!$K$10:$K$13, "Draw") +
    COUNTIFS(MATCH_INPUT!$J$10:$J$13, AA47, MATCH_INPUT!$K$10:$K$13, "Draw"),
0)</f>
        <v>0</v>
      </c>
      <c r="AG47" s="22">
        <f>IF(AA47&lt;&gt;"",
    COUNTIFS(MATCH_INPUT!$F$10:$F$13, AA47, MATCH_INPUT!$K$10:$K$13, "&lt;&gt;"&amp;AA47, MATCH_INPUT!$K$10:$K$13, "&lt;&gt;Draw", MATCH_INPUT!$K$10:$K$13, "&lt;&gt;""") +
    COUNTIFS(MATCH_INPUT!$J$10:$J$13, AA47, MATCH_INPUT!$K$10:$K$13, "&lt;&gt;"&amp;AA47, MATCH_INPUT!$K$10:$K$13, "&lt;&gt;Draw", MATCH_INPUT!$K$10:$K$13, "&lt;&gt;"""),
0)</f>
        <v>0</v>
      </c>
      <c r="AH47" s="23" t="str">
        <f t="array" ref="AH47">IFERROR(
  INDEX(PLAYER_STAT!E$2:E64, 
    MATCH(1, 
      (PLAYER_STAT!A$2:A64 = MATCH_DATES!$A$4) * (PLAYER_STAT!D$2:D64 = $B47), 
    0)
  ), 
  ""
)
</f>
        <v/>
      </c>
      <c r="AI47" s="23" t="str">
        <f t="array" ref="AI47">IFERROR(
  INDEX(PLAYER_STAT!F$2:F64, 
    MATCH(1, 
      (PLAYER_STAT!A$2:A64 = MATCH_DATES!$A$4) * (PLAYER_STAT!D$2:D64 = $B47), 
    0)
  ), 
  ""
)
</f>
        <v/>
      </c>
      <c r="AJ47" s="34" t="str">
        <f t="array" ref="AJ47">IFERROR(
  INDEX(PLAYER_STAT!G$2:G64, 
    MATCH(1, 
      (PLAYER_STAT!A$2:A64 = MATCH_DATES!$A$4) * (PLAYER_STAT!D$2:D64 = $B47), 
    0)
  ), 
  ""
)
</f>
        <v/>
      </c>
      <c r="AK47" s="25">
        <f t="shared" si="153"/>
        <v>6</v>
      </c>
      <c r="AL47" s="26" t="str">
        <f t="shared" si="18"/>
        <v>↓</v>
      </c>
      <c r="AM47" s="27"/>
      <c r="AN47" s="28">
        <f t="shared" si="19"/>
        <v>3</v>
      </c>
      <c r="AO47" s="28">
        <f t="shared" si="20"/>
        <v>0</v>
      </c>
      <c r="AP47" s="28">
        <f t="shared" si="21"/>
        <v>0</v>
      </c>
      <c r="AQ47" s="28">
        <f>IF(AM47&lt;&gt;"",
    COUNTIFS(MATCH_INPUT!$K$14:$K$17,AM47),
0)</f>
        <v>0</v>
      </c>
      <c r="AR47" s="28">
        <f>IF(AM47&lt;&gt;"",
    COUNTIFS(MATCH_INPUT!$F$14:$F$17, AM47, MATCH_INPUT!$K$14:$K$17, "Draw") +
    COUNTIFS(MATCH_INPUT!$J$14:$J$17, AM47, MATCH_INPUT!$K$14:$K$17, "Draw"),
0)</f>
        <v>0</v>
      </c>
      <c r="AS47" s="28">
        <f>IF(AM47&lt;&gt;"",
    COUNTIFS(MATCH_INPUT!$F$14:$F$17, AM47, MATCH_INPUT!$K$14:$K$17, "&lt;&gt;"&amp;AM47, MATCH_INPUT!$K$14:$K$17, "&lt;&gt;Draw", MATCH_INPUT!$K$14:$K$17, "&lt;&gt;""") +
    COUNTIFS(MATCH_INPUT!$J$14:$J$17, AM47, MATCH_INPUT!$K$14:$K$17, "&lt;&gt;"&amp;AM47, MATCH_INPUT!$K$14:$K$17, "&lt;&gt;Draw", MATCH_INPUT!$K$14:$K$17, "&lt;&gt;"""),
0)</f>
        <v>0</v>
      </c>
      <c r="AT47" s="29" t="str">
        <f t="array" ref="AT47">IFERROR(
  INDEX(PLAYER_STAT!E$2:E64, 
    MATCH(1, 
      (PLAYER_STAT!A$2:A64 = MATCH_DATES!$A$5) * (PLAYER_STAT!D$2:D64 = $B47), 
    0)
  ), 
  ""
)
</f>
        <v/>
      </c>
      <c r="AU47" s="29" t="str">
        <f t="array" ref="AU47">IFERROR(
  INDEX(PLAYER_STAT!F$2:F64, 
    MATCH(1, 
      (PLAYER_STAT!A$2:A64 = MATCH_DATES!$A$5) * (PLAYER_STAT!D$2:D64 = $B47), 
    0)
  ), 
  ""
)
</f>
        <v/>
      </c>
      <c r="AV47" s="30" t="str">
        <f t="array" ref="AV47">IFERROR(
  INDEX(PLAYER_STAT!G$2:G64, 
    MATCH(1, 
      (PLAYER_STAT!A$2:A64 = MATCH_DATES!$A$5) * (PLAYER_STAT!D$2:D64 = $B47), 
    0)
  ), 
  ""
)
</f>
        <v/>
      </c>
      <c r="AW47" s="31">
        <f t="shared" si="154"/>
        <v>9</v>
      </c>
      <c r="AX47" s="32" t="str">
        <f t="shared" si="23"/>
        <v>↓</v>
      </c>
      <c r="AY47" s="21"/>
      <c r="AZ47" s="33">
        <f t="shared" si="24"/>
        <v>3</v>
      </c>
      <c r="BA47" s="22">
        <f t="shared" si="25"/>
        <v>0</v>
      </c>
      <c r="BB47" s="22">
        <f>SUM(BC47*2) + (BD47*1) + SUMIFS(MATCH_INPUT!$G$18:$G$21, MATCH_INPUT!$F$18:$F$21, AY47) + SUMIFS(MATCH_INPUT!$I$18:$I$21, MATCH_INPUT!$J$18:$J$21, AY47)
</f>
        <v>0</v>
      </c>
      <c r="BC47" s="22">
        <f>IF(AY47&lt;&gt;"",
    COUNTIFS(MATCH_INPUT!$K$18:$K$21,AY47),
0)</f>
        <v>0</v>
      </c>
      <c r="BD47" s="22">
        <f>IF(AY47&lt;&gt;"",
    COUNTIFS(MATCH_INPUT!$F$18:$F$21, AY47, MATCH_INPUT!$K$18:$K$21, "Draw") +
    COUNTIFS(MATCH_INPUT!$J$18:$J$21, AY47, MATCH_INPUT!$K$18:$K$21, "Draw"),
0)</f>
        <v>0</v>
      </c>
      <c r="BE47" s="22">
        <f>IF(AY47&lt;&gt;"",
    COUNTIFS(MATCH_INPUT!$F$18:$F$21, AY47, MATCH_INPUT!$K$18:$K$21, "&lt;&gt;"&amp;AY47, MATCH_INPUT!$K$18:$K$21, "&lt;&gt;Draw", MATCH_INPUT!$K$18:$K$21, "&lt;&gt;""") +
    COUNTIFS(MATCH_INPUT!$J$18:$J$21, AY47, MATCH_INPUT!$K$18:$K$21, "&lt;&gt;"&amp;AY47, MATCH_INPUT!$K$18:$K$21, "&lt;&gt;Draw", MATCH_INPUT!$K$18:$K$21, "&lt;&gt;"""),
0)</f>
        <v>0</v>
      </c>
      <c r="BF47" s="23" t="str">
        <f t="array" ref="BF47">IFERROR(
  INDEX(PLAYER_STAT!E$2:E64, 
    MATCH(1, 
      (PLAYER_STAT!A$2:A64 = MATCH_DATES!$A$6) * (PLAYER_STAT!D$2:D64 = $B47), 
    0)
  ), 
  ""
)
</f>
        <v/>
      </c>
      <c r="BG47" s="23" t="str">
        <f t="array" ref="BG47">IFERROR(
  INDEX(PLAYER_STAT!F$2:F64, 
    MATCH(1, 
      (PLAYER_STAT!A$2:A64 = MATCH_DATES!$A$6) * (PLAYER_STAT!D$2:D64 = $B47), 
    0)
  ), 
  ""
)
</f>
        <v/>
      </c>
      <c r="BH47" s="34" t="str">
        <f t="array" ref="BH47">IFERROR(
  INDEX(PLAYER_STAT!G$2:G64, 
    MATCH(1, 
      (PLAYER_STAT!A$2:A64 = MATCH_DATES!$A$6) * (PLAYER_STAT!D$2:D64 = $B47), 
    0)
  ), 
  ""
)
</f>
        <v/>
      </c>
      <c r="BI47" s="25">
        <f t="shared" si="155"/>
        <v>11</v>
      </c>
      <c r="BJ47" s="26" t="str">
        <f t="shared" si="27"/>
        <v>↓</v>
      </c>
      <c r="BK47" s="27"/>
      <c r="BL47" s="28">
        <f t="shared" si="28"/>
        <v>3</v>
      </c>
      <c r="BM47" s="28">
        <f t="shared" si="29"/>
        <v>0</v>
      </c>
      <c r="BN47" s="28">
        <f>SUM(BO47*2) + (BP47*1) + SUMIFS(MATCH_INPUT!$G$22:$G$25, MATCH_INPUT!$F$22:$F$25, BK47) + SUMIFS(MATCH_INPUT!$I$22:$I$25, MATCH_INPUT!$J$22:$J$25, BK47)
</f>
        <v>0</v>
      </c>
      <c r="BO47" s="28">
        <f>IF(BK47&lt;&gt;"",
    COUNTIFS(MATCH_INPUT!$K$22:$K$25,BK47),
0)</f>
        <v>0</v>
      </c>
      <c r="BP47" s="28">
        <f>IF(BK47&lt;&gt;"",
    COUNTIFS(MATCH_INPUT!$F$22:$F$25, BK47, MATCH_INPUT!$K$22:$K$25, "Draw") +
    COUNTIFS(MATCH_INPUT!$J$22:$J$25, BK47, MATCH_INPUT!$K$22:$K$25, "Draw"),
0)</f>
        <v>0</v>
      </c>
      <c r="BQ47" s="28">
        <f>IF(BK47&lt;&gt;"",
    COUNTIFS(MATCH_INPUT!$F$22:$F$25, BK47, MATCH_INPUT!$K$22:$K$25, "&lt;&gt;"&amp;BK47, MATCH_INPUT!$K$22:$K$25, "&lt;&gt;Draw", MATCH_INPUT!$K$22:$K$25, "&lt;&gt;""") +
    COUNTIFS(MATCH_INPUT!$J$22:$J$25, BK47, MATCH_INPUT!$K$22:$K$25, "&lt;&gt;"&amp;BK47, MATCH_INPUT!$K$22:$K$25, "&lt;&gt;Draw", MATCH_INPUT!$K$22:$K$25, "&lt;&gt;"""),
0)</f>
        <v>0</v>
      </c>
      <c r="BR47" s="29" t="str">
        <f t="array" ref="BR47">IFERROR(
  INDEX(PLAYER_STAT!E$2:E64, 
    MATCH(1, 
      (PLAYER_STAT!A$2:A64 = MATCH_DATES!$A$7) * (PLAYER_STAT!D$2:D64 = $B47), 
    0)
  ), 
  ""
)
</f>
        <v/>
      </c>
      <c r="BS47" s="29" t="str">
        <f t="array" ref="BS47">IFERROR(
  INDEX(PLAYER_STAT!F$2:F64, 
    MATCH(1, 
      (PLAYER_STAT!A$2:A64 = MATCH_DATES!$A$7) * (PLAYER_STAT!D$2:D64 = $B47), 
    0)
  ), 
  ""
)
</f>
        <v/>
      </c>
      <c r="BT47" s="30" t="str">
        <f t="array" ref="BT47">IFERROR(
  INDEX(PLAYER_STAT!G$2:G64, 
    MATCH(1, 
      (PLAYER_STAT!A$2:A64 = MATCH_DATES!$A$7) * (PLAYER_STAT!D$2:D64 = $B47), 
    0)
  ), 
  ""
)
</f>
        <v/>
      </c>
      <c r="BU47" s="31">
        <f t="shared" si="156"/>
        <v>11</v>
      </c>
      <c r="BV47" s="32" t="str">
        <f t="shared" si="31"/>
        <v>=</v>
      </c>
      <c r="BW47" s="41"/>
      <c r="BX47" s="33">
        <f t="shared" si="32"/>
        <v>3</v>
      </c>
      <c r="BY47" s="22">
        <f t="shared" si="33"/>
        <v>0</v>
      </c>
      <c r="BZ47" s="22">
        <f>SUM(CA47*2)+(CB47*1) + SUMIFS(MATCH_INPUT!$G$26:$G$29, MATCH_INPUT!$F$26:$F$29, BW47) + SUMIFS(MATCH_INPUT!$I$26:$I$29, MATCH_INPUT!$J$26:$J$29, BW47)
</f>
        <v>0</v>
      </c>
      <c r="CA47" s="22">
        <f>IF(BW47&lt;&gt;"",
    COUNTIFS(MATCH_INPUT!$K$26:$K$29,BW47),
0)</f>
        <v>0</v>
      </c>
      <c r="CB47" s="22">
        <f>IF(BW47&lt;&gt;"",
    COUNTIFS(MATCH_INPUT!$F$26:$F$29, BW47, MATCH_INPUT!$K$26:$K$29, "Draw") +
    COUNTIFS(MATCH_INPUT!$J$26:$J$29, BW47, MATCH_INPUT!$K$26:$K$29, "Draw"),
0)</f>
        <v>0</v>
      </c>
      <c r="CC47" s="22">
        <f>IF(BW47&lt;&gt;"",
    COUNTIFS(MATCH_INPUT!$F$26:$F$29, BW47, MATCH_INPUT!$K$26:$K$29, "&lt;&gt;"&amp;BW47, MATCH_INPUT!$K$26:$K$29, "&lt;&gt;Draw", MATCH_INPUT!$K$26:$K$29, "&lt;&gt;""") +
    COUNTIFS(MATCH_INPUT!$J$26:$J$29, BW47, MATCH_INPUT!$K$26:$K$29, "&lt;&gt;"&amp;BW47, MATCH_INPUT!$K$26:$K$29, "&lt;&gt;Draw", MATCH_INPUT!$K$26:$K$29, "&lt;&gt;"""),
0)</f>
        <v>0</v>
      </c>
      <c r="CD47" s="23" t="str">
        <f t="array" ref="CD47">IFERROR(
  INDEX(PLAYER_STAT!E$2:E64, 
    MATCH(1, 
      (PLAYER_STAT!A$2:A64 = MATCH_DATES!$A$8) * (PLAYER_STAT!D$2:D64 = $B47), 
    0)
  ), 
  ""
)
</f>
        <v/>
      </c>
      <c r="CE47" s="23" t="str">
        <f t="array" ref="CE47">IFERROR(
  INDEX(PLAYER_STAT!F$2:F64, 
    MATCH(1, 
      (PLAYER_STAT!A$2:A64 = MATCH_DATES!$A$8) * (PLAYER_STAT!D$2:D64 = $B47), 
    0)
  ), 
  ""
)
</f>
        <v/>
      </c>
      <c r="CF47" s="34" t="str">
        <f t="array" ref="CF47">IFERROR(
  INDEX(PLAYER_STAT!G$2:G64, 
    MATCH(1, 
      (PLAYER_STAT!A$2:A64 = MATCH_DATES!$A$8) * (PLAYER_STAT!D$2:D64 = $B47), 
    0)
  ), 
  ""
)
</f>
        <v/>
      </c>
      <c r="CG47" s="25">
        <f t="shared" si="157"/>
        <v>13</v>
      </c>
      <c r="CH47" s="26" t="str">
        <f t="shared" si="35"/>
        <v>↓</v>
      </c>
      <c r="CI47" s="27"/>
      <c r="CJ47" s="28">
        <f t="shared" si="36"/>
        <v>3</v>
      </c>
      <c r="CK47" s="28">
        <f t="shared" si="37"/>
        <v>0</v>
      </c>
      <c r="CL47" s="28">
        <f>SUM(CM47*2)+(CN47*1) + SUMIFS(MATCH_INPUT!$G$30:$G$33, MATCH_INPUT!$F$30:$F$33, CI47) + SUMIFS(MATCH_INPUT!$I$30:$I$33, MATCH_INPUT!$J$30:$J$33, CI47)
</f>
        <v>0</v>
      </c>
      <c r="CM47" s="28">
        <f>IF(CI47&lt;&gt;"",
    COUNTIFS(MATCH_INPUT!$K$30:$K$33,CI47),
0)</f>
        <v>0</v>
      </c>
      <c r="CN47" s="28">
        <f>IF(CI47&lt;&gt;"",
    COUNTIFS(MATCH_INPUT!$F$30:$F$33, CI47, MATCH_INPUT!$K$30:$K$33, "Draw") +
    COUNTIFS(MATCH_INPUT!$J$30:$J$33, CI47, MATCH_INPUT!$K$30:$K$33, "Draw"),
0)</f>
        <v>0</v>
      </c>
      <c r="CO47" s="28">
        <f>IF(CI47&lt;&gt;"",
    COUNTIFS(MATCH_INPUT!$F$30:$F$33, CI47, MATCH_INPUT!$K$30:$K$33, "&lt;&gt;"&amp;CI47, MATCH_INPUT!$K$30:$K$33, "&lt;&gt;Draw", MATCH_INPUT!$K$30:$K$33, "&lt;&gt;""") +
    COUNTIFS(MATCH_INPUT!$J$30:$J$33, CI47, MATCH_INPUT!$K$30:$K$33, "&lt;&gt;"&amp;CI47, MATCH_INPUT!$K$30:$K$33, "&lt;&gt;Draw", MATCH_INPUT!$K$30:$K$33, "&lt;&gt;"""),
0)</f>
        <v>0</v>
      </c>
      <c r="CP47" s="29" t="str">
        <f t="array" ref="CP47">IFERROR(
  INDEX(PLAYER_STAT!E$2:E64, 
    MATCH(1, 
      (PLAYER_STAT!A$2:A64 = MATCH_DATES!$A$9) * (PLAYER_STAT!D$2:D64 = $B47), 
    0)
  ), 
  ""
)
</f>
        <v/>
      </c>
      <c r="CQ47" s="29" t="str">
        <f t="array" ref="CQ47">IFERROR(
  INDEX(PLAYER_STAT!F$2:F64, 
    MATCH(1, 
      (PLAYER_STAT!A$2:A64 = MATCH_DATES!$A$9) * (PLAYER_STAT!D$2:D64 = $B47), 
    0)
  ), 
  ""
)
</f>
        <v/>
      </c>
      <c r="CR47" s="30" t="str">
        <f t="array" ref="CR47">IFERROR(
  INDEX(PLAYER_STAT!G$2:G64, 
    MATCH(1, 
      (PLAYER_STAT!A$2:A64 = MATCH_DATES!$A$9) * (PLAYER_STAT!D$2:D64 = $B47), 
    0)
  ), 
  ""
)
</f>
        <v/>
      </c>
      <c r="CS47" s="35">
        <f t="shared" si="158"/>
        <v>13</v>
      </c>
      <c r="CT47" s="35" t="str">
        <f t="shared" si="39"/>
        <v>=</v>
      </c>
      <c r="CU47" s="36">
        <f t="shared" si="40"/>
        <v>1</v>
      </c>
      <c r="CV47" s="36" t="str">
        <f t="shared" ref="CV47:CW47" si="180">A47</f>
        <v>🛗</v>
      </c>
      <c r="CW47" s="37" t="str">
        <f t="shared" si="180"/>
        <v>(Sub) Pedro</v>
      </c>
      <c r="CX47" s="37">
        <f t="shared" si="42"/>
        <v>3</v>
      </c>
      <c r="CY47" s="36">
        <f>SUM(
  IF(AND(MATCH_DATES!$A$2 &lt;= TODAY(), NOW() &gt;= MATCH_DATES!$A$2 + TIME(22, 0, 0)), E47, 0),
  IF(AND(MATCH_DATES!$A$3 &lt;= TODAY(), NOW() &gt;= MATCH_DATES!$A$3 + TIME(22, 0, 0)), Q47, 0),
  IF(AND(MATCH_DATES!$A$4 &lt;= TODAY(), NOW() &gt;= MATCH_DATES!$A$4 + TIME(22, 0, 0)), AC47, 0),
  IF(AND(MATCH_DATES!$A$5 &lt;= TODAY(), NOW() &gt;= MATCH_DATES!$A$5 + TIME(22, 0, 0)), AO47, 0),
  IF(AND(MATCH_DATES!$A$6 &lt;= TODAY(), NOW() &gt;= MATCH_DATES!$A$6 + TIME(22, 0, 0)), BA47, 0),
  IF(AND(MATCH_DATES!$A$7 &lt;= TODAY(), NOW() &gt;= MATCH_DATES!$A$7 + TIME(22, 0, 0)), BM47, 0),
  IF(AND(MATCH_DATES!$A$8 &lt;= TODAY(), NOW() &gt;= MATCH_DATES!$A$8 + TIME(22, 0, 0)), BY47, 0),
  IF(AND(MATCH_DATES!$A$9 &lt;= TODAY(), NOW() &gt;= MATCH_DATES!$A$9 + TIME(22, 0, 0)), CK47, 0)
)
</f>
        <v>2</v>
      </c>
      <c r="CZ47" s="37">
        <f t="shared" ref="CZ47:DA47" si="181">SUM(G47,S47,AE47,AQ47,BC47,BO47,CA47,CM47)</f>
        <v>0</v>
      </c>
      <c r="DA47" s="37">
        <f t="shared" si="181"/>
        <v>1</v>
      </c>
      <c r="DB47" s="37">
        <f>SUM(
  IF(AND(MATCH_DATES!$A$2 &lt;= TODAY(), NOW() &gt;= MATCH_DATES!$A$2 + TIME(22, 0, 0)), I47, 0),
  IF(AND(MATCH_DATES!$A$3 &lt;= TODAY(), NOW() &gt;= MATCH_DATES!$A$3 + TIME(22, 0, 0)), U47, 0),
  IF(AND(MATCH_DATES!$A$4 &lt;= TODAY(), NOW() &gt;= MATCH_DATES!$A$4 + TIME(22, 0, 0)), AG47, 0),
  IF(AND(MATCH_DATES!$A$5 &lt;= TODAY(), NOW() &gt;= MATCH_DATES!$A$5 + TIME(22, 0, 0)), AS47, 0),
  IF(AND(MATCH_DATES!$A$6 &lt;= TODAY(), NOW() &gt;= MATCH_DATES!$A$6 + TIME(22, 0, 0)), BE47, 0),
  IF(AND(MATCH_DATES!$A$7 &lt;= TODAY(), NOW() &gt;= MATCH_DATES!$A$7 + TIME(22, 0, 0)), BQ47, 0),
  IF(AND(MATCH_DATES!$A$8 &lt;= TODAY(), NOW() &gt;= MATCH_DATES!$A$8 + TIME(22, 0, 0)), CC47, 0),
  IF(AND(MATCH_DATES!$A$9 &lt;= TODAY(), NOW() &gt;= MATCH_DATES!$A$9 + TIME(22, 0, 0)), CO47, 0)
)</f>
        <v>1</v>
      </c>
      <c r="DC47" s="37">
        <f t="shared" si="44"/>
        <v>0</v>
      </c>
      <c r="DD47" s="37">
        <f t="shared" ref="DD47:DE47" si="182">SUM(K47,W47,AI47,AU47,BG47,BS47,CE47,CQ47)</f>
        <v>0</v>
      </c>
      <c r="DE47" s="37">
        <f t="shared" si="182"/>
        <v>0</v>
      </c>
    </row>
    <row r="48" ht="24.75" customHeight="1">
      <c r="A48" s="30" t="s">
        <v>242</v>
      </c>
      <c r="B48" s="30" t="s">
        <v>252</v>
      </c>
      <c r="C48" s="21"/>
      <c r="D48" s="22">
        <f t="shared" si="4"/>
        <v>0</v>
      </c>
      <c r="E48" s="22">
        <f t="shared" si="5"/>
        <v>0</v>
      </c>
      <c r="F48" s="22">
        <f t="shared" si="6"/>
        <v>0</v>
      </c>
      <c r="G48" s="22">
        <f>IF(C48&lt;&gt;"",
    COUNTIFS(MATCH_INPUT!$K$2:$K$5,C48),
0)</f>
        <v>0</v>
      </c>
      <c r="H48" s="22">
        <f>IF(C48&lt;&gt;"",
    COUNTIFS(MATCH_INPUT!$F$2:$F$5, C48, MATCH_INPUT!$K$2:$K$5, "Draw") +
    COUNTIFS(MATCH_INPUT!$J$2:$J$5, C48, MATCH_INPUT!$K$2:$K$5, "Draw"),
0)</f>
        <v>0</v>
      </c>
      <c r="I48" s="22">
        <f>IF(C48&lt;&gt;"",
    COUNTIFS(MATCH_INPUT!$F$2:$F$5, C48, MATCH_INPUT!$K$2:$K$5, "&lt;&gt;"&amp;C48, MATCH_INPUT!$K$2:$K$5, "&lt;&gt;Draw", MATCH_INPUT!$K$2:$K$5, "&lt;&gt;""") +
    COUNTIFS(MATCH_INPUT!$J$2:$J$5, C48, MATCH_INPUT!$K$2:$K$5, "&lt;&gt;"&amp;C48, MATCH_INPUT!$K$2:$K$5, "&lt;&gt;Draw", MATCH_INPUT!$K$2:$K$5, "&lt;&gt;"""),
0)</f>
        <v>0</v>
      </c>
      <c r="J48" s="23" t="str">
        <f t="array" ref="J48">IFERROR(
  INDEX(PLAYER_STAT!E$2:E64, 
    MATCH(1, 
      (PLAYER_STAT!A$2:A64 = MATCH_DATES!$A$2) * (PLAYER_STAT!D$2:D64 = $B48), 
    0)
  ), 
  ""
)
</f>
        <v/>
      </c>
      <c r="K48" s="23" t="str">
        <f t="array" ref="K48">IFERROR(
  INDEX(PLAYER_STAT!F$2:F64, 
    MATCH(1, 
      (PLAYER_STAT!A$2:A64 = MATCH_DATES!$A$2) * (PLAYER_STAT!D$2:D64 = $B48), 
    0)
  ), 
  ""
)
</f>
        <v/>
      </c>
      <c r="L48" s="24" t="str">
        <f t="array" ref="L48">IFERROR(
  INDEX(PLAYER_STAT!G$2:G64, 
    MATCH(1, 
      (PLAYER_STAT!A$2:A64 = MATCH_DATES!$A$2) * (PLAYER_STAT!D$2:D64 = $B48), 
    0)
  ), 
  ""
)
</f>
        <v/>
      </c>
      <c r="M48" s="25">
        <f t="shared" si="151"/>
        <v>6</v>
      </c>
      <c r="N48" s="26" t="str">
        <f t="shared" si="8"/>
        <v>↓</v>
      </c>
      <c r="O48" s="27"/>
      <c r="P48" s="28">
        <f t="shared" si="9"/>
        <v>0</v>
      </c>
      <c r="Q48" s="28">
        <f t="shared" si="10"/>
        <v>0</v>
      </c>
      <c r="R48" s="28">
        <f t="shared" si="11"/>
        <v>0</v>
      </c>
      <c r="S48" s="28">
        <f>IF(O48&lt;&gt;"",
    COUNTIFS(MATCH_INPUT!$K$6:$K$9,O48),
0)</f>
        <v>0</v>
      </c>
      <c r="T48" s="28">
        <f>IF(O48&lt;&gt;"",
    COUNTIFS(MATCH_INPUT!$F$6:$F$9, O48, MATCH_INPUT!$K$6:$K$9, "Draw") +
    COUNTIFS(MATCH_INPUT!$J$6:$J$9, O48, MATCH_INPUT!$K$6:$K$9, "Draw"),
0)</f>
        <v>0</v>
      </c>
      <c r="U48" s="28">
        <f>IF(O48&lt;&gt;"",
    COUNTIFS(MATCH_INPUT!$F$6:$F$9, O48, MATCH_INPUT!$K$6:$K$9, "&lt;&gt;"&amp;O48, MATCH_INPUT!$K$6:$K$9, "&lt;&gt;Draw", MATCH_INPUT!$K$6:$K$9, "&lt;&gt;""") +
    COUNTIFS(MATCH_INPUT!$J$6:$J$9, O48, MATCH_INPUT!$K$6:$K$9, "&lt;&gt;"&amp;O48, MATCH_INPUT!$K$6:$K$9, "&lt;&gt;Draw", MATCH_INPUT!$K$6:$K$9, "&lt;&gt;"""),
0)</f>
        <v>0</v>
      </c>
      <c r="V48" s="29" t="str">
        <f t="array" ref="V48">IFERROR(
  INDEX(PLAYER_STAT!E$2:E64, 
    MATCH(1, 
      (PLAYER_STAT!A$2:A64 = MATCH_DATES!$A$3) * (PLAYER_STAT!D$2:D64 = $B48), 
    0)
  ), 
  ""
)
</f>
        <v/>
      </c>
      <c r="W48" s="29" t="str">
        <f t="array" ref="W48">IFERROR(
  INDEX(PLAYER_STAT!F$2:F64, 
    MATCH(1, 
      (PLAYER_STAT!A$2:A64 = MATCH_DATES!$A$3) * (PLAYER_STAT!D$2:D64 = $B48), 
    0)
  ), 
  ""
)
</f>
        <v/>
      </c>
      <c r="X48" s="30" t="str">
        <f t="array" ref="X48">IFERROR(
  INDEX(PLAYER_STAT!G$2:G64, 
    MATCH(1, 
      (PLAYER_STAT!A$2:A64 = MATCH_DATES!$A$3) * (PLAYER_STAT!D$2:D64 = $B48), 
    0)
  ), 
  ""
)
</f>
        <v/>
      </c>
      <c r="Y48" s="31">
        <f t="shared" si="152"/>
        <v>7</v>
      </c>
      <c r="Z48" s="32" t="str">
        <f t="shared" si="13"/>
        <v>↓</v>
      </c>
      <c r="AA48" s="21"/>
      <c r="AB48" s="33">
        <f t="shared" si="14"/>
        <v>0</v>
      </c>
      <c r="AC48" s="22">
        <f t="shared" si="15"/>
        <v>0</v>
      </c>
      <c r="AD48" s="22">
        <f t="shared" si="16"/>
        <v>0</v>
      </c>
      <c r="AE48" s="22">
        <f>IF(AA48&lt;&gt;"",
    COUNTIFS(MATCH_INPUT!$K$10:$K$13,AA48),
0)</f>
        <v>0</v>
      </c>
      <c r="AF48" s="22">
        <f>IF(AA48&lt;&gt;"",
    COUNTIFS(MATCH_INPUT!$F$10:$F$13, AA48, MATCH_INPUT!$K$10:$K$13, "Draw") +
    COUNTIFS(MATCH_INPUT!$J$10:$J$13, AA48, MATCH_INPUT!$K$10:$K$13, "Draw"),
0)</f>
        <v>0</v>
      </c>
      <c r="AG48" s="22">
        <f>IF(AA48&lt;&gt;"",
    COUNTIFS(MATCH_INPUT!$F$10:$F$13, AA48, MATCH_INPUT!$K$10:$K$13, "&lt;&gt;"&amp;AA48, MATCH_INPUT!$K$10:$K$13, "&lt;&gt;Draw", MATCH_INPUT!$K$10:$K$13, "&lt;&gt;""") +
    COUNTIFS(MATCH_INPUT!$J$10:$J$13, AA48, MATCH_INPUT!$K$10:$K$13, "&lt;&gt;"&amp;AA48, MATCH_INPUT!$K$10:$K$13, "&lt;&gt;Draw", MATCH_INPUT!$K$10:$K$13, "&lt;&gt;"""),
0)</f>
        <v>0</v>
      </c>
      <c r="AH48" s="23" t="str">
        <f t="array" ref="AH48">IFERROR(
  INDEX(PLAYER_STAT!E$2:E64, 
    MATCH(1, 
      (PLAYER_STAT!A$2:A64 = MATCH_DATES!$A$4) * (PLAYER_STAT!D$2:D64 = $B48), 
    0)
  ), 
  ""
)
</f>
        <v/>
      </c>
      <c r="AI48" s="23" t="str">
        <f t="array" ref="AI48">IFERROR(
  INDEX(PLAYER_STAT!F$2:F64, 
    MATCH(1, 
      (PLAYER_STAT!A$2:A64 = MATCH_DATES!$A$4) * (PLAYER_STAT!D$2:D64 = $B48), 
    0)
  ), 
  ""
)
</f>
        <v/>
      </c>
      <c r="AJ48" s="34" t="str">
        <f t="array" ref="AJ48">IFERROR(
  INDEX(PLAYER_STAT!G$2:G64, 
    MATCH(1, 
      (PLAYER_STAT!A$2:A64 = MATCH_DATES!$A$4) * (PLAYER_STAT!D$2:D64 = $B48), 
    0)
  ), 
  ""
)
</f>
        <v/>
      </c>
      <c r="AK48" s="25">
        <f t="shared" si="153"/>
        <v>7</v>
      </c>
      <c r="AL48" s="26" t="str">
        <f t="shared" si="18"/>
        <v>=</v>
      </c>
      <c r="AM48" s="27"/>
      <c r="AN48" s="28">
        <f t="shared" si="19"/>
        <v>0</v>
      </c>
      <c r="AO48" s="28">
        <f t="shared" si="20"/>
        <v>0</v>
      </c>
      <c r="AP48" s="28">
        <f t="shared" si="21"/>
        <v>0</v>
      </c>
      <c r="AQ48" s="28">
        <f>IF(AM48&lt;&gt;"",
    COUNTIFS(MATCH_INPUT!$K$14:$K$17,AM48),
0)</f>
        <v>0</v>
      </c>
      <c r="AR48" s="28">
        <f>IF(AM48&lt;&gt;"",
    COUNTIFS(MATCH_INPUT!$F$14:$F$17, AM48, MATCH_INPUT!$K$14:$K$17, "Draw") +
    COUNTIFS(MATCH_INPUT!$J$14:$J$17, AM48, MATCH_INPUT!$K$14:$K$17, "Draw"),
0)</f>
        <v>0</v>
      </c>
      <c r="AS48" s="28">
        <f>IF(AM48&lt;&gt;"",
    COUNTIFS(MATCH_INPUT!$F$14:$F$17, AM48, MATCH_INPUT!$K$14:$K$17, "&lt;&gt;"&amp;AM48, MATCH_INPUT!$K$14:$K$17, "&lt;&gt;Draw", MATCH_INPUT!$K$14:$K$17, "&lt;&gt;""") +
    COUNTIFS(MATCH_INPUT!$J$14:$J$17, AM48, MATCH_INPUT!$K$14:$K$17, "&lt;&gt;"&amp;AM48, MATCH_INPUT!$K$14:$K$17, "&lt;&gt;Draw", MATCH_INPUT!$K$14:$K$17, "&lt;&gt;"""),
0)</f>
        <v>0</v>
      </c>
      <c r="AT48" s="29" t="str">
        <f t="array" ref="AT48">IFERROR(
  INDEX(PLAYER_STAT!E$2:E64, 
    MATCH(1, 
      (PLAYER_STAT!A$2:A64 = MATCH_DATES!$A$5) * (PLAYER_STAT!D$2:D64 = $B48), 
    0)
  ), 
  ""
)
</f>
        <v/>
      </c>
      <c r="AU48" s="29" t="str">
        <f t="array" ref="AU48">IFERROR(
  INDEX(PLAYER_STAT!F$2:F64, 
    MATCH(1, 
      (PLAYER_STAT!A$2:A64 = MATCH_DATES!$A$5) * (PLAYER_STAT!D$2:D64 = $B48), 
    0)
  ), 
  ""
)
</f>
        <v/>
      </c>
      <c r="AV48" s="30" t="str">
        <f t="array" ref="AV48">IFERROR(
  INDEX(PLAYER_STAT!G$2:G64, 
    MATCH(1, 
      (PLAYER_STAT!A$2:A64 = MATCH_DATES!$A$5) * (PLAYER_STAT!D$2:D64 = $B48), 
    0)
  ), 
  ""
)
</f>
        <v/>
      </c>
      <c r="AW48" s="31">
        <f t="shared" si="154"/>
        <v>10</v>
      </c>
      <c r="AX48" s="32" t="str">
        <f t="shared" si="23"/>
        <v>↓</v>
      </c>
      <c r="AY48" s="21" t="s">
        <v>212</v>
      </c>
      <c r="AZ48" s="33">
        <f t="shared" si="24"/>
        <v>13</v>
      </c>
      <c r="BA48" s="22">
        <f t="shared" si="25"/>
        <v>2</v>
      </c>
      <c r="BB48" s="22">
        <f>SUM(BC48*2) + (BD48*1) + SUMIFS(MATCH_INPUT!$G$18:$G$21, MATCH_INPUT!$F$18:$F$21, AY48) + SUMIFS(MATCH_INPUT!$I$18:$I$21, MATCH_INPUT!$J$18:$J$21, AY48)
</f>
        <v>11</v>
      </c>
      <c r="BC48" s="22">
        <f>IF(AY48&lt;&gt;"",
    COUNTIFS(MATCH_INPUT!$K$18:$K$21,AY48),
0)</f>
        <v>2</v>
      </c>
      <c r="BD48" s="22">
        <f>IF(AY48&lt;&gt;"",
    COUNTIFS(MATCH_INPUT!$F$18:$F$21, AY48, MATCH_INPUT!$K$18:$K$21, "Draw") +
    COUNTIFS(MATCH_INPUT!$J$18:$J$21, AY48, MATCH_INPUT!$K$18:$K$21, "Draw"),
0)</f>
        <v>0</v>
      </c>
      <c r="BE48" s="22">
        <f>IF(AY48&lt;&gt;"",
    COUNTIFS(MATCH_INPUT!$F$18:$F$21, AY48, MATCH_INPUT!$K$18:$K$21, "&lt;&gt;"&amp;AY48, MATCH_INPUT!$K$18:$K$21, "&lt;&gt;Draw", MATCH_INPUT!$K$18:$K$21, "&lt;&gt;""") +
    COUNTIFS(MATCH_INPUT!$J$18:$J$21, AY48, MATCH_INPUT!$K$18:$K$21, "&lt;&gt;"&amp;AY48, MATCH_INPUT!$K$18:$K$21, "&lt;&gt;Draw", MATCH_INPUT!$K$18:$K$21, "&lt;&gt;"""),
0)</f>
        <v>0</v>
      </c>
      <c r="BF48" s="23" t="str">
        <f t="array" ref="BF48">IFERROR(
  INDEX(PLAYER_STAT!E$2:E64, 
    MATCH(1, 
      (PLAYER_STAT!A$2:A64 = MATCH_DATES!$A$6) * (PLAYER_STAT!D$2:D64 = $B48), 
    0)
  ), 
  ""
)
</f>
        <v/>
      </c>
      <c r="BG48" s="23" t="str">
        <f t="array" ref="BG48">IFERROR(
  INDEX(PLAYER_STAT!F$2:F64, 
    MATCH(1, 
      (PLAYER_STAT!A$2:A64 = MATCH_DATES!$A$6) * (PLAYER_STAT!D$2:D64 = $B48), 
    0)
  ), 
  ""
)
</f>
        <v/>
      </c>
      <c r="BH48" s="34" t="str">
        <f t="array" ref="BH48">IFERROR(
  INDEX(PLAYER_STAT!G$2:G64, 
    MATCH(1, 
      (PLAYER_STAT!A$2:A64 = MATCH_DATES!$A$6) * (PLAYER_STAT!D$2:D64 = $B48), 
    0)
  ), 
  ""
)
</f>
        <v/>
      </c>
      <c r="BI48" s="25">
        <f t="shared" si="155"/>
        <v>3</v>
      </c>
      <c r="BJ48" s="26" t="str">
        <f t="shared" si="27"/>
        <v>↑</v>
      </c>
      <c r="BK48" s="27"/>
      <c r="BL48" s="28">
        <f t="shared" si="28"/>
        <v>13</v>
      </c>
      <c r="BM48" s="28">
        <f t="shared" si="29"/>
        <v>0</v>
      </c>
      <c r="BN48" s="28">
        <f>SUM(BO48*2) + (BP48*1) + SUMIFS(MATCH_INPUT!$G$22:$G$25, MATCH_INPUT!$F$22:$F$25, BK48) + SUMIFS(MATCH_INPUT!$I$22:$I$25, MATCH_INPUT!$J$22:$J$25, BK48)
</f>
        <v>0</v>
      </c>
      <c r="BO48" s="28">
        <f>IF(BK48&lt;&gt;"",
    COUNTIFS(MATCH_INPUT!$K$22:$K$25,BK48),
0)</f>
        <v>0</v>
      </c>
      <c r="BP48" s="28">
        <f>IF(BK48&lt;&gt;"",
    COUNTIFS(MATCH_INPUT!$F$22:$F$25, BK48, MATCH_INPUT!$K$22:$K$25, "Draw") +
    COUNTIFS(MATCH_INPUT!$J$22:$J$25, BK48, MATCH_INPUT!$K$22:$K$25, "Draw"),
0)</f>
        <v>0</v>
      </c>
      <c r="BQ48" s="28">
        <f>IF(BK48&lt;&gt;"",
    COUNTIFS(MATCH_INPUT!$F$22:$F$25, BK48, MATCH_INPUT!$K$22:$K$25, "&lt;&gt;"&amp;BK48, MATCH_INPUT!$K$22:$K$25, "&lt;&gt;Draw", MATCH_INPUT!$K$22:$K$25, "&lt;&gt;""") +
    COUNTIFS(MATCH_INPUT!$J$22:$J$25, BK48, MATCH_INPUT!$K$22:$K$25, "&lt;&gt;"&amp;BK48, MATCH_INPUT!$K$22:$K$25, "&lt;&gt;Draw", MATCH_INPUT!$K$22:$K$25, "&lt;&gt;"""),
0)</f>
        <v>0</v>
      </c>
      <c r="BR48" s="29" t="str">
        <f t="array" ref="BR48">IFERROR(
  INDEX(PLAYER_STAT!E$2:E64, 
    MATCH(1, 
      (PLAYER_STAT!A$2:A64 = MATCH_DATES!$A$7) * (PLAYER_STAT!D$2:D64 = $B48), 
    0)
  ), 
  ""
)
</f>
        <v/>
      </c>
      <c r="BS48" s="29" t="str">
        <f t="array" ref="BS48">IFERROR(
  INDEX(PLAYER_STAT!F$2:F64, 
    MATCH(1, 
      (PLAYER_STAT!A$2:A64 = MATCH_DATES!$A$7) * (PLAYER_STAT!D$2:D64 = $B48), 
    0)
  ), 
  ""
)
</f>
        <v/>
      </c>
      <c r="BT48" s="30" t="str">
        <f t="array" ref="BT48">IFERROR(
  INDEX(PLAYER_STAT!G$2:G64, 
    MATCH(1, 
      (PLAYER_STAT!A$2:A64 = MATCH_DATES!$A$7) * (PLAYER_STAT!D$2:D64 = $B48), 
    0)
  ), 
  ""
)
</f>
        <v/>
      </c>
      <c r="BU48" s="31">
        <f t="shared" si="156"/>
        <v>3</v>
      </c>
      <c r="BV48" s="32" t="str">
        <f t="shared" si="31"/>
        <v>=</v>
      </c>
      <c r="BW48" s="21"/>
      <c r="BX48" s="33">
        <f t="shared" si="32"/>
        <v>13</v>
      </c>
      <c r="BY48" s="22">
        <f t="shared" si="33"/>
        <v>0</v>
      </c>
      <c r="BZ48" s="22">
        <f>SUM(CA48*2)+(CB48*1) + SUMIFS(MATCH_INPUT!$G$26:$G$29, MATCH_INPUT!$F$26:$F$29, BW48) + SUMIFS(MATCH_INPUT!$I$26:$I$29, MATCH_INPUT!$J$26:$J$29, BW48)
</f>
        <v>0</v>
      </c>
      <c r="CA48" s="22">
        <f>IF(BW48&lt;&gt;"",
    COUNTIFS(MATCH_INPUT!$K$26:$K$29,BW48),
0)</f>
        <v>0</v>
      </c>
      <c r="CB48" s="22">
        <f>IF(BW48&lt;&gt;"",
    COUNTIFS(MATCH_INPUT!$F$26:$F$29, BW48, MATCH_INPUT!$K$26:$K$29, "Draw") +
    COUNTIFS(MATCH_INPUT!$J$26:$J$29, BW48, MATCH_INPUT!$K$26:$K$29, "Draw"),
0)</f>
        <v>0</v>
      </c>
      <c r="CC48" s="22">
        <f>IF(BW48&lt;&gt;"",
    COUNTIFS(MATCH_INPUT!$F$26:$F$29, BW48, MATCH_INPUT!$K$26:$K$29, "&lt;&gt;"&amp;BW48, MATCH_INPUT!$K$26:$K$29, "&lt;&gt;Draw", MATCH_INPUT!$K$26:$K$29, "&lt;&gt;""") +
    COUNTIFS(MATCH_INPUT!$J$26:$J$29, BW48, MATCH_INPUT!$K$26:$K$29, "&lt;&gt;"&amp;BW48, MATCH_INPUT!$K$26:$K$29, "&lt;&gt;Draw", MATCH_INPUT!$K$26:$K$29, "&lt;&gt;"""),
0)</f>
        <v>0</v>
      </c>
      <c r="CD48" s="23" t="str">
        <f t="array" ref="CD48">IFERROR(
  INDEX(PLAYER_STAT!E$2:E64, 
    MATCH(1, 
      (PLAYER_STAT!A$2:A64 = MATCH_DATES!$A$8) * (PLAYER_STAT!D$2:D64 = $B48), 
    0)
  ), 
  ""
)
</f>
        <v/>
      </c>
      <c r="CE48" s="23" t="str">
        <f t="array" ref="CE48">IFERROR(
  INDEX(PLAYER_STAT!F$2:F64, 
    MATCH(1, 
      (PLAYER_STAT!A$2:A64 = MATCH_DATES!$A$8) * (PLAYER_STAT!D$2:D64 = $B48), 
    0)
  ), 
  ""
)
</f>
        <v/>
      </c>
      <c r="CF48" s="34" t="str">
        <f t="array" ref="CF48">IFERROR(
  INDEX(PLAYER_STAT!G$2:G64, 
    MATCH(1, 
      (PLAYER_STAT!A$2:A64 = MATCH_DATES!$A$8) * (PLAYER_STAT!D$2:D64 = $B48), 
    0)
  ), 
  ""
)
</f>
        <v/>
      </c>
      <c r="CG48" s="25">
        <f t="shared" si="157"/>
        <v>4</v>
      </c>
      <c r="CH48" s="26" t="str">
        <f t="shared" si="35"/>
        <v>↓</v>
      </c>
      <c r="CI48" s="27"/>
      <c r="CJ48" s="28">
        <f t="shared" si="36"/>
        <v>13</v>
      </c>
      <c r="CK48" s="28">
        <f t="shared" si="37"/>
        <v>0</v>
      </c>
      <c r="CL48" s="28">
        <f>SUM(CM48*2)+(CN48*1) + SUMIFS(MATCH_INPUT!$G$30:$G$33, MATCH_INPUT!$F$30:$F$33, CI48) + SUMIFS(MATCH_INPUT!$I$30:$I$33, MATCH_INPUT!$J$30:$J$33, CI48)
</f>
        <v>0</v>
      </c>
      <c r="CM48" s="28">
        <f>IF(CI48&lt;&gt;"",
    COUNTIFS(MATCH_INPUT!$K$30:$K$33,CI48),
0)</f>
        <v>0</v>
      </c>
      <c r="CN48" s="28">
        <f>IF(CI48&lt;&gt;"",
    COUNTIFS(MATCH_INPUT!$F$30:$F$33, CI48, MATCH_INPUT!$K$30:$K$33, "Draw") +
    COUNTIFS(MATCH_INPUT!$J$30:$J$33, CI48, MATCH_INPUT!$K$30:$K$33, "Draw"),
0)</f>
        <v>0</v>
      </c>
      <c r="CO48" s="28">
        <f>IF(CI48&lt;&gt;"",
    COUNTIFS(MATCH_INPUT!$F$30:$F$33, CI48, MATCH_INPUT!$K$30:$K$33, "&lt;&gt;"&amp;CI48, MATCH_INPUT!$K$30:$K$33, "&lt;&gt;Draw", MATCH_INPUT!$K$30:$K$33, "&lt;&gt;""") +
    COUNTIFS(MATCH_INPUT!$J$30:$J$33, CI48, MATCH_INPUT!$K$30:$K$33, "&lt;&gt;"&amp;CI48, MATCH_INPUT!$K$30:$K$33, "&lt;&gt;Draw", MATCH_INPUT!$K$30:$K$33, "&lt;&gt;"""),
0)</f>
        <v>0</v>
      </c>
      <c r="CP48" s="29" t="str">
        <f t="array" ref="CP48">IFERROR(
  INDEX(PLAYER_STAT!E$2:E64, 
    MATCH(1, 
      (PLAYER_STAT!A$2:A64 = MATCH_DATES!$A$9) * (PLAYER_STAT!D$2:D64 = $B48), 
    0)
  ), 
  ""
)
</f>
        <v/>
      </c>
      <c r="CQ48" s="29" t="str">
        <f t="array" ref="CQ48">IFERROR(
  INDEX(PLAYER_STAT!F$2:F64, 
    MATCH(1, 
      (PLAYER_STAT!A$2:A64 = MATCH_DATES!$A$9) * (PLAYER_STAT!D$2:D64 = $B48), 
    0)
  ), 
  ""
)
</f>
        <v/>
      </c>
      <c r="CR48" s="30" t="str">
        <f t="array" ref="CR48">IFERROR(
  INDEX(PLAYER_STAT!G$2:G64, 
    MATCH(1, 
      (PLAYER_STAT!A$2:A64 = MATCH_DATES!$A$9) * (PLAYER_STAT!D$2:D64 = $B48), 
    0)
  ), 
  ""
)
</f>
        <v/>
      </c>
      <c r="CS48" s="35">
        <f t="shared" si="158"/>
        <v>5</v>
      </c>
      <c r="CT48" s="35" t="str">
        <f t="shared" si="39"/>
        <v>↓</v>
      </c>
      <c r="CU48" s="36">
        <f t="shared" si="40"/>
        <v>11</v>
      </c>
      <c r="CV48" s="36" t="str">
        <f t="shared" ref="CV48:CW48" si="183">A48</f>
        <v>🛗</v>
      </c>
      <c r="CW48" s="37" t="str">
        <f t="shared" si="183"/>
        <v>(Sub) Sebastian Leal</v>
      </c>
      <c r="CX48" s="37">
        <f t="shared" si="42"/>
        <v>13</v>
      </c>
      <c r="CY48" s="36">
        <f>SUM(
  IF(AND(MATCH_DATES!$A$2 &lt;= TODAY(), NOW() &gt;= MATCH_DATES!$A$2 + TIME(22, 0, 0)), E48, 0),
  IF(AND(MATCH_DATES!$A$3 &lt;= TODAY(), NOW() &gt;= MATCH_DATES!$A$3 + TIME(22, 0, 0)), Q48, 0),
  IF(AND(MATCH_DATES!$A$4 &lt;= TODAY(), NOW() &gt;= MATCH_DATES!$A$4 + TIME(22, 0, 0)), AC48, 0),
  IF(AND(MATCH_DATES!$A$5 &lt;= TODAY(), NOW() &gt;= MATCH_DATES!$A$5 + TIME(22, 0, 0)), AO48, 0),
  IF(AND(MATCH_DATES!$A$6 &lt;= TODAY(), NOW() &gt;= MATCH_DATES!$A$6 + TIME(22, 0, 0)), BA48, 0),
  IF(AND(MATCH_DATES!$A$7 &lt;= TODAY(), NOW() &gt;= MATCH_DATES!$A$7 + TIME(22, 0, 0)), BM48, 0),
  IF(AND(MATCH_DATES!$A$8 &lt;= TODAY(), NOW() &gt;= MATCH_DATES!$A$8 + TIME(22, 0, 0)), BY48, 0),
  IF(AND(MATCH_DATES!$A$9 &lt;= TODAY(), NOW() &gt;= MATCH_DATES!$A$9 + TIME(22, 0, 0)), CK48, 0)
)
</f>
        <v>2</v>
      </c>
      <c r="CZ48" s="37">
        <f t="shared" ref="CZ48:DA48" si="184">SUM(G48,S48,AE48,AQ48,BC48,BO48,CA48,CM48)</f>
        <v>2</v>
      </c>
      <c r="DA48" s="37">
        <f t="shared" si="184"/>
        <v>0</v>
      </c>
      <c r="DB48" s="37">
        <f>SUM(
  IF(AND(MATCH_DATES!$A$2 &lt;= TODAY(), NOW() &gt;= MATCH_DATES!$A$2 + TIME(22, 0, 0)), I48, 0),
  IF(AND(MATCH_DATES!$A$3 &lt;= TODAY(), NOW() &gt;= MATCH_DATES!$A$3 + TIME(22, 0, 0)), U48, 0),
  IF(AND(MATCH_DATES!$A$4 &lt;= TODAY(), NOW() &gt;= MATCH_DATES!$A$4 + TIME(22, 0, 0)), AG48, 0),
  IF(AND(MATCH_DATES!$A$5 &lt;= TODAY(), NOW() &gt;= MATCH_DATES!$A$5 + TIME(22, 0, 0)), AS48, 0),
  IF(AND(MATCH_DATES!$A$6 &lt;= TODAY(), NOW() &gt;= MATCH_DATES!$A$6 + TIME(22, 0, 0)), BE48, 0),
  IF(AND(MATCH_DATES!$A$7 &lt;= TODAY(), NOW() &gt;= MATCH_DATES!$A$7 + TIME(22, 0, 0)), BQ48, 0),
  IF(AND(MATCH_DATES!$A$8 &lt;= TODAY(), NOW() &gt;= MATCH_DATES!$A$8 + TIME(22, 0, 0)), CC48, 0),
  IF(AND(MATCH_DATES!$A$9 &lt;= TODAY(), NOW() &gt;= MATCH_DATES!$A$9 + TIME(22, 0, 0)), CO48, 0)
)</f>
        <v>0</v>
      </c>
      <c r="DC48" s="37">
        <f t="shared" si="44"/>
        <v>0</v>
      </c>
      <c r="DD48" s="37">
        <f t="shared" ref="DD48:DE48" si="185">SUM(K48,W48,AI48,AU48,BG48,BS48,CE48,CQ48)</f>
        <v>0</v>
      </c>
      <c r="DE48" s="37">
        <f t="shared" si="185"/>
        <v>0</v>
      </c>
    </row>
    <row r="49" ht="24.75" customHeight="1">
      <c r="A49" s="30" t="s">
        <v>242</v>
      </c>
      <c r="B49" s="30" t="s">
        <v>253</v>
      </c>
      <c r="C49" s="21"/>
      <c r="D49" s="22">
        <f t="shared" si="4"/>
        <v>0</v>
      </c>
      <c r="E49" s="22">
        <f t="shared" si="5"/>
        <v>0</v>
      </c>
      <c r="F49" s="22">
        <f t="shared" si="6"/>
        <v>0</v>
      </c>
      <c r="G49" s="22">
        <f>IF(C49&lt;&gt;"",
    COUNTIFS(MATCH_INPUT!$K$2:$K$5,C49),
0)</f>
        <v>0</v>
      </c>
      <c r="H49" s="22">
        <f>IF(C49&lt;&gt;"",
    COUNTIFS(MATCH_INPUT!$F$2:$F$5, C49, MATCH_INPUT!$K$2:$K$5, "Draw") +
    COUNTIFS(MATCH_INPUT!$J$2:$J$5, C49, MATCH_INPUT!$K$2:$K$5, "Draw"),
0)</f>
        <v>0</v>
      </c>
      <c r="I49" s="22">
        <f>IF(C49&lt;&gt;"",
    COUNTIFS(MATCH_INPUT!$F$2:$F$5, C49, MATCH_INPUT!$K$2:$K$5, "&lt;&gt;"&amp;C49, MATCH_INPUT!$K$2:$K$5, "&lt;&gt;Draw", MATCH_INPUT!$K$2:$K$5, "&lt;&gt;""") +
    COUNTIFS(MATCH_INPUT!$J$2:$J$5, C49, MATCH_INPUT!$K$2:$K$5, "&lt;&gt;"&amp;C49, MATCH_INPUT!$K$2:$K$5, "&lt;&gt;Draw", MATCH_INPUT!$K$2:$K$5, "&lt;&gt;"""),
0)</f>
        <v>0</v>
      </c>
      <c r="J49" s="23" t="str">
        <f t="array" ref="J49">IFERROR(
  INDEX(PLAYER_STAT!E$2:E64, 
    MATCH(1, 
      (PLAYER_STAT!A$2:A64 = MATCH_DATES!$A$2) * (PLAYER_STAT!D$2:D64 = $B49), 
    0)
  ), 
  ""
)
</f>
        <v/>
      </c>
      <c r="K49" s="23" t="str">
        <f t="array" ref="K49">IFERROR(
  INDEX(PLAYER_STAT!F$2:F64, 
    MATCH(1, 
      (PLAYER_STAT!A$2:A64 = MATCH_DATES!$A$2) * (PLAYER_STAT!D$2:D64 = $B49), 
    0)
  ), 
  ""
)
</f>
        <v/>
      </c>
      <c r="L49" s="24" t="str">
        <f t="array" ref="L49">IFERROR(
  INDEX(PLAYER_STAT!G$2:G64, 
    MATCH(1, 
      (PLAYER_STAT!A$2:A64 = MATCH_DATES!$A$2) * (PLAYER_STAT!D$2:D64 = $B49), 
    0)
  ), 
  ""
)
</f>
        <v/>
      </c>
      <c r="M49" s="25">
        <f t="shared" si="151"/>
        <v>6</v>
      </c>
      <c r="N49" s="26" t="str">
        <f t="shared" si="8"/>
        <v>↓</v>
      </c>
      <c r="O49" s="27"/>
      <c r="P49" s="28">
        <f t="shared" si="9"/>
        <v>0</v>
      </c>
      <c r="Q49" s="28">
        <f t="shared" si="10"/>
        <v>0</v>
      </c>
      <c r="R49" s="28">
        <f t="shared" si="11"/>
        <v>0</v>
      </c>
      <c r="S49" s="28">
        <f>IF(O49&lt;&gt;"",
    COUNTIFS(MATCH_INPUT!$K$6:$K$9,O49),
0)</f>
        <v>0</v>
      </c>
      <c r="T49" s="28">
        <f>IF(O49&lt;&gt;"",
    COUNTIFS(MATCH_INPUT!$F$6:$F$9, O49, MATCH_INPUT!$K$6:$K$9, "Draw") +
    COUNTIFS(MATCH_INPUT!$J$6:$J$9, O49, MATCH_INPUT!$K$6:$K$9, "Draw"),
0)</f>
        <v>0</v>
      </c>
      <c r="U49" s="28">
        <f>IF(O49&lt;&gt;"",
    COUNTIFS(MATCH_INPUT!$F$6:$F$9, O49, MATCH_INPUT!$K$6:$K$9, "&lt;&gt;"&amp;O49, MATCH_INPUT!$K$6:$K$9, "&lt;&gt;Draw", MATCH_INPUT!$K$6:$K$9, "&lt;&gt;""") +
    COUNTIFS(MATCH_INPUT!$J$6:$J$9, O49, MATCH_INPUT!$K$6:$K$9, "&lt;&gt;"&amp;O49, MATCH_INPUT!$K$6:$K$9, "&lt;&gt;Draw", MATCH_INPUT!$K$6:$K$9, "&lt;&gt;"""),
0)</f>
        <v>0</v>
      </c>
      <c r="V49" s="29" t="str">
        <f t="array" ref="V49">IFERROR(
  INDEX(PLAYER_STAT!E$2:E64, 
    MATCH(1, 
      (PLAYER_STAT!A$2:A64 = MATCH_DATES!$A$3) * (PLAYER_STAT!D$2:D64 = $B49), 
    0)
  ), 
  ""
)
</f>
        <v/>
      </c>
      <c r="W49" s="29" t="str">
        <f t="array" ref="W49">IFERROR(
  INDEX(PLAYER_STAT!F$2:F64, 
    MATCH(1, 
      (PLAYER_STAT!A$2:A64 = MATCH_DATES!$A$3) * (PLAYER_STAT!D$2:D64 = $B49), 
    0)
  ), 
  ""
)
</f>
        <v/>
      </c>
      <c r="X49" s="30" t="str">
        <f t="array" ref="X49">IFERROR(
  INDEX(PLAYER_STAT!G$2:G64, 
    MATCH(1, 
      (PLAYER_STAT!A$2:A64 = MATCH_DATES!$A$3) * (PLAYER_STAT!D$2:D64 = $B49), 
    0)
  ), 
  ""
)
</f>
        <v/>
      </c>
      <c r="Y49" s="31">
        <f t="shared" si="152"/>
        <v>7</v>
      </c>
      <c r="Z49" s="32" t="str">
        <f t="shared" si="13"/>
        <v>↓</v>
      </c>
      <c r="AA49" s="21"/>
      <c r="AB49" s="33">
        <f t="shared" si="14"/>
        <v>0</v>
      </c>
      <c r="AC49" s="22">
        <f t="shared" si="15"/>
        <v>0</v>
      </c>
      <c r="AD49" s="22">
        <f t="shared" si="16"/>
        <v>0</v>
      </c>
      <c r="AE49" s="22">
        <f>IF(AA49&lt;&gt;"",
    COUNTIFS(MATCH_INPUT!$K$10:$K$13,AA49),
0)</f>
        <v>0</v>
      </c>
      <c r="AF49" s="22">
        <f>IF(AA49&lt;&gt;"",
    COUNTIFS(MATCH_INPUT!$F$10:$F$13, AA49, MATCH_INPUT!$K$10:$K$13, "Draw") +
    COUNTIFS(MATCH_INPUT!$J$10:$J$13, AA49, MATCH_INPUT!$K$10:$K$13, "Draw"),
0)</f>
        <v>0</v>
      </c>
      <c r="AG49" s="22">
        <f>IF(AA49&lt;&gt;"",
    COUNTIFS(MATCH_INPUT!$F$10:$F$13, AA49, MATCH_INPUT!$K$10:$K$13, "&lt;&gt;"&amp;AA49, MATCH_INPUT!$K$10:$K$13, "&lt;&gt;Draw", MATCH_INPUT!$K$10:$K$13, "&lt;&gt;""") +
    COUNTIFS(MATCH_INPUT!$J$10:$J$13, AA49, MATCH_INPUT!$K$10:$K$13, "&lt;&gt;"&amp;AA49, MATCH_INPUT!$K$10:$K$13, "&lt;&gt;Draw", MATCH_INPUT!$K$10:$K$13, "&lt;&gt;"""),
0)</f>
        <v>0</v>
      </c>
      <c r="AH49" s="23" t="str">
        <f t="array" ref="AH49">IFERROR(
  INDEX(PLAYER_STAT!E$2:E64, 
    MATCH(1, 
      (PLAYER_STAT!A$2:A64 = MATCH_DATES!$A$4) * (PLAYER_STAT!D$2:D64 = $B49), 
    0)
  ), 
  ""
)
</f>
        <v/>
      </c>
      <c r="AI49" s="23" t="str">
        <f t="array" ref="AI49">IFERROR(
  INDEX(PLAYER_STAT!F$2:F64, 
    MATCH(1, 
      (PLAYER_STAT!A$2:A64 = MATCH_DATES!$A$4) * (PLAYER_STAT!D$2:D64 = $B49), 
    0)
  ), 
  ""
)
</f>
        <v/>
      </c>
      <c r="AJ49" s="34" t="str">
        <f t="array" ref="AJ49">IFERROR(
  INDEX(PLAYER_STAT!G$2:G64, 
    MATCH(1, 
      (PLAYER_STAT!A$2:A64 = MATCH_DATES!$A$4) * (PLAYER_STAT!D$2:D64 = $B49), 
    0)
  ), 
  ""
)
</f>
        <v/>
      </c>
      <c r="AK49" s="25">
        <f t="shared" si="153"/>
        <v>7</v>
      </c>
      <c r="AL49" s="26" t="str">
        <f t="shared" si="18"/>
        <v>=</v>
      </c>
      <c r="AM49" s="27"/>
      <c r="AN49" s="28">
        <f t="shared" si="19"/>
        <v>0</v>
      </c>
      <c r="AO49" s="28">
        <f t="shared" si="20"/>
        <v>0</v>
      </c>
      <c r="AP49" s="28">
        <f t="shared" si="21"/>
        <v>0</v>
      </c>
      <c r="AQ49" s="28">
        <f>IF(AM49&lt;&gt;"",
    COUNTIFS(MATCH_INPUT!$K$14:$K$17,AM49),
0)</f>
        <v>0</v>
      </c>
      <c r="AR49" s="28">
        <f>IF(AM49&lt;&gt;"",
    COUNTIFS(MATCH_INPUT!$F$14:$F$17, AM49, MATCH_INPUT!$K$14:$K$17, "Draw") +
    COUNTIFS(MATCH_INPUT!$J$14:$J$17, AM49, MATCH_INPUT!$K$14:$K$17, "Draw"),
0)</f>
        <v>0</v>
      </c>
      <c r="AS49" s="28">
        <f>IF(AM49&lt;&gt;"",
    COUNTIFS(MATCH_INPUT!$F$14:$F$17, AM49, MATCH_INPUT!$K$14:$K$17, "&lt;&gt;"&amp;AM49, MATCH_INPUT!$K$14:$K$17, "&lt;&gt;Draw", MATCH_INPUT!$K$14:$K$17, "&lt;&gt;""") +
    COUNTIFS(MATCH_INPUT!$J$14:$J$17, AM49, MATCH_INPUT!$K$14:$K$17, "&lt;&gt;"&amp;AM49, MATCH_INPUT!$K$14:$K$17, "&lt;&gt;Draw", MATCH_INPUT!$K$14:$K$17, "&lt;&gt;"""),
0)</f>
        <v>0</v>
      </c>
      <c r="AT49" s="29" t="str">
        <f t="array" ref="AT49">IFERROR(
  INDEX(PLAYER_STAT!E$2:E64, 
    MATCH(1, 
      (PLAYER_STAT!A$2:A64 = MATCH_DATES!$A$5) * (PLAYER_STAT!D$2:D64 = $B49), 
    0)
  ), 
  ""
)
</f>
        <v/>
      </c>
      <c r="AU49" s="29" t="str">
        <f t="array" ref="AU49">IFERROR(
  INDEX(PLAYER_STAT!F$2:F64, 
    MATCH(1, 
      (PLAYER_STAT!A$2:A64 = MATCH_DATES!$A$5) * (PLAYER_STAT!D$2:D64 = $B49), 
    0)
  ), 
  ""
)
</f>
        <v/>
      </c>
      <c r="AV49" s="30" t="str">
        <f t="array" ref="AV49">IFERROR(
  INDEX(PLAYER_STAT!G$2:G64, 
    MATCH(1, 
      (PLAYER_STAT!A$2:A64 = MATCH_DATES!$A$5) * (PLAYER_STAT!D$2:D64 = $B49), 
    0)
  ), 
  ""
)
</f>
        <v/>
      </c>
      <c r="AW49" s="31">
        <f t="shared" si="154"/>
        <v>10</v>
      </c>
      <c r="AX49" s="32" t="str">
        <f t="shared" si="23"/>
        <v>↓</v>
      </c>
      <c r="AY49" s="21" t="s">
        <v>212</v>
      </c>
      <c r="AZ49" s="33">
        <f t="shared" si="24"/>
        <v>13</v>
      </c>
      <c r="BA49" s="22">
        <f t="shared" si="25"/>
        <v>2</v>
      </c>
      <c r="BB49" s="22">
        <f>SUM(BC49*2) + (BD49*1) + SUMIFS(MATCH_INPUT!$G$18:$G$21, MATCH_INPUT!$F$18:$F$21, AY49) + SUMIFS(MATCH_INPUT!$I$18:$I$21, MATCH_INPUT!$J$18:$J$21, AY49)
</f>
        <v>11</v>
      </c>
      <c r="BC49" s="22">
        <f>IF(AY49&lt;&gt;"",
    COUNTIFS(MATCH_INPUT!$K$18:$K$21,AY49),
0)</f>
        <v>2</v>
      </c>
      <c r="BD49" s="22">
        <f>IF(AY49&lt;&gt;"",
    COUNTIFS(MATCH_INPUT!$F$18:$F$21, AY49, MATCH_INPUT!$K$18:$K$21, "Draw") +
    COUNTIFS(MATCH_INPUT!$J$18:$J$21, AY49, MATCH_INPUT!$K$18:$K$21, "Draw"),
0)</f>
        <v>0</v>
      </c>
      <c r="BE49" s="22">
        <f>IF(AY49&lt;&gt;"",
    COUNTIFS(MATCH_INPUT!$F$18:$F$21, AY49, MATCH_INPUT!$K$18:$K$21, "&lt;&gt;"&amp;AY49, MATCH_INPUT!$K$18:$K$21, "&lt;&gt;Draw", MATCH_INPUT!$K$18:$K$21, "&lt;&gt;""") +
    COUNTIFS(MATCH_INPUT!$J$18:$J$21, AY49, MATCH_INPUT!$K$18:$K$21, "&lt;&gt;"&amp;AY49, MATCH_INPUT!$K$18:$K$21, "&lt;&gt;Draw", MATCH_INPUT!$K$18:$K$21, "&lt;&gt;"""),
0)</f>
        <v>0</v>
      </c>
      <c r="BF49" s="23">
        <f t="array" ref="BF49">IFERROR(
  INDEX(PLAYER_STAT!E$2:E64, 
    MATCH(1, 
      (PLAYER_STAT!A$2:A64 = MATCH_DATES!$A$6) * (PLAYER_STAT!D$2:D64 = $B49), 
    0)
  ), 
  ""
)
</f>
        <v>1</v>
      </c>
      <c r="BG49" s="23">
        <f t="array" ref="BG49">IFERROR(
  INDEX(PLAYER_STAT!F$2:F64, 
    MATCH(1, 
      (PLAYER_STAT!A$2:A64 = MATCH_DATES!$A$6) * (PLAYER_STAT!D$2:D64 = $B49), 
    0)
  ), 
  ""
)
</f>
        <v>0</v>
      </c>
      <c r="BH49" s="34">
        <f t="array" ref="BH49">IFERROR(
  INDEX(PLAYER_STAT!G$2:G64, 
    MATCH(1, 
      (PLAYER_STAT!A$2:A64 = MATCH_DATES!$A$6) * (PLAYER_STAT!D$2:D64 = $B49), 
    0)
  ), 
  ""
)
</f>
        <v>0</v>
      </c>
      <c r="BI49" s="25">
        <f t="shared" si="155"/>
        <v>3</v>
      </c>
      <c r="BJ49" s="26" t="str">
        <f t="shared" si="27"/>
        <v>↑</v>
      </c>
      <c r="BK49" s="27"/>
      <c r="BL49" s="28">
        <f t="shared" si="28"/>
        <v>13</v>
      </c>
      <c r="BM49" s="28">
        <f t="shared" si="29"/>
        <v>0</v>
      </c>
      <c r="BN49" s="28">
        <f>SUM(BO49*2) + (BP49*1) + SUMIFS(MATCH_INPUT!$G$22:$G$25, MATCH_INPUT!$F$22:$F$25, BK49) + SUMIFS(MATCH_INPUT!$I$22:$I$25, MATCH_INPUT!$J$22:$J$25, BK49)
</f>
        <v>0</v>
      </c>
      <c r="BO49" s="28">
        <f>IF(BK49&lt;&gt;"",
    COUNTIFS(MATCH_INPUT!$K$22:$K$25,BK49),
0)</f>
        <v>0</v>
      </c>
      <c r="BP49" s="28">
        <f>IF(BK49&lt;&gt;"",
    COUNTIFS(MATCH_INPUT!$F$22:$F$25, BK49, MATCH_INPUT!$K$22:$K$25, "Draw") +
    COUNTIFS(MATCH_INPUT!$J$22:$J$25, BK49, MATCH_INPUT!$K$22:$K$25, "Draw"),
0)</f>
        <v>0</v>
      </c>
      <c r="BQ49" s="28">
        <f>IF(BK49&lt;&gt;"",
    COUNTIFS(MATCH_INPUT!$F$22:$F$25, BK49, MATCH_INPUT!$K$22:$K$25, "&lt;&gt;"&amp;BK49, MATCH_INPUT!$K$22:$K$25, "&lt;&gt;Draw", MATCH_INPUT!$K$22:$K$25, "&lt;&gt;""") +
    COUNTIFS(MATCH_INPUT!$J$22:$J$25, BK49, MATCH_INPUT!$K$22:$K$25, "&lt;&gt;"&amp;BK49, MATCH_INPUT!$K$22:$K$25, "&lt;&gt;Draw", MATCH_INPUT!$K$22:$K$25, "&lt;&gt;"""),
0)</f>
        <v>0</v>
      </c>
      <c r="BR49" s="29" t="str">
        <f t="array" ref="BR49">IFERROR(
  INDEX(PLAYER_STAT!E$2:E64, 
    MATCH(1, 
      (PLAYER_STAT!A$2:A64 = MATCH_DATES!$A$7) * (PLAYER_STAT!D$2:D64 = $B49), 
    0)
  ), 
  ""
)
</f>
        <v/>
      </c>
      <c r="BS49" s="29" t="str">
        <f t="array" ref="BS49">IFERROR(
  INDEX(PLAYER_STAT!F$2:F64, 
    MATCH(1, 
      (PLAYER_STAT!A$2:A64 = MATCH_DATES!$A$7) * (PLAYER_STAT!D$2:D64 = $B49), 
    0)
  ), 
  ""
)
</f>
        <v/>
      </c>
      <c r="BT49" s="30" t="str">
        <f t="array" ref="BT49">IFERROR(
  INDEX(PLAYER_STAT!G$2:G64, 
    MATCH(1, 
      (PLAYER_STAT!A$2:A64 = MATCH_DATES!$A$7) * (PLAYER_STAT!D$2:D64 = $B49), 
    0)
  ), 
  ""
)
</f>
        <v/>
      </c>
      <c r="BU49" s="31">
        <f t="shared" si="156"/>
        <v>3</v>
      </c>
      <c r="BV49" s="32" t="str">
        <f t="shared" si="31"/>
        <v>=</v>
      </c>
      <c r="BW49" s="41"/>
      <c r="BX49" s="33">
        <f t="shared" si="32"/>
        <v>13</v>
      </c>
      <c r="BY49" s="22">
        <f t="shared" si="33"/>
        <v>0</v>
      </c>
      <c r="BZ49" s="22">
        <f>SUM(CA49*2)+(CB49*1) + SUMIFS(MATCH_INPUT!$G$26:$G$29, MATCH_INPUT!$F$26:$F$29, BW49) + SUMIFS(MATCH_INPUT!$I$26:$I$29, MATCH_INPUT!$J$26:$J$29, BW49)
</f>
        <v>0</v>
      </c>
      <c r="CA49" s="22">
        <f>IF(BW49&lt;&gt;"",
    COUNTIFS(MATCH_INPUT!$K$26:$K$29,BW49),
0)</f>
        <v>0</v>
      </c>
      <c r="CB49" s="22">
        <f>IF(BW49&lt;&gt;"",
    COUNTIFS(MATCH_INPUT!$F$26:$F$29, BW49, MATCH_INPUT!$K$26:$K$29, "Draw") +
    COUNTIFS(MATCH_INPUT!$J$26:$J$29, BW49, MATCH_INPUT!$K$26:$K$29, "Draw"),
0)</f>
        <v>0</v>
      </c>
      <c r="CC49" s="22">
        <f>IF(BW49&lt;&gt;"",
    COUNTIFS(MATCH_INPUT!$F$26:$F$29, BW49, MATCH_INPUT!$K$26:$K$29, "&lt;&gt;"&amp;BW49, MATCH_INPUT!$K$26:$K$29, "&lt;&gt;Draw", MATCH_INPUT!$K$26:$K$29, "&lt;&gt;""") +
    COUNTIFS(MATCH_INPUT!$J$26:$J$29, BW49, MATCH_INPUT!$K$26:$K$29, "&lt;&gt;"&amp;BW49, MATCH_INPUT!$K$26:$K$29, "&lt;&gt;Draw", MATCH_INPUT!$K$26:$K$29, "&lt;&gt;"""),
0)</f>
        <v>0</v>
      </c>
      <c r="CD49" s="23" t="str">
        <f t="array" ref="CD49">IFERROR(
  INDEX(PLAYER_STAT!E$2:E64, 
    MATCH(1, 
      (PLAYER_STAT!A$2:A64 = MATCH_DATES!$A$8) * (PLAYER_STAT!D$2:D64 = $B49), 
    0)
  ), 
  ""
)
</f>
        <v/>
      </c>
      <c r="CE49" s="23" t="str">
        <f t="array" ref="CE49">IFERROR(
  INDEX(PLAYER_STAT!F$2:F64, 
    MATCH(1, 
      (PLAYER_STAT!A$2:A64 = MATCH_DATES!$A$8) * (PLAYER_STAT!D$2:D64 = $B49), 
    0)
  ), 
  ""
)
</f>
        <v/>
      </c>
      <c r="CF49" s="34" t="str">
        <f t="array" ref="CF49">IFERROR(
  INDEX(PLAYER_STAT!G$2:G64, 
    MATCH(1, 
      (PLAYER_STAT!A$2:A64 = MATCH_DATES!$A$8) * (PLAYER_STAT!D$2:D64 = $B49), 
    0)
  ), 
  ""
)
</f>
        <v/>
      </c>
      <c r="CG49" s="25">
        <f t="shared" si="157"/>
        <v>4</v>
      </c>
      <c r="CH49" s="26" t="str">
        <f t="shared" si="35"/>
        <v>↓</v>
      </c>
      <c r="CI49" s="27"/>
      <c r="CJ49" s="28">
        <f t="shared" si="36"/>
        <v>13</v>
      </c>
      <c r="CK49" s="28">
        <f t="shared" si="37"/>
        <v>0</v>
      </c>
      <c r="CL49" s="28">
        <f>SUM(CM49*2)+(CN49*1) + SUMIFS(MATCH_INPUT!$G$30:$G$33, MATCH_INPUT!$F$30:$F$33, CI49) + SUMIFS(MATCH_INPUT!$I$30:$I$33, MATCH_INPUT!$J$30:$J$33, CI49)
</f>
        <v>0</v>
      </c>
      <c r="CM49" s="28">
        <f>IF(CI49&lt;&gt;"",
    COUNTIFS(MATCH_INPUT!$K$30:$K$33,CI49),
0)</f>
        <v>0</v>
      </c>
      <c r="CN49" s="28">
        <f>IF(CI49&lt;&gt;"",
    COUNTIFS(MATCH_INPUT!$F$30:$F$33, CI49, MATCH_INPUT!$K$30:$K$33, "Draw") +
    COUNTIFS(MATCH_INPUT!$J$30:$J$33, CI49, MATCH_INPUT!$K$30:$K$33, "Draw"),
0)</f>
        <v>0</v>
      </c>
      <c r="CO49" s="28">
        <f>IF(CI49&lt;&gt;"",
    COUNTIFS(MATCH_INPUT!$F$30:$F$33, CI49, MATCH_INPUT!$K$30:$K$33, "&lt;&gt;"&amp;CI49, MATCH_INPUT!$K$30:$K$33, "&lt;&gt;Draw", MATCH_INPUT!$K$30:$K$33, "&lt;&gt;""") +
    COUNTIFS(MATCH_INPUT!$J$30:$J$33, CI49, MATCH_INPUT!$K$30:$K$33, "&lt;&gt;"&amp;CI49, MATCH_INPUT!$K$30:$K$33, "&lt;&gt;Draw", MATCH_INPUT!$K$30:$K$33, "&lt;&gt;"""),
0)</f>
        <v>0</v>
      </c>
      <c r="CP49" s="29" t="str">
        <f t="array" ref="CP49">IFERROR(
  INDEX(PLAYER_STAT!E$2:E64, 
    MATCH(1, 
      (PLAYER_STAT!A$2:A64 = MATCH_DATES!$A$9) * (PLAYER_STAT!D$2:D64 = $B49), 
    0)
  ), 
  ""
)
</f>
        <v/>
      </c>
      <c r="CQ49" s="29" t="str">
        <f t="array" ref="CQ49">IFERROR(
  INDEX(PLAYER_STAT!F$2:F64, 
    MATCH(1, 
      (PLAYER_STAT!A$2:A64 = MATCH_DATES!$A$9) * (PLAYER_STAT!D$2:D64 = $B49), 
    0)
  ), 
  ""
)
</f>
        <v/>
      </c>
      <c r="CR49" s="30" t="str">
        <f t="array" ref="CR49">IFERROR(
  INDEX(PLAYER_STAT!G$2:G64, 
    MATCH(1, 
      (PLAYER_STAT!A$2:A64 = MATCH_DATES!$A$9) * (PLAYER_STAT!D$2:D64 = $B49), 
    0)
  ), 
  ""
)
</f>
        <v/>
      </c>
      <c r="CS49" s="35">
        <f t="shared" si="158"/>
        <v>5</v>
      </c>
      <c r="CT49" s="35" t="str">
        <f t="shared" si="39"/>
        <v>↓</v>
      </c>
      <c r="CU49" s="36">
        <f t="shared" si="40"/>
        <v>11</v>
      </c>
      <c r="CV49" s="36" t="str">
        <f t="shared" ref="CV49:CW49" si="186">A49</f>
        <v>🛗</v>
      </c>
      <c r="CW49" s="37" t="str">
        <f t="shared" si="186"/>
        <v>(Sub) Karter</v>
      </c>
      <c r="CX49" s="37">
        <f t="shared" si="42"/>
        <v>13</v>
      </c>
      <c r="CY49" s="36">
        <f>SUM(
  IF(AND(MATCH_DATES!$A$2 &lt;= TODAY(), NOW() &gt;= MATCH_DATES!$A$2 + TIME(22, 0, 0)), E49, 0),
  IF(AND(MATCH_DATES!$A$3 &lt;= TODAY(), NOW() &gt;= MATCH_DATES!$A$3 + TIME(22, 0, 0)), Q49, 0),
  IF(AND(MATCH_DATES!$A$4 &lt;= TODAY(), NOW() &gt;= MATCH_DATES!$A$4 + TIME(22, 0, 0)), AC49, 0),
  IF(AND(MATCH_DATES!$A$5 &lt;= TODAY(), NOW() &gt;= MATCH_DATES!$A$5 + TIME(22, 0, 0)), AO49, 0),
  IF(AND(MATCH_DATES!$A$6 &lt;= TODAY(), NOW() &gt;= MATCH_DATES!$A$6 + TIME(22, 0, 0)), BA49, 0),
  IF(AND(MATCH_DATES!$A$7 &lt;= TODAY(), NOW() &gt;= MATCH_DATES!$A$7 + TIME(22, 0, 0)), BM49, 0),
  IF(AND(MATCH_DATES!$A$8 &lt;= TODAY(), NOW() &gt;= MATCH_DATES!$A$8 + TIME(22, 0, 0)), BY49, 0),
  IF(AND(MATCH_DATES!$A$9 &lt;= TODAY(), NOW() &gt;= MATCH_DATES!$A$9 + TIME(22, 0, 0)), CK49, 0)
)
</f>
        <v>2</v>
      </c>
      <c r="CZ49" s="37">
        <f t="shared" ref="CZ49:DA49" si="187">SUM(G49,S49,AE49,AQ49,BC49,BO49,CA49,CM49)</f>
        <v>2</v>
      </c>
      <c r="DA49" s="37">
        <f t="shared" si="187"/>
        <v>0</v>
      </c>
      <c r="DB49" s="37">
        <f>SUM(
  IF(AND(MATCH_DATES!$A$2 &lt;= TODAY(), NOW() &gt;= MATCH_DATES!$A$2 + TIME(22, 0, 0)), I49, 0),
  IF(AND(MATCH_DATES!$A$3 &lt;= TODAY(), NOW() &gt;= MATCH_DATES!$A$3 + TIME(22, 0, 0)), U49, 0),
  IF(AND(MATCH_DATES!$A$4 &lt;= TODAY(), NOW() &gt;= MATCH_DATES!$A$4 + TIME(22, 0, 0)), AG49, 0),
  IF(AND(MATCH_DATES!$A$5 &lt;= TODAY(), NOW() &gt;= MATCH_DATES!$A$5 + TIME(22, 0, 0)), AS49, 0),
  IF(AND(MATCH_DATES!$A$6 &lt;= TODAY(), NOW() &gt;= MATCH_DATES!$A$6 + TIME(22, 0, 0)), BE49, 0),
  IF(AND(MATCH_DATES!$A$7 &lt;= TODAY(), NOW() &gt;= MATCH_DATES!$A$7 + TIME(22, 0, 0)), BQ49, 0),
  IF(AND(MATCH_DATES!$A$8 &lt;= TODAY(), NOW() &gt;= MATCH_DATES!$A$8 + TIME(22, 0, 0)), CC49, 0),
  IF(AND(MATCH_DATES!$A$9 &lt;= TODAY(), NOW() &gt;= MATCH_DATES!$A$9 + TIME(22, 0, 0)), CO49, 0)
)</f>
        <v>0</v>
      </c>
      <c r="DC49" s="37">
        <f t="shared" si="44"/>
        <v>1</v>
      </c>
      <c r="DD49" s="37">
        <f t="shared" ref="DD49:DE49" si="188">SUM(K49,W49,AI49,AU49,BG49,BS49,CE49,CQ49)</f>
        <v>0</v>
      </c>
      <c r="DE49" s="37">
        <f t="shared" si="188"/>
        <v>0</v>
      </c>
    </row>
    <row r="50" ht="24.75" customHeight="1">
      <c r="A50" s="30" t="s">
        <v>242</v>
      </c>
      <c r="B50" s="30" t="s">
        <v>254</v>
      </c>
      <c r="C50" s="21"/>
      <c r="D50" s="22">
        <f t="shared" si="4"/>
        <v>0</v>
      </c>
      <c r="E50" s="22">
        <f t="shared" si="5"/>
        <v>0</v>
      </c>
      <c r="F50" s="22">
        <f t="shared" si="6"/>
        <v>0</v>
      </c>
      <c r="G50" s="22">
        <f>IF(C50&lt;&gt;"",
    COUNTIFS(MATCH_INPUT!$K$2:$K$5,C50),
0)</f>
        <v>0</v>
      </c>
      <c r="H50" s="22">
        <f>IF(C50&lt;&gt;"",
    COUNTIFS(MATCH_INPUT!$F$2:$F$5, C50, MATCH_INPUT!$K$2:$K$5, "Draw") +
    COUNTIFS(MATCH_INPUT!$J$2:$J$5, C50, MATCH_INPUT!$K$2:$K$5, "Draw"),
0)</f>
        <v>0</v>
      </c>
      <c r="I50" s="22">
        <f>IF(C50&lt;&gt;"",
    COUNTIFS(MATCH_INPUT!$F$2:$F$5, C50, MATCH_INPUT!$K$2:$K$5, "&lt;&gt;"&amp;C50, MATCH_INPUT!$K$2:$K$5, "&lt;&gt;Draw", MATCH_INPUT!$K$2:$K$5, "&lt;&gt;""") +
    COUNTIFS(MATCH_INPUT!$J$2:$J$5, C50, MATCH_INPUT!$K$2:$K$5, "&lt;&gt;"&amp;C50, MATCH_INPUT!$K$2:$K$5, "&lt;&gt;Draw", MATCH_INPUT!$K$2:$K$5, "&lt;&gt;"""),
0)</f>
        <v>0</v>
      </c>
      <c r="J50" s="23" t="str">
        <f t="array" ref="J50">IFERROR(
  INDEX(PLAYER_STAT!E$2:E64, 
    MATCH(1, 
      (PLAYER_STAT!A$2:A64 = MATCH_DATES!$A$2) * (PLAYER_STAT!D$2:D64 = $B50), 
    0)
  ), 
  ""
)
</f>
        <v/>
      </c>
      <c r="K50" s="23" t="str">
        <f t="array" ref="K50">IFERROR(
  INDEX(PLAYER_STAT!F$2:F64, 
    MATCH(1, 
      (PLAYER_STAT!A$2:A64 = MATCH_DATES!$A$2) * (PLAYER_STAT!D$2:D64 = $B50), 
    0)
  ), 
  ""
)
</f>
        <v/>
      </c>
      <c r="L50" s="24" t="str">
        <f t="array" ref="L50">IFERROR(
  INDEX(PLAYER_STAT!G$2:G64, 
    MATCH(1, 
      (PLAYER_STAT!A$2:A64 = MATCH_DATES!$A$2) * (PLAYER_STAT!D$2:D64 = $B50), 
    0)
  ), 
  ""
)
</f>
        <v/>
      </c>
      <c r="M50" s="25">
        <f t="shared" si="151"/>
        <v>6</v>
      </c>
      <c r="N50" s="26" t="str">
        <f t="shared" si="8"/>
        <v>↓</v>
      </c>
      <c r="O50" s="27"/>
      <c r="P50" s="28">
        <f t="shared" si="9"/>
        <v>0</v>
      </c>
      <c r="Q50" s="28">
        <f t="shared" si="10"/>
        <v>0</v>
      </c>
      <c r="R50" s="28">
        <f t="shared" si="11"/>
        <v>0</v>
      </c>
      <c r="S50" s="28">
        <f>IF(O50&lt;&gt;"",
    COUNTIFS(MATCH_INPUT!$K$6:$K$9,O50),
0)</f>
        <v>0</v>
      </c>
      <c r="T50" s="28">
        <f>IF(O50&lt;&gt;"",
    COUNTIFS(MATCH_INPUT!$F$6:$F$9, O50, MATCH_INPUT!$K$6:$K$9, "Draw") +
    COUNTIFS(MATCH_INPUT!$J$6:$J$9, O50, MATCH_INPUT!$K$6:$K$9, "Draw"),
0)</f>
        <v>0</v>
      </c>
      <c r="U50" s="28">
        <f>IF(O50&lt;&gt;"",
    COUNTIFS(MATCH_INPUT!$F$6:$F$9, O50, MATCH_INPUT!$K$6:$K$9, "&lt;&gt;"&amp;O50, MATCH_INPUT!$K$6:$K$9, "&lt;&gt;Draw", MATCH_INPUT!$K$6:$K$9, "&lt;&gt;""") +
    COUNTIFS(MATCH_INPUT!$J$6:$J$9, O50, MATCH_INPUT!$K$6:$K$9, "&lt;&gt;"&amp;O50, MATCH_INPUT!$K$6:$K$9, "&lt;&gt;Draw", MATCH_INPUT!$K$6:$K$9, "&lt;&gt;"""),
0)</f>
        <v>0</v>
      </c>
      <c r="V50" s="29" t="str">
        <f t="array" ref="V50">IFERROR(
  INDEX(PLAYER_STAT!E$2:E64, 
    MATCH(1, 
      (PLAYER_STAT!A$2:A64 = MATCH_DATES!$A$3) * (PLAYER_STAT!D$2:D64 = $B50), 
    0)
  ), 
  ""
)
</f>
        <v/>
      </c>
      <c r="W50" s="29" t="str">
        <f t="array" ref="W50">IFERROR(
  INDEX(PLAYER_STAT!F$2:F64, 
    MATCH(1, 
      (PLAYER_STAT!A$2:A64 = MATCH_DATES!$A$3) * (PLAYER_STAT!D$2:D64 = $B50), 
    0)
  ), 
  ""
)
</f>
        <v/>
      </c>
      <c r="X50" s="30" t="str">
        <f t="array" ref="X50">IFERROR(
  INDEX(PLAYER_STAT!G$2:G64, 
    MATCH(1, 
      (PLAYER_STAT!A$2:A64 = MATCH_DATES!$A$3) * (PLAYER_STAT!D$2:D64 = $B50), 
    0)
  ), 
  ""
)
</f>
        <v/>
      </c>
      <c r="Y50" s="31">
        <f t="shared" si="152"/>
        <v>7</v>
      </c>
      <c r="Z50" s="32" t="str">
        <f t="shared" si="13"/>
        <v>↓</v>
      </c>
      <c r="AA50" s="21"/>
      <c r="AB50" s="33">
        <f t="shared" si="14"/>
        <v>0</v>
      </c>
      <c r="AC50" s="22">
        <f t="shared" si="15"/>
        <v>0</v>
      </c>
      <c r="AD50" s="22">
        <f t="shared" si="16"/>
        <v>0</v>
      </c>
      <c r="AE50" s="22">
        <f>IF(AA50&lt;&gt;"",
    COUNTIFS(MATCH_INPUT!$K$10:$K$13,AA50),
0)</f>
        <v>0</v>
      </c>
      <c r="AF50" s="22">
        <f>IF(AA50&lt;&gt;"",
    COUNTIFS(MATCH_INPUT!$F$10:$F$13, AA50, MATCH_INPUT!$K$10:$K$13, "Draw") +
    COUNTIFS(MATCH_INPUT!$J$10:$J$13, AA50, MATCH_INPUT!$K$10:$K$13, "Draw"),
0)</f>
        <v>0</v>
      </c>
      <c r="AG50" s="22">
        <f>IF(AA50&lt;&gt;"",
    COUNTIFS(MATCH_INPUT!$F$10:$F$13, AA50, MATCH_INPUT!$K$10:$K$13, "&lt;&gt;"&amp;AA50, MATCH_INPUT!$K$10:$K$13, "&lt;&gt;Draw", MATCH_INPUT!$K$10:$K$13, "&lt;&gt;""") +
    COUNTIFS(MATCH_INPUT!$J$10:$J$13, AA50, MATCH_INPUT!$K$10:$K$13, "&lt;&gt;"&amp;AA50, MATCH_INPUT!$K$10:$K$13, "&lt;&gt;Draw", MATCH_INPUT!$K$10:$K$13, "&lt;&gt;"""),
0)</f>
        <v>0</v>
      </c>
      <c r="AH50" s="23" t="str">
        <f t="array" ref="AH50">IFERROR(
  INDEX(PLAYER_STAT!E$2:E64, 
    MATCH(1, 
      (PLAYER_STAT!A$2:A64 = MATCH_DATES!$A$4) * (PLAYER_STAT!D$2:D64 = $B50), 
    0)
  ), 
  ""
)
</f>
        <v/>
      </c>
      <c r="AI50" s="23" t="str">
        <f t="array" ref="AI50">IFERROR(
  INDEX(PLAYER_STAT!F$2:F64, 
    MATCH(1, 
      (PLAYER_STAT!A$2:A64 = MATCH_DATES!$A$4) * (PLAYER_STAT!D$2:D64 = $B50), 
    0)
  ), 
  ""
)
</f>
        <v/>
      </c>
      <c r="AJ50" s="34" t="str">
        <f t="array" ref="AJ50">IFERROR(
  INDEX(PLAYER_STAT!G$2:G64, 
    MATCH(1, 
      (PLAYER_STAT!A$2:A64 = MATCH_DATES!$A$4) * (PLAYER_STAT!D$2:D64 = $B50), 
    0)
  ), 
  ""
)
</f>
        <v/>
      </c>
      <c r="AK50" s="25">
        <f t="shared" si="153"/>
        <v>7</v>
      </c>
      <c r="AL50" s="26" t="str">
        <f t="shared" si="18"/>
        <v>=</v>
      </c>
      <c r="AM50" s="27"/>
      <c r="AN50" s="28">
        <f t="shared" si="19"/>
        <v>0</v>
      </c>
      <c r="AO50" s="28">
        <f t="shared" si="20"/>
        <v>0</v>
      </c>
      <c r="AP50" s="28">
        <f t="shared" si="21"/>
        <v>0</v>
      </c>
      <c r="AQ50" s="28">
        <f>IF(AM50&lt;&gt;"",
    COUNTIFS(MATCH_INPUT!$K$14:$K$17,AM50),
0)</f>
        <v>0</v>
      </c>
      <c r="AR50" s="28">
        <f>IF(AM50&lt;&gt;"",
    COUNTIFS(MATCH_INPUT!$F$14:$F$17, AM50, MATCH_INPUT!$K$14:$K$17, "Draw") +
    COUNTIFS(MATCH_INPUT!$J$14:$J$17, AM50, MATCH_INPUT!$K$14:$K$17, "Draw"),
0)</f>
        <v>0</v>
      </c>
      <c r="AS50" s="28">
        <f>IF(AM50&lt;&gt;"",
    COUNTIFS(MATCH_INPUT!$F$14:$F$17, AM50, MATCH_INPUT!$K$14:$K$17, "&lt;&gt;"&amp;AM50, MATCH_INPUT!$K$14:$K$17, "&lt;&gt;Draw", MATCH_INPUT!$K$14:$K$17, "&lt;&gt;""") +
    COUNTIFS(MATCH_INPUT!$J$14:$J$17, AM50, MATCH_INPUT!$K$14:$K$17, "&lt;&gt;"&amp;AM50, MATCH_INPUT!$K$14:$K$17, "&lt;&gt;Draw", MATCH_INPUT!$K$14:$K$17, "&lt;&gt;"""),
0)</f>
        <v>0</v>
      </c>
      <c r="AT50" s="29" t="str">
        <f t="array" ref="AT50">IFERROR(
  INDEX(PLAYER_STAT!E$2:E64, 
    MATCH(1, 
      (PLAYER_STAT!A$2:A64 = MATCH_DATES!$A$5) * (PLAYER_STAT!D$2:D64 = $B50), 
    0)
  ), 
  ""
)
</f>
        <v/>
      </c>
      <c r="AU50" s="29" t="str">
        <f t="array" ref="AU50">IFERROR(
  INDEX(PLAYER_STAT!F$2:F64, 
    MATCH(1, 
      (PLAYER_STAT!A$2:A64 = MATCH_DATES!$A$5) * (PLAYER_STAT!D$2:D64 = $B50), 
    0)
  ), 
  ""
)
</f>
        <v/>
      </c>
      <c r="AV50" s="30" t="str">
        <f t="array" ref="AV50">IFERROR(
  INDEX(PLAYER_STAT!G$2:G64, 
    MATCH(1, 
      (PLAYER_STAT!A$2:A64 = MATCH_DATES!$A$5) * (PLAYER_STAT!D$2:D64 = $B50), 
    0)
  ), 
  ""
)
</f>
        <v/>
      </c>
      <c r="AW50" s="31">
        <f t="shared" si="154"/>
        <v>10</v>
      </c>
      <c r="AX50" s="32" t="str">
        <f t="shared" si="23"/>
        <v>↓</v>
      </c>
      <c r="AY50" s="21"/>
      <c r="AZ50" s="33">
        <f t="shared" si="24"/>
        <v>0</v>
      </c>
      <c r="BA50" s="22">
        <f t="shared" si="25"/>
        <v>0</v>
      </c>
      <c r="BB50" s="22">
        <f>SUM(BC50*2) + (BD50*1) + SUMIFS(MATCH_INPUT!$G$18:$G$21, MATCH_INPUT!$F$18:$F$21, AY50) + SUMIFS(MATCH_INPUT!$I$18:$I$21, MATCH_INPUT!$J$18:$J$21, AY50)
</f>
        <v>0</v>
      </c>
      <c r="BC50" s="22">
        <f>IF(AY50&lt;&gt;"",
    COUNTIFS(MATCH_INPUT!$K$18:$K$21,AY50),
0)</f>
        <v>0</v>
      </c>
      <c r="BD50" s="22">
        <f>IF(AY50&lt;&gt;"",
    COUNTIFS(MATCH_INPUT!$F$18:$F$21, AY50, MATCH_INPUT!$K$18:$K$21, "Draw") +
    COUNTIFS(MATCH_INPUT!$J$18:$J$21, AY50, MATCH_INPUT!$K$18:$K$21, "Draw"),
0)</f>
        <v>0</v>
      </c>
      <c r="BE50" s="22">
        <f>IF(AY50&lt;&gt;"",
    COUNTIFS(MATCH_INPUT!$F$18:$F$21, AY50, MATCH_INPUT!$K$18:$K$21, "&lt;&gt;"&amp;AY50, MATCH_INPUT!$K$18:$K$21, "&lt;&gt;Draw", MATCH_INPUT!$K$18:$K$21, "&lt;&gt;""") +
    COUNTIFS(MATCH_INPUT!$J$18:$J$21, AY50, MATCH_INPUT!$K$18:$K$21, "&lt;&gt;"&amp;AY50, MATCH_INPUT!$K$18:$K$21, "&lt;&gt;Draw", MATCH_INPUT!$K$18:$K$21, "&lt;&gt;"""),
0)</f>
        <v>0</v>
      </c>
      <c r="BF50" s="23" t="str">
        <f t="array" ref="BF50">IFERROR(
  INDEX(PLAYER_STAT!E$2:E64, 
    MATCH(1, 
      (PLAYER_STAT!A$2:A64 = MATCH_DATES!$A$6) * (PLAYER_STAT!D$2:D64 = $B50), 
    0)
  ), 
  ""
)
</f>
        <v/>
      </c>
      <c r="BG50" s="23" t="str">
        <f t="array" ref="BG50">IFERROR(
  INDEX(PLAYER_STAT!F$2:F64, 
    MATCH(1, 
      (PLAYER_STAT!A$2:A64 = MATCH_DATES!$A$6) * (PLAYER_STAT!D$2:D64 = $B50), 
    0)
  ), 
  ""
)
</f>
        <v/>
      </c>
      <c r="BH50" s="34" t="str">
        <f t="array" ref="BH50">IFERROR(
  INDEX(PLAYER_STAT!G$2:G64, 
    MATCH(1, 
      (PLAYER_STAT!A$2:A64 = MATCH_DATES!$A$6) * (PLAYER_STAT!D$2:D64 = $B50), 
    0)
  ), 
  ""
)
</f>
        <v/>
      </c>
      <c r="BI50" s="25">
        <f t="shared" si="155"/>
        <v>12</v>
      </c>
      <c r="BJ50" s="26" t="str">
        <f t="shared" si="27"/>
        <v>↓</v>
      </c>
      <c r="BK50" s="27"/>
      <c r="BL50" s="28">
        <f t="shared" si="28"/>
        <v>0</v>
      </c>
      <c r="BM50" s="28">
        <f t="shared" si="29"/>
        <v>0</v>
      </c>
      <c r="BN50" s="28">
        <f>SUM(BO50*2) + (BP50*1) + SUMIFS(MATCH_INPUT!$G$22:$G$25, MATCH_INPUT!$F$22:$F$25, BK50) + SUMIFS(MATCH_INPUT!$I$22:$I$25, MATCH_INPUT!$J$22:$J$25, BK50)
</f>
        <v>0</v>
      </c>
      <c r="BO50" s="28">
        <f>IF(BK50&lt;&gt;"",
    COUNTIFS(MATCH_INPUT!$K$22:$K$25,BK50),
0)</f>
        <v>0</v>
      </c>
      <c r="BP50" s="28">
        <f>IF(BK50&lt;&gt;"",
    COUNTIFS(MATCH_INPUT!$F$22:$F$25, BK50, MATCH_INPUT!$K$22:$K$25, "Draw") +
    COUNTIFS(MATCH_INPUT!$J$22:$J$25, BK50, MATCH_INPUT!$K$22:$K$25, "Draw"),
0)</f>
        <v>0</v>
      </c>
      <c r="BQ50" s="28">
        <f>IF(BK50&lt;&gt;"",
    COUNTIFS(MATCH_INPUT!$F$22:$F$25, BK50, MATCH_INPUT!$K$22:$K$25, "&lt;&gt;"&amp;BK50, MATCH_INPUT!$K$22:$K$25, "&lt;&gt;Draw", MATCH_INPUT!$K$22:$K$25, "&lt;&gt;""") +
    COUNTIFS(MATCH_INPUT!$J$22:$J$25, BK50, MATCH_INPUT!$K$22:$K$25, "&lt;&gt;"&amp;BK50, MATCH_INPUT!$K$22:$K$25, "&lt;&gt;Draw", MATCH_INPUT!$K$22:$K$25, "&lt;&gt;"""),
0)</f>
        <v>0</v>
      </c>
      <c r="BR50" s="29" t="str">
        <f t="array" ref="BR50">IFERROR(
  INDEX(PLAYER_STAT!E$2:E64, 
    MATCH(1, 
      (PLAYER_STAT!A$2:A64 = MATCH_DATES!$A$7) * (PLAYER_STAT!D$2:D64 = $B50), 
    0)
  ), 
  ""
)
</f>
        <v/>
      </c>
      <c r="BS50" s="29" t="str">
        <f t="array" ref="BS50">IFERROR(
  INDEX(PLAYER_STAT!F$2:F64, 
    MATCH(1, 
      (PLAYER_STAT!A$2:A64 = MATCH_DATES!$A$7) * (PLAYER_STAT!D$2:D64 = $B50), 
    0)
  ), 
  ""
)
</f>
        <v/>
      </c>
      <c r="BT50" s="30" t="str">
        <f t="array" ref="BT50">IFERROR(
  INDEX(PLAYER_STAT!G$2:G64, 
    MATCH(1, 
      (PLAYER_STAT!A$2:A64 = MATCH_DATES!$A$7) * (PLAYER_STAT!D$2:D64 = $B50), 
    0)
  ), 
  ""
)
</f>
        <v/>
      </c>
      <c r="BU50" s="31">
        <f t="shared" si="156"/>
        <v>12</v>
      </c>
      <c r="BV50" s="32" t="str">
        <f t="shared" si="31"/>
        <v>=</v>
      </c>
      <c r="BW50" s="21" t="s">
        <v>215</v>
      </c>
      <c r="BX50" s="33">
        <f t="shared" si="32"/>
        <v>7</v>
      </c>
      <c r="BY50" s="22">
        <f t="shared" si="33"/>
        <v>2</v>
      </c>
      <c r="BZ50" s="22">
        <f>SUM(CA50*2)+(CB50*1) + SUMIFS(MATCH_INPUT!$G$26:$G$29, MATCH_INPUT!$F$26:$F$29, BW50) + SUMIFS(MATCH_INPUT!$I$26:$I$29, MATCH_INPUT!$J$26:$J$29, BW50)
</f>
        <v>5</v>
      </c>
      <c r="CA50" s="22">
        <f>IF(BW50&lt;&gt;"",
    COUNTIFS(MATCH_INPUT!$K$26:$K$29,BW50),
0)</f>
        <v>0</v>
      </c>
      <c r="CB50" s="22">
        <f>IF(BW50&lt;&gt;"",
    COUNTIFS(MATCH_INPUT!$F$26:$F$29, BW50, MATCH_INPUT!$K$26:$K$29, "Draw") +
    COUNTIFS(MATCH_INPUT!$J$26:$J$29, BW50, MATCH_INPUT!$K$26:$K$29, "Draw"),
0)</f>
        <v>1</v>
      </c>
      <c r="CC50" s="22">
        <f>IF(BW50&lt;&gt;"",
    COUNTIFS(MATCH_INPUT!$F$26:$F$29, BW50, MATCH_INPUT!$K$26:$K$29, "&lt;&gt;"&amp;BW50, MATCH_INPUT!$K$26:$K$29, "&lt;&gt;Draw", MATCH_INPUT!$K$26:$K$29, "&lt;&gt;""") +
    COUNTIFS(MATCH_INPUT!$J$26:$J$29, BW50, MATCH_INPUT!$K$26:$K$29, "&lt;&gt;"&amp;BW50, MATCH_INPUT!$K$26:$K$29, "&lt;&gt;Draw", MATCH_INPUT!$K$26:$K$29, "&lt;&gt;"""),
0)</f>
        <v>1</v>
      </c>
      <c r="CD50" s="23" t="str">
        <f t="array" ref="CD50">IFERROR(
  INDEX(PLAYER_STAT!E$2:E64, 
    MATCH(1, 
      (PLAYER_STAT!A$2:A64 = MATCH_DATES!$A$8) * (PLAYER_STAT!D$2:D64 = $B50), 
    0)
  ), 
  ""
)
</f>
        <v/>
      </c>
      <c r="CE50" s="23" t="str">
        <f t="array" ref="CE50">IFERROR(
  INDEX(PLAYER_STAT!F$2:F64, 
    MATCH(1, 
      (PLAYER_STAT!A$2:A64 = MATCH_DATES!$A$8) * (PLAYER_STAT!D$2:D64 = $B50), 
    0)
  ), 
  ""
)
</f>
        <v/>
      </c>
      <c r="CF50" s="34" t="str">
        <f t="array" ref="CF50">IFERROR(
  INDEX(PLAYER_STAT!G$2:G64, 
    MATCH(1, 
      (PLAYER_STAT!A$2:A64 = MATCH_DATES!$A$8) * (PLAYER_STAT!D$2:D64 = $B50), 
    0)
  ), 
  ""
)
</f>
        <v/>
      </c>
      <c r="CG50" s="25">
        <f t="shared" si="157"/>
        <v>8</v>
      </c>
      <c r="CH50" s="26" t="str">
        <f t="shared" si="35"/>
        <v>↑</v>
      </c>
      <c r="CI50" s="27"/>
      <c r="CJ50" s="28">
        <f t="shared" si="36"/>
        <v>7</v>
      </c>
      <c r="CK50" s="28">
        <f t="shared" si="37"/>
        <v>0</v>
      </c>
      <c r="CL50" s="28">
        <f>SUM(CM50*2)+(CN50*1) + SUMIFS(MATCH_INPUT!$G$30:$G$33, MATCH_INPUT!$F$30:$F$33, CI50) + SUMIFS(MATCH_INPUT!$I$30:$I$33, MATCH_INPUT!$J$30:$J$33, CI50)
</f>
        <v>0</v>
      </c>
      <c r="CM50" s="28">
        <f>IF(CI50&lt;&gt;"",
    COUNTIFS(MATCH_INPUT!$K$30:$K$33,CI50),
0)</f>
        <v>0</v>
      </c>
      <c r="CN50" s="28">
        <f>IF(CI50&lt;&gt;"",
    COUNTIFS(MATCH_INPUT!$F$30:$F$33, CI50, MATCH_INPUT!$K$30:$K$33, "Draw") +
    COUNTIFS(MATCH_INPUT!$J$30:$J$33, CI50, MATCH_INPUT!$K$30:$K$33, "Draw"),
0)</f>
        <v>0</v>
      </c>
      <c r="CO50" s="28">
        <f>IF(CI50&lt;&gt;"",
    COUNTIFS(MATCH_INPUT!$F$30:$F$33, CI50, MATCH_INPUT!$K$30:$K$33, "&lt;&gt;"&amp;CI50, MATCH_INPUT!$K$30:$K$33, "&lt;&gt;Draw", MATCH_INPUT!$K$30:$K$33, "&lt;&gt;""") +
    COUNTIFS(MATCH_INPUT!$J$30:$J$33, CI50, MATCH_INPUT!$K$30:$K$33, "&lt;&gt;"&amp;CI50, MATCH_INPUT!$K$30:$K$33, "&lt;&gt;Draw", MATCH_INPUT!$K$30:$K$33, "&lt;&gt;"""),
0)</f>
        <v>0</v>
      </c>
      <c r="CP50" s="29" t="str">
        <f t="array" ref="CP50">IFERROR(
  INDEX(PLAYER_STAT!E$2:E64, 
    MATCH(1, 
      (PLAYER_STAT!A$2:A64 = MATCH_DATES!$A$9) * (PLAYER_STAT!D$2:D64 = $B50), 
    0)
  ), 
  ""
)
</f>
        <v/>
      </c>
      <c r="CQ50" s="29" t="str">
        <f t="array" ref="CQ50">IFERROR(
  INDEX(PLAYER_STAT!F$2:F64, 
    MATCH(1, 
      (PLAYER_STAT!A$2:A64 = MATCH_DATES!$A$9) * (PLAYER_STAT!D$2:D64 = $B50), 
    0)
  ), 
  ""
)
</f>
        <v/>
      </c>
      <c r="CR50" s="30" t="str">
        <f t="array" ref="CR50">IFERROR(
  INDEX(PLAYER_STAT!G$2:G64, 
    MATCH(1, 
      (PLAYER_STAT!A$2:A64 = MATCH_DATES!$A$9) * (PLAYER_STAT!D$2:D64 = $B50), 
    0)
  ), 
  ""
)
</f>
        <v/>
      </c>
      <c r="CS50" s="35">
        <f t="shared" si="158"/>
        <v>9</v>
      </c>
      <c r="CT50" s="35" t="str">
        <f t="shared" si="39"/>
        <v>↓</v>
      </c>
      <c r="CU50" s="36">
        <f t="shared" si="40"/>
        <v>5</v>
      </c>
      <c r="CV50" s="36" t="str">
        <f t="shared" ref="CV50:CW50" si="189">A50</f>
        <v>🛗</v>
      </c>
      <c r="CW50" s="37" t="str">
        <f t="shared" si="189"/>
        <v>(Sub) Sergio</v>
      </c>
      <c r="CX50" s="37">
        <f t="shared" si="42"/>
        <v>7</v>
      </c>
      <c r="CY50" s="36">
        <f>SUM(
  IF(AND(MATCH_DATES!$A$2 &lt;= TODAY(), NOW() &gt;= MATCH_DATES!$A$2 + TIME(22, 0, 0)), E50, 0),
  IF(AND(MATCH_DATES!$A$3 &lt;= TODAY(), NOW() &gt;= MATCH_DATES!$A$3 + TIME(22, 0, 0)), Q50, 0),
  IF(AND(MATCH_DATES!$A$4 &lt;= TODAY(), NOW() &gt;= MATCH_DATES!$A$4 + TIME(22, 0, 0)), AC50, 0),
  IF(AND(MATCH_DATES!$A$5 &lt;= TODAY(), NOW() &gt;= MATCH_DATES!$A$5 + TIME(22, 0, 0)), AO50, 0),
  IF(AND(MATCH_DATES!$A$6 &lt;= TODAY(), NOW() &gt;= MATCH_DATES!$A$6 + TIME(22, 0, 0)), BA50, 0),
  IF(AND(MATCH_DATES!$A$7 &lt;= TODAY(), NOW() &gt;= MATCH_DATES!$A$7 + TIME(22, 0, 0)), BM50, 0),
  IF(AND(MATCH_DATES!$A$8 &lt;= TODAY(), NOW() &gt;= MATCH_DATES!$A$8 + TIME(22, 0, 0)), BY50, 0),
  IF(AND(MATCH_DATES!$A$9 &lt;= TODAY(), NOW() &gt;= MATCH_DATES!$A$9 + TIME(22, 0, 0)), CK50, 0)
)
</f>
        <v>2</v>
      </c>
      <c r="CZ50" s="37">
        <f t="shared" ref="CZ50:DA50" si="190">SUM(G50,S50,AE50,AQ50,BC50,BO50,CA50,CM50)</f>
        <v>0</v>
      </c>
      <c r="DA50" s="37">
        <f t="shared" si="190"/>
        <v>1</v>
      </c>
      <c r="DB50" s="37">
        <f>SUM(
  IF(AND(MATCH_DATES!$A$2 &lt;= TODAY(), NOW() &gt;= MATCH_DATES!$A$2 + TIME(22, 0, 0)), I50, 0),
  IF(AND(MATCH_DATES!$A$3 &lt;= TODAY(), NOW() &gt;= MATCH_DATES!$A$3 + TIME(22, 0, 0)), U50, 0),
  IF(AND(MATCH_DATES!$A$4 &lt;= TODAY(), NOW() &gt;= MATCH_DATES!$A$4 + TIME(22, 0, 0)), AG50, 0),
  IF(AND(MATCH_DATES!$A$5 &lt;= TODAY(), NOW() &gt;= MATCH_DATES!$A$5 + TIME(22, 0, 0)), AS50, 0),
  IF(AND(MATCH_DATES!$A$6 &lt;= TODAY(), NOW() &gt;= MATCH_DATES!$A$6 + TIME(22, 0, 0)), BE50, 0),
  IF(AND(MATCH_DATES!$A$7 &lt;= TODAY(), NOW() &gt;= MATCH_DATES!$A$7 + TIME(22, 0, 0)), BQ50, 0),
  IF(AND(MATCH_DATES!$A$8 &lt;= TODAY(), NOW() &gt;= MATCH_DATES!$A$8 + TIME(22, 0, 0)), CC50, 0),
  IF(AND(MATCH_DATES!$A$9 &lt;= TODAY(), NOW() &gt;= MATCH_DATES!$A$9 + TIME(22, 0, 0)), CO50, 0)
)</f>
        <v>1</v>
      </c>
      <c r="DC50" s="37">
        <f t="shared" si="44"/>
        <v>0</v>
      </c>
      <c r="DD50" s="37">
        <f t="shared" ref="DD50:DE50" si="191">SUM(K50,W50,AI50,AU50,BG50,BS50,CE50,CQ50)</f>
        <v>0</v>
      </c>
      <c r="DE50" s="37">
        <f t="shared" si="191"/>
        <v>0</v>
      </c>
    </row>
    <row r="51" ht="24.75" customHeight="1">
      <c r="A51" s="30" t="s">
        <v>242</v>
      </c>
      <c r="B51" s="30" t="s">
        <v>255</v>
      </c>
      <c r="C51" s="41"/>
      <c r="D51" s="22">
        <f t="shared" si="4"/>
        <v>0</v>
      </c>
      <c r="E51" s="22">
        <f t="shared" si="5"/>
        <v>0</v>
      </c>
      <c r="F51" s="22">
        <f t="shared" si="6"/>
        <v>0</v>
      </c>
      <c r="G51" s="22">
        <f>IF(C51&lt;&gt;"",
    COUNTIFS(MATCH_INPUT!$K$2:$K$5,C51),
0)</f>
        <v>0</v>
      </c>
      <c r="H51" s="22">
        <f>IF(C51&lt;&gt;"",
    COUNTIFS(MATCH_INPUT!$F$2:$F$5, C51, MATCH_INPUT!$K$2:$K$5, "Draw") +
    COUNTIFS(MATCH_INPUT!$J$2:$J$5, C51, MATCH_INPUT!$K$2:$K$5, "Draw"),
0)</f>
        <v>0</v>
      </c>
      <c r="I51" s="22">
        <f>IF(C51&lt;&gt;"",
    COUNTIFS(MATCH_INPUT!$F$2:$F$5, C51, MATCH_INPUT!$K$2:$K$5, "&lt;&gt;"&amp;C51, MATCH_INPUT!$K$2:$K$5, "&lt;&gt;Draw", MATCH_INPUT!$K$2:$K$5, "&lt;&gt;""") +
    COUNTIFS(MATCH_INPUT!$J$2:$J$5, C51, MATCH_INPUT!$K$2:$K$5, "&lt;&gt;"&amp;C51, MATCH_INPUT!$K$2:$K$5, "&lt;&gt;Draw", MATCH_INPUT!$K$2:$K$5, "&lt;&gt;"""),
0)</f>
        <v>0</v>
      </c>
      <c r="J51" s="23" t="str">
        <f t="array" ref="J51">IFERROR(
  INDEX(PLAYER_STAT!E$2:E64, 
    MATCH(1, 
      (PLAYER_STAT!A$2:A64 = MATCH_DATES!$A$2) * (PLAYER_STAT!D$2:D64 = $B51), 
    0)
  ), 
  ""
)
</f>
        <v/>
      </c>
      <c r="K51" s="23" t="str">
        <f t="array" ref="K51">IFERROR(
  INDEX(PLAYER_STAT!F$2:F64, 
    MATCH(1, 
      (PLAYER_STAT!A$2:A64 = MATCH_DATES!$A$2) * (PLAYER_STAT!D$2:D64 = $B51), 
    0)
  ), 
  ""
)
</f>
        <v/>
      </c>
      <c r="L51" s="24" t="str">
        <f t="array" ref="L51">IFERROR(
  INDEX(PLAYER_STAT!G$2:G64, 
    MATCH(1, 
      (PLAYER_STAT!A$2:A64 = MATCH_DATES!$A$2) * (PLAYER_STAT!D$2:D64 = $B51), 
    0)
  ), 
  ""
)
</f>
        <v/>
      </c>
      <c r="M51" s="25">
        <f t="shared" si="151"/>
        <v>6</v>
      </c>
      <c r="N51" s="26" t="str">
        <f t="shared" si="8"/>
        <v>↓</v>
      </c>
      <c r="O51" s="27"/>
      <c r="P51" s="28">
        <f t="shared" si="9"/>
        <v>0</v>
      </c>
      <c r="Q51" s="28">
        <f t="shared" si="10"/>
        <v>0</v>
      </c>
      <c r="R51" s="28">
        <f t="shared" si="11"/>
        <v>0</v>
      </c>
      <c r="S51" s="28">
        <f>IF(O51&lt;&gt;"",
    COUNTIFS(MATCH_INPUT!$K$6:$K$9,O51),
0)</f>
        <v>0</v>
      </c>
      <c r="T51" s="28">
        <f>IF(O51&lt;&gt;"",
    COUNTIFS(MATCH_INPUT!$F$6:$F$9, O51, MATCH_INPUT!$K$6:$K$9, "Draw") +
    COUNTIFS(MATCH_INPUT!$J$6:$J$9, O51, MATCH_INPUT!$K$6:$K$9, "Draw"),
0)</f>
        <v>0</v>
      </c>
      <c r="U51" s="28">
        <f>IF(O51&lt;&gt;"",
    COUNTIFS(MATCH_INPUT!$F$6:$F$9, O51, MATCH_INPUT!$K$6:$K$9, "&lt;&gt;"&amp;O51, MATCH_INPUT!$K$6:$K$9, "&lt;&gt;Draw", MATCH_INPUT!$K$6:$K$9, "&lt;&gt;""") +
    COUNTIFS(MATCH_INPUT!$J$6:$J$9, O51, MATCH_INPUT!$K$6:$K$9, "&lt;&gt;"&amp;O51, MATCH_INPUT!$K$6:$K$9, "&lt;&gt;Draw", MATCH_INPUT!$K$6:$K$9, "&lt;&gt;"""),
0)</f>
        <v>0</v>
      </c>
      <c r="V51" s="29" t="str">
        <f t="array" ref="V51">IFERROR(
  INDEX(PLAYER_STAT!E$2:E64, 
    MATCH(1, 
      (PLAYER_STAT!A$2:A64 = MATCH_DATES!$A$3) * (PLAYER_STAT!D$2:D64 = $B51), 
    0)
  ), 
  ""
)
</f>
        <v/>
      </c>
      <c r="W51" s="29" t="str">
        <f t="array" ref="W51">IFERROR(
  INDEX(PLAYER_STAT!F$2:F64, 
    MATCH(1, 
      (PLAYER_STAT!A$2:A64 = MATCH_DATES!$A$3) * (PLAYER_STAT!D$2:D64 = $B51), 
    0)
  ), 
  ""
)
</f>
        <v/>
      </c>
      <c r="X51" s="30" t="str">
        <f t="array" ref="X51">IFERROR(
  INDEX(PLAYER_STAT!G$2:G64, 
    MATCH(1, 
      (PLAYER_STAT!A$2:A64 = MATCH_DATES!$A$3) * (PLAYER_STAT!D$2:D64 = $B51), 
    0)
  ), 
  ""
)
</f>
        <v/>
      </c>
      <c r="Y51" s="31">
        <f t="shared" si="152"/>
        <v>7</v>
      </c>
      <c r="Z51" s="32" t="str">
        <f t="shared" si="13"/>
        <v>↓</v>
      </c>
      <c r="AA51" s="21"/>
      <c r="AB51" s="33">
        <f t="shared" si="14"/>
        <v>0</v>
      </c>
      <c r="AC51" s="22">
        <f t="shared" si="15"/>
        <v>0</v>
      </c>
      <c r="AD51" s="22">
        <f t="shared" si="16"/>
        <v>0</v>
      </c>
      <c r="AE51" s="22">
        <f>IF(AA51&lt;&gt;"",
    COUNTIFS(MATCH_INPUT!$K$10:$K$13,AA51),
0)</f>
        <v>0</v>
      </c>
      <c r="AF51" s="22">
        <f>IF(AA51&lt;&gt;"",
    COUNTIFS(MATCH_INPUT!$F$10:$F$13, AA51, MATCH_INPUT!$K$10:$K$13, "Draw") +
    COUNTIFS(MATCH_INPUT!$J$10:$J$13, AA51, MATCH_INPUT!$K$10:$K$13, "Draw"),
0)</f>
        <v>0</v>
      </c>
      <c r="AG51" s="22">
        <f>IF(AA51&lt;&gt;"",
    COUNTIFS(MATCH_INPUT!$F$10:$F$13, AA51, MATCH_INPUT!$K$10:$K$13, "&lt;&gt;"&amp;AA51, MATCH_INPUT!$K$10:$K$13, "&lt;&gt;Draw", MATCH_INPUT!$K$10:$K$13, "&lt;&gt;""") +
    COUNTIFS(MATCH_INPUT!$J$10:$J$13, AA51, MATCH_INPUT!$K$10:$K$13, "&lt;&gt;"&amp;AA51, MATCH_INPUT!$K$10:$K$13, "&lt;&gt;Draw", MATCH_INPUT!$K$10:$K$13, "&lt;&gt;"""),
0)</f>
        <v>0</v>
      </c>
      <c r="AH51" s="23" t="str">
        <f t="array" ref="AH51">IFERROR(
  INDEX(PLAYER_STAT!E$2:E64, 
    MATCH(1, 
      (PLAYER_STAT!A$2:A64 = MATCH_DATES!$A$4) * (PLAYER_STAT!D$2:D64 = $B51), 
    0)
  ), 
  ""
)
</f>
        <v/>
      </c>
      <c r="AI51" s="23" t="str">
        <f t="array" ref="AI51">IFERROR(
  INDEX(PLAYER_STAT!F$2:F64, 
    MATCH(1, 
      (PLAYER_STAT!A$2:A64 = MATCH_DATES!$A$4) * (PLAYER_STAT!D$2:D64 = $B51), 
    0)
  ), 
  ""
)
</f>
        <v/>
      </c>
      <c r="AJ51" s="34" t="str">
        <f t="array" ref="AJ51">IFERROR(
  INDEX(PLAYER_STAT!G$2:G64, 
    MATCH(1, 
      (PLAYER_STAT!A$2:A64 = MATCH_DATES!$A$4) * (PLAYER_STAT!D$2:D64 = $B51), 
    0)
  ), 
  ""
)
</f>
        <v/>
      </c>
      <c r="AK51" s="25">
        <f t="shared" si="153"/>
        <v>7</v>
      </c>
      <c r="AL51" s="26" t="str">
        <f t="shared" si="18"/>
        <v>=</v>
      </c>
      <c r="AM51" s="27"/>
      <c r="AN51" s="28">
        <f t="shared" si="19"/>
        <v>0</v>
      </c>
      <c r="AO51" s="28">
        <f t="shared" si="20"/>
        <v>0</v>
      </c>
      <c r="AP51" s="28">
        <f t="shared" si="21"/>
        <v>0</v>
      </c>
      <c r="AQ51" s="28">
        <f>IF(AM51&lt;&gt;"",
    COUNTIFS(MATCH_INPUT!$K$14:$K$17,AM51),
0)</f>
        <v>0</v>
      </c>
      <c r="AR51" s="28">
        <f>IF(AM51&lt;&gt;"",
    COUNTIFS(MATCH_INPUT!$F$14:$F$17, AM51, MATCH_INPUT!$K$14:$K$17, "Draw") +
    COUNTIFS(MATCH_INPUT!$J$14:$J$17, AM51, MATCH_INPUT!$K$14:$K$17, "Draw"),
0)</f>
        <v>0</v>
      </c>
      <c r="AS51" s="28">
        <f>IF(AM51&lt;&gt;"",
    COUNTIFS(MATCH_INPUT!$F$14:$F$17, AM51, MATCH_INPUT!$K$14:$K$17, "&lt;&gt;"&amp;AM51, MATCH_INPUT!$K$14:$K$17, "&lt;&gt;Draw", MATCH_INPUT!$K$14:$K$17, "&lt;&gt;""") +
    COUNTIFS(MATCH_INPUT!$J$14:$J$17, AM51, MATCH_INPUT!$K$14:$K$17, "&lt;&gt;"&amp;AM51, MATCH_INPUT!$K$14:$K$17, "&lt;&gt;Draw", MATCH_INPUT!$K$14:$K$17, "&lt;&gt;"""),
0)</f>
        <v>0</v>
      </c>
      <c r="AT51" s="29" t="str">
        <f t="array" ref="AT51">IFERROR(
  INDEX(PLAYER_STAT!E$2:E64, 
    MATCH(1, 
      (PLAYER_STAT!A$2:A64 = MATCH_DATES!$A$5) * (PLAYER_STAT!D$2:D64 = $B51), 
    0)
  ), 
  ""
)
</f>
        <v/>
      </c>
      <c r="AU51" s="29" t="str">
        <f t="array" ref="AU51">IFERROR(
  INDEX(PLAYER_STAT!F$2:F64, 
    MATCH(1, 
      (PLAYER_STAT!A$2:A64 = MATCH_DATES!$A$5) * (PLAYER_STAT!D$2:D64 = $B51), 
    0)
  ), 
  ""
)
</f>
        <v/>
      </c>
      <c r="AV51" s="30" t="str">
        <f t="array" ref="AV51">IFERROR(
  INDEX(PLAYER_STAT!G$2:G64, 
    MATCH(1, 
      (PLAYER_STAT!A$2:A64 = MATCH_DATES!$A$5) * (PLAYER_STAT!D$2:D64 = $B51), 
    0)
  ), 
  ""
)
</f>
        <v/>
      </c>
      <c r="AW51" s="31">
        <f t="shared" si="154"/>
        <v>10</v>
      </c>
      <c r="AX51" s="32" t="str">
        <f t="shared" si="23"/>
        <v>↓</v>
      </c>
      <c r="AY51" s="21"/>
      <c r="AZ51" s="33">
        <f t="shared" si="24"/>
        <v>0</v>
      </c>
      <c r="BA51" s="22">
        <f t="shared" si="25"/>
        <v>0</v>
      </c>
      <c r="BB51" s="22">
        <f>SUM(BC51*2) + (BD51*1) + SUMIFS(MATCH_INPUT!$G$18:$G$21, MATCH_INPUT!$F$18:$F$21, AY51) + SUMIFS(MATCH_INPUT!$I$18:$I$21, MATCH_INPUT!$J$18:$J$21, AY51)
</f>
        <v>0</v>
      </c>
      <c r="BC51" s="22">
        <f>IF(AY51&lt;&gt;"",
    COUNTIFS(MATCH_INPUT!$K$18:$K$21,AY51),
0)</f>
        <v>0</v>
      </c>
      <c r="BD51" s="22">
        <f>IF(AY51&lt;&gt;"",
    COUNTIFS(MATCH_INPUT!$F$18:$F$21, AY51, MATCH_INPUT!$K$18:$K$21, "Draw") +
    COUNTIFS(MATCH_INPUT!$J$18:$J$21, AY51, MATCH_INPUT!$K$18:$K$21, "Draw"),
0)</f>
        <v>0</v>
      </c>
      <c r="BE51" s="22">
        <f>IF(AY51&lt;&gt;"",
    COUNTIFS(MATCH_INPUT!$F$18:$F$21, AY51, MATCH_INPUT!$K$18:$K$21, "&lt;&gt;"&amp;AY51, MATCH_INPUT!$K$18:$K$21, "&lt;&gt;Draw", MATCH_INPUT!$K$18:$K$21, "&lt;&gt;""") +
    COUNTIFS(MATCH_INPUT!$J$18:$J$21, AY51, MATCH_INPUT!$K$18:$K$21, "&lt;&gt;"&amp;AY51, MATCH_INPUT!$K$18:$K$21, "&lt;&gt;Draw", MATCH_INPUT!$K$18:$K$21, "&lt;&gt;"""),
0)</f>
        <v>0</v>
      </c>
      <c r="BF51" s="23" t="str">
        <f t="array" ref="BF51">IFERROR(
  INDEX(PLAYER_STAT!E$2:E64, 
    MATCH(1, 
      (PLAYER_STAT!A$2:A64 = MATCH_DATES!$A$6) * (PLAYER_STAT!D$2:D64 = $B51), 
    0)
  ), 
  ""
)
</f>
        <v/>
      </c>
      <c r="BG51" s="23" t="str">
        <f t="array" ref="BG51">IFERROR(
  INDEX(PLAYER_STAT!F$2:F64, 
    MATCH(1, 
      (PLAYER_STAT!A$2:A64 = MATCH_DATES!$A$6) * (PLAYER_STAT!D$2:D64 = $B51), 
    0)
  ), 
  ""
)
</f>
        <v/>
      </c>
      <c r="BH51" s="34" t="str">
        <f t="array" ref="BH51">IFERROR(
  INDEX(PLAYER_STAT!G$2:G64, 
    MATCH(1, 
      (PLAYER_STAT!A$2:A64 = MATCH_DATES!$A$6) * (PLAYER_STAT!D$2:D64 = $B51), 
    0)
  ), 
  ""
)
</f>
        <v/>
      </c>
      <c r="BI51" s="25">
        <f t="shared" si="155"/>
        <v>12</v>
      </c>
      <c r="BJ51" s="26" t="str">
        <f t="shared" si="27"/>
        <v>↓</v>
      </c>
      <c r="BK51" s="27"/>
      <c r="BL51" s="28">
        <f t="shared" si="28"/>
        <v>0</v>
      </c>
      <c r="BM51" s="28">
        <f t="shared" si="29"/>
        <v>0</v>
      </c>
      <c r="BN51" s="28">
        <f>SUM(BO51*2) + (BP51*1) + SUMIFS(MATCH_INPUT!$G$22:$G$25, MATCH_INPUT!$F$22:$F$25, BK51) + SUMIFS(MATCH_INPUT!$I$22:$I$25, MATCH_INPUT!$J$22:$J$25, BK51)
</f>
        <v>0</v>
      </c>
      <c r="BO51" s="28">
        <f>IF(BK51&lt;&gt;"",
    COUNTIFS(MATCH_INPUT!$K$22:$K$25,BK51),
0)</f>
        <v>0</v>
      </c>
      <c r="BP51" s="28">
        <f>IF(BK51&lt;&gt;"",
    COUNTIFS(MATCH_INPUT!$F$22:$F$25, BK51, MATCH_INPUT!$K$22:$K$25, "Draw") +
    COUNTIFS(MATCH_INPUT!$J$22:$J$25, BK51, MATCH_INPUT!$K$22:$K$25, "Draw"),
0)</f>
        <v>0</v>
      </c>
      <c r="BQ51" s="28">
        <f>IF(BK51&lt;&gt;"",
    COUNTIFS(MATCH_INPUT!$F$22:$F$25, BK51, MATCH_INPUT!$K$22:$K$25, "&lt;&gt;"&amp;BK51, MATCH_INPUT!$K$22:$K$25, "&lt;&gt;Draw", MATCH_INPUT!$K$22:$K$25, "&lt;&gt;""") +
    COUNTIFS(MATCH_INPUT!$J$22:$J$25, BK51, MATCH_INPUT!$K$22:$K$25, "&lt;&gt;"&amp;BK51, MATCH_INPUT!$K$22:$K$25, "&lt;&gt;Draw", MATCH_INPUT!$K$22:$K$25, "&lt;&gt;"""),
0)</f>
        <v>0</v>
      </c>
      <c r="BR51" s="29" t="str">
        <f t="array" ref="BR51">IFERROR(
  INDEX(PLAYER_STAT!E$2:E64, 
    MATCH(1, 
      (PLAYER_STAT!A$2:A64 = MATCH_DATES!$A$7) * (PLAYER_STAT!D$2:D64 = $B51), 
    0)
  ), 
  ""
)
</f>
        <v/>
      </c>
      <c r="BS51" s="29" t="str">
        <f t="array" ref="BS51">IFERROR(
  INDEX(PLAYER_STAT!F$2:F64, 
    MATCH(1, 
      (PLAYER_STAT!A$2:A64 = MATCH_DATES!$A$7) * (PLAYER_STAT!D$2:D64 = $B51), 
    0)
  ), 
  ""
)
</f>
        <v/>
      </c>
      <c r="BT51" s="30" t="str">
        <f t="array" ref="BT51">IFERROR(
  INDEX(PLAYER_STAT!G$2:G64, 
    MATCH(1, 
      (PLAYER_STAT!A$2:A64 = MATCH_DATES!$A$7) * (PLAYER_STAT!D$2:D64 = $B51), 
    0)
  ), 
  ""
)
</f>
        <v/>
      </c>
      <c r="BU51" s="31">
        <f t="shared" si="156"/>
        <v>12</v>
      </c>
      <c r="BV51" s="32" t="str">
        <f t="shared" si="31"/>
        <v>=</v>
      </c>
      <c r="BW51" s="21" t="s">
        <v>212</v>
      </c>
      <c r="BX51" s="33">
        <f t="shared" si="32"/>
        <v>8</v>
      </c>
      <c r="BY51" s="22">
        <f t="shared" si="33"/>
        <v>2</v>
      </c>
      <c r="BZ51" s="22">
        <f>SUM(CA51*2)+(CB51*1) + SUMIFS(MATCH_INPUT!$G$26:$G$29, MATCH_INPUT!$F$26:$F$29, BW51) + SUMIFS(MATCH_INPUT!$I$26:$I$29, MATCH_INPUT!$J$26:$J$29, BW51)
</f>
        <v>6</v>
      </c>
      <c r="CA51" s="22">
        <f>IF(BW51&lt;&gt;"",
    COUNTIFS(MATCH_INPUT!$K$26:$K$29,BW51),
0)</f>
        <v>1</v>
      </c>
      <c r="CB51" s="22">
        <f>IF(BW51&lt;&gt;"",
    COUNTIFS(MATCH_INPUT!$F$26:$F$29, BW51, MATCH_INPUT!$K$26:$K$29, "Draw") +
    COUNTIFS(MATCH_INPUT!$J$26:$J$29, BW51, MATCH_INPUT!$K$26:$K$29, "Draw"),
0)</f>
        <v>1</v>
      </c>
      <c r="CC51" s="22">
        <f>IF(BW51&lt;&gt;"",
    COUNTIFS(MATCH_INPUT!$F$26:$F$29, BW51, MATCH_INPUT!$K$26:$K$29, "&lt;&gt;"&amp;BW51, MATCH_INPUT!$K$26:$K$29, "&lt;&gt;Draw", MATCH_INPUT!$K$26:$K$29, "&lt;&gt;""") +
    COUNTIFS(MATCH_INPUT!$J$26:$J$29, BW51, MATCH_INPUT!$K$26:$K$29, "&lt;&gt;"&amp;BW51, MATCH_INPUT!$K$26:$K$29, "&lt;&gt;Draw", MATCH_INPUT!$K$26:$K$29, "&lt;&gt;"""),
0)</f>
        <v>0</v>
      </c>
      <c r="CD51" s="23" t="str">
        <f t="array" ref="CD51">IFERROR(
  INDEX(PLAYER_STAT!E$2:E64, 
    MATCH(1, 
      (PLAYER_STAT!A$2:A64 = MATCH_DATES!$A$8) * (PLAYER_STAT!D$2:D64 = $B51), 
    0)
  ), 
  ""
)
</f>
        <v/>
      </c>
      <c r="CE51" s="23" t="str">
        <f t="array" ref="CE51">IFERROR(
  INDEX(PLAYER_STAT!F$2:F64, 
    MATCH(1, 
      (PLAYER_STAT!A$2:A64 = MATCH_DATES!$A$8) * (PLAYER_STAT!D$2:D64 = $B51), 
    0)
  ), 
  ""
)
</f>
        <v/>
      </c>
      <c r="CF51" s="34" t="str">
        <f t="array" ref="CF51">IFERROR(
  INDEX(PLAYER_STAT!G$2:G64, 
    MATCH(1, 
      (PLAYER_STAT!A$2:A64 = MATCH_DATES!$A$8) * (PLAYER_STAT!D$2:D64 = $B51), 
    0)
  ), 
  ""
)
</f>
        <v/>
      </c>
      <c r="CG51" s="25">
        <f t="shared" si="157"/>
        <v>6</v>
      </c>
      <c r="CH51" s="26" t="str">
        <f t="shared" si="35"/>
        <v>↑</v>
      </c>
      <c r="CI51" s="27"/>
      <c r="CJ51" s="28">
        <f t="shared" si="36"/>
        <v>8</v>
      </c>
      <c r="CK51" s="28">
        <f t="shared" si="37"/>
        <v>0</v>
      </c>
      <c r="CL51" s="28">
        <f>SUM(CM51*2)+(CN51*1) + SUMIFS(MATCH_INPUT!$G$30:$G$33, MATCH_INPUT!$F$30:$F$33, CI51) + SUMIFS(MATCH_INPUT!$I$30:$I$33, MATCH_INPUT!$J$30:$J$33, CI51)
</f>
        <v>0</v>
      </c>
      <c r="CM51" s="28">
        <f>IF(CI51&lt;&gt;"",
    COUNTIFS(MATCH_INPUT!$K$30:$K$33,CI51),
0)</f>
        <v>0</v>
      </c>
      <c r="CN51" s="28">
        <f>IF(CI51&lt;&gt;"",
    COUNTIFS(MATCH_INPUT!$F$30:$F$33, CI51, MATCH_INPUT!$K$30:$K$33, "Draw") +
    COUNTIFS(MATCH_INPUT!$J$30:$J$33, CI51, MATCH_INPUT!$K$30:$K$33, "Draw"),
0)</f>
        <v>0</v>
      </c>
      <c r="CO51" s="28">
        <f>IF(CI51&lt;&gt;"",
    COUNTIFS(MATCH_INPUT!$F$30:$F$33, CI51, MATCH_INPUT!$K$30:$K$33, "&lt;&gt;"&amp;CI51, MATCH_INPUT!$K$30:$K$33, "&lt;&gt;Draw", MATCH_INPUT!$K$30:$K$33, "&lt;&gt;""") +
    COUNTIFS(MATCH_INPUT!$J$30:$J$33, CI51, MATCH_INPUT!$K$30:$K$33, "&lt;&gt;"&amp;CI51, MATCH_INPUT!$K$30:$K$33, "&lt;&gt;Draw", MATCH_INPUT!$K$30:$K$33, "&lt;&gt;"""),
0)</f>
        <v>0</v>
      </c>
      <c r="CP51" s="29" t="str">
        <f t="array" ref="CP51">IFERROR(
  INDEX(PLAYER_STAT!E$2:E64, 
    MATCH(1, 
      (PLAYER_STAT!A$2:A64 = MATCH_DATES!$A$9) * (PLAYER_STAT!D$2:D64 = $B51), 
    0)
  ), 
  ""
)
</f>
        <v/>
      </c>
      <c r="CQ51" s="29" t="str">
        <f t="array" ref="CQ51">IFERROR(
  INDEX(PLAYER_STAT!F$2:F64, 
    MATCH(1, 
      (PLAYER_STAT!A$2:A64 = MATCH_DATES!$A$9) * (PLAYER_STAT!D$2:D64 = $B51), 
    0)
  ), 
  ""
)
</f>
        <v/>
      </c>
      <c r="CR51" s="30" t="str">
        <f t="array" ref="CR51">IFERROR(
  INDEX(PLAYER_STAT!G$2:G64, 
    MATCH(1, 
      (PLAYER_STAT!A$2:A64 = MATCH_DATES!$A$9) * (PLAYER_STAT!D$2:D64 = $B51), 
    0)
  ), 
  ""
)
</f>
        <v/>
      </c>
      <c r="CS51" s="35">
        <f t="shared" si="158"/>
        <v>7</v>
      </c>
      <c r="CT51" s="35" t="str">
        <f t="shared" si="39"/>
        <v>↓</v>
      </c>
      <c r="CU51" s="36">
        <f t="shared" si="40"/>
        <v>6</v>
      </c>
      <c r="CV51" s="36" t="str">
        <f t="shared" ref="CV51:CW51" si="192">A51</f>
        <v>🛗</v>
      </c>
      <c r="CW51" s="37" t="str">
        <f t="shared" si="192"/>
        <v>(Sub) Jose Núñez</v>
      </c>
      <c r="CX51" s="37">
        <f t="shared" si="42"/>
        <v>8</v>
      </c>
      <c r="CY51" s="36">
        <f>SUM(
  IF(AND(MATCH_DATES!$A$2 &lt;= TODAY(), NOW() &gt;= MATCH_DATES!$A$2 + TIME(22, 0, 0)), E51, 0),
  IF(AND(MATCH_DATES!$A$3 &lt;= TODAY(), NOW() &gt;= MATCH_DATES!$A$3 + TIME(22, 0, 0)), Q51, 0),
  IF(AND(MATCH_DATES!$A$4 &lt;= TODAY(), NOW() &gt;= MATCH_DATES!$A$4 + TIME(22, 0, 0)), AC51, 0),
  IF(AND(MATCH_DATES!$A$5 &lt;= TODAY(), NOW() &gt;= MATCH_DATES!$A$5 + TIME(22, 0, 0)), AO51, 0),
  IF(AND(MATCH_DATES!$A$6 &lt;= TODAY(), NOW() &gt;= MATCH_DATES!$A$6 + TIME(22, 0, 0)), BA51, 0),
  IF(AND(MATCH_DATES!$A$7 &lt;= TODAY(), NOW() &gt;= MATCH_DATES!$A$7 + TIME(22, 0, 0)), BM51, 0),
  IF(AND(MATCH_DATES!$A$8 &lt;= TODAY(), NOW() &gt;= MATCH_DATES!$A$8 + TIME(22, 0, 0)), BY51, 0),
  IF(AND(MATCH_DATES!$A$9 &lt;= TODAY(), NOW() &gt;= MATCH_DATES!$A$9 + TIME(22, 0, 0)), CK51, 0)
)
</f>
        <v>2</v>
      </c>
      <c r="CZ51" s="37">
        <f t="shared" ref="CZ51:DA51" si="193">SUM(G51,S51,AE51,AQ51,BC51,BO51,CA51,CM51)</f>
        <v>1</v>
      </c>
      <c r="DA51" s="37">
        <f t="shared" si="193"/>
        <v>1</v>
      </c>
      <c r="DB51" s="37">
        <f>SUM(
  IF(AND(MATCH_DATES!$A$2 &lt;= TODAY(), NOW() &gt;= MATCH_DATES!$A$2 + TIME(22, 0, 0)), I51, 0),
  IF(AND(MATCH_DATES!$A$3 &lt;= TODAY(), NOW() &gt;= MATCH_DATES!$A$3 + TIME(22, 0, 0)), U51, 0),
  IF(AND(MATCH_DATES!$A$4 &lt;= TODAY(), NOW() &gt;= MATCH_DATES!$A$4 + TIME(22, 0, 0)), AG51, 0),
  IF(AND(MATCH_DATES!$A$5 &lt;= TODAY(), NOW() &gt;= MATCH_DATES!$A$5 + TIME(22, 0, 0)), AS51, 0),
  IF(AND(MATCH_DATES!$A$6 &lt;= TODAY(), NOW() &gt;= MATCH_DATES!$A$6 + TIME(22, 0, 0)), BE51, 0),
  IF(AND(MATCH_DATES!$A$7 &lt;= TODAY(), NOW() &gt;= MATCH_DATES!$A$7 + TIME(22, 0, 0)), BQ51, 0),
  IF(AND(MATCH_DATES!$A$8 &lt;= TODAY(), NOW() &gt;= MATCH_DATES!$A$8 + TIME(22, 0, 0)), CC51, 0),
  IF(AND(MATCH_DATES!$A$9 &lt;= TODAY(), NOW() &gt;= MATCH_DATES!$A$9 + TIME(22, 0, 0)), CO51, 0)
)</f>
        <v>0</v>
      </c>
      <c r="DC51" s="37">
        <f t="shared" si="44"/>
        <v>0</v>
      </c>
      <c r="DD51" s="37">
        <f t="shared" ref="DD51:DE51" si="194">SUM(K51,W51,AI51,AU51,BG51,BS51,CE51,CQ51)</f>
        <v>0</v>
      </c>
      <c r="DE51" s="37">
        <f t="shared" si="194"/>
        <v>0</v>
      </c>
    </row>
    <row r="52" ht="24.75" customHeight="1">
      <c r="A52" s="30" t="s">
        <v>242</v>
      </c>
      <c r="B52" s="30"/>
      <c r="C52" s="21"/>
      <c r="D52" s="22">
        <f t="shared" si="4"/>
        <v>0</v>
      </c>
      <c r="E52" s="22">
        <f t="shared" si="5"/>
        <v>0</v>
      </c>
      <c r="F52" s="22">
        <f t="shared" si="6"/>
        <v>0</v>
      </c>
      <c r="G52" s="22">
        <f>IF(C52&lt;&gt;"",
    COUNTIFS(MATCH_INPUT!$K$2:$K$5,C52),
0)</f>
        <v>0</v>
      </c>
      <c r="H52" s="22">
        <f>IF(C52&lt;&gt;"",
    COUNTIFS(MATCH_INPUT!$F$2:$F$5, C52, MATCH_INPUT!$K$2:$K$5, "Draw") +
    COUNTIFS(MATCH_INPUT!$J$2:$J$5, C52, MATCH_INPUT!$K$2:$K$5, "Draw"),
0)</f>
        <v>0</v>
      </c>
      <c r="I52" s="22">
        <f>IF(C52&lt;&gt;"",
    COUNTIFS(MATCH_INPUT!$F$2:$F$5, C52, MATCH_INPUT!$K$2:$K$5, "&lt;&gt;"&amp;C52, MATCH_INPUT!$K$2:$K$5, "&lt;&gt;Draw", MATCH_INPUT!$K$2:$K$5, "&lt;&gt;""") +
    COUNTIFS(MATCH_INPUT!$J$2:$J$5, C52, MATCH_INPUT!$K$2:$K$5, "&lt;&gt;"&amp;C52, MATCH_INPUT!$K$2:$K$5, "&lt;&gt;Draw", MATCH_INPUT!$K$2:$K$5, "&lt;&gt;"""),
0)</f>
        <v>0</v>
      </c>
      <c r="J52" s="23" t="str">
        <f t="array" ref="J52">IFERROR(
  INDEX(PLAYER_STAT!E$2:E64, 
    MATCH(1, 
      (PLAYER_STAT!A$2:A64 = MATCH_DATES!$A$2) * (PLAYER_STAT!D$2:D64 = $B52), 
    0)
  ), 
  ""
)
</f>
        <v/>
      </c>
      <c r="K52" s="23" t="str">
        <f t="array" ref="K52">IFERROR(
  INDEX(PLAYER_STAT!F$2:F64, 
    MATCH(1, 
      (PLAYER_STAT!A$2:A64 = MATCH_DATES!$A$2) * (PLAYER_STAT!D$2:D64 = $B52), 
    0)
  ), 
  ""
)
</f>
        <v/>
      </c>
      <c r="L52" s="24" t="str">
        <f t="array" ref="L52">IFERROR(
  INDEX(PLAYER_STAT!G$2:G64, 
    MATCH(1, 
      (PLAYER_STAT!A$2:A64 = MATCH_DATES!$A$2) * (PLAYER_STAT!D$2:D64 = $B52), 
    0)
  ), 
  ""
)
</f>
        <v/>
      </c>
      <c r="M52" s="25">
        <f t="shared" si="151"/>
        <v>6</v>
      </c>
      <c r="N52" s="26" t="str">
        <f t="shared" si="8"/>
        <v>↓</v>
      </c>
      <c r="O52" s="27"/>
      <c r="P52" s="28">
        <f t="shared" si="9"/>
        <v>0</v>
      </c>
      <c r="Q52" s="28">
        <f t="shared" si="10"/>
        <v>0</v>
      </c>
      <c r="R52" s="28">
        <f t="shared" si="11"/>
        <v>0</v>
      </c>
      <c r="S52" s="28">
        <f>IF(O52&lt;&gt;"",
    COUNTIFS(MATCH_INPUT!$K$6:$K$9,O52),
0)</f>
        <v>0</v>
      </c>
      <c r="T52" s="28">
        <f>IF(O52&lt;&gt;"",
    COUNTIFS(MATCH_INPUT!$F$6:$F$9, O52, MATCH_INPUT!$K$6:$K$9, "Draw") +
    COUNTIFS(MATCH_INPUT!$J$6:$J$9, O52, MATCH_INPUT!$K$6:$K$9, "Draw"),
0)</f>
        <v>0</v>
      </c>
      <c r="U52" s="28">
        <f>IF(O52&lt;&gt;"",
    COUNTIFS(MATCH_INPUT!$F$6:$F$9, O52, MATCH_INPUT!$K$6:$K$9, "&lt;&gt;"&amp;O52, MATCH_INPUT!$K$6:$K$9, "&lt;&gt;Draw", MATCH_INPUT!$K$6:$K$9, "&lt;&gt;""") +
    COUNTIFS(MATCH_INPUT!$J$6:$J$9, O52, MATCH_INPUT!$K$6:$K$9, "&lt;&gt;"&amp;O52, MATCH_INPUT!$K$6:$K$9, "&lt;&gt;Draw", MATCH_INPUT!$K$6:$K$9, "&lt;&gt;"""),
0)</f>
        <v>0</v>
      </c>
      <c r="V52" s="29" t="str">
        <f t="array" ref="V52">IFERROR(
  INDEX(PLAYER_STAT!E$2:E64, 
    MATCH(1, 
      (PLAYER_STAT!A$2:A64 = MATCH_DATES!$A$3) * (PLAYER_STAT!D$2:D64 = $B52), 
    0)
  ), 
  ""
)
</f>
        <v/>
      </c>
      <c r="W52" s="29" t="str">
        <f t="array" ref="W52">IFERROR(
  INDEX(PLAYER_STAT!F$2:F64, 
    MATCH(1, 
      (PLAYER_STAT!A$2:A64 = MATCH_DATES!$A$3) * (PLAYER_STAT!D$2:D64 = $B52), 
    0)
  ), 
  ""
)
</f>
        <v/>
      </c>
      <c r="X52" s="30" t="str">
        <f t="array" ref="X52">IFERROR(
  INDEX(PLAYER_STAT!G$2:G64, 
    MATCH(1, 
      (PLAYER_STAT!A$2:A64 = MATCH_DATES!$A$3) * (PLAYER_STAT!D$2:D64 = $B52), 
    0)
  ), 
  ""
)
</f>
        <v/>
      </c>
      <c r="Y52" s="31">
        <f t="shared" si="152"/>
        <v>7</v>
      </c>
      <c r="Z52" s="32" t="str">
        <f t="shared" si="13"/>
        <v>↓</v>
      </c>
      <c r="AA52" s="21"/>
      <c r="AB52" s="33">
        <f t="shared" si="14"/>
        <v>0</v>
      </c>
      <c r="AC52" s="22">
        <f t="shared" si="15"/>
        <v>0</v>
      </c>
      <c r="AD52" s="22">
        <f t="shared" si="16"/>
        <v>0</v>
      </c>
      <c r="AE52" s="22">
        <f>IF(AA52&lt;&gt;"",
    COUNTIFS(MATCH_INPUT!$K$10:$K$13,AA52),
0)</f>
        <v>0</v>
      </c>
      <c r="AF52" s="22">
        <f>IF(AA52&lt;&gt;"",
    COUNTIFS(MATCH_INPUT!$F$10:$F$13, AA52, MATCH_INPUT!$K$10:$K$13, "Draw") +
    COUNTIFS(MATCH_INPUT!$J$10:$J$13, AA52, MATCH_INPUT!$K$10:$K$13, "Draw"),
0)</f>
        <v>0</v>
      </c>
      <c r="AG52" s="22">
        <f>IF(AA52&lt;&gt;"",
    COUNTIFS(MATCH_INPUT!$F$10:$F$13, AA52, MATCH_INPUT!$K$10:$K$13, "&lt;&gt;"&amp;AA52, MATCH_INPUT!$K$10:$K$13, "&lt;&gt;Draw", MATCH_INPUT!$K$10:$K$13, "&lt;&gt;""") +
    COUNTIFS(MATCH_INPUT!$J$10:$J$13, AA52, MATCH_INPUT!$K$10:$K$13, "&lt;&gt;"&amp;AA52, MATCH_INPUT!$K$10:$K$13, "&lt;&gt;Draw", MATCH_INPUT!$K$10:$K$13, "&lt;&gt;"""),
0)</f>
        <v>0</v>
      </c>
      <c r="AH52" s="23" t="str">
        <f t="array" ref="AH52">IFERROR(
  INDEX(PLAYER_STAT!E$2:E64, 
    MATCH(1, 
      (PLAYER_STAT!A$2:A64 = MATCH_DATES!$A$4) * (PLAYER_STAT!D$2:D64 = $B52), 
    0)
  ), 
  ""
)
</f>
        <v/>
      </c>
      <c r="AI52" s="23" t="str">
        <f t="array" ref="AI52">IFERROR(
  INDEX(PLAYER_STAT!F$2:F64, 
    MATCH(1, 
      (PLAYER_STAT!A$2:A64 = MATCH_DATES!$A$4) * (PLAYER_STAT!D$2:D64 = $B52), 
    0)
  ), 
  ""
)
</f>
        <v/>
      </c>
      <c r="AJ52" s="34" t="str">
        <f t="array" ref="AJ52">IFERROR(
  INDEX(PLAYER_STAT!G$2:G64, 
    MATCH(1, 
      (PLAYER_STAT!A$2:A64 = MATCH_DATES!$A$4) * (PLAYER_STAT!D$2:D64 = $B52), 
    0)
  ), 
  ""
)
</f>
        <v/>
      </c>
      <c r="AK52" s="25">
        <f t="shared" si="153"/>
        <v>7</v>
      </c>
      <c r="AL52" s="26" t="str">
        <f t="shared" si="18"/>
        <v>=</v>
      </c>
      <c r="AM52" s="27"/>
      <c r="AN52" s="28">
        <f t="shared" si="19"/>
        <v>0</v>
      </c>
      <c r="AO52" s="28">
        <f t="shared" si="20"/>
        <v>0</v>
      </c>
      <c r="AP52" s="28">
        <f t="shared" si="21"/>
        <v>0</v>
      </c>
      <c r="AQ52" s="28">
        <f>IF(AM52&lt;&gt;"",
    COUNTIFS(MATCH_INPUT!$K$14:$K$17,AM52),
0)</f>
        <v>0</v>
      </c>
      <c r="AR52" s="28">
        <f>IF(AM52&lt;&gt;"",
    COUNTIFS(MATCH_INPUT!$F$14:$F$17, AM52, MATCH_INPUT!$K$14:$K$17, "Draw") +
    COUNTIFS(MATCH_INPUT!$J$14:$J$17, AM52, MATCH_INPUT!$K$14:$K$17, "Draw"),
0)</f>
        <v>0</v>
      </c>
      <c r="AS52" s="28">
        <f>IF(AM52&lt;&gt;"",
    COUNTIFS(MATCH_INPUT!$F$14:$F$17, AM52, MATCH_INPUT!$K$14:$K$17, "&lt;&gt;"&amp;AM52, MATCH_INPUT!$K$14:$K$17, "&lt;&gt;Draw", MATCH_INPUT!$K$14:$K$17, "&lt;&gt;""") +
    COUNTIFS(MATCH_INPUT!$J$14:$J$17, AM52, MATCH_INPUT!$K$14:$K$17, "&lt;&gt;"&amp;AM52, MATCH_INPUT!$K$14:$K$17, "&lt;&gt;Draw", MATCH_INPUT!$K$14:$K$17, "&lt;&gt;"""),
0)</f>
        <v>0</v>
      </c>
      <c r="AT52" s="29" t="str">
        <f t="array" ref="AT52">IFERROR(
  INDEX(PLAYER_STAT!E$2:E64, 
    MATCH(1, 
      (PLAYER_STAT!A$2:A64 = MATCH_DATES!$A$5) * (PLAYER_STAT!D$2:D64 = $B52), 
    0)
  ), 
  ""
)
</f>
        <v/>
      </c>
      <c r="AU52" s="29" t="str">
        <f t="array" ref="AU52">IFERROR(
  INDEX(PLAYER_STAT!F$2:F64, 
    MATCH(1, 
      (PLAYER_STAT!A$2:A64 = MATCH_DATES!$A$5) * (PLAYER_STAT!D$2:D64 = $B52), 
    0)
  ), 
  ""
)
</f>
        <v/>
      </c>
      <c r="AV52" s="30" t="str">
        <f t="array" ref="AV52">IFERROR(
  INDEX(PLAYER_STAT!G$2:G64, 
    MATCH(1, 
      (PLAYER_STAT!A$2:A64 = MATCH_DATES!$A$5) * (PLAYER_STAT!D$2:D64 = $B52), 
    0)
  ), 
  ""
)
</f>
        <v/>
      </c>
      <c r="AW52" s="31">
        <f t="shared" si="154"/>
        <v>10</v>
      </c>
      <c r="AX52" s="32" t="str">
        <f t="shared" si="23"/>
        <v>↓</v>
      </c>
      <c r="AY52" s="21"/>
      <c r="AZ52" s="33">
        <f t="shared" si="24"/>
        <v>0</v>
      </c>
      <c r="BA52" s="22">
        <f t="shared" si="25"/>
        <v>0</v>
      </c>
      <c r="BB52" s="22">
        <f>SUM(BC52*2) + (BD52*1) + SUMIFS(MATCH_INPUT!$G$18:$G$21, MATCH_INPUT!$F$18:$F$21, AY52) + SUMIFS(MATCH_INPUT!$I$18:$I$21, MATCH_INPUT!$J$18:$J$21, AY52)
</f>
        <v>0</v>
      </c>
      <c r="BC52" s="22">
        <f>IF(AY52&lt;&gt;"",
    COUNTIFS(MATCH_INPUT!$K$18:$K$21,AY52),
0)</f>
        <v>0</v>
      </c>
      <c r="BD52" s="22">
        <f>IF(AY52&lt;&gt;"",
    COUNTIFS(MATCH_INPUT!$F$18:$F$21, AY52, MATCH_INPUT!$K$18:$K$21, "Draw") +
    COUNTIFS(MATCH_INPUT!$J$18:$J$21, AY52, MATCH_INPUT!$K$18:$K$21, "Draw"),
0)</f>
        <v>0</v>
      </c>
      <c r="BE52" s="22">
        <f>IF(AY52&lt;&gt;"",
    COUNTIFS(MATCH_INPUT!$F$18:$F$21, AY52, MATCH_INPUT!$K$18:$K$21, "&lt;&gt;"&amp;AY52, MATCH_INPUT!$K$18:$K$21, "&lt;&gt;Draw", MATCH_INPUT!$K$18:$K$21, "&lt;&gt;""") +
    COUNTIFS(MATCH_INPUT!$J$18:$J$21, AY52, MATCH_INPUT!$K$18:$K$21, "&lt;&gt;"&amp;AY52, MATCH_INPUT!$K$18:$K$21, "&lt;&gt;Draw", MATCH_INPUT!$K$18:$K$21, "&lt;&gt;"""),
0)</f>
        <v>0</v>
      </c>
      <c r="BF52" s="23" t="str">
        <f t="array" ref="BF52">IFERROR(
  INDEX(PLAYER_STAT!E$2:E64, 
    MATCH(1, 
      (PLAYER_STAT!A$2:A64 = MATCH_DATES!$A$6) * (PLAYER_STAT!D$2:D64 = $B52), 
    0)
  ), 
  ""
)
</f>
        <v/>
      </c>
      <c r="BG52" s="23" t="str">
        <f t="array" ref="BG52">IFERROR(
  INDEX(PLAYER_STAT!F$2:F64, 
    MATCH(1, 
      (PLAYER_STAT!A$2:A64 = MATCH_DATES!$A$6) * (PLAYER_STAT!D$2:D64 = $B52), 
    0)
  ), 
  ""
)
</f>
        <v/>
      </c>
      <c r="BH52" s="34" t="str">
        <f t="array" ref="BH52">IFERROR(
  INDEX(PLAYER_STAT!G$2:G64, 
    MATCH(1, 
      (PLAYER_STAT!A$2:A64 = MATCH_DATES!$A$6) * (PLAYER_STAT!D$2:D64 = $B52), 
    0)
  ), 
  ""
)
</f>
        <v/>
      </c>
      <c r="BI52" s="25">
        <f t="shared" si="155"/>
        <v>12</v>
      </c>
      <c r="BJ52" s="26" t="str">
        <f t="shared" si="27"/>
        <v>↓</v>
      </c>
      <c r="BK52" s="27"/>
      <c r="BL52" s="28">
        <f t="shared" si="28"/>
        <v>0</v>
      </c>
      <c r="BM52" s="28">
        <f t="shared" si="29"/>
        <v>0</v>
      </c>
      <c r="BN52" s="28">
        <f>SUM(BO52*2) + (BP52*1) + SUMIFS(MATCH_INPUT!$G$22:$G$25, MATCH_INPUT!$F$22:$F$25, BK52) + SUMIFS(MATCH_INPUT!$I$22:$I$25, MATCH_INPUT!$J$22:$J$25, BK52)
</f>
        <v>0</v>
      </c>
      <c r="BO52" s="28">
        <f>IF(BK52&lt;&gt;"",
    COUNTIFS(MATCH_INPUT!$K$22:$K$25,BK52),
0)</f>
        <v>0</v>
      </c>
      <c r="BP52" s="28">
        <f>IF(BK52&lt;&gt;"",
    COUNTIFS(MATCH_INPUT!$F$22:$F$25, BK52, MATCH_INPUT!$K$22:$K$25, "Draw") +
    COUNTIFS(MATCH_INPUT!$J$22:$J$25, BK52, MATCH_INPUT!$K$22:$K$25, "Draw"),
0)</f>
        <v>0</v>
      </c>
      <c r="BQ52" s="28">
        <f>IF(BK52&lt;&gt;"",
    COUNTIFS(MATCH_INPUT!$F$22:$F$25, BK52, MATCH_INPUT!$K$22:$K$25, "&lt;&gt;"&amp;BK52, MATCH_INPUT!$K$22:$K$25, "&lt;&gt;Draw", MATCH_INPUT!$K$22:$K$25, "&lt;&gt;""") +
    COUNTIFS(MATCH_INPUT!$J$22:$J$25, BK52, MATCH_INPUT!$K$22:$K$25, "&lt;&gt;"&amp;BK52, MATCH_INPUT!$K$22:$K$25, "&lt;&gt;Draw", MATCH_INPUT!$K$22:$K$25, "&lt;&gt;"""),
0)</f>
        <v>0</v>
      </c>
      <c r="BR52" s="29" t="str">
        <f t="array" ref="BR52">IFERROR(
  INDEX(PLAYER_STAT!E$2:E64, 
    MATCH(1, 
      (PLAYER_STAT!A$2:A64 = MATCH_DATES!$A$7) * (PLAYER_STAT!D$2:D64 = $B52), 
    0)
  ), 
  ""
)
</f>
        <v/>
      </c>
      <c r="BS52" s="29" t="str">
        <f t="array" ref="BS52">IFERROR(
  INDEX(PLAYER_STAT!F$2:F64, 
    MATCH(1, 
      (PLAYER_STAT!A$2:A64 = MATCH_DATES!$A$7) * (PLAYER_STAT!D$2:D64 = $B52), 
    0)
  ), 
  ""
)
</f>
        <v/>
      </c>
      <c r="BT52" s="30" t="str">
        <f t="array" ref="BT52">IFERROR(
  INDEX(PLAYER_STAT!G$2:G64, 
    MATCH(1, 
      (PLAYER_STAT!A$2:A64 = MATCH_DATES!$A$7) * (PLAYER_STAT!D$2:D64 = $B52), 
    0)
  ), 
  ""
)
</f>
        <v/>
      </c>
      <c r="BU52" s="31">
        <f t="shared" si="156"/>
        <v>12</v>
      </c>
      <c r="BV52" s="32" t="str">
        <f t="shared" si="31"/>
        <v>=</v>
      </c>
      <c r="BW52" s="21"/>
      <c r="BX52" s="33">
        <f t="shared" si="32"/>
        <v>0</v>
      </c>
      <c r="BY52" s="22">
        <f t="shared" si="33"/>
        <v>0</v>
      </c>
      <c r="BZ52" s="22">
        <f>SUM(CA52*2)+(CB52*1) + SUMIFS(MATCH_INPUT!$G$26:$G$29, MATCH_INPUT!$F$26:$F$29, BW52) + SUMIFS(MATCH_INPUT!$I$26:$I$29, MATCH_INPUT!$J$26:$J$29, BW52)
</f>
        <v>0</v>
      </c>
      <c r="CA52" s="22">
        <f>IF(BW52&lt;&gt;"",
    COUNTIFS(MATCH_INPUT!$K$26:$K$29,BW52),
0)</f>
        <v>0</v>
      </c>
      <c r="CB52" s="22">
        <f>IF(BW52&lt;&gt;"",
    COUNTIFS(MATCH_INPUT!$F$26:$F$29, BW52, MATCH_INPUT!$K$26:$K$29, "Draw") +
    COUNTIFS(MATCH_INPUT!$J$26:$J$29, BW52, MATCH_INPUT!$K$26:$K$29, "Draw"),
0)</f>
        <v>0</v>
      </c>
      <c r="CC52" s="22">
        <f>IF(BW52&lt;&gt;"",
    COUNTIFS(MATCH_INPUT!$F$26:$F$29, BW52, MATCH_INPUT!$K$26:$K$29, "&lt;&gt;"&amp;BW52, MATCH_INPUT!$K$26:$K$29, "&lt;&gt;Draw", MATCH_INPUT!$K$26:$K$29, "&lt;&gt;""") +
    COUNTIFS(MATCH_INPUT!$J$26:$J$29, BW52, MATCH_INPUT!$K$26:$K$29, "&lt;&gt;"&amp;BW52, MATCH_INPUT!$K$26:$K$29, "&lt;&gt;Draw", MATCH_INPUT!$K$26:$K$29, "&lt;&gt;"""),
0)</f>
        <v>0</v>
      </c>
      <c r="CD52" s="23" t="str">
        <f t="array" ref="CD52">IFERROR(
  INDEX(PLAYER_STAT!E$2:E64, 
    MATCH(1, 
      (PLAYER_STAT!A$2:A64 = MATCH_DATES!$A$8) * (PLAYER_STAT!D$2:D64 = $B52), 
    0)
  ), 
  ""
)
</f>
        <v/>
      </c>
      <c r="CE52" s="23" t="str">
        <f t="array" ref="CE52">IFERROR(
  INDEX(PLAYER_STAT!F$2:F64, 
    MATCH(1, 
      (PLAYER_STAT!A$2:A64 = MATCH_DATES!$A$8) * (PLAYER_STAT!D$2:D64 = $B52), 
    0)
  ), 
  ""
)
</f>
        <v/>
      </c>
      <c r="CF52" s="34" t="str">
        <f t="array" ref="CF52">IFERROR(
  INDEX(PLAYER_STAT!G$2:G64, 
    MATCH(1, 
      (PLAYER_STAT!A$2:A64 = MATCH_DATES!$A$8) * (PLAYER_STAT!D$2:D64 = $B52), 
    0)
  ), 
  ""
)
</f>
        <v/>
      </c>
      <c r="CG52" s="25">
        <f t="shared" si="157"/>
        <v>14</v>
      </c>
      <c r="CH52" s="26" t="str">
        <f t="shared" si="35"/>
        <v>↓</v>
      </c>
      <c r="CI52" s="27"/>
      <c r="CJ52" s="28">
        <f t="shared" si="36"/>
        <v>0</v>
      </c>
      <c r="CK52" s="28">
        <f t="shared" si="37"/>
        <v>0</v>
      </c>
      <c r="CL52" s="28">
        <f>SUM(CM52*2)+(CN52*1) + SUMIFS(MATCH_INPUT!$G$30:$G$33, MATCH_INPUT!$F$30:$F$33, CI52) + SUMIFS(MATCH_INPUT!$I$30:$I$33, MATCH_INPUT!$J$30:$J$33, CI52)
</f>
        <v>0</v>
      </c>
      <c r="CM52" s="28">
        <f>IF(CI52&lt;&gt;"",
    COUNTIFS(MATCH_INPUT!$K$30:$K$33,CI52),
0)</f>
        <v>0</v>
      </c>
      <c r="CN52" s="28">
        <f>IF(CI52&lt;&gt;"",
    COUNTIFS(MATCH_INPUT!$F$30:$F$33, CI52, MATCH_INPUT!$K$30:$K$33, "Draw") +
    COUNTIFS(MATCH_INPUT!$J$30:$J$33, CI52, MATCH_INPUT!$K$30:$K$33, "Draw"),
0)</f>
        <v>0</v>
      </c>
      <c r="CO52" s="28">
        <f>IF(CI52&lt;&gt;"",
    COUNTIFS(MATCH_INPUT!$F$30:$F$33, CI52, MATCH_INPUT!$K$30:$K$33, "&lt;&gt;"&amp;CI52, MATCH_INPUT!$K$30:$K$33, "&lt;&gt;Draw", MATCH_INPUT!$K$30:$K$33, "&lt;&gt;""") +
    COUNTIFS(MATCH_INPUT!$J$30:$J$33, CI52, MATCH_INPUT!$K$30:$K$33, "&lt;&gt;"&amp;CI52, MATCH_INPUT!$K$30:$K$33, "&lt;&gt;Draw", MATCH_INPUT!$K$30:$K$33, "&lt;&gt;"""),
0)</f>
        <v>0</v>
      </c>
      <c r="CP52" s="29" t="str">
        <f t="array" ref="CP52">IFERROR(
  INDEX(PLAYER_STAT!E$2:E64, 
    MATCH(1, 
      (PLAYER_STAT!A$2:A64 = MATCH_DATES!$A$9) * (PLAYER_STAT!D$2:D64 = $B52), 
    0)
  ), 
  ""
)
</f>
        <v/>
      </c>
      <c r="CQ52" s="29" t="str">
        <f t="array" ref="CQ52">IFERROR(
  INDEX(PLAYER_STAT!F$2:F64, 
    MATCH(1, 
      (PLAYER_STAT!A$2:A64 = MATCH_DATES!$A$9) * (PLAYER_STAT!D$2:D64 = $B52), 
    0)
  ), 
  ""
)
</f>
        <v/>
      </c>
      <c r="CR52" s="30" t="str">
        <f t="array" ref="CR52">IFERROR(
  INDEX(PLAYER_STAT!G$2:G64, 
    MATCH(1, 
      (PLAYER_STAT!A$2:A64 = MATCH_DATES!$A$9) * (PLAYER_STAT!D$2:D64 = $B52), 
    0)
  ), 
  ""
)
</f>
        <v/>
      </c>
      <c r="CS52" s="35">
        <f t="shared" si="158"/>
        <v>14</v>
      </c>
      <c r="CT52" s="35" t="str">
        <f t="shared" si="39"/>
        <v>=</v>
      </c>
      <c r="CU52" s="36">
        <f t="shared" si="40"/>
        <v>0</v>
      </c>
      <c r="CV52" s="36" t="str">
        <f t="shared" ref="CV52:CW52" si="195">A52</f>
        <v>🛗</v>
      </c>
      <c r="CW52" s="37" t="str">
        <f t="shared" si="195"/>
        <v/>
      </c>
      <c r="CX52" s="37">
        <f t="shared" si="42"/>
        <v>0</v>
      </c>
      <c r="CY52" s="36">
        <f>SUM(
  IF(AND(MATCH_DATES!$A$2 &lt;= TODAY(), NOW() &gt;= MATCH_DATES!$A$2 + TIME(22, 0, 0)), E52, 0),
  IF(AND(MATCH_DATES!$A$3 &lt;= TODAY(), NOW() &gt;= MATCH_DATES!$A$3 + TIME(22, 0, 0)), Q52, 0),
  IF(AND(MATCH_DATES!$A$4 &lt;= TODAY(), NOW() &gt;= MATCH_DATES!$A$4 + TIME(22, 0, 0)), AC52, 0),
  IF(AND(MATCH_DATES!$A$5 &lt;= TODAY(), NOW() &gt;= MATCH_DATES!$A$5 + TIME(22, 0, 0)), AO52, 0),
  IF(AND(MATCH_DATES!$A$6 &lt;= TODAY(), NOW() &gt;= MATCH_DATES!$A$6 + TIME(22, 0, 0)), BA52, 0),
  IF(AND(MATCH_DATES!$A$7 &lt;= TODAY(), NOW() &gt;= MATCH_DATES!$A$7 + TIME(22, 0, 0)), BM52, 0),
  IF(AND(MATCH_DATES!$A$8 &lt;= TODAY(), NOW() &gt;= MATCH_DATES!$A$8 + TIME(22, 0, 0)), BY52, 0),
  IF(AND(MATCH_DATES!$A$9 &lt;= TODAY(), NOW() &gt;= MATCH_DATES!$A$9 + TIME(22, 0, 0)), CK52, 0)
)
</f>
        <v>0</v>
      </c>
      <c r="CZ52" s="37">
        <f t="shared" ref="CZ52:DA52" si="196">SUM(G52,S52,AE52,AQ52,BC52,BO52,CA52,CM52)</f>
        <v>0</v>
      </c>
      <c r="DA52" s="37">
        <f t="shared" si="196"/>
        <v>0</v>
      </c>
      <c r="DB52" s="37">
        <f>SUM(
  IF(AND(MATCH_DATES!$A$2 &lt;= TODAY(), NOW() &gt;= MATCH_DATES!$A$2 + TIME(22, 0, 0)), I52, 0),
  IF(AND(MATCH_DATES!$A$3 &lt;= TODAY(), NOW() &gt;= MATCH_DATES!$A$3 + TIME(22, 0, 0)), U52, 0),
  IF(AND(MATCH_DATES!$A$4 &lt;= TODAY(), NOW() &gt;= MATCH_DATES!$A$4 + TIME(22, 0, 0)), AG52, 0),
  IF(AND(MATCH_DATES!$A$5 &lt;= TODAY(), NOW() &gt;= MATCH_DATES!$A$5 + TIME(22, 0, 0)), AS52, 0),
  IF(AND(MATCH_DATES!$A$6 &lt;= TODAY(), NOW() &gt;= MATCH_DATES!$A$6 + TIME(22, 0, 0)), BE52, 0),
  IF(AND(MATCH_DATES!$A$7 &lt;= TODAY(), NOW() &gt;= MATCH_DATES!$A$7 + TIME(22, 0, 0)), BQ52, 0),
  IF(AND(MATCH_DATES!$A$8 &lt;= TODAY(), NOW() &gt;= MATCH_DATES!$A$8 + TIME(22, 0, 0)), CC52, 0),
  IF(AND(MATCH_DATES!$A$9 &lt;= TODAY(), NOW() &gt;= MATCH_DATES!$A$9 + TIME(22, 0, 0)), CO52, 0)
)</f>
        <v>0</v>
      </c>
      <c r="DC52" s="37">
        <f t="shared" si="44"/>
        <v>0</v>
      </c>
      <c r="DD52" s="37">
        <f t="shared" ref="DD52:DE52" si="197">SUM(K52,W52,AI52,AU52,BG52,BS52,CE52,CQ52)</f>
        <v>0</v>
      </c>
      <c r="DE52" s="37">
        <f t="shared" si="197"/>
        <v>0</v>
      </c>
    </row>
    <row r="53" ht="24.75" customHeight="1">
      <c r="A53" s="30" t="s">
        <v>242</v>
      </c>
      <c r="B53" s="30"/>
      <c r="C53" s="42"/>
      <c r="D53" s="22">
        <f t="shared" si="4"/>
        <v>0</v>
      </c>
      <c r="E53" s="22">
        <f t="shared" si="5"/>
        <v>0</v>
      </c>
      <c r="F53" s="22">
        <f t="shared" si="6"/>
        <v>0</v>
      </c>
      <c r="G53" s="22">
        <f>IF(C53&lt;&gt;"",
    COUNTIFS(MATCH_INPUT!$K$2:$K$5,C53),
0)</f>
        <v>0</v>
      </c>
      <c r="H53" s="22">
        <f>IF(C53&lt;&gt;"",
    COUNTIFS(MATCH_INPUT!$F$2:$F$5, C53, MATCH_INPUT!$K$2:$K$5, "Draw") +
    COUNTIFS(MATCH_INPUT!$J$2:$J$5, C53, MATCH_INPUT!$K$2:$K$5, "Draw"),
0)</f>
        <v>0</v>
      </c>
      <c r="I53" s="22">
        <f>IF(C53&lt;&gt;"",
    COUNTIFS(MATCH_INPUT!$F$2:$F$5, C53, MATCH_INPUT!$K$2:$K$5, "&lt;&gt;"&amp;C53, MATCH_INPUT!$K$2:$K$5, "&lt;&gt;Draw", MATCH_INPUT!$K$2:$K$5, "&lt;&gt;""") +
    COUNTIFS(MATCH_INPUT!$J$2:$J$5, C53, MATCH_INPUT!$K$2:$K$5, "&lt;&gt;"&amp;C53, MATCH_INPUT!$K$2:$K$5, "&lt;&gt;Draw", MATCH_INPUT!$K$2:$K$5, "&lt;&gt;"""),
0)</f>
        <v>0</v>
      </c>
      <c r="J53" s="23" t="str">
        <f t="array" ref="J53">IFERROR(
  INDEX(PLAYER_STAT!E$2:E64, 
    MATCH(1, 
      (PLAYER_STAT!A$2:A64 = MATCH_DATES!$A$2) * (PLAYER_STAT!D$2:D64 = $B53), 
    0)
  ), 
  ""
)
</f>
        <v/>
      </c>
      <c r="K53" s="23" t="str">
        <f t="array" ref="K53">IFERROR(
  INDEX(PLAYER_STAT!F$2:F64, 
    MATCH(1, 
      (PLAYER_STAT!A$2:A64 = MATCH_DATES!$A$2) * (PLAYER_STAT!D$2:D64 = $B53), 
    0)
  ), 
  ""
)
</f>
        <v/>
      </c>
      <c r="L53" s="24" t="str">
        <f t="array" ref="L53">IFERROR(
  INDEX(PLAYER_STAT!G$2:G64, 
    MATCH(1, 
      (PLAYER_STAT!A$2:A64 = MATCH_DATES!$A$2) * (PLAYER_STAT!D$2:D64 = $B53), 
    0)
  ), 
  ""
)
</f>
        <v/>
      </c>
      <c r="M53" s="25">
        <f t="shared" si="151"/>
        <v>6</v>
      </c>
      <c r="N53" s="26" t="str">
        <f t="shared" si="8"/>
        <v>↓</v>
      </c>
      <c r="O53" s="43"/>
      <c r="P53" s="28">
        <f t="shared" si="9"/>
        <v>0</v>
      </c>
      <c r="Q53" s="28">
        <f t="shared" si="10"/>
        <v>0</v>
      </c>
      <c r="R53" s="28">
        <f t="shared" si="11"/>
        <v>0</v>
      </c>
      <c r="S53" s="28">
        <f>IF(O53&lt;&gt;"",
    COUNTIFS(MATCH_INPUT!$K$6:$K$9,O53),
0)</f>
        <v>0</v>
      </c>
      <c r="T53" s="28">
        <f>IF(O53&lt;&gt;"",
    COUNTIFS(MATCH_INPUT!$F$6:$F$9, O53, MATCH_INPUT!$K$6:$K$9, "Draw") +
    COUNTIFS(MATCH_INPUT!$J$6:$J$9, O53, MATCH_INPUT!$K$6:$K$9, "Draw"),
0)</f>
        <v>0</v>
      </c>
      <c r="U53" s="28">
        <f>IF(O53&lt;&gt;"",
    COUNTIFS(MATCH_INPUT!$F$6:$F$9, O53, MATCH_INPUT!$K$6:$K$9, "&lt;&gt;"&amp;O53, MATCH_INPUT!$K$6:$K$9, "&lt;&gt;Draw", MATCH_INPUT!$K$6:$K$9, "&lt;&gt;""") +
    COUNTIFS(MATCH_INPUT!$J$6:$J$9, O53, MATCH_INPUT!$K$6:$K$9, "&lt;&gt;"&amp;O53, MATCH_INPUT!$K$6:$K$9, "&lt;&gt;Draw", MATCH_INPUT!$K$6:$K$9, "&lt;&gt;"""),
0)</f>
        <v>0</v>
      </c>
      <c r="V53" s="29" t="str">
        <f t="array" ref="V53">IFERROR(
  INDEX(PLAYER_STAT!E$2:E64, 
    MATCH(1, 
      (PLAYER_STAT!A$2:A64 = MATCH_DATES!$A$3) * (PLAYER_STAT!D$2:D64 = $B53), 
    0)
  ), 
  ""
)
</f>
        <v/>
      </c>
      <c r="W53" s="29" t="str">
        <f t="array" ref="W53">IFERROR(
  INDEX(PLAYER_STAT!F$2:F64, 
    MATCH(1, 
      (PLAYER_STAT!A$2:A64 = MATCH_DATES!$A$3) * (PLAYER_STAT!D$2:D64 = $B53), 
    0)
  ), 
  ""
)
</f>
        <v/>
      </c>
      <c r="X53" s="30" t="str">
        <f t="array" ref="X53">IFERROR(
  INDEX(PLAYER_STAT!G$2:G64, 
    MATCH(1, 
      (PLAYER_STAT!A$2:A64 = MATCH_DATES!$A$3) * (PLAYER_STAT!D$2:D64 = $B53), 
    0)
  ), 
  ""
)
</f>
        <v/>
      </c>
      <c r="Y53" s="31">
        <f t="shared" si="152"/>
        <v>7</v>
      </c>
      <c r="Z53" s="32" t="str">
        <f t="shared" si="13"/>
        <v>↓</v>
      </c>
      <c r="AA53" s="42"/>
      <c r="AB53" s="33">
        <f t="shared" si="14"/>
        <v>0</v>
      </c>
      <c r="AC53" s="22">
        <f t="shared" si="15"/>
        <v>0</v>
      </c>
      <c r="AD53" s="22">
        <f t="shared" si="16"/>
        <v>0</v>
      </c>
      <c r="AE53" s="22">
        <f>IF(AA53&lt;&gt;"",
    COUNTIFS(MATCH_INPUT!$K$10:$K$13,AA53),
0)</f>
        <v>0</v>
      </c>
      <c r="AF53" s="22">
        <f>IF(AA53&lt;&gt;"",
    COUNTIFS(MATCH_INPUT!$F$10:$F$13, AA53, MATCH_INPUT!$K$10:$K$13, "Draw") +
    COUNTIFS(MATCH_INPUT!$J$10:$J$13, AA53, MATCH_INPUT!$K$10:$K$13, "Draw"),
0)</f>
        <v>0</v>
      </c>
      <c r="AG53" s="22">
        <f>IF(AA53&lt;&gt;"",
    COUNTIFS(MATCH_INPUT!$F$10:$F$13, AA53, MATCH_INPUT!$K$10:$K$13, "&lt;&gt;"&amp;AA53, MATCH_INPUT!$K$10:$K$13, "&lt;&gt;Draw", MATCH_INPUT!$K$10:$K$13, "&lt;&gt;""") +
    COUNTIFS(MATCH_INPUT!$J$10:$J$13, AA53, MATCH_INPUT!$K$10:$K$13, "&lt;&gt;"&amp;AA53, MATCH_INPUT!$K$10:$K$13, "&lt;&gt;Draw", MATCH_INPUT!$K$10:$K$13, "&lt;&gt;"""),
0)</f>
        <v>0</v>
      </c>
      <c r="AH53" s="23" t="str">
        <f t="array" ref="AH53">IFERROR(
  INDEX(PLAYER_STAT!E$2:E64, 
    MATCH(1, 
      (PLAYER_STAT!A$2:A64 = MATCH_DATES!$A$4) * (PLAYER_STAT!D$2:D64 = $B53), 
    0)
  ), 
  ""
)
</f>
        <v/>
      </c>
      <c r="AI53" s="23" t="str">
        <f t="array" ref="AI53">IFERROR(
  INDEX(PLAYER_STAT!F$2:F64, 
    MATCH(1, 
      (PLAYER_STAT!A$2:A64 = MATCH_DATES!$A$4) * (PLAYER_STAT!D$2:D64 = $B53), 
    0)
  ), 
  ""
)
</f>
        <v/>
      </c>
      <c r="AJ53" s="34" t="str">
        <f t="array" ref="AJ53">IFERROR(
  INDEX(PLAYER_STAT!G$2:G64, 
    MATCH(1, 
      (PLAYER_STAT!A$2:A64 = MATCH_DATES!$A$4) * (PLAYER_STAT!D$2:D64 = $B53), 
    0)
  ), 
  ""
)
</f>
        <v/>
      </c>
      <c r="AK53" s="25">
        <f t="shared" si="153"/>
        <v>7</v>
      </c>
      <c r="AL53" s="26" t="str">
        <f t="shared" si="18"/>
        <v>=</v>
      </c>
      <c r="AM53" s="43"/>
      <c r="AN53" s="28">
        <f t="shared" si="19"/>
        <v>0</v>
      </c>
      <c r="AO53" s="28">
        <f t="shared" si="20"/>
        <v>0</v>
      </c>
      <c r="AP53" s="28">
        <f t="shared" si="21"/>
        <v>0</v>
      </c>
      <c r="AQ53" s="28">
        <f>IF(AM53&lt;&gt;"",
    COUNTIFS(MATCH_INPUT!$K$14:$K$17,AM53),
0)</f>
        <v>0</v>
      </c>
      <c r="AR53" s="28">
        <f>IF(AM53&lt;&gt;"",
    COUNTIFS(MATCH_INPUT!$F$14:$F$17, AM53, MATCH_INPUT!$K$14:$K$17, "Draw") +
    COUNTIFS(MATCH_INPUT!$J$14:$J$17, AM53, MATCH_INPUT!$K$14:$K$17, "Draw"),
0)</f>
        <v>0</v>
      </c>
      <c r="AS53" s="28">
        <f>IF(AM53&lt;&gt;"",
    COUNTIFS(MATCH_INPUT!$F$14:$F$17, AM53, MATCH_INPUT!$K$14:$K$17, "&lt;&gt;"&amp;AM53, MATCH_INPUT!$K$14:$K$17, "&lt;&gt;Draw", MATCH_INPUT!$K$14:$K$17, "&lt;&gt;""") +
    COUNTIFS(MATCH_INPUT!$J$14:$J$17, AM53, MATCH_INPUT!$K$14:$K$17, "&lt;&gt;"&amp;AM53, MATCH_INPUT!$K$14:$K$17, "&lt;&gt;Draw", MATCH_INPUT!$K$14:$K$17, "&lt;&gt;"""),
0)</f>
        <v>0</v>
      </c>
      <c r="AT53" s="29" t="str">
        <f t="array" ref="AT53">IFERROR(
  INDEX(PLAYER_STAT!E$2:E64, 
    MATCH(1, 
      (PLAYER_STAT!A$2:A64 = MATCH_DATES!$A$5) * (PLAYER_STAT!D$2:D64 = $B53), 
    0)
  ), 
  ""
)
</f>
        <v/>
      </c>
      <c r="AU53" s="29" t="str">
        <f t="array" ref="AU53">IFERROR(
  INDEX(PLAYER_STAT!F$2:F64, 
    MATCH(1, 
      (PLAYER_STAT!A$2:A64 = MATCH_DATES!$A$5) * (PLAYER_STAT!D$2:D64 = $B53), 
    0)
  ), 
  ""
)
</f>
        <v/>
      </c>
      <c r="AV53" s="30" t="str">
        <f t="array" ref="AV53">IFERROR(
  INDEX(PLAYER_STAT!G$2:G64, 
    MATCH(1, 
      (PLAYER_STAT!A$2:A64 = MATCH_DATES!$A$5) * (PLAYER_STAT!D$2:D64 = $B53), 
    0)
  ), 
  ""
)
</f>
        <v/>
      </c>
      <c r="AW53" s="31">
        <f t="shared" si="154"/>
        <v>10</v>
      </c>
      <c r="AX53" s="32" t="str">
        <f t="shared" si="23"/>
        <v>↓</v>
      </c>
      <c r="AY53" s="42"/>
      <c r="AZ53" s="33">
        <f t="shared" si="24"/>
        <v>0</v>
      </c>
      <c r="BA53" s="22">
        <f t="shared" si="25"/>
        <v>0</v>
      </c>
      <c r="BB53" s="22">
        <f>SUM(BC53*2) + (BD53*1) + SUMIFS(MATCH_INPUT!$G$18:$G$21, MATCH_INPUT!$F$18:$F$21, AY53) + SUMIFS(MATCH_INPUT!$I$18:$I$21, MATCH_INPUT!$J$18:$J$21, AY53)
</f>
        <v>0</v>
      </c>
      <c r="BC53" s="22">
        <f>IF(AY53&lt;&gt;"",
    COUNTIFS(MATCH_INPUT!$K$18:$K$21,AY53),
0)</f>
        <v>0</v>
      </c>
      <c r="BD53" s="22">
        <f>IF(AY53&lt;&gt;"",
    COUNTIFS(MATCH_INPUT!$F$18:$F$21, AY53, MATCH_INPUT!$K$18:$K$21, "Draw") +
    COUNTIFS(MATCH_INPUT!$J$18:$J$21, AY53, MATCH_INPUT!$K$18:$K$21, "Draw"),
0)</f>
        <v>0</v>
      </c>
      <c r="BE53" s="22">
        <f>IF(AY53&lt;&gt;"",
    COUNTIFS(MATCH_INPUT!$F$18:$F$21, AY53, MATCH_INPUT!$K$18:$K$21, "&lt;&gt;"&amp;AY53, MATCH_INPUT!$K$18:$K$21, "&lt;&gt;Draw", MATCH_INPUT!$K$18:$K$21, "&lt;&gt;""") +
    COUNTIFS(MATCH_INPUT!$J$18:$J$21, AY53, MATCH_INPUT!$K$18:$K$21, "&lt;&gt;"&amp;AY53, MATCH_INPUT!$K$18:$K$21, "&lt;&gt;Draw", MATCH_INPUT!$K$18:$K$21, "&lt;&gt;"""),
0)</f>
        <v>0</v>
      </c>
      <c r="BF53" s="23" t="str">
        <f t="array" ref="BF53">IFERROR(
  INDEX(PLAYER_STAT!E$2:E64, 
    MATCH(1, 
      (PLAYER_STAT!A$2:A64 = MATCH_DATES!$A$6) * (PLAYER_STAT!D$2:D64 = $B53), 
    0)
  ), 
  ""
)
</f>
        <v/>
      </c>
      <c r="BG53" s="23" t="str">
        <f t="array" ref="BG53">IFERROR(
  INDEX(PLAYER_STAT!F$2:F64, 
    MATCH(1, 
      (PLAYER_STAT!A$2:A64 = MATCH_DATES!$A$6) * (PLAYER_STAT!D$2:D64 = $B53), 
    0)
  ), 
  ""
)
</f>
        <v/>
      </c>
      <c r="BH53" s="34" t="str">
        <f t="array" ref="BH53">IFERROR(
  INDEX(PLAYER_STAT!G$2:G64, 
    MATCH(1, 
      (PLAYER_STAT!A$2:A64 = MATCH_DATES!$A$6) * (PLAYER_STAT!D$2:D64 = $B53), 
    0)
  ), 
  ""
)
</f>
        <v/>
      </c>
      <c r="BI53" s="25">
        <f t="shared" si="155"/>
        <v>12</v>
      </c>
      <c r="BJ53" s="26" t="str">
        <f t="shared" si="27"/>
        <v>↓</v>
      </c>
      <c r="BK53" s="43"/>
      <c r="BL53" s="28">
        <f t="shared" si="28"/>
        <v>0</v>
      </c>
      <c r="BM53" s="28">
        <f t="shared" si="29"/>
        <v>0</v>
      </c>
      <c r="BN53" s="28">
        <f>SUM(BO53*2) + (BP53*1) + SUMIFS(MATCH_INPUT!$G$22:$G$25, MATCH_INPUT!$F$22:$F$25, BK53) + SUMIFS(MATCH_INPUT!$I$22:$I$25, MATCH_INPUT!$J$22:$J$25, BK53)
</f>
        <v>0</v>
      </c>
      <c r="BO53" s="28">
        <f>IF(BK53&lt;&gt;"",
    COUNTIFS(MATCH_INPUT!$K$22:$K$25,BK53),
0)</f>
        <v>0</v>
      </c>
      <c r="BP53" s="28">
        <f>IF(BK53&lt;&gt;"",
    COUNTIFS(MATCH_INPUT!$F$22:$F$25, BK53, MATCH_INPUT!$K$22:$K$25, "Draw") +
    COUNTIFS(MATCH_INPUT!$J$22:$J$25, BK53, MATCH_INPUT!$K$22:$K$25, "Draw"),
0)</f>
        <v>0</v>
      </c>
      <c r="BQ53" s="28">
        <f>IF(BK53&lt;&gt;"",
    COUNTIFS(MATCH_INPUT!$F$22:$F$25, BK53, MATCH_INPUT!$K$22:$K$25, "&lt;&gt;"&amp;BK53, MATCH_INPUT!$K$22:$K$25, "&lt;&gt;Draw", MATCH_INPUT!$K$22:$K$25, "&lt;&gt;""") +
    COUNTIFS(MATCH_INPUT!$J$22:$J$25, BK53, MATCH_INPUT!$K$22:$K$25, "&lt;&gt;"&amp;BK53, MATCH_INPUT!$K$22:$K$25, "&lt;&gt;Draw", MATCH_INPUT!$K$22:$K$25, "&lt;&gt;"""),
0)</f>
        <v>0</v>
      </c>
      <c r="BR53" s="29" t="str">
        <f t="array" ref="BR53">IFERROR(
  INDEX(PLAYER_STAT!E$2:E64, 
    MATCH(1, 
      (PLAYER_STAT!A$2:A64 = MATCH_DATES!$A$7) * (PLAYER_STAT!D$2:D64 = $B53), 
    0)
  ), 
  ""
)
</f>
        <v/>
      </c>
      <c r="BS53" s="29" t="str">
        <f t="array" ref="BS53">IFERROR(
  INDEX(PLAYER_STAT!F$2:F64, 
    MATCH(1, 
      (PLAYER_STAT!A$2:A64 = MATCH_DATES!$A$7) * (PLAYER_STAT!D$2:D64 = $B53), 
    0)
  ), 
  ""
)
</f>
        <v/>
      </c>
      <c r="BT53" s="30" t="str">
        <f t="array" ref="BT53">IFERROR(
  INDEX(PLAYER_STAT!G$2:G64, 
    MATCH(1, 
      (PLAYER_STAT!A$2:A64 = MATCH_DATES!$A$7) * (PLAYER_STAT!D$2:D64 = $B53), 
    0)
  ), 
  ""
)
</f>
        <v/>
      </c>
      <c r="BU53" s="31">
        <f t="shared" si="156"/>
        <v>12</v>
      </c>
      <c r="BV53" s="32" t="str">
        <f t="shared" si="31"/>
        <v>=</v>
      </c>
      <c r="BW53" s="42"/>
      <c r="BX53" s="33">
        <f t="shared" si="32"/>
        <v>0</v>
      </c>
      <c r="BY53" s="22">
        <f t="shared" si="33"/>
        <v>0</v>
      </c>
      <c r="BZ53" s="22">
        <f>SUM(CA53*2)+(CB53*1) + SUMIFS(MATCH_INPUT!$G$26:$G$29, MATCH_INPUT!$F$26:$F$29, BW53) + SUMIFS(MATCH_INPUT!$I$26:$I$29, MATCH_INPUT!$J$26:$J$29, BW53)
</f>
        <v>0</v>
      </c>
      <c r="CA53" s="22">
        <f>IF(BW53&lt;&gt;"",
    COUNTIFS(MATCH_INPUT!$K$26:$K$29,BW53),
0)</f>
        <v>0</v>
      </c>
      <c r="CB53" s="22">
        <f>IF(BW53&lt;&gt;"",
    COUNTIFS(MATCH_INPUT!$F$26:$F$29, BW53, MATCH_INPUT!$K$26:$K$29, "Draw") +
    COUNTIFS(MATCH_INPUT!$J$26:$J$29, BW53, MATCH_INPUT!$K$26:$K$29, "Draw"),
0)</f>
        <v>0</v>
      </c>
      <c r="CC53" s="22">
        <f>IF(BW53&lt;&gt;"",
    COUNTIFS(MATCH_INPUT!$F$26:$F$29, BW53, MATCH_INPUT!$K$26:$K$29, "&lt;&gt;"&amp;BW53, MATCH_INPUT!$K$26:$K$29, "&lt;&gt;Draw", MATCH_INPUT!$K$26:$K$29, "&lt;&gt;""") +
    COUNTIFS(MATCH_INPUT!$J$26:$J$29, BW53, MATCH_INPUT!$K$26:$K$29, "&lt;&gt;"&amp;BW53, MATCH_INPUT!$K$26:$K$29, "&lt;&gt;Draw", MATCH_INPUT!$K$26:$K$29, "&lt;&gt;"""),
0)</f>
        <v>0</v>
      </c>
      <c r="CD53" s="23" t="str">
        <f t="array" ref="CD53">IFERROR(
  INDEX(PLAYER_STAT!E$2:E64, 
    MATCH(1, 
      (PLAYER_STAT!A$2:A64 = MATCH_DATES!$A$8) * (PLAYER_STAT!D$2:D64 = $B53), 
    0)
  ), 
  ""
)
</f>
        <v/>
      </c>
      <c r="CE53" s="23" t="str">
        <f t="array" ref="CE53">IFERROR(
  INDEX(PLAYER_STAT!F$2:F64, 
    MATCH(1, 
      (PLAYER_STAT!A$2:A64 = MATCH_DATES!$A$8) * (PLAYER_STAT!D$2:D64 = $B53), 
    0)
  ), 
  ""
)
</f>
        <v/>
      </c>
      <c r="CF53" s="34" t="str">
        <f t="array" ref="CF53">IFERROR(
  INDEX(PLAYER_STAT!G$2:G64, 
    MATCH(1, 
      (PLAYER_STAT!A$2:A64 = MATCH_DATES!$A$8) * (PLAYER_STAT!D$2:D64 = $B53), 
    0)
  ), 
  ""
)
</f>
        <v/>
      </c>
      <c r="CG53" s="25">
        <f t="shared" si="157"/>
        <v>14</v>
      </c>
      <c r="CH53" s="26" t="str">
        <f t="shared" si="35"/>
        <v>↓</v>
      </c>
      <c r="CI53" s="43"/>
      <c r="CJ53" s="44">
        <f t="shared" si="36"/>
        <v>0</v>
      </c>
      <c r="CK53" s="28">
        <f t="shared" si="37"/>
        <v>0</v>
      </c>
      <c r="CL53" s="28">
        <f>SUM(CM53*2)+(CN53*1) + SUMIFS(MATCH_INPUT!$G$30:$G$33, MATCH_INPUT!$F$30:$F$33, CI53) + SUMIFS(MATCH_INPUT!$I$30:$I$33, MATCH_INPUT!$J$30:$J$33, CI53)
</f>
        <v>0</v>
      </c>
      <c r="CM53" s="28">
        <f>IF(CI53&lt;&gt;"",
    COUNTIFS(MATCH_INPUT!$K$30:$K$33,CI53),
0)</f>
        <v>0</v>
      </c>
      <c r="CN53" s="28">
        <f>IF(CI53&lt;&gt;"",
    COUNTIFS(MATCH_INPUT!$F$30:$F$33, CI53, MATCH_INPUT!$K$30:$K$33, "Draw") +
    COUNTIFS(MATCH_INPUT!$J$30:$J$33, CI53, MATCH_INPUT!$K$30:$K$33, "Draw"),
0)</f>
        <v>0</v>
      </c>
      <c r="CO53" s="28">
        <f>IF(CI53&lt;&gt;"",
    COUNTIFS(MATCH_INPUT!$F$30:$F$33, CI53, MATCH_INPUT!$K$30:$K$33, "&lt;&gt;"&amp;CI53, MATCH_INPUT!$K$30:$K$33, "&lt;&gt;Draw", MATCH_INPUT!$K$30:$K$33, "&lt;&gt;""") +
    COUNTIFS(MATCH_INPUT!$J$30:$J$33, CI53, MATCH_INPUT!$K$30:$K$33, "&lt;&gt;"&amp;CI53, MATCH_INPUT!$K$30:$K$33, "&lt;&gt;Draw", MATCH_INPUT!$K$30:$K$33, "&lt;&gt;"""),
0)</f>
        <v>0</v>
      </c>
      <c r="CP53" s="29" t="str">
        <f t="array" ref="CP53">IFERROR(
  INDEX(PLAYER_STAT!E$2:E64, 
    MATCH(1, 
      (PLAYER_STAT!A$2:A64 = MATCH_DATES!$A$9) * (PLAYER_STAT!D$2:D64 = $B53), 
    0)
  ), 
  ""
)
</f>
        <v/>
      </c>
      <c r="CQ53" s="29" t="str">
        <f t="array" ref="CQ53">IFERROR(
  INDEX(PLAYER_STAT!F$2:F64, 
    MATCH(1, 
      (PLAYER_STAT!A$2:A64 = MATCH_DATES!$A$9) * (PLAYER_STAT!D$2:D64 = $B53), 
    0)
  ), 
  ""
)
</f>
        <v/>
      </c>
      <c r="CR53" s="30" t="str">
        <f t="array" ref="CR53">IFERROR(
  INDEX(PLAYER_STAT!G$2:G64, 
    MATCH(1, 
      (PLAYER_STAT!A$2:A64 = MATCH_DATES!$A$9) * (PLAYER_STAT!D$2:D64 = $B53), 
    0)
  ), 
  ""
)
</f>
        <v/>
      </c>
      <c r="CS53" s="35">
        <f t="shared" si="158"/>
        <v>14</v>
      </c>
      <c r="CT53" s="35" t="str">
        <f t="shared" si="39"/>
        <v>=</v>
      </c>
      <c r="CU53" s="37">
        <f t="shared" si="40"/>
        <v>0</v>
      </c>
      <c r="CV53" s="37" t="str">
        <f t="shared" ref="CV53:CW53" si="198">A53</f>
        <v>🛗</v>
      </c>
      <c r="CW53" s="37" t="str">
        <f t="shared" si="198"/>
        <v/>
      </c>
      <c r="CX53" s="37">
        <f t="shared" si="42"/>
        <v>0</v>
      </c>
      <c r="CY53" s="37">
        <f>SUM(
  IF(AND(MATCH_DATES!$A$2 &lt;= TODAY(), NOW() &gt;= MATCH_DATES!$A$2 + TIME(22, 0, 0)), E53, 0),
  IF(AND(MATCH_DATES!$A$3 &lt;= TODAY(), NOW() &gt;= MATCH_DATES!$A$3 + TIME(22, 0, 0)), Q53, 0),
  IF(AND(MATCH_DATES!$A$4 &lt;= TODAY(), NOW() &gt;= MATCH_DATES!$A$4 + TIME(22, 0, 0)), AC53, 0),
  IF(AND(MATCH_DATES!$A$5 &lt;= TODAY(), NOW() &gt;= MATCH_DATES!$A$5 + TIME(22, 0, 0)), AO53, 0),
  IF(AND(MATCH_DATES!$A$6 &lt;= TODAY(), NOW() &gt;= MATCH_DATES!$A$6 + TIME(22, 0, 0)), BA53, 0),
  IF(AND(MATCH_DATES!$A$7 &lt;= TODAY(), NOW() &gt;= MATCH_DATES!$A$7 + TIME(22, 0, 0)), BM53, 0),
  IF(AND(MATCH_DATES!$A$8 &lt;= TODAY(), NOW() &gt;= MATCH_DATES!$A$8 + TIME(22, 0, 0)), BY53, 0),
  IF(AND(MATCH_DATES!$A$9 &lt;= TODAY(), NOW() &gt;= MATCH_DATES!$A$9 + TIME(22, 0, 0)), CK53, 0)
)
</f>
        <v>0</v>
      </c>
      <c r="CZ53" s="37">
        <f t="shared" ref="CZ53:DA53" si="199">SUM(G53,S53,AE53,AQ53,BC53,BO53,CA53,CM53)</f>
        <v>0</v>
      </c>
      <c r="DA53" s="37">
        <f t="shared" si="199"/>
        <v>0</v>
      </c>
      <c r="DB53" s="37">
        <f>SUM(
  IF(AND(MATCH_DATES!$A$2 &lt;= TODAY(), NOW() &gt;= MATCH_DATES!$A$2 + TIME(22, 0, 0)), I53, 0),
  IF(AND(MATCH_DATES!$A$3 &lt;= TODAY(), NOW() &gt;= MATCH_DATES!$A$3 + TIME(22, 0, 0)), U53, 0),
  IF(AND(MATCH_DATES!$A$4 &lt;= TODAY(), NOW() &gt;= MATCH_DATES!$A$4 + TIME(22, 0, 0)), AG53, 0),
  IF(AND(MATCH_DATES!$A$5 &lt;= TODAY(), NOW() &gt;= MATCH_DATES!$A$5 + TIME(22, 0, 0)), AS53, 0),
  IF(AND(MATCH_DATES!$A$6 &lt;= TODAY(), NOW() &gt;= MATCH_DATES!$A$6 + TIME(22, 0, 0)), BE53, 0),
  IF(AND(MATCH_DATES!$A$7 &lt;= TODAY(), NOW() &gt;= MATCH_DATES!$A$7 + TIME(22, 0, 0)), BQ53, 0),
  IF(AND(MATCH_DATES!$A$8 &lt;= TODAY(), NOW() &gt;= MATCH_DATES!$A$8 + TIME(22, 0, 0)), CC53, 0),
  IF(AND(MATCH_DATES!$A$9 &lt;= TODAY(), NOW() &gt;= MATCH_DATES!$A$9 + TIME(22, 0, 0)), CO53, 0)
)</f>
        <v>0</v>
      </c>
      <c r="DC53" s="37">
        <f t="shared" si="44"/>
        <v>0</v>
      </c>
      <c r="DD53" s="37">
        <f t="shared" ref="DD53:DE53" si="200">SUM(K53,W53,AI53,AU53,BG53,BS53,CE53,CQ53)</f>
        <v>0</v>
      </c>
      <c r="DE53" s="37">
        <f t="shared" si="200"/>
        <v>0</v>
      </c>
    </row>
    <row r="54" ht="24.75" customHeight="1">
      <c r="A54" s="30" t="s">
        <v>242</v>
      </c>
      <c r="B54" s="30"/>
      <c r="C54" s="42"/>
      <c r="D54" s="22">
        <f t="shared" si="4"/>
        <v>0</v>
      </c>
      <c r="E54" s="22">
        <f t="shared" si="5"/>
        <v>0</v>
      </c>
      <c r="F54" s="22">
        <f t="shared" si="6"/>
        <v>0</v>
      </c>
      <c r="G54" s="22">
        <f>IF(C54&lt;&gt;"",
    COUNTIFS(MATCH_INPUT!$K$2:$K$5,C54),
0)</f>
        <v>0</v>
      </c>
      <c r="H54" s="22">
        <f>IF(C54&lt;&gt;"",
    COUNTIFS(MATCH_INPUT!$F$2:$F$5, C54, MATCH_INPUT!$K$2:$K$5, "Draw") +
    COUNTIFS(MATCH_INPUT!$J$2:$J$5, C54, MATCH_INPUT!$K$2:$K$5, "Draw"),
0)</f>
        <v>0</v>
      </c>
      <c r="I54" s="22">
        <f>IF(C54&lt;&gt;"",
    COUNTIFS(MATCH_INPUT!$F$2:$F$5, C54, MATCH_INPUT!$K$2:$K$5, "&lt;&gt;"&amp;C54, MATCH_INPUT!$K$2:$K$5, "&lt;&gt;Draw", MATCH_INPUT!$K$2:$K$5, "&lt;&gt;""") +
    COUNTIFS(MATCH_INPUT!$J$2:$J$5, C54, MATCH_INPUT!$K$2:$K$5, "&lt;&gt;"&amp;C54, MATCH_INPUT!$K$2:$K$5, "&lt;&gt;Draw", MATCH_INPUT!$K$2:$K$5, "&lt;&gt;"""),
0)</f>
        <v>0</v>
      </c>
      <c r="J54" s="23" t="str">
        <f t="array" ref="J54">IFERROR(
  INDEX(PLAYER_STAT!E$2:E64, 
    MATCH(1, 
      (PLAYER_STAT!A$2:A64 = MATCH_DATES!$A$2) * (PLAYER_STAT!D$2:D64 = $B54), 
    0)
  ), 
  ""
)
</f>
        <v/>
      </c>
      <c r="K54" s="23" t="str">
        <f t="array" ref="K54">IFERROR(
  INDEX(PLAYER_STAT!F$2:F64, 
    MATCH(1, 
      (PLAYER_STAT!A$2:A64 = MATCH_DATES!$A$2) * (PLAYER_STAT!D$2:D64 = $B54), 
    0)
  ), 
  ""
)
</f>
        <v/>
      </c>
      <c r="L54" s="24" t="str">
        <f t="array" ref="L54">IFERROR(
  INDEX(PLAYER_STAT!G$2:G64, 
    MATCH(1, 
      (PLAYER_STAT!A$2:A64 = MATCH_DATES!$A$2) * (PLAYER_STAT!D$2:D64 = $B54), 
    0)
  ), 
  ""
)
</f>
        <v/>
      </c>
      <c r="M54" s="25">
        <f t="shared" si="151"/>
        <v>6</v>
      </c>
      <c r="N54" s="26" t="str">
        <f t="shared" si="8"/>
        <v>↓</v>
      </c>
      <c r="O54" s="43"/>
      <c r="P54" s="28">
        <f t="shared" si="9"/>
        <v>0</v>
      </c>
      <c r="Q54" s="28">
        <f t="shared" si="10"/>
        <v>0</v>
      </c>
      <c r="R54" s="28">
        <f t="shared" si="11"/>
        <v>0</v>
      </c>
      <c r="S54" s="28">
        <f>IF(O54&lt;&gt;"",
    COUNTIFS(MATCH_INPUT!$K$6:$K$9,O54),
0)</f>
        <v>0</v>
      </c>
      <c r="T54" s="28">
        <f>IF(O54&lt;&gt;"",
    COUNTIFS(MATCH_INPUT!$F$6:$F$9, O54, MATCH_INPUT!$K$6:$K$9, "Draw") +
    COUNTIFS(MATCH_INPUT!$J$6:$J$9, O54, MATCH_INPUT!$K$6:$K$9, "Draw"),
0)</f>
        <v>0</v>
      </c>
      <c r="U54" s="28">
        <f>IF(O54&lt;&gt;"",
    COUNTIFS(MATCH_INPUT!$F$6:$F$9, O54, MATCH_INPUT!$K$6:$K$9, "&lt;&gt;"&amp;O54, MATCH_INPUT!$K$6:$K$9, "&lt;&gt;Draw", MATCH_INPUT!$K$6:$K$9, "&lt;&gt;""") +
    COUNTIFS(MATCH_INPUT!$J$6:$J$9, O54, MATCH_INPUT!$K$6:$K$9, "&lt;&gt;"&amp;O54, MATCH_INPUT!$K$6:$K$9, "&lt;&gt;Draw", MATCH_INPUT!$K$6:$K$9, "&lt;&gt;"""),
0)</f>
        <v>0</v>
      </c>
      <c r="V54" s="29" t="str">
        <f t="array" ref="V54">IFERROR(
  INDEX(PLAYER_STAT!E$2:E64, 
    MATCH(1, 
      (PLAYER_STAT!A$2:A64 = MATCH_DATES!$A$3) * (PLAYER_STAT!D$2:D64 = $B54), 
    0)
  ), 
  ""
)
</f>
        <v/>
      </c>
      <c r="W54" s="29" t="str">
        <f t="array" ref="W54">IFERROR(
  INDEX(PLAYER_STAT!F$2:F64, 
    MATCH(1, 
      (PLAYER_STAT!A$2:A64 = MATCH_DATES!$A$3) * (PLAYER_STAT!D$2:D64 = $B54), 
    0)
  ), 
  ""
)
</f>
        <v/>
      </c>
      <c r="X54" s="30" t="str">
        <f t="array" ref="X54">IFERROR(
  INDEX(PLAYER_STAT!G$2:G64, 
    MATCH(1, 
      (PLAYER_STAT!A$2:A64 = MATCH_DATES!$A$3) * (PLAYER_STAT!D$2:D64 = $B54), 
    0)
  ), 
  ""
)
</f>
        <v/>
      </c>
      <c r="Y54" s="31">
        <f t="shared" si="152"/>
        <v>7</v>
      </c>
      <c r="Z54" s="32" t="str">
        <f t="shared" si="13"/>
        <v>↓</v>
      </c>
      <c r="AA54" s="42"/>
      <c r="AB54" s="33">
        <f t="shared" si="14"/>
        <v>0</v>
      </c>
      <c r="AC54" s="22">
        <f t="shared" si="15"/>
        <v>0</v>
      </c>
      <c r="AD54" s="22">
        <f t="shared" si="16"/>
        <v>0</v>
      </c>
      <c r="AE54" s="22">
        <f>IF(AA54&lt;&gt;"",
    COUNTIFS(MATCH_INPUT!$K$10:$K$13,AA54),
0)</f>
        <v>0</v>
      </c>
      <c r="AF54" s="22">
        <f>IF(AA54&lt;&gt;"",
    COUNTIFS(MATCH_INPUT!$F$10:$F$13, AA54, MATCH_INPUT!$K$10:$K$13, "Draw") +
    COUNTIFS(MATCH_INPUT!$J$10:$J$13, AA54, MATCH_INPUT!$K$10:$K$13, "Draw"),
0)</f>
        <v>0</v>
      </c>
      <c r="AG54" s="22">
        <f>IF(AA54&lt;&gt;"",
    COUNTIFS(MATCH_INPUT!$F$10:$F$13, AA54, MATCH_INPUT!$K$10:$K$13, "&lt;&gt;"&amp;AA54, MATCH_INPUT!$K$10:$K$13, "&lt;&gt;Draw", MATCH_INPUT!$K$10:$K$13, "&lt;&gt;""") +
    COUNTIFS(MATCH_INPUT!$J$10:$J$13, AA54, MATCH_INPUT!$K$10:$K$13, "&lt;&gt;"&amp;AA54, MATCH_INPUT!$K$10:$K$13, "&lt;&gt;Draw", MATCH_INPUT!$K$10:$K$13, "&lt;&gt;"""),
0)</f>
        <v>0</v>
      </c>
      <c r="AH54" s="23" t="str">
        <f t="array" ref="AH54">IFERROR(
  INDEX(PLAYER_STAT!E$2:E64, 
    MATCH(1, 
      (PLAYER_STAT!A$2:A64 = MATCH_DATES!$A$4) * (PLAYER_STAT!D$2:D64 = $B54), 
    0)
  ), 
  ""
)
</f>
        <v/>
      </c>
      <c r="AI54" s="23" t="str">
        <f t="array" ref="AI54">IFERROR(
  INDEX(PLAYER_STAT!F$2:F64, 
    MATCH(1, 
      (PLAYER_STAT!A$2:A64 = MATCH_DATES!$A$4) * (PLAYER_STAT!D$2:D64 = $B54), 
    0)
  ), 
  ""
)
</f>
        <v/>
      </c>
      <c r="AJ54" s="34" t="str">
        <f t="array" ref="AJ54">IFERROR(
  INDEX(PLAYER_STAT!G$2:G64, 
    MATCH(1, 
      (PLAYER_STAT!A$2:A64 = MATCH_DATES!$A$4) * (PLAYER_STAT!D$2:D64 = $B54), 
    0)
  ), 
  ""
)
</f>
        <v/>
      </c>
      <c r="AK54" s="25">
        <f t="shared" si="153"/>
        <v>7</v>
      </c>
      <c r="AL54" s="26" t="str">
        <f t="shared" si="18"/>
        <v>=</v>
      </c>
      <c r="AM54" s="43"/>
      <c r="AN54" s="28">
        <f t="shared" si="19"/>
        <v>0</v>
      </c>
      <c r="AO54" s="28">
        <f t="shared" si="20"/>
        <v>0</v>
      </c>
      <c r="AP54" s="28">
        <f t="shared" si="21"/>
        <v>0</v>
      </c>
      <c r="AQ54" s="28">
        <f>IF(AM54&lt;&gt;"",
    COUNTIFS(MATCH_INPUT!$K$14:$K$17,AM54),
0)</f>
        <v>0</v>
      </c>
      <c r="AR54" s="28">
        <f>IF(AM54&lt;&gt;"",
    COUNTIFS(MATCH_INPUT!$F$14:$F$17, AM54, MATCH_INPUT!$K$14:$K$17, "Draw") +
    COUNTIFS(MATCH_INPUT!$J$14:$J$17, AM54, MATCH_INPUT!$K$14:$K$17, "Draw"),
0)</f>
        <v>0</v>
      </c>
      <c r="AS54" s="28">
        <f>IF(AM54&lt;&gt;"",
    COUNTIFS(MATCH_INPUT!$F$14:$F$17, AM54, MATCH_INPUT!$K$14:$K$17, "&lt;&gt;"&amp;AM54, MATCH_INPUT!$K$14:$K$17, "&lt;&gt;Draw", MATCH_INPUT!$K$14:$K$17, "&lt;&gt;""") +
    COUNTIFS(MATCH_INPUT!$J$14:$J$17, AM54, MATCH_INPUT!$K$14:$K$17, "&lt;&gt;"&amp;AM54, MATCH_INPUT!$K$14:$K$17, "&lt;&gt;Draw", MATCH_INPUT!$K$14:$K$17, "&lt;&gt;"""),
0)</f>
        <v>0</v>
      </c>
      <c r="AT54" s="29" t="str">
        <f t="array" ref="AT54">IFERROR(
  INDEX(PLAYER_STAT!E$2:E64, 
    MATCH(1, 
      (PLAYER_STAT!A$2:A64 = MATCH_DATES!$A$5) * (PLAYER_STAT!D$2:D64 = $B54), 
    0)
  ), 
  ""
)
</f>
        <v/>
      </c>
      <c r="AU54" s="29" t="str">
        <f t="array" ref="AU54">IFERROR(
  INDEX(PLAYER_STAT!F$2:F64, 
    MATCH(1, 
      (PLAYER_STAT!A$2:A64 = MATCH_DATES!$A$5) * (PLAYER_STAT!D$2:D64 = $B54), 
    0)
  ), 
  ""
)
</f>
        <v/>
      </c>
      <c r="AV54" s="30" t="str">
        <f t="array" ref="AV54">IFERROR(
  INDEX(PLAYER_STAT!G$2:G64, 
    MATCH(1, 
      (PLAYER_STAT!A$2:A64 = MATCH_DATES!$A$5) * (PLAYER_STAT!D$2:D64 = $B54), 
    0)
  ), 
  ""
)
</f>
        <v/>
      </c>
      <c r="AW54" s="31">
        <f t="shared" si="154"/>
        <v>10</v>
      </c>
      <c r="AX54" s="32" t="str">
        <f t="shared" si="23"/>
        <v>↓</v>
      </c>
      <c r="AY54" s="42"/>
      <c r="AZ54" s="33">
        <f t="shared" si="24"/>
        <v>0</v>
      </c>
      <c r="BA54" s="22">
        <f t="shared" si="25"/>
        <v>0</v>
      </c>
      <c r="BB54" s="22">
        <f>SUM(BC54*2) + (BD54*1) + SUMIFS(MATCH_INPUT!$G$18:$G$21, MATCH_INPUT!$F$18:$F$21, AY54) + SUMIFS(MATCH_INPUT!$I$18:$I$21, MATCH_INPUT!$J$18:$J$21, AY54)
</f>
        <v>0</v>
      </c>
      <c r="BC54" s="22">
        <f>IF(AY54&lt;&gt;"",
    COUNTIFS(MATCH_INPUT!$K$18:$K$21,AY54),
0)</f>
        <v>0</v>
      </c>
      <c r="BD54" s="22">
        <f>IF(AY54&lt;&gt;"",
    COUNTIFS(MATCH_INPUT!$F$18:$F$21, AY54, MATCH_INPUT!$K$18:$K$21, "Draw") +
    COUNTIFS(MATCH_INPUT!$J$18:$J$21, AY54, MATCH_INPUT!$K$18:$K$21, "Draw"),
0)</f>
        <v>0</v>
      </c>
      <c r="BE54" s="22">
        <f>IF(AY54&lt;&gt;"",
    COUNTIFS(MATCH_INPUT!$F$18:$F$21, AY54, MATCH_INPUT!$K$18:$K$21, "&lt;&gt;"&amp;AY54, MATCH_INPUT!$K$18:$K$21, "&lt;&gt;Draw", MATCH_INPUT!$K$18:$K$21, "&lt;&gt;""") +
    COUNTIFS(MATCH_INPUT!$J$18:$J$21, AY54, MATCH_INPUT!$K$18:$K$21, "&lt;&gt;"&amp;AY54, MATCH_INPUT!$K$18:$K$21, "&lt;&gt;Draw", MATCH_INPUT!$K$18:$K$21, "&lt;&gt;"""),
0)</f>
        <v>0</v>
      </c>
      <c r="BF54" s="23" t="str">
        <f t="array" ref="BF54">IFERROR(
  INDEX(PLAYER_STAT!E$2:E64, 
    MATCH(1, 
      (PLAYER_STAT!A$2:A64 = MATCH_DATES!$A$6) * (PLAYER_STAT!D$2:D64 = $B54), 
    0)
  ), 
  ""
)
</f>
        <v/>
      </c>
      <c r="BG54" s="23" t="str">
        <f t="array" ref="BG54">IFERROR(
  INDEX(PLAYER_STAT!F$2:F64, 
    MATCH(1, 
      (PLAYER_STAT!A$2:A64 = MATCH_DATES!$A$6) * (PLAYER_STAT!D$2:D64 = $B54), 
    0)
  ), 
  ""
)
</f>
        <v/>
      </c>
      <c r="BH54" s="34" t="str">
        <f t="array" ref="BH54">IFERROR(
  INDEX(PLAYER_STAT!G$2:G64, 
    MATCH(1, 
      (PLAYER_STAT!A$2:A64 = MATCH_DATES!$A$6) * (PLAYER_STAT!D$2:D64 = $B54), 
    0)
  ), 
  ""
)
</f>
        <v/>
      </c>
      <c r="BI54" s="25">
        <f t="shared" si="155"/>
        <v>12</v>
      </c>
      <c r="BJ54" s="26" t="str">
        <f t="shared" si="27"/>
        <v>↓</v>
      </c>
      <c r="BK54" s="43"/>
      <c r="BL54" s="28">
        <f t="shared" si="28"/>
        <v>0</v>
      </c>
      <c r="BM54" s="28">
        <f t="shared" si="29"/>
        <v>0</v>
      </c>
      <c r="BN54" s="28">
        <f>SUM(BO54*2) + (BP54*1) + SUMIFS(MATCH_INPUT!$G$22:$G$25, MATCH_INPUT!$F$22:$F$25, BK54) + SUMIFS(MATCH_INPUT!$I$22:$I$25, MATCH_INPUT!$J$22:$J$25, BK54)
</f>
        <v>0</v>
      </c>
      <c r="BO54" s="28">
        <f>IF(BK54&lt;&gt;"",
    COUNTIFS(MATCH_INPUT!$K$22:$K$25,BK54),
0)</f>
        <v>0</v>
      </c>
      <c r="BP54" s="28">
        <f>IF(BK54&lt;&gt;"",
    COUNTIFS(MATCH_INPUT!$F$22:$F$25, BK54, MATCH_INPUT!$K$22:$K$25, "Draw") +
    COUNTIFS(MATCH_INPUT!$J$22:$J$25, BK54, MATCH_INPUT!$K$22:$K$25, "Draw"),
0)</f>
        <v>0</v>
      </c>
      <c r="BQ54" s="28">
        <f>IF(BK54&lt;&gt;"",
    COUNTIFS(MATCH_INPUT!$F$22:$F$25, BK54, MATCH_INPUT!$K$22:$K$25, "&lt;&gt;"&amp;BK54, MATCH_INPUT!$K$22:$K$25, "&lt;&gt;Draw", MATCH_INPUT!$K$22:$K$25, "&lt;&gt;""") +
    COUNTIFS(MATCH_INPUT!$J$22:$J$25, BK54, MATCH_INPUT!$K$22:$K$25, "&lt;&gt;"&amp;BK54, MATCH_INPUT!$K$22:$K$25, "&lt;&gt;Draw", MATCH_INPUT!$K$22:$K$25, "&lt;&gt;"""),
0)</f>
        <v>0</v>
      </c>
      <c r="BR54" s="29" t="str">
        <f t="array" ref="BR54">IFERROR(
  INDEX(PLAYER_STAT!E$2:E64, 
    MATCH(1, 
      (PLAYER_STAT!A$2:A64 = MATCH_DATES!$A$7) * (PLAYER_STAT!D$2:D64 = $B54), 
    0)
  ), 
  ""
)
</f>
        <v/>
      </c>
      <c r="BS54" s="29" t="str">
        <f t="array" ref="BS54">IFERROR(
  INDEX(PLAYER_STAT!F$2:F64, 
    MATCH(1, 
      (PLAYER_STAT!A$2:A64 = MATCH_DATES!$A$7) * (PLAYER_STAT!D$2:D64 = $B54), 
    0)
  ), 
  ""
)
</f>
        <v/>
      </c>
      <c r="BT54" s="30" t="str">
        <f t="array" ref="BT54">IFERROR(
  INDEX(PLAYER_STAT!G$2:G64, 
    MATCH(1, 
      (PLAYER_STAT!A$2:A64 = MATCH_DATES!$A$7) * (PLAYER_STAT!D$2:D64 = $B54), 
    0)
  ), 
  ""
)
</f>
        <v/>
      </c>
      <c r="BU54" s="31">
        <f t="shared" si="156"/>
        <v>12</v>
      </c>
      <c r="BV54" s="32" t="str">
        <f t="shared" si="31"/>
        <v>=</v>
      </c>
      <c r="BW54" s="42"/>
      <c r="BX54" s="33">
        <f t="shared" si="32"/>
        <v>0</v>
      </c>
      <c r="BY54" s="22">
        <f t="shared" si="33"/>
        <v>0</v>
      </c>
      <c r="BZ54" s="22">
        <f>SUM(CA54*2)+(CB54*1) + SUMIFS(MATCH_INPUT!$G$26:$G$29, MATCH_INPUT!$F$26:$F$29, BW54) + SUMIFS(MATCH_INPUT!$I$26:$I$29, MATCH_INPUT!$J$26:$J$29, BW54)
</f>
        <v>0</v>
      </c>
      <c r="CA54" s="22">
        <f>IF(BW54&lt;&gt;"",
    COUNTIFS(MATCH_INPUT!$K$26:$K$29,BW54),
0)</f>
        <v>0</v>
      </c>
      <c r="CB54" s="22">
        <f>IF(BW54&lt;&gt;"",
    COUNTIFS(MATCH_INPUT!$F$26:$F$29, BW54, MATCH_INPUT!$K$26:$K$29, "Draw") +
    COUNTIFS(MATCH_INPUT!$J$26:$J$29, BW54, MATCH_INPUT!$K$26:$K$29, "Draw"),
0)</f>
        <v>0</v>
      </c>
      <c r="CC54" s="22">
        <f>IF(BW54&lt;&gt;"",
    COUNTIFS(MATCH_INPUT!$F$26:$F$29, BW54, MATCH_INPUT!$K$26:$K$29, "&lt;&gt;"&amp;BW54, MATCH_INPUT!$K$26:$K$29, "&lt;&gt;Draw", MATCH_INPUT!$K$26:$K$29, "&lt;&gt;""") +
    COUNTIFS(MATCH_INPUT!$J$26:$J$29, BW54, MATCH_INPUT!$K$26:$K$29, "&lt;&gt;"&amp;BW54, MATCH_INPUT!$K$26:$K$29, "&lt;&gt;Draw", MATCH_INPUT!$K$26:$K$29, "&lt;&gt;"""),
0)</f>
        <v>0</v>
      </c>
      <c r="CD54" s="23" t="str">
        <f t="array" ref="CD54">IFERROR(
  INDEX(PLAYER_STAT!E$2:E64, 
    MATCH(1, 
      (PLAYER_STAT!A$2:A64 = MATCH_DATES!$A$8) * (PLAYER_STAT!D$2:D64 = $B54), 
    0)
  ), 
  ""
)
</f>
        <v/>
      </c>
      <c r="CE54" s="23" t="str">
        <f t="array" ref="CE54">IFERROR(
  INDEX(PLAYER_STAT!F$2:F64, 
    MATCH(1, 
      (PLAYER_STAT!A$2:A64 = MATCH_DATES!$A$8) * (PLAYER_STAT!D$2:D64 = $B54), 
    0)
  ), 
  ""
)
</f>
        <v/>
      </c>
      <c r="CF54" s="34" t="str">
        <f t="array" ref="CF54">IFERROR(
  INDEX(PLAYER_STAT!G$2:G64, 
    MATCH(1, 
      (PLAYER_STAT!A$2:A64 = MATCH_DATES!$A$8) * (PLAYER_STAT!D$2:D64 = $B54), 
    0)
  ), 
  ""
)
</f>
        <v/>
      </c>
      <c r="CG54" s="25">
        <f t="shared" si="157"/>
        <v>14</v>
      </c>
      <c r="CH54" s="26" t="str">
        <f t="shared" si="35"/>
        <v>↓</v>
      </c>
      <c r="CI54" s="43"/>
      <c r="CJ54" s="44">
        <f t="shared" si="36"/>
        <v>0</v>
      </c>
      <c r="CK54" s="28">
        <f t="shared" si="37"/>
        <v>0</v>
      </c>
      <c r="CL54" s="28">
        <f>SUM(CM54*2)+(CN54*1) + SUMIFS(MATCH_INPUT!$G$30:$G$33, MATCH_INPUT!$F$30:$F$33, CI54) + SUMIFS(MATCH_INPUT!$I$30:$I$33, MATCH_INPUT!$J$30:$J$33, CI54)
</f>
        <v>0</v>
      </c>
      <c r="CM54" s="28">
        <f>IF(CI54&lt;&gt;"",
    COUNTIFS(MATCH_INPUT!$K$30:$K$33,CI54),
0)</f>
        <v>0</v>
      </c>
      <c r="CN54" s="28">
        <f>IF(CI54&lt;&gt;"",
    COUNTIFS(MATCH_INPUT!$F$30:$F$33, CI54, MATCH_INPUT!$K$30:$K$33, "Draw") +
    COUNTIFS(MATCH_INPUT!$J$30:$J$33, CI54, MATCH_INPUT!$K$30:$K$33, "Draw"),
0)</f>
        <v>0</v>
      </c>
      <c r="CO54" s="28">
        <f>IF(CI54&lt;&gt;"",
    COUNTIFS(MATCH_INPUT!$F$30:$F$33, CI54, MATCH_INPUT!$K$30:$K$33, "&lt;&gt;"&amp;CI54, MATCH_INPUT!$K$30:$K$33, "&lt;&gt;Draw", MATCH_INPUT!$K$30:$K$33, "&lt;&gt;""") +
    COUNTIFS(MATCH_INPUT!$J$30:$J$33, CI54, MATCH_INPUT!$K$30:$K$33, "&lt;&gt;"&amp;CI54, MATCH_INPUT!$K$30:$K$33, "&lt;&gt;Draw", MATCH_INPUT!$K$30:$K$33, "&lt;&gt;"""),
0)</f>
        <v>0</v>
      </c>
      <c r="CP54" s="29" t="str">
        <f t="array" ref="CP54">IFERROR(
  INDEX(PLAYER_STAT!E$2:E64, 
    MATCH(1, 
      (PLAYER_STAT!A$2:A64 = MATCH_DATES!$A$9) * (PLAYER_STAT!D$2:D64 = $B54), 
    0)
  ), 
  ""
)
</f>
        <v/>
      </c>
      <c r="CQ54" s="29" t="str">
        <f t="array" ref="CQ54">IFERROR(
  INDEX(PLAYER_STAT!F$2:F64, 
    MATCH(1, 
      (PLAYER_STAT!A$2:A64 = MATCH_DATES!$A$9) * (PLAYER_STAT!D$2:D64 = $B54), 
    0)
  ), 
  ""
)
</f>
        <v/>
      </c>
      <c r="CR54" s="30" t="str">
        <f t="array" ref="CR54">IFERROR(
  INDEX(PLAYER_STAT!G$2:G64, 
    MATCH(1, 
      (PLAYER_STAT!A$2:A64 = MATCH_DATES!$A$9) * (PLAYER_STAT!D$2:D64 = $B54), 
    0)
  ), 
  ""
)
</f>
        <v/>
      </c>
      <c r="CS54" s="35">
        <f t="shared" si="158"/>
        <v>14</v>
      </c>
      <c r="CT54" s="35" t="str">
        <f t="shared" si="39"/>
        <v>=</v>
      </c>
      <c r="CU54" s="37">
        <f t="shared" si="40"/>
        <v>0</v>
      </c>
      <c r="CV54" s="37" t="str">
        <f t="shared" ref="CV54:CW54" si="201">A54</f>
        <v>🛗</v>
      </c>
      <c r="CW54" s="37" t="str">
        <f t="shared" si="201"/>
        <v/>
      </c>
      <c r="CX54" s="37">
        <f t="shared" si="42"/>
        <v>0</v>
      </c>
      <c r="CY54" s="37">
        <f>SUM(
  IF(AND(MATCH_DATES!$A$2 &lt;= TODAY(), NOW() &gt;= MATCH_DATES!$A$2 + TIME(22, 0, 0)), E54, 0),
  IF(AND(MATCH_DATES!$A$3 &lt;= TODAY(), NOW() &gt;= MATCH_DATES!$A$3 + TIME(22, 0, 0)), Q54, 0),
  IF(AND(MATCH_DATES!$A$4 &lt;= TODAY(), NOW() &gt;= MATCH_DATES!$A$4 + TIME(22, 0, 0)), AC54, 0),
  IF(AND(MATCH_DATES!$A$5 &lt;= TODAY(), NOW() &gt;= MATCH_DATES!$A$5 + TIME(22, 0, 0)), AO54, 0),
  IF(AND(MATCH_DATES!$A$6 &lt;= TODAY(), NOW() &gt;= MATCH_DATES!$A$6 + TIME(22, 0, 0)), BA54, 0),
  IF(AND(MATCH_DATES!$A$7 &lt;= TODAY(), NOW() &gt;= MATCH_DATES!$A$7 + TIME(22, 0, 0)), BM54, 0),
  IF(AND(MATCH_DATES!$A$8 &lt;= TODAY(), NOW() &gt;= MATCH_DATES!$A$8 + TIME(22, 0, 0)), BY54, 0),
  IF(AND(MATCH_DATES!$A$9 &lt;= TODAY(), NOW() &gt;= MATCH_DATES!$A$9 + TIME(22, 0, 0)), CK54, 0)
)
</f>
        <v>0</v>
      </c>
      <c r="CZ54" s="37">
        <f t="shared" ref="CZ54:DA54" si="202">SUM(G54,S54,AE54,AQ54,BC54,BO54,CA54,CM54)</f>
        <v>0</v>
      </c>
      <c r="DA54" s="37">
        <f t="shared" si="202"/>
        <v>0</v>
      </c>
      <c r="DB54" s="37">
        <f>SUM(
  IF(AND(MATCH_DATES!$A$2 &lt;= TODAY(), NOW() &gt;= MATCH_DATES!$A$2 + TIME(22, 0, 0)), I54, 0),
  IF(AND(MATCH_DATES!$A$3 &lt;= TODAY(), NOW() &gt;= MATCH_DATES!$A$3 + TIME(22, 0, 0)), U54, 0),
  IF(AND(MATCH_DATES!$A$4 &lt;= TODAY(), NOW() &gt;= MATCH_DATES!$A$4 + TIME(22, 0, 0)), AG54, 0),
  IF(AND(MATCH_DATES!$A$5 &lt;= TODAY(), NOW() &gt;= MATCH_DATES!$A$5 + TIME(22, 0, 0)), AS54, 0),
  IF(AND(MATCH_DATES!$A$6 &lt;= TODAY(), NOW() &gt;= MATCH_DATES!$A$6 + TIME(22, 0, 0)), BE54, 0),
  IF(AND(MATCH_DATES!$A$7 &lt;= TODAY(), NOW() &gt;= MATCH_DATES!$A$7 + TIME(22, 0, 0)), BQ54, 0),
  IF(AND(MATCH_DATES!$A$8 &lt;= TODAY(), NOW() &gt;= MATCH_DATES!$A$8 + TIME(22, 0, 0)), CC54, 0),
  IF(AND(MATCH_DATES!$A$9 &lt;= TODAY(), NOW() &gt;= MATCH_DATES!$A$9 + TIME(22, 0, 0)), CO54, 0)
)</f>
        <v>0</v>
      </c>
      <c r="DC54" s="37">
        <f t="shared" si="44"/>
        <v>0</v>
      </c>
      <c r="DD54" s="37">
        <f t="shared" ref="DD54:DE54" si="203">SUM(K54,W54,AI54,AU54,BG54,BS54,CE54,CQ54)</f>
        <v>0</v>
      </c>
      <c r="DE54" s="37">
        <f t="shared" si="203"/>
        <v>0</v>
      </c>
    </row>
    <row r="55" ht="24.75" customHeight="1">
      <c r="A55" s="30" t="s">
        <v>242</v>
      </c>
      <c r="B55" s="19"/>
      <c r="C55" s="42"/>
      <c r="D55" s="22">
        <f t="shared" si="4"/>
        <v>0</v>
      </c>
      <c r="E55" s="22">
        <f t="shared" si="5"/>
        <v>0</v>
      </c>
      <c r="F55" s="22">
        <f t="shared" si="6"/>
        <v>0</v>
      </c>
      <c r="G55" s="22">
        <f>IF(C55&lt;&gt;"",
    COUNTIFS(MATCH_INPUT!$K$2:$K$5,C55),
0)</f>
        <v>0</v>
      </c>
      <c r="H55" s="22">
        <f>IF(C55&lt;&gt;"",
    COUNTIFS(MATCH_INPUT!$F$2:$F$5, C55, MATCH_INPUT!$K$2:$K$5, "Draw") +
    COUNTIFS(MATCH_INPUT!$J$2:$J$5, C55, MATCH_INPUT!$K$2:$K$5, "Draw"),
0)</f>
        <v>0</v>
      </c>
      <c r="I55" s="22">
        <f>IF(C55&lt;&gt;"",
    COUNTIFS(MATCH_INPUT!$F$2:$F$5, C55, MATCH_INPUT!$K$2:$K$5, "&lt;&gt;"&amp;C55, MATCH_INPUT!$K$2:$K$5, "&lt;&gt;Draw", MATCH_INPUT!$K$2:$K$5, "&lt;&gt;""") +
    COUNTIFS(MATCH_INPUT!$J$2:$J$5, C55, MATCH_INPUT!$K$2:$K$5, "&lt;&gt;"&amp;C55, MATCH_INPUT!$K$2:$K$5, "&lt;&gt;Draw", MATCH_INPUT!$K$2:$K$5, "&lt;&gt;"""),
0)</f>
        <v>0</v>
      </c>
      <c r="J55" s="23" t="str">
        <f t="array" ref="J55">IFERROR(
  INDEX(PLAYER_STAT!E$2:E64, 
    MATCH(1, 
      (PLAYER_STAT!A$2:A64 = MATCH_DATES!$A$2) * (PLAYER_STAT!D$2:D64 = $B55), 
    0)
  ), 
  ""
)
</f>
        <v/>
      </c>
      <c r="K55" s="23" t="str">
        <f t="array" ref="K55">IFERROR(
  INDEX(PLAYER_STAT!F$2:F64, 
    MATCH(1, 
      (PLAYER_STAT!A$2:A64 = MATCH_DATES!$A$2) * (PLAYER_STAT!D$2:D64 = $B55), 
    0)
  ), 
  ""
)
</f>
        <v/>
      </c>
      <c r="L55" s="24" t="str">
        <f t="array" ref="L55">IFERROR(
  INDEX(PLAYER_STAT!G$2:G64, 
    MATCH(1, 
      (PLAYER_STAT!A$2:A64 = MATCH_DATES!$A$2) * (PLAYER_STAT!D$2:D64 = $B55), 
    0)
  ), 
  ""
)
</f>
        <v/>
      </c>
      <c r="M55" s="25">
        <f t="shared" si="151"/>
        <v>6</v>
      </c>
      <c r="N55" s="26" t="str">
        <f t="shared" si="8"/>
        <v>↓</v>
      </c>
      <c r="O55" s="43"/>
      <c r="P55" s="28">
        <f t="shared" si="9"/>
        <v>0</v>
      </c>
      <c r="Q55" s="28">
        <f t="shared" si="10"/>
        <v>0</v>
      </c>
      <c r="R55" s="28">
        <f t="shared" si="11"/>
        <v>0</v>
      </c>
      <c r="S55" s="28">
        <f>IF(O55&lt;&gt;"",
    COUNTIFS(MATCH_INPUT!$K$6:$K$9,O55),
0)</f>
        <v>0</v>
      </c>
      <c r="T55" s="28">
        <f>IF(O55&lt;&gt;"",
    COUNTIFS(MATCH_INPUT!$F$6:$F$9, O55, MATCH_INPUT!$K$6:$K$9, "Draw") +
    COUNTIFS(MATCH_INPUT!$J$6:$J$9, O55, MATCH_INPUT!$K$6:$K$9, "Draw"),
0)</f>
        <v>0</v>
      </c>
      <c r="U55" s="28">
        <f>IF(O55&lt;&gt;"",
    COUNTIFS(MATCH_INPUT!$F$6:$F$9, O55, MATCH_INPUT!$K$6:$K$9, "&lt;&gt;"&amp;O55, MATCH_INPUT!$K$6:$K$9, "&lt;&gt;Draw", MATCH_INPUT!$K$6:$K$9, "&lt;&gt;""") +
    COUNTIFS(MATCH_INPUT!$J$6:$J$9, O55, MATCH_INPUT!$K$6:$K$9, "&lt;&gt;"&amp;O55, MATCH_INPUT!$K$6:$K$9, "&lt;&gt;Draw", MATCH_INPUT!$K$6:$K$9, "&lt;&gt;"""),
0)</f>
        <v>0</v>
      </c>
      <c r="V55" s="29" t="str">
        <f t="array" ref="V55">IFERROR(
  INDEX(PLAYER_STAT!E$2:E64, 
    MATCH(1, 
      (PLAYER_STAT!A$2:A64 = MATCH_DATES!$A$3) * (PLAYER_STAT!D$2:D64 = $B55), 
    0)
  ), 
  ""
)
</f>
        <v/>
      </c>
      <c r="W55" s="29" t="str">
        <f t="array" ref="W55">IFERROR(
  INDEX(PLAYER_STAT!F$2:F64, 
    MATCH(1, 
      (PLAYER_STAT!A$2:A64 = MATCH_DATES!$A$3) * (PLAYER_STAT!D$2:D64 = $B55), 
    0)
  ), 
  ""
)
</f>
        <v/>
      </c>
      <c r="X55" s="30" t="str">
        <f t="array" ref="X55">IFERROR(
  INDEX(PLAYER_STAT!G$2:G64, 
    MATCH(1, 
      (PLAYER_STAT!A$2:A64 = MATCH_DATES!$A$3) * (PLAYER_STAT!D$2:D64 = $B55), 
    0)
  ), 
  ""
)
</f>
        <v/>
      </c>
      <c r="Y55" s="31">
        <f t="shared" si="152"/>
        <v>7</v>
      </c>
      <c r="Z55" s="32" t="str">
        <f t="shared" si="13"/>
        <v>↓</v>
      </c>
      <c r="AA55" s="42"/>
      <c r="AB55" s="33">
        <f t="shared" si="14"/>
        <v>0</v>
      </c>
      <c r="AC55" s="22">
        <f t="shared" si="15"/>
        <v>0</v>
      </c>
      <c r="AD55" s="22">
        <f t="shared" si="16"/>
        <v>0</v>
      </c>
      <c r="AE55" s="22">
        <f>IF(AA55&lt;&gt;"",
    COUNTIFS(MATCH_INPUT!$K$10:$K$13,AA55),
0)</f>
        <v>0</v>
      </c>
      <c r="AF55" s="22">
        <f>IF(AA55&lt;&gt;"",
    COUNTIFS(MATCH_INPUT!$F$10:$F$13, AA55, MATCH_INPUT!$K$10:$K$13, "Draw") +
    COUNTIFS(MATCH_INPUT!$J$10:$J$13, AA55, MATCH_INPUT!$K$10:$K$13, "Draw"),
0)</f>
        <v>0</v>
      </c>
      <c r="AG55" s="22">
        <f>IF(AA55&lt;&gt;"",
    COUNTIFS(MATCH_INPUT!$F$10:$F$13, AA55, MATCH_INPUT!$K$10:$K$13, "&lt;&gt;"&amp;AA55, MATCH_INPUT!$K$10:$K$13, "&lt;&gt;Draw", MATCH_INPUT!$K$10:$K$13, "&lt;&gt;""") +
    COUNTIFS(MATCH_INPUT!$J$10:$J$13, AA55, MATCH_INPUT!$K$10:$K$13, "&lt;&gt;"&amp;AA55, MATCH_INPUT!$K$10:$K$13, "&lt;&gt;Draw", MATCH_INPUT!$K$10:$K$13, "&lt;&gt;"""),
0)</f>
        <v>0</v>
      </c>
      <c r="AH55" s="23" t="str">
        <f t="array" ref="AH55">IFERROR(
  INDEX(PLAYER_STAT!E$2:E64, 
    MATCH(1, 
      (PLAYER_STAT!A$2:A64 = MATCH_DATES!$A$4) * (PLAYER_STAT!D$2:D64 = $B55), 
    0)
  ), 
  ""
)
</f>
        <v/>
      </c>
      <c r="AI55" s="23" t="str">
        <f t="array" ref="AI55">IFERROR(
  INDEX(PLAYER_STAT!F$2:F64, 
    MATCH(1, 
      (PLAYER_STAT!A$2:A64 = MATCH_DATES!$A$4) * (PLAYER_STAT!D$2:D64 = $B55), 
    0)
  ), 
  ""
)
</f>
        <v/>
      </c>
      <c r="AJ55" s="34" t="str">
        <f t="array" ref="AJ55">IFERROR(
  INDEX(PLAYER_STAT!G$2:G64, 
    MATCH(1, 
      (PLAYER_STAT!A$2:A64 = MATCH_DATES!$A$4) * (PLAYER_STAT!D$2:D64 = $B55), 
    0)
  ), 
  ""
)
</f>
        <v/>
      </c>
      <c r="AK55" s="25">
        <f t="shared" si="153"/>
        <v>7</v>
      </c>
      <c r="AL55" s="26" t="str">
        <f t="shared" si="18"/>
        <v>=</v>
      </c>
      <c r="AM55" s="43"/>
      <c r="AN55" s="28">
        <f t="shared" si="19"/>
        <v>0</v>
      </c>
      <c r="AO55" s="28">
        <f t="shared" si="20"/>
        <v>0</v>
      </c>
      <c r="AP55" s="28">
        <f t="shared" si="21"/>
        <v>0</v>
      </c>
      <c r="AQ55" s="28">
        <f>IF(AM55&lt;&gt;"",
    COUNTIFS(MATCH_INPUT!$K$14:$K$17,AM55),
0)</f>
        <v>0</v>
      </c>
      <c r="AR55" s="28">
        <f>IF(AM55&lt;&gt;"",
    COUNTIFS(MATCH_INPUT!$F$14:$F$17, AM55, MATCH_INPUT!$K$14:$K$17, "Draw") +
    COUNTIFS(MATCH_INPUT!$J$14:$J$17, AM55, MATCH_INPUT!$K$14:$K$17, "Draw"),
0)</f>
        <v>0</v>
      </c>
      <c r="AS55" s="28">
        <f>IF(AM55&lt;&gt;"",
    COUNTIFS(MATCH_INPUT!$F$14:$F$17, AM55, MATCH_INPUT!$K$14:$K$17, "&lt;&gt;"&amp;AM55, MATCH_INPUT!$K$14:$K$17, "&lt;&gt;Draw", MATCH_INPUT!$K$14:$K$17, "&lt;&gt;""") +
    COUNTIFS(MATCH_INPUT!$J$14:$J$17, AM55, MATCH_INPUT!$K$14:$K$17, "&lt;&gt;"&amp;AM55, MATCH_INPUT!$K$14:$K$17, "&lt;&gt;Draw", MATCH_INPUT!$K$14:$K$17, "&lt;&gt;"""),
0)</f>
        <v>0</v>
      </c>
      <c r="AT55" s="29" t="str">
        <f t="array" ref="AT55">IFERROR(
  INDEX(PLAYER_STAT!E$2:E64, 
    MATCH(1, 
      (PLAYER_STAT!A$2:A64 = MATCH_DATES!$A$5) * (PLAYER_STAT!D$2:D64 = $B55), 
    0)
  ), 
  ""
)
</f>
        <v/>
      </c>
      <c r="AU55" s="29" t="str">
        <f t="array" ref="AU55">IFERROR(
  INDEX(PLAYER_STAT!F$2:F64, 
    MATCH(1, 
      (PLAYER_STAT!A$2:A64 = MATCH_DATES!$A$5) * (PLAYER_STAT!D$2:D64 = $B55), 
    0)
  ), 
  ""
)
</f>
        <v/>
      </c>
      <c r="AV55" s="30" t="str">
        <f t="array" ref="AV55">IFERROR(
  INDEX(PLAYER_STAT!G$2:G64, 
    MATCH(1, 
      (PLAYER_STAT!A$2:A64 = MATCH_DATES!$A$5) * (PLAYER_STAT!D$2:D64 = $B55), 
    0)
  ), 
  ""
)
</f>
        <v/>
      </c>
      <c r="AW55" s="31">
        <f t="shared" si="154"/>
        <v>10</v>
      </c>
      <c r="AX55" s="32" t="str">
        <f t="shared" si="23"/>
        <v>↓</v>
      </c>
      <c r="AY55" s="42"/>
      <c r="AZ55" s="33">
        <f t="shared" si="24"/>
        <v>0</v>
      </c>
      <c r="BA55" s="22">
        <f t="shared" si="25"/>
        <v>0</v>
      </c>
      <c r="BB55" s="22">
        <f>SUM(BC55*2) + (BD55*1) + SUMIFS(MATCH_INPUT!$G$18:$G$21, MATCH_INPUT!$F$18:$F$21, AY55) + SUMIFS(MATCH_INPUT!$I$18:$I$21, MATCH_INPUT!$J$18:$J$21, AY55)
</f>
        <v>0</v>
      </c>
      <c r="BC55" s="22">
        <f>IF(AY55&lt;&gt;"",
    COUNTIFS(MATCH_INPUT!$K$18:$K$21,AY55),
0)</f>
        <v>0</v>
      </c>
      <c r="BD55" s="22">
        <f>IF(AY55&lt;&gt;"",
    COUNTIFS(MATCH_INPUT!$F$18:$F$21, AY55, MATCH_INPUT!$K$18:$K$21, "Draw") +
    COUNTIFS(MATCH_INPUT!$J$18:$J$21, AY55, MATCH_INPUT!$K$18:$K$21, "Draw"),
0)</f>
        <v>0</v>
      </c>
      <c r="BE55" s="22">
        <f>IF(AY55&lt;&gt;"",
    COUNTIFS(MATCH_INPUT!$F$18:$F$21, AY55, MATCH_INPUT!$K$18:$K$21, "&lt;&gt;"&amp;AY55, MATCH_INPUT!$K$18:$K$21, "&lt;&gt;Draw", MATCH_INPUT!$K$18:$K$21, "&lt;&gt;""") +
    COUNTIFS(MATCH_INPUT!$J$18:$J$21, AY55, MATCH_INPUT!$K$18:$K$21, "&lt;&gt;"&amp;AY55, MATCH_INPUT!$K$18:$K$21, "&lt;&gt;Draw", MATCH_INPUT!$K$18:$K$21, "&lt;&gt;"""),
0)</f>
        <v>0</v>
      </c>
      <c r="BF55" s="23" t="str">
        <f t="array" ref="BF55">IFERROR(
  INDEX(PLAYER_STAT!E$2:E64, 
    MATCH(1, 
      (PLAYER_STAT!A$2:A64 = MATCH_DATES!$A$6) * (PLAYER_STAT!D$2:D64 = $B55), 
    0)
  ), 
  ""
)
</f>
        <v/>
      </c>
      <c r="BG55" s="23" t="str">
        <f t="array" ref="BG55">IFERROR(
  INDEX(PLAYER_STAT!F$2:F64, 
    MATCH(1, 
      (PLAYER_STAT!A$2:A64 = MATCH_DATES!$A$6) * (PLAYER_STAT!D$2:D64 = $B55), 
    0)
  ), 
  ""
)
</f>
        <v/>
      </c>
      <c r="BH55" s="34" t="str">
        <f t="array" ref="BH55">IFERROR(
  INDEX(PLAYER_STAT!G$2:G64, 
    MATCH(1, 
      (PLAYER_STAT!A$2:A64 = MATCH_DATES!$A$6) * (PLAYER_STAT!D$2:D64 = $B55), 
    0)
  ), 
  ""
)
</f>
        <v/>
      </c>
      <c r="BI55" s="25">
        <f t="shared" si="155"/>
        <v>12</v>
      </c>
      <c r="BJ55" s="26" t="str">
        <f t="shared" si="27"/>
        <v>↓</v>
      </c>
      <c r="BK55" s="43"/>
      <c r="BL55" s="28">
        <f t="shared" si="28"/>
        <v>0</v>
      </c>
      <c r="BM55" s="28">
        <f t="shared" si="29"/>
        <v>0</v>
      </c>
      <c r="BN55" s="28">
        <f>SUM(BO55*2) + (BP55*1) + SUMIFS(MATCH_INPUT!$G$22:$G$25, MATCH_INPUT!$F$22:$F$25, BK55) + SUMIFS(MATCH_INPUT!$I$22:$I$25, MATCH_INPUT!$J$22:$J$25, BK55)
</f>
        <v>0</v>
      </c>
      <c r="BO55" s="28">
        <f>IF(BK55&lt;&gt;"",
    COUNTIFS(MATCH_INPUT!$K$22:$K$25,BK55),
0)</f>
        <v>0</v>
      </c>
      <c r="BP55" s="28">
        <f>IF(BK55&lt;&gt;"",
    COUNTIFS(MATCH_INPUT!$F$22:$F$25, BK55, MATCH_INPUT!$K$22:$K$25, "Draw") +
    COUNTIFS(MATCH_INPUT!$J$22:$J$25, BK55, MATCH_INPUT!$K$22:$K$25, "Draw"),
0)</f>
        <v>0</v>
      </c>
      <c r="BQ55" s="28">
        <f>IF(BK55&lt;&gt;"",
    COUNTIFS(MATCH_INPUT!$F$22:$F$25, BK55, MATCH_INPUT!$K$22:$K$25, "&lt;&gt;"&amp;BK55, MATCH_INPUT!$K$22:$K$25, "&lt;&gt;Draw", MATCH_INPUT!$K$22:$K$25, "&lt;&gt;""") +
    COUNTIFS(MATCH_INPUT!$J$22:$J$25, BK55, MATCH_INPUT!$K$22:$K$25, "&lt;&gt;"&amp;BK55, MATCH_INPUT!$K$22:$K$25, "&lt;&gt;Draw", MATCH_INPUT!$K$22:$K$25, "&lt;&gt;"""),
0)</f>
        <v>0</v>
      </c>
      <c r="BR55" s="29" t="str">
        <f t="array" ref="BR55">IFERROR(
  INDEX(PLAYER_STAT!E$2:E64, 
    MATCH(1, 
      (PLAYER_STAT!A$2:A64 = MATCH_DATES!$A$7) * (PLAYER_STAT!D$2:D64 = $B55), 
    0)
  ), 
  ""
)
</f>
        <v/>
      </c>
      <c r="BS55" s="29" t="str">
        <f t="array" ref="BS55">IFERROR(
  INDEX(PLAYER_STAT!F$2:F64, 
    MATCH(1, 
      (PLAYER_STAT!A$2:A64 = MATCH_DATES!$A$7) * (PLAYER_STAT!D$2:D64 = $B55), 
    0)
  ), 
  ""
)
</f>
        <v/>
      </c>
      <c r="BT55" s="30" t="str">
        <f t="array" ref="BT55">IFERROR(
  INDEX(PLAYER_STAT!G$2:G64, 
    MATCH(1, 
      (PLAYER_STAT!A$2:A64 = MATCH_DATES!$A$7) * (PLAYER_STAT!D$2:D64 = $B55), 
    0)
  ), 
  ""
)
</f>
        <v/>
      </c>
      <c r="BU55" s="31">
        <f t="shared" si="156"/>
        <v>12</v>
      </c>
      <c r="BV55" s="32" t="str">
        <f t="shared" si="31"/>
        <v>=</v>
      </c>
      <c r="BW55" s="42"/>
      <c r="BX55" s="33">
        <f t="shared" si="32"/>
        <v>0</v>
      </c>
      <c r="BY55" s="22">
        <f t="shared" si="33"/>
        <v>0</v>
      </c>
      <c r="BZ55" s="22">
        <f>SUM(CA55*2)+(CB55*1) + SUMIFS(MATCH_INPUT!$G$26:$G$29, MATCH_INPUT!$F$26:$F$29, BW55) + SUMIFS(MATCH_INPUT!$I$26:$I$29, MATCH_INPUT!$J$26:$J$29, BW55)
</f>
        <v>0</v>
      </c>
      <c r="CA55" s="22">
        <f>IF(BW55&lt;&gt;"",
    COUNTIFS(MATCH_INPUT!$K$26:$K$29,BW55),
0)</f>
        <v>0</v>
      </c>
      <c r="CB55" s="22">
        <f>IF(BW55&lt;&gt;"",
    COUNTIFS(MATCH_INPUT!$F$26:$F$29, BW55, MATCH_INPUT!$K$26:$K$29, "Draw") +
    COUNTIFS(MATCH_INPUT!$J$26:$J$29, BW55, MATCH_INPUT!$K$26:$K$29, "Draw"),
0)</f>
        <v>0</v>
      </c>
      <c r="CC55" s="22">
        <f>IF(BW55&lt;&gt;"",
    COUNTIFS(MATCH_INPUT!$F$26:$F$29, BW55, MATCH_INPUT!$K$26:$K$29, "&lt;&gt;"&amp;BW55, MATCH_INPUT!$K$26:$K$29, "&lt;&gt;Draw", MATCH_INPUT!$K$26:$K$29, "&lt;&gt;""") +
    COUNTIFS(MATCH_INPUT!$J$26:$J$29, BW55, MATCH_INPUT!$K$26:$K$29, "&lt;&gt;"&amp;BW55, MATCH_INPUT!$K$26:$K$29, "&lt;&gt;Draw", MATCH_INPUT!$K$26:$K$29, "&lt;&gt;"""),
0)</f>
        <v>0</v>
      </c>
      <c r="CD55" s="23" t="str">
        <f t="array" ref="CD55">IFERROR(
  INDEX(PLAYER_STAT!E$2:E64, 
    MATCH(1, 
      (PLAYER_STAT!A$2:A64 = MATCH_DATES!$A$8) * (PLAYER_STAT!D$2:D64 = $B55), 
    0)
  ), 
  ""
)
</f>
        <v/>
      </c>
      <c r="CE55" s="23" t="str">
        <f t="array" ref="CE55">IFERROR(
  INDEX(PLAYER_STAT!F$2:F64, 
    MATCH(1, 
      (PLAYER_STAT!A$2:A64 = MATCH_DATES!$A$8) * (PLAYER_STAT!D$2:D64 = $B55), 
    0)
  ), 
  ""
)
</f>
        <v/>
      </c>
      <c r="CF55" s="34" t="str">
        <f t="array" ref="CF55">IFERROR(
  INDEX(PLAYER_STAT!G$2:G64, 
    MATCH(1, 
      (PLAYER_STAT!A$2:A64 = MATCH_DATES!$A$8) * (PLAYER_STAT!D$2:D64 = $B55), 
    0)
  ), 
  ""
)
</f>
        <v/>
      </c>
      <c r="CG55" s="25">
        <f t="shared" si="157"/>
        <v>14</v>
      </c>
      <c r="CH55" s="26" t="str">
        <f t="shared" si="35"/>
        <v>↓</v>
      </c>
      <c r="CI55" s="43"/>
      <c r="CJ55" s="44">
        <f t="shared" si="36"/>
        <v>0</v>
      </c>
      <c r="CK55" s="28">
        <f t="shared" si="37"/>
        <v>0</v>
      </c>
      <c r="CL55" s="28">
        <f>SUM(CM55*2)+(CN55*1) + SUMIFS(MATCH_INPUT!$G$30:$G$33, MATCH_INPUT!$F$30:$F$33, CI55) + SUMIFS(MATCH_INPUT!$I$30:$I$33, MATCH_INPUT!$J$30:$J$33, CI55)
</f>
        <v>0</v>
      </c>
      <c r="CM55" s="28">
        <f>IF(CI55&lt;&gt;"",
    COUNTIFS(MATCH_INPUT!$K$30:$K$33,CI55),
0)</f>
        <v>0</v>
      </c>
      <c r="CN55" s="28">
        <f>IF(CI55&lt;&gt;"",
    COUNTIFS(MATCH_INPUT!$F$30:$F$33, CI55, MATCH_INPUT!$K$30:$K$33, "Draw") +
    COUNTIFS(MATCH_INPUT!$J$30:$J$33, CI55, MATCH_INPUT!$K$30:$K$33, "Draw"),
0)</f>
        <v>0</v>
      </c>
      <c r="CO55" s="28">
        <f>IF(CI55&lt;&gt;"",
    COUNTIFS(MATCH_INPUT!$F$30:$F$33, CI55, MATCH_INPUT!$K$30:$K$33, "&lt;&gt;"&amp;CI55, MATCH_INPUT!$K$30:$K$33, "&lt;&gt;Draw", MATCH_INPUT!$K$30:$K$33, "&lt;&gt;""") +
    COUNTIFS(MATCH_INPUT!$J$30:$J$33, CI55, MATCH_INPUT!$K$30:$K$33, "&lt;&gt;"&amp;CI55, MATCH_INPUT!$K$30:$K$33, "&lt;&gt;Draw", MATCH_INPUT!$K$30:$K$33, "&lt;&gt;"""),
0)</f>
        <v>0</v>
      </c>
      <c r="CP55" s="29" t="str">
        <f t="array" ref="CP55">IFERROR(
  INDEX(PLAYER_STAT!E$2:E64, 
    MATCH(1, 
      (PLAYER_STAT!A$2:A64 = MATCH_DATES!$A$9) * (PLAYER_STAT!D$2:D64 = $B55), 
    0)
  ), 
  ""
)
</f>
        <v/>
      </c>
      <c r="CQ55" s="29" t="str">
        <f t="array" ref="CQ55">IFERROR(
  INDEX(PLAYER_STAT!F$2:F64, 
    MATCH(1, 
      (PLAYER_STAT!A$2:A64 = MATCH_DATES!$A$9) * (PLAYER_STAT!D$2:D64 = $B55), 
    0)
  ), 
  ""
)
</f>
        <v/>
      </c>
      <c r="CR55" s="30" t="str">
        <f t="array" ref="CR55">IFERROR(
  INDEX(PLAYER_STAT!G$2:G64, 
    MATCH(1, 
      (PLAYER_STAT!A$2:A64 = MATCH_DATES!$A$9) * (PLAYER_STAT!D$2:D64 = $B55), 
    0)
  ), 
  ""
)
</f>
        <v/>
      </c>
      <c r="CS55" s="35">
        <f t="shared" si="158"/>
        <v>14</v>
      </c>
      <c r="CT55" s="35" t="str">
        <f t="shared" si="39"/>
        <v>=</v>
      </c>
      <c r="CU55" s="37">
        <f t="shared" si="40"/>
        <v>0</v>
      </c>
      <c r="CV55" s="37" t="str">
        <f t="shared" ref="CV55:CW55" si="204">A55</f>
        <v>🛗</v>
      </c>
      <c r="CW55" s="37" t="str">
        <f t="shared" si="204"/>
        <v/>
      </c>
      <c r="CX55" s="37">
        <f t="shared" si="42"/>
        <v>0</v>
      </c>
      <c r="CY55" s="37">
        <f>SUM(
  IF(AND(MATCH_DATES!$A$2 &lt;= TODAY(), NOW() &gt;= MATCH_DATES!$A$2 + TIME(22, 0, 0)), E55, 0),
  IF(AND(MATCH_DATES!$A$3 &lt;= TODAY(), NOW() &gt;= MATCH_DATES!$A$3 + TIME(22, 0, 0)), Q55, 0),
  IF(AND(MATCH_DATES!$A$4 &lt;= TODAY(), NOW() &gt;= MATCH_DATES!$A$4 + TIME(22, 0, 0)), AC55, 0),
  IF(AND(MATCH_DATES!$A$5 &lt;= TODAY(), NOW() &gt;= MATCH_DATES!$A$5 + TIME(22, 0, 0)), AO55, 0),
  IF(AND(MATCH_DATES!$A$6 &lt;= TODAY(), NOW() &gt;= MATCH_DATES!$A$6 + TIME(22, 0, 0)), BA55, 0),
  IF(AND(MATCH_DATES!$A$7 &lt;= TODAY(), NOW() &gt;= MATCH_DATES!$A$7 + TIME(22, 0, 0)), BM55, 0),
  IF(AND(MATCH_DATES!$A$8 &lt;= TODAY(), NOW() &gt;= MATCH_DATES!$A$8 + TIME(22, 0, 0)), BY55, 0),
  IF(AND(MATCH_DATES!$A$9 &lt;= TODAY(), NOW() &gt;= MATCH_DATES!$A$9 + TIME(22, 0, 0)), CK55, 0)
)
</f>
        <v>0</v>
      </c>
      <c r="CZ55" s="37">
        <f t="shared" ref="CZ55:DA55" si="205">SUM(G55,S55,AE55,AQ55,BC55,BO55,CA55,CM55)</f>
        <v>0</v>
      </c>
      <c r="DA55" s="37">
        <f t="shared" si="205"/>
        <v>0</v>
      </c>
      <c r="DB55" s="37">
        <f>SUM(
  IF(AND(MATCH_DATES!$A$2 &lt;= TODAY(), NOW() &gt;= MATCH_DATES!$A$2 + TIME(22, 0, 0)), I55, 0),
  IF(AND(MATCH_DATES!$A$3 &lt;= TODAY(), NOW() &gt;= MATCH_DATES!$A$3 + TIME(22, 0, 0)), U55, 0),
  IF(AND(MATCH_DATES!$A$4 &lt;= TODAY(), NOW() &gt;= MATCH_DATES!$A$4 + TIME(22, 0, 0)), AG55, 0),
  IF(AND(MATCH_DATES!$A$5 &lt;= TODAY(), NOW() &gt;= MATCH_DATES!$A$5 + TIME(22, 0, 0)), AS55, 0),
  IF(AND(MATCH_DATES!$A$6 &lt;= TODAY(), NOW() &gt;= MATCH_DATES!$A$6 + TIME(22, 0, 0)), BE55, 0),
  IF(AND(MATCH_DATES!$A$7 &lt;= TODAY(), NOW() &gt;= MATCH_DATES!$A$7 + TIME(22, 0, 0)), BQ55, 0),
  IF(AND(MATCH_DATES!$A$8 &lt;= TODAY(), NOW() &gt;= MATCH_DATES!$A$8 + TIME(22, 0, 0)), CC55, 0),
  IF(AND(MATCH_DATES!$A$9 &lt;= TODAY(), NOW() &gt;= MATCH_DATES!$A$9 + TIME(22, 0, 0)), CO55, 0)
)</f>
        <v>0</v>
      </c>
      <c r="DC55" s="37">
        <f t="shared" si="44"/>
        <v>0</v>
      </c>
      <c r="DD55" s="37">
        <f t="shared" ref="DD55:DE55" si="206">SUM(K55,W55,AI55,AU55,BG55,BS55,CE55,CQ55)</f>
        <v>0</v>
      </c>
      <c r="DE55" s="37">
        <f t="shared" si="206"/>
        <v>0</v>
      </c>
    </row>
    <row r="56" ht="24.75" customHeight="1">
      <c r="A56" s="30" t="s">
        <v>242</v>
      </c>
      <c r="B56" s="19"/>
      <c r="C56" s="42"/>
      <c r="D56" s="22">
        <f t="shared" si="4"/>
        <v>0</v>
      </c>
      <c r="E56" s="22">
        <f t="shared" si="5"/>
        <v>0</v>
      </c>
      <c r="F56" s="22">
        <f t="shared" si="6"/>
        <v>0</v>
      </c>
      <c r="G56" s="22">
        <f>IF(C56&lt;&gt;"",
    COUNTIFS(MATCH_INPUT!$K$2:$K$5,C56),
0)</f>
        <v>0</v>
      </c>
      <c r="H56" s="22">
        <f>IF(C56&lt;&gt;"",
    COUNTIFS(MATCH_INPUT!$F$2:$F$5, C56, MATCH_INPUT!$K$2:$K$5, "Draw") +
    COUNTIFS(MATCH_INPUT!$J$2:$J$5, C56, MATCH_INPUT!$K$2:$K$5, "Draw"),
0)</f>
        <v>0</v>
      </c>
      <c r="I56" s="22">
        <f>IF(C56&lt;&gt;"",
    COUNTIFS(MATCH_INPUT!$F$2:$F$5, C56, MATCH_INPUT!$K$2:$K$5, "&lt;&gt;"&amp;C56, MATCH_INPUT!$K$2:$K$5, "&lt;&gt;Draw", MATCH_INPUT!$K$2:$K$5, "&lt;&gt;""") +
    COUNTIFS(MATCH_INPUT!$J$2:$J$5, C56, MATCH_INPUT!$K$2:$K$5, "&lt;&gt;"&amp;C56, MATCH_INPUT!$K$2:$K$5, "&lt;&gt;Draw", MATCH_INPUT!$K$2:$K$5, "&lt;&gt;"""),
0)</f>
        <v>0</v>
      </c>
      <c r="J56" s="23" t="str">
        <f t="array" ref="J56">IFERROR(
  INDEX(PLAYER_STAT!E$2:E64, 
    MATCH(1, 
      (PLAYER_STAT!A$2:A64 = MATCH_DATES!$A$2) * (PLAYER_STAT!D$2:D64 = $B56), 
    0)
  ), 
  ""
)
</f>
        <v/>
      </c>
      <c r="K56" s="23" t="str">
        <f t="array" ref="K56">IFERROR(
  INDEX(PLAYER_STAT!F$2:F64, 
    MATCH(1, 
      (PLAYER_STAT!A$2:A64 = MATCH_DATES!$A$2) * (PLAYER_STAT!D$2:D64 = $B56), 
    0)
  ), 
  ""
)
</f>
        <v/>
      </c>
      <c r="L56" s="24" t="str">
        <f t="array" ref="L56">IFERROR(
  INDEX(PLAYER_STAT!G$2:G64, 
    MATCH(1, 
      (PLAYER_STAT!A$2:A64 = MATCH_DATES!$A$2) * (PLAYER_STAT!D$2:D64 = $B56), 
    0)
  ), 
  ""
)
</f>
        <v/>
      </c>
      <c r="M56" s="25">
        <f t="shared" si="151"/>
        <v>6</v>
      </c>
      <c r="N56" s="26" t="str">
        <f t="shared" si="8"/>
        <v>↓</v>
      </c>
      <c r="O56" s="43"/>
      <c r="P56" s="28">
        <f t="shared" si="9"/>
        <v>0</v>
      </c>
      <c r="Q56" s="28">
        <f t="shared" si="10"/>
        <v>0</v>
      </c>
      <c r="R56" s="28">
        <f t="shared" si="11"/>
        <v>0</v>
      </c>
      <c r="S56" s="28">
        <f>IF(O56&lt;&gt;"",
    COUNTIFS(MATCH_INPUT!$K$6:$K$9,O56),
0)</f>
        <v>0</v>
      </c>
      <c r="T56" s="28">
        <f>IF(O56&lt;&gt;"",
    COUNTIFS(MATCH_INPUT!$F$6:$F$9, O56, MATCH_INPUT!$K$6:$K$9, "Draw") +
    COUNTIFS(MATCH_INPUT!$J$6:$J$9, O56, MATCH_INPUT!$K$6:$K$9, "Draw"),
0)</f>
        <v>0</v>
      </c>
      <c r="U56" s="28">
        <f>IF(O56&lt;&gt;"",
    COUNTIFS(MATCH_INPUT!$F$6:$F$9, O56, MATCH_INPUT!$K$6:$K$9, "&lt;&gt;"&amp;O56, MATCH_INPUT!$K$6:$K$9, "&lt;&gt;Draw", MATCH_INPUT!$K$6:$K$9, "&lt;&gt;""") +
    COUNTIFS(MATCH_INPUT!$J$6:$J$9, O56, MATCH_INPUT!$K$6:$K$9, "&lt;&gt;"&amp;O56, MATCH_INPUT!$K$6:$K$9, "&lt;&gt;Draw", MATCH_INPUT!$K$6:$K$9, "&lt;&gt;"""),
0)</f>
        <v>0</v>
      </c>
      <c r="V56" s="29" t="str">
        <f t="array" ref="V56">IFERROR(
  INDEX(PLAYER_STAT!E$2:E64, 
    MATCH(1, 
      (PLAYER_STAT!A$2:A64 = MATCH_DATES!$A$3) * (PLAYER_STAT!D$2:D64 = $B56), 
    0)
  ), 
  ""
)
</f>
        <v/>
      </c>
      <c r="W56" s="29" t="str">
        <f t="array" ref="W56">IFERROR(
  INDEX(PLAYER_STAT!F$2:F64, 
    MATCH(1, 
      (PLAYER_STAT!A$2:A64 = MATCH_DATES!$A$3) * (PLAYER_STAT!D$2:D64 = $B56), 
    0)
  ), 
  ""
)
</f>
        <v/>
      </c>
      <c r="X56" s="30" t="str">
        <f t="array" ref="X56">IFERROR(
  INDEX(PLAYER_STAT!G$2:G64, 
    MATCH(1, 
      (PLAYER_STAT!A$2:A64 = MATCH_DATES!$A$3) * (PLAYER_STAT!D$2:D64 = $B56), 
    0)
  ), 
  ""
)
</f>
        <v/>
      </c>
      <c r="Y56" s="31">
        <f t="shared" si="152"/>
        <v>7</v>
      </c>
      <c r="Z56" s="32" t="str">
        <f t="shared" si="13"/>
        <v>↓</v>
      </c>
      <c r="AA56" s="42"/>
      <c r="AB56" s="33">
        <f t="shared" si="14"/>
        <v>0</v>
      </c>
      <c r="AC56" s="22">
        <f t="shared" si="15"/>
        <v>0</v>
      </c>
      <c r="AD56" s="22">
        <f t="shared" si="16"/>
        <v>0</v>
      </c>
      <c r="AE56" s="22">
        <f>IF(AA56&lt;&gt;"",
    COUNTIFS(MATCH_INPUT!$K$10:$K$13,AA56),
0)</f>
        <v>0</v>
      </c>
      <c r="AF56" s="22">
        <f>IF(AA56&lt;&gt;"",
    COUNTIFS(MATCH_INPUT!$F$10:$F$13, AA56, MATCH_INPUT!$K$10:$K$13, "Draw") +
    COUNTIFS(MATCH_INPUT!$J$10:$J$13, AA56, MATCH_INPUT!$K$10:$K$13, "Draw"),
0)</f>
        <v>0</v>
      </c>
      <c r="AG56" s="22">
        <f>IF(AA56&lt;&gt;"",
    COUNTIFS(MATCH_INPUT!$F$10:$F$13, AA56, MATCH_INPUT!$K$10:$K$13, "&lt;&gt;"&amp;AA56, MATCH_INPUT!$K$10:$K$13, "&lt;&gt;Draw", MATCH_INPUT!$K$10:$K$13, "&lt;&gt;""") +
    COUNTIFS(MATCH_INPUT!$J$10:$J$13, AA56, MATCH_INPUT!$K$10:$K$13, "&lt;&gt;"&amp;AA56, MATCH_INPUT!$K$10:$K$13, "&lt;&gt;Draw", MATCH_INPUT!$K$10:$K$13, "&lt;&gt;"""),
0)</f>
        <v>0</v>
      </c>
      <c r="AH56" s="23" t="str">
        <f t="array" ref="AH56">IFERROR(
  INDEX(PLAYER_STAT!E$2:E64, 
    MATCH(1, 
      (PLAYER_STAT!A$2:A64 = MATCH_DATES!$A$4) * (PLAYER_STAT!D$2:D64 = $B56), 
    0)
  ), 
  ""
)
</f>
        <v/>
      </c>
      <c r="AI56" s="23" t="str">
        <f t="array" ref="AI56">IFERROR(
  INDEX(PLAYER_STAT!F$2:F64, 
    MATCH(1, 
      (PLAYER_STAT!A$2:A64 = MATCH_DATES!$A$4) * (PLAYER_STAT!D$2:D64 = $B56), 
    0)
  ), 
  ""
)
</f>
        <v/>
      </c>
      <c r="AJ56" s="34" t="str">
        <f t="array" ref="AJ56">IFERROR(
  INDEX(PLAYER_STAT!G$2:G64, 
    MATCH(1, 
      (PLAYER_STAT!A$2:A64 = MATCH_DATES!$A$4) * (PLAYER_STAT!D$2:D64 = $B56), 
    0)
  ), 
  ""
)
</f>
        <v/>
      </c>
      <c r="AK56" s="25">
        <f t="shared" si="153"/>
        <v>7</v>
      </c>
      <c r="AL56" s="26" t="str">
        <f t="shared" si="18"/>
        <v>=</v>
      </c>
      <c r="AM56" s="43"/>
      <c r="AN56" s="28">
        <f t="shared" si="19"/>
        <v>0</v>
      </c>
      <c r="AO56" s="28">
        <f t="shared" si="20"/>
        <v>0</v>
      </c>
      <c r="AP56" s="28">
        <f t="shared" si="21"/>
        <v>0</v>
      </c>
      <c r="AQ56" s="28">
        <f>IF(AM56&lt;&gt;"",
    COUNTIFS(MATCH_INPUT!$K$14:$K$17,AM56),
0)</f>
        <v>0</v>
      </c>
      <c r="AR56" s="28">
        <f>IF(AM56&lt;&gt;"",
    COUNTIFS(MATCH_INPUT!$F$14:$F$17, AM56, MATCH_INPUT!$K$14:$K$17, "Draw") +
    COUNTIFS(MATCH_INPUT!$J$14:$J$17, AM56, MATCH_INPUT!$K$14:$K$17, "Draw"),
0)</f>
        <v>0</v>
      </c>
      <c r="AS56" s="28">
        <f>IF(AM56&lt;&gt;"",
    COUNTIFS(MATCH_INPUT!$F$14:$F$17, AM56, MATCH_INPUT!$K$14:$K$17, "&lt;&gt;"&amp;AM56, MATCH_INPUT!$K$14:$K$17, "&lt;&gt;Draw", MATCH_INPUT!$K$14:$K$17, "&lt;&gt;""") +
    COUNTIFS(MATCH_INPUT!$J$14:$J$17, AM56, MATCH_INPUT!$K$14:$K$17, "&lt;&gt;"&amp;AM56, MATCH_INPUT!$K$14:$K$17, "&lt;&gt;Draw", MATCH_INPUT!$K$14:$K$17, "&lt;&gt;"""),
0)</f>
        <v>0</v>
      </c>
      <c r="AT56" s="29" t="str">
        <f t="array" ref="AT56">IFERROR(
  INDEX(PLAYER_STAT!E$2:E64, 
    MATCH(1, 
      (PLAYER_STAT!A$2:A64 = MATCH_DATES!$A$5) * (PLAYER_STAT!D$2:D64 = $B56), 
    0)
  ), 
  ""
)
</f>
        <v/>
      </c>
      <c r="AU56" s="29" t="str">
        <f t="array" ref="AU56">IFERROR(
  INDEX(PLAYER_STAT!F$2:F64, 
    MATCH(1, 
      (PLAYER_STAT!A$2:A64 = MATCH_DATES!$A$5) * (PLAYER_STAT!D$2:D64 = $B56), 
    0)
  ), 
  ""
)
</f>
        <v/>
      </c>
      <c r="AV56" s="30" t="str">
        <f t="array" ref="AV56">IFERROR(
  INDEX(PLAYER_STAT!G$2:G64, 
    MATCH(1, 
      (PLAYER_STAT!A$2:A64 = MATCH_DATES!$A$5) * (PLAYER_STAT!D$2:D64 = $B56), 
    0)
  ), 
  ""
)
</f>
        <v/>
      </c>
      <c r="AW56" s="31">
        <f t="shared" si="154"/>
        <v>10</v>
      </c>
      <c r="AX56" s="32" t="str">
        <f t="shared" si="23"/>
        <v>↓</v>
      </c>
      <c r="AY56" s="42"/>
      <c r="AZ56" s="33">
        <f t="shared" si="24"/>
        <v>0</v>
      </c>
      <c r="BA56" s="22">
        <f t="shared" si="25"/>
        <v>0</v>
      </c>
      <c r="BB56" s="22">
        <f>SUM(BC56*2) + (BD56*1) + SUMIFS(MATCH_INPUT!$G$18:$G$21, MATCH_INPUT!$F$18:$F$21, AY56) + SUMIFS(MATCH_INPUT!$I$18:$I$21, MATCH_INPUT!$J$18:$J$21, AY56)
</f>
        <v>0</v>
      </c>
      <c r="BC56" s="22">
        <f>IF(AY56&lt;&gt;"",
    COUNTIFS(MATCH_INPUT!$K$18:$K$21,AY56),
0)</f>
        <v>0</v>
      </c>
      <c r="BD56" s="22">
        <f>IF(AY56&lt;&gt;"",
    COUNTIFS(MATCH_INPUT!$F$18:$F$21, AY56, MATCH_INPUT!$K$18:$K$21, "Draw") +
    COUNTIFS(MATCH_INPUT!$J$18:$J$21, AY56, MATCH_INPUT!$K$18:$K$21, "Draw"),
0)</f>
        <v>0</v>
      </c>
      <c r="BE56" s="22">
        <f>IF(AY56&lt;&gt;"",
    COUNTIFS(MATCH_INPUT!$F$18:$F$21, AY56, MATCH_INPUT!$K$18:$K$21, "&lt;&gt;"&amp;AY56, MATCH_INPUT!$K$18:$K$21, "&lt;&gt;Draw", MATCH_INPUT!$K$18:$K$21, "&lt;&gt;""") +
    COUNTIFS(MATCH_INPUT!$J$18:$J$21, AY56, MATCH_INPUT!$K$18:$K$21, "&lt;&gt;"&amp;AY56, MATCH_INPUT!$K$18:$K$21, "&lt;&gt;Draw", MATCH_INPUT!$K$18:$K$21, "&lt;&gt;"""),
0)</f>
        <v>0</v>
      </c>
      <c r="BF56" s="23" t="str">
        <f t="array" ref="BF56">IFERROR(
  INDEX(PLAYER_STAT!E$2:E64, 
    MATCH(1, 
      (PLAYER_STAT!A$2:A64 = MATCH_DATES!$A$6) * (PLAYER_STAT!D$2:D64 = $B56), 
    0)
  ), 
  ""
)
</f>
        <v/>
      </c>
      <c r="BG56" s="23" t="str">
        <f t="array" ref="BG56">IFERROR(
  INDEX(PLAYER_STAT!F$2:F64, 
    MATCH(1, 
      (PLAYER_STAT!A$2:A64 = MATCH_DATES!$A$6) * (PLAYER_STAT!D$2:D64 = $B56), 
    0)
  ), 
  ""
)
</f>
        <v/>
      </c>
      <c r="BH56" s="34" t="str">
        <f t="array" ref="BH56">IFERROR(
  INDEX(PLAYER_STAT!G$2:G64, 
    MATCH(1, 
      (PLAYER_STAT!A$2:A64 = MATCH_DATES!$A$6) * (PLAYER_STAT!D$2:D64 = $B56), 
    0)
  ), 
  ""
)
</f>
        <v/>
      </c>
      <c r="BI56" s="25">
        <f t="shared" si="155"/>
        <v>12</v>
      </c>
      <c r="BJ56" s="26" t="str">
        <f t="shared" si="27"/>
        <v>↓</v>
      </c>
      <c r="BK56" s="43"/>
      <c r="BL56" s="28">
        <f t="shared" si="28"/>
        <v>0</v>
      </c>
      <c r="BM56" s="28">
        <f t="shared" si="29"/>
        <v>0</v>
      </c>
      <c r="BN56" s="28">
        <f>SUM(BO56*2) + (BP56*1) + SUMIFS(MATCH_INPUT!$G$22:$G$25, MATCH_INPUT!$F$22:$F$25, BK56) + SUMIFS(MATCH_INPUT!$I$22:$I$25, MATCH_INPUT!$J$22:$J$25, BK56)
</f>
        <v>0</v>
      </c>
      <c r="BO56" s="28">
        <f>IF(BK56&lt;&gt;"",
    COUNTIFS(MATCH_INPUT!$K$22:$K$25,BK56),
0)</f>
        <v>0</v>
      </c>
      <c r="BP56" s="28">
        <f>IF(BK56&lt;&gt;"",
    COUNTIFS(MATCH_INPUT!$F$22:$F$25, BK56, MATCH_INPUT!$K$22:$K$25, "Draw") +
    COUNTIFS(MATCH_INPUT!$J$22:$J$25, BK56, MATCH_INPUT!$K$22:$K$25, "Draw"),
0)</f>
        <v>0</v>
      </c>
      <c r="BQ56" s="28">
        <f>IF(BK56&lt;&gt;"",
    COUNTIFS(MATCH_INPUT!$F$22:$F$25, BK56, MATCH_INPUT!$K$22:$K$25, "&lt;&gt;"&amp;BK56, MATCH_INPUT!$K$22:$K$25, "&lt;&gt;Draw", MATCH_INPUT!$K$22:$K$25, "&lt;&gt;""") +
    COUNTIFS(MATCH_INPUT!$J$22:$J$25, BK56, MATCH_INPUT!$K$22:$K$25, "&lt;&gt;"&amp;BK56, MATCH_INPUT!$K$22:$K$25, "&lt;&gt;Draw", MATCH_INPUT!$K$22:$K$25, "&lt;&gt;"""),
0)</f>
        <v>0</v>
      </c>
      <c r="BR56" s="29" t="str">
        <f t="array" ref="BR56">IFERROR(
  INDEX(PLAYER_STAT!E$2:E64, 
    MATCH(1, 
      (PLAYER_STAT!A$2:A64 = MATCH_DATES!$A$7) * (PLAYER_STAT!D$2:D64 = $B56), 
    0)
  ), 
  ""
)
</f>
        <v/>
      </c>
      <c r="BS56" s="29" t="str">
        <f t="array" ref="BS56">IFERROR(
  INDEX(PLAYER_STAT!F$2:F64, 
    MATCH(1, 
      (PLAYER_STAT!A$2:A64 = MATCH_DATES!$A$7) * (PLAYER_STAT!D$2:D64 = $B56), 
    0)
  ), 
  ""
)
</f>
        <v/>
      </c>
      <c r="BT56" s="30" t="str">
        <f t="array" ref="BT56">IFERROR(
  INDEX(PLAYER_STAT!G$2:G64, 
    MATCH(1, 
      (PLAYER_STAT!A$2:A64 = MATCH_DATES!$A$7) * (PLAYER_STAT!D$2:D64 = $B56), 
    0)
  ), 
  ""
)
</f>
        <v/>
      </c>
      <c r="BU56" s="31">
        <f t="shared" si="156"/>
        <v>12</v>
      </c>
      <c r="BV56" s="32" t="str">
        <f t="shared" si="31"/>
        <v>=</v>
      </c>
      <c r="BW56" s="42"/>
      <c r="BX56" s="33">
        <f t="shared" si="32"/>
        <v>0</v>
      </c>
      <c r="BY56" s="22">
        <f t="shared" si="33"/>
        <v>0</v>
      </c>
      <c r="BZ56" s="22">
        <f>SUM(CA56*2)+(CB56*1) + SUMIFS(MATCH_INPUT!$G$26:$G$29, MATCH_INPUT!$F$26:$F$29, BW56) + SUMIFS(MATCH_INPUT!$I$26:$I$29, MATCH_INPUT!$J$26:$J$29, BW56)
</f>
        <v>0</v>
      </c>
      <c r="CA56" s="22">
        <f>IF(BW56&lt;&gt;"",
    COUNTIFS(MATCH_INPUT!$K$26:$K$29,BW56),
0)</f>
        <v>0</v>
      </c>
      <c r="CB56" s="22">
        <f>IF(BW56&lt;&gt;"",
    COUNTIFS(MATCH_INPUT!$F$26:$F$29, BW56, MATCH_INPUT!$K$26:$K$29, "Draw") +
    COUNTIFS(MATCH_INPUT!$J$26:$J$29, BW56, MATCH_INPUT!$K$26:$K$29, "Draw"),
0)</f>
        <v>0</v>
      </c>
      <c r="CC56" s="22">
        <f>IF(BW56&lt;&gt;"",
    COUNTIFS(MATCH_INPUT!$F$26:$F$29, BW56, MATCH_INPUT!$K$26:$K$29, "&lt;&gt;"&amp;BW56, MATCH_INPUT!$K$26:$K$29, "&lt;&gt;Draw", MATCH_INPUT!$K$26:$K$29, "&lt;&gt;""") +
    COUNTIFS(MATCH_INPUT!$J$26:$J$29, BW56, MATCH_INPUT!$K$26:$K$29, "&lt;&gt;"&amp;BW56, MATCH_INPUT!$K$26:$K$29, "&lt;&gt;Draw", MATCH_INPUT!$K$26:$K$29, "&lt;&gt;"""),
0)</f>
        <v>0</v>
      </c>
      <c r="CD56" s="23" t="str">
        <f t="array" ref="CD56">IFERROR(
  INDEX(PLAYER_STAT!E$2:E64, 
    MATCH(1, 
      (PLAYER_STAT!A$2:A64 = MATCH_DATES!$A$8) * (PLAYER_STAT!D$2:D64 = $B56), 
    0)
  ), 
  ""
)
</f>
        <v/>
      </c>
      <c r="CE56" s="23" t="str">
        <f t="array" ref="CE56">IFERROR(
  INDEX(PLAYER_STAT!F$2:F64, 
    MATCH(1, 
      (PLAYER_STAT!A$2:A64 = MATCH_DATES!$A$8) * (PLAYER_STAT!D$2:D64 = $B56), 
    0)
  ), 
  ""
)
</f>
        <v/>
      </c>
      <c r="CF56" s="34" t="str">
        <f t="array" ref="CF56">IFERROR(
  INDEX(PLAYER_STAT!G$2:G64, 
    MATCH(1, 
      (PLAYER_STAT!A$2:A64 = MATCH_DATES!$A$8) * (PLAYER_STAT!D$2:D64 = $B56), 
    0)
  ), 
  ""
)
</f>
        <v/>
      </c>
      <c r="CG56" s="25">
        <f t="shared" si="157"/>
        <v>14</v>
      </c>
      <c r="CH56" s="26" t="str">
        <f t="shared" si="35"/>
        <v>↓</v>
      </c>
      <c r="CI56" s="43"/>
      <c r="CJ56" s="44">
        <f t="shared" si="36"/>
        <v>0</v>
      </c>
      <c r="CK56" s="28">
        <f t="shared" si="37"/>
        <v>0</v>
      </c>
      <c r="CL56" s="28">
        <f>SUM(CM56*2)+(CN56*1) + SUMIFS(MATCH_INPUT!$G$30:$G$33, MATCH_INPUT!$F$30:$F$33, CI56) + SUMIFS(MATCH_INPUT!$I$30:$I$33, MATCH_INPUT!$J$30:$J$33, CI56)
</f>
        <v>0</v>
      </c>
      <c r="CM56" s="28">
        <f>IF(CI56&lt;&gt;"",
    COUNTIFS(MATCH_INPUT!$K$30:$K$33,CI56),
0)</f>
        <v>0</v>
      </c>
      <c r="CN56" s="28">
        <f>IF(CI56&lt;&gt;"",
    COUNTIFS(MATCH_INPUT!$F$30:$F$33, CI56, MATCH_INPUT!$K$30:$K$33, "Draw") +
    COUNTIFS(MATCH_INPUT!$J$30:$J$33, CI56, MATCH_INPUT!$K$30:$K$33, "Draw"),
0)</f>
        <v>0</v>
      </c>
      <c r="CO56" s="28">
        <f>IF(CI56&lt;&gt;"",
    COUNTIFS(MATCH_INPUT!$F$30:$F$33, CI56, MATCH_INPUT!$K$30:$K$33, "&lt;&gt;"&amp;CI56, MATCH_INPUT!$K$30:$K$33, "&lt;&gt;Draw", MATCH_INPUT!$K$30:$K$33, "&lt;&gt;""") +
    COUNTIFS(MATCH_INPUT!$J$30:$J$33, CI56, MATCH_INPUT!$K$30:$K$33, "&lt;&gt;"&amp;CI56, MATCH_INPUT!$K$30:$K$33, "&lt;&gt;Draw", MATCH_INPUT!$K$30:$K$33, "&lt;&gt;"""),
0)</f>
        <v>0</v>
      </c>
      <c r="CP56" s="29" t="str">
        <f t="array" ref="CP56">IFERROR(
  INDEX(PLAYER_STAT!E$2:E64, 
    MATCH(1, 
      (PLAYER_STAT!A$2:A64 = MATCH_DATES!$A$9) * (PLAYER_STAT!D$2:D64 = $B56), 
    0)
  ), 
  ""
)
</f>
        <v/>
      </c>
      <c r="CQ56" s="29" t="str">
        <f t="array" ref="CQ56">IFERROR(
  INDEX(PLAYER_STAT!F$2:F64, 
    MATCH(1, 
      (PLAYER_STAT!A$2:A64 = MATCH_DATES!$A$9) * (PLAYER_STAT!D$2:D64 = $B56), 
    0)
  ), 
  ""
)
</f>
        <v/>
      </c>
      <c r="CR56" s="30" t="str">
        <f t="array" ref="CR56">IFERROR(
  INDEX(PLAYER_STAT!G$2:G64, 
    MATCH(1, 
      (PLAYER_STAT!A$2:A64 = MATCH_DATES!$A$9) * (PLAYER_STAT!D$2:D64 = $B56), 
    0)
  ), 
  ""
)
</f>
        <v/>
      </c>
      <c r="CS56" s="35">
        <f t="shared" si="158"/>
        <v>14</v>
      </c>
      <c r="CT56" s="35" t="str">
        <f t="shared" si="39"/>
        <v>=</v>
      </c>
      <c r="CU56" s="37">
        <f t="shared" si="40"/>
        <v>0</v>
      </c>
      <c r="CV56" s="37" t="str">
        <f t="shared" ref="CV56:CW56" si="207">A56</f>
        <v>🛗</v>
      </c>
      <c r="CW56" s="37" t="str">
        <f t="shared" si="207"/>
        <v/>
      </c>
      <c r="CX56" s="37">
        <f t="shared" si="42"/>
        <v>0</v>
      </c>
      <c r="CY56" s="37">
        <f>SUM(
  IF(AND(MATCH_DATES!$A$2 &lt;= TODAY(), NOW() &gt;= MATCH_DATES!$A$2 + TIME(22, 0, 0)), E56, 0),
  IF(AND(MATCH_DATES!$A$3 &lt;= TODAY(), NOW() &gt;= MATCH_DATES!$A$3 + TIME(22, 0, 0)), Q56, 0),
  IF(AND(MATCH_DATES!$A$4 &lt;= TODAY(), NOW() &gt;= MATCH_DATES!$A$4 + TIME(22, 0, 0)), AC56, 0),
  IF(AND(MATCH_DATES!$A$5 &lt;= TODAY(), NOW() &gt;= MATCH_DATES!$A$5 + TIME(22, 0, 0)), AO56, 0),
  IF(AND(MATCH_DATES!$A$6 &lt;= TODAY(), NOW() &gt;= MATCH_DATES!$A$6 + TIME(22, 0, 0)), BA56, 0),
  IF(AND(MATCH_DATES!$A$7 &lt;= TODAY(), NOW() &gt;= MATCH_DATES!$A$7 + TIME(22, 0, 0)), BM56, 0),
  IF(AND(MATCH_DATES!$A$8 &lt;= TODAY(), NOW() &gt;= MATCH_DATES!$A$8 + TIME(22, 0, 0)), BY56, 0),
  IF(AND(MATCH_DATES!$A$9 &lt;= TODAY(), NOW() &gt;= MATCH_DATES!$A$9 + TIME(22, 0, 0)), CK56, 0)
)
</f>
        <v>0</v>
      </c>
      <c r="CZ56" s="37">
        <f t="shared" ref="CZ56:DA56" si="208">SUM(G56,S56,AE56,AQ56,BC56,BO56,CA56,CM56)</f>
        <v>0</v>
      </c>
      <c r="DA56" s="37">
        <f t="shared" si="208"/>
        <v>0</v>
      </c>
      <c r="DB56" s="37">
        <f>SUM(
  IF(AND(MATCH_DATES!$A$2 &lt;= TODAY(), NOW() &gt;= MATCH_DATES!$A$2 + TIME(22, 0, 0)), I56, 0),
  IF(AND(MATCH_DATES!$A$3 &lt;= TODAY(), NOW() &gt;= MATCH_DATES!$A$3 + TIME(22, 0, 0)), U56, 0),
  IF(AND(MATCH_DATES!$A$4 &lt;= TODAY(), NOW() &gt;= MATCH_DATES!$A$4 + TIME(22, 0, 0)), AG56, 0),
  IF(AND(MATCH_DATES!$A$5 &lt;= TODAY(), NOW() &gt;= MATCH_DATES!$A$5 + TIME(22, 0, 0)), AS56, 0),
  IF(AND(MATCH_DATES!$A$6 &lt;= TODAY(), NOW() &gt;= MATCH_DATES!$A$6 + TIME(22, 0, 0)), BE56, 0),
  IF(AND(MATCH_DATES!$A$7 &lt;= TODAY(), NOW() &gt;= MATCH_DATES!$A$7 + TIME(22, 0, 0)), BQ56, 0),
  IF(AND(MATCH_DATES!$A$8 &lt;= TODAY(), NOW() &gt;= MATCH_DATES!$A$8 + TIME(22, 0, 0)), CC56, 0),
  IF(AND(MATCH_DATES!$A$9 &lt;= TODAY(), NOW() &gt;= MATCH_DATES!$A$9 + TIME(22, 0, 0)), CO56, 0)
)</f>
        <v>0</v>
      </c>
      <c r="DC56" s="37">
        <f t="shared" si="44"/>
        <v>0</v>
      </c>
      <c r="DD56" s="37">
        <f t="shared" ref="DD56:DE56" si="209">SUM(K56,W56,AI56,AU56,BG56,BS56,CE56,CQ56)</f>
        <v>0</v>
      </c>
      <c r="DE56" s="37">
        <f t="shared" si="209"/>
        <v>0</v>
      </c>
    </row>
    <row r="57" ht="24.75" customHeight="1">
      <c r="A57" s="19"/>
      <c r="B57" s="19"/>
      <c r="C57" s="42"/>
      <c r="D57" s="22">
        <f t="shared" si="4"/>
        <v>0</v>
      </c>
      <c r="E57" s="22">
        <f t="shared" si="5"/>
        <v>0</v>
      </c>
      <c r="F57" s="22">
        <f t="shared" si="6"/>
        <v>0</v>
      </c>
      <c r="G57" s="22">
        <f>IF(C57&lt;&gt;"",
    COUNTIFS(MATCH_INPUT!$K$2:$K$5,C57),
0)</f>
        <v>0</v>
      </c>
      <c r="H57" s="22">
        <f>IF(C57&lt;&gt;"",
    COUNTIFS(MATCH_INPUT!$F$2:$F$5, C57, MATCH_INPUT!$K$2:$K$5, "Draw") +
    COUNTIFS(MATCH_INPUT!$J$2:$J$5, C57, MATCH_INPUT!$K$2:$K$5, "Draw"),
0)</f>
        <v>0</v>
      </c>
      <c r="I57" s="22">
        <f>IF(C57&lt;&gt;"",
    COUNTIFS(MATCH_INPUT!$F$2:$F$5, C57, MATCH_INPUT!$K$2:$K$5, "&lt;&gt;"&amp;C57, MATCH_INPUT!$K$2:$K$5, "&lt;&gt;Draw", MATCH_INPUT!$K$2:$K$5, "&lt;&gt;""") +
    COUNTIFS(MATCH_INPUT!$J$2:$J$5, C57, MATCH_INPUT!$K$2:$K$5, "&lt;&gt;"&amp;C57, MATCH_INPUT!$K$2:$K$5, "&lt;&gt;Draw", MATCH_INPUT!$K$2:$K$5, "&lt;&gt;"""),
0)</f>
        <v>0</v>
      </c>
      <c r="J57" s="23" t="str">
        <f t="array" ref="J57">IFERROR(
  INDEX(PLAYER_STAT!E$2:E64, 
    MATCH(1, 
      (PLAYER_STAT!A$2:A64 = MATCH_DATES!$A$2) * (PLAYER_STAT!D$2:D64 = $B57), 
    0)
  ), 
  ""
)
</f>
        <v/>
      </c>
      <c r="K57" s="23" t="str">
        <f t="array" ref="K57">IFERROR(
  INDEX(PLAYER_STAT!F$2:F64, 
    MATCH(1, 
      (PLAYER_STAT!A$2:A64 = MATCH_DATES!$A$2) * (PLAYER_STAT!D$2:D64 = $B57), 
    0)
  ), 
  ""
)
</f>
        <v/>
      </c>
      <c r="L57" s="24" t="str">
        <f t="array" ref="L57">IFERROR(
  INDEX(PLAYER_STAT!G$2:G64, 
    MATCH(1, 
      (PLAYER_STAT!A$2:A64 = MATCH_DATES!$A$2) * (PLAYER_STAT!D$2:D64 = $B57), 
    0)
  ), 
  ""
)
</f>
        <v/>
      </c>
      <c r="M57" s="25">
        <f t="shared" si="151"/>
        <v>6</v>
      </c>
      <c r="N57" s="26" t="str">
        <f t="shared" si="8"/>
        <v>↓</v>
      </c>
      <c r="O57" s="43"/>
      <c r="P57" s="28">
        <f t="shared" si="9"/>
        <v>0</v>
      </c>
      <c r="Q57" s="28">
        <f t="shared" si="10"/>
        <v>0</v>
      </c>
      <c r="R57" s="28">
        <f t="shared" si="11"/>
        <v>0</v>
      </c>
      <c r="S57" s="28">
        <f>IF(O57&lt;&gt;"",
    COUNTIFS(MATCH_INPUT!$K$6:$K$9,O57),
0)</f>
        <v>0</v>
      </c>
      <c r="T57" s="28">
        <f>IF(O57&lt;&gt;"",
    COUNTIFS(MATCH_INPUT!$F$6:$F$9, O57, MATCH_INPUT!$K$6:$K$9, "Draw") +
    COUNTIFS(MATCH_INPUT!$J$6:$J$9, O57, MATCH_INPUT!$K$6:$K$9, "Draw"),
0)</f>
        <v>0</v>
      </c>
      <c r="U57" s="28">
        <f>IF(O57&lt;&gt;"",
    COUNTIFS(MATCH_INPUT!$F$6:$F$9, O57, MATCH_INPUT!$K$6:$K$9, "&lt;&gt;"&amp;O57, MATCH_INPUT!$K$6:$K$9, "&lt;&gt;Draw", MATCH_INPUT!$K$6:$K$9, "&lt;&gt;""") +
    COUNTIFS(MATCH_INPUT!$J$6:$J$9, O57, MATCH_INPUT!$K$6:$K$9, "&lt;&gt;"&amp;O57, MATCH_INPUT!$K$6:$K$9, "&lt;&gt;Draw", MATCH_INPUT!$K$6:$K$9, "&lt;&gt;"""),
0)</f>
        <v>0</v>
      </c>
      <c r="V57" s="29" t="str">
        <f t="array" ref="V57">IFERROR(
  INDEX(PLAYER_STAT!E$2:E64, 
    MATCH(1, 
      (PLAYER_STAT!A$2:A64 = MATCH_DATES!$A$3) * (PLAYER_STAT!D$2:D64 = $B57), 
    0)
  ), 
  ""
)
</f>
        <v/>
      </c>
      <c r="W57" s="29" t="str">
        <f t="array" ref="W57">IFERROR(
  INDEX(PLAYER_STAT!F$2:F64, 
    MATCH(1, 
      (PLAYER_STAT!A$2:A64 = MATCH_DATES!$A$3) * (PLAYER_STAT!D$2:D64 = $B57), 
    0)
  ), 
  ""
)
</f>
        <v/>
      </c>
      <c r="X57" s="30" t="str">
        <f t="array" ref="X57">IFERROR(
  INDEX(PLAYER_STAT!G$2:G64, 
    MATCH(1, 
      (PLAYER_STAT!A$2:A64 = MATCH_DATES!$A$3) * (PLAYER_STAT!D$2:D64 = $B57), 
    0)
  ), 
  ""
)
</f>
        <v/>
      </c>
      <c r="Y57" s="31">
        <f t="shared" si="152"/>
        <v>7</v>
      </c>
      <c r="Z57" s="32" t="str">
        <f t="shared" si="13"/>
        <v>↓</v>
      </c>
      <c r="AA57" s="42"/>
      <c r="AB57" s="33">
        <f t="shared" si="14"/>
        <v>0</v>
      </c>
      <c r="AC57" s="22">
        <f t="shared" si="15"/>
        <v>0</v>
      </c>
      <c r="AD57" s="22">
        <f t="shared" si="16"/>
        <v>0</v>
      </c>
      <c r="AE57" s="22">
        <f>IF(AA57&lt;&gt;"",
    COUNTIFS(MATCH_INPUT!$K$10:$K$13,AA57),
0)</f>
        <v>0</v>
      </c>
      <c r="AF57" s="22">
        <f>IF(AA57&lt;&gt;"",
    COUNTIFS(MATCH_INPUT!$F$10:$F$13, AA57, MATCH_INPUT!$K$10:$K$13, "Draw") +
    COUNTIFS(MATCH_INPUT!$J$10:$J$13, AA57, MATCH_INPUT!$K$10:$K$13, "Draw"),
0)</f>
        <v>0</v>
      </c>
      <c r="AG57" s="22">
        <f>IF(AA57&lt;&gt;"",
    COUNTIFS(MATCH_INPUT!$F$10:$F$13, AA57, MATCH_INPUT!$K$10:$K$13, "&lt;&gt;"&amp;AA57, MATCH_INPUT!$K$10:$K$13, "&lt;&gt;Draw", MATCH_INPUT!$K$10:$K$13, "&lt;&gt;""") +
    COUNTIFS(MATCH_INPUT!$J$10:$J$13, AA57, MATCH_INPUT!$K$10:$K$13, "&lt;&gt;"&amp;AA57, MATCH_INPUT!$K$10:$K$13, "&lt;&gt;Draw", MATCH_INPUT!$K$10:$K$13, "&lt;&gt;"""),
0)</f>
        <v>0</v>
      </c>
      <c r="AH57" s="23" t="str">
        <f t="array" ref="AH57">IFERROR(
  INDEX(PLAYER_STAT!E$2:E64, 
    MATCH(1, 
      (PLAYER_STAT!A$2:A64 = MATCH_DATES!$A$4) * (PLAYER_STAT!D$2:D64 = $B57), 
    0)
  ), 
  ""
)
</f>
        <v/>
      </c>
      <c r="AI57" s="23" t="str">
        <f t="array" ref="AI57">IFERROR(
  INDEX(PLAYER_STAT!F$2:F64, 
    MATCH(1, 
      (PLAYER_STAT!A$2:A64 = MATCH_DATES!$A$4) * (PLAYER_STAT!D$2:D64 = $B57), 
    0)
  ), 
  ""
)
</f>
        <v/>
      </c>
      <c r="AJ57" s="34" t="str">
        <f t="array" ref="AJ57">IFERROR(
  INDEX(PLAYER_STAT!G$2:G64, 
    MATCH(1, 
      (PLAYER_STAT!A$2:A64 = MATCH_DATES!$A$4) * (PLAYER_STAT!D$2:D64 = $B57), 
    0)
  ), 
  ""
)
</f>
        <v/>
      </c>
      <c r="AK57" s="25">
        <f t="shared" si="153"/>
        <v>7</v>
      </c>
      <c r="AL57" s="26" t="str">
        <f t="shared" si="18"/>
        <v>=</v>
      </c>
      <c r="AM57" s="43"/>
      <c r="AN57" s="28">
        <f t="shared" si="19"/>
        <v>0</v>
      </c>
      <c r="AO57" s="28">
        <f t="shared" si="20"/>
        <v>0</v>
      </c>
      <c r="AP57" s="28">
        <f t="shared" si="21"/>
        <v>0</v>
      </c>
      <c r="AQ57" s="28">
        <f>IF(AM57&lt;&gt;"",
    COUNTIFS(MATCH_INPUT!$K$14:$K$17,AM57),
0)</f>
        <v>0</v>
      </c>
      <c r="AR57" s="28">
        <f>IF(AM57&lt;&gt;"",
    COUNTIFS(MATCH_INPUT!$F$14:$F$17, AM57, MATCH_INPUT!$K$14:$K$17, "Draw") +
    COUNTIFS(MATCH_INPUT!$J$14:$J$17, AM57, MATCH_INPUT!$K$14:$K$17, "Draw"),
0)</f>
        <v>0</v>
      </c>
      <c r="AS57" s="28">
        <f>IF(AM57&lt;&gt;"",
    COUNTIFS(MATCH_INPUT!$F$14:$F$17, AM57, MATCH_INPUT!$K$14:$K$17, "&lt;&gt;"&amp;AM57, MATCH_INPUT!$K$14:$K$17, "&lt;&gt;Draw", MATCH_INPUT!$K$14:$K$17, "&lt;&gt;""") +
    COUNTIFS(MATCH_INPUT!$J$14:$J$17, AM57, MATCH_INPUT!$K$14:$K$17, "&lt;&gt;"&amp;AM57, MATCH_INPUT!$K$14:$K$17, "&lt;&gt;Draw", MATCH_INPUT!$K$14:$K$17, "&lt;&gt;"""),
0)</f>
        <v>0</v>
      </c>
      <c r="AT57" s="29" t="str">
        <f t="array" ref="AT57">IFERROR(
  INDEX(PLAYER_STAT!E$2:E64, 
    MATCH(1, 
      (PLAYER_STAT!A$2:A64 = MATCH_DATES!$A$5) * (PLAYER_STAT!D$2:D64 = $B57), 
    0)
  ), 
  ""
)
</f>
        <v/>
      </c>
      <c r="AU57" s="29" t="str">
        <f t="array" ref="AU57">IFERROR(
  INDEX(PLAYER_STAT!F$2:F64, 
    MATCH(1, 
      (PLAYER_STAT!A$2:A64 = MATCH_DATES!$A$5) * (PLAYER_STAT!D$2:D64 = $B57), 
    0)
  ), 
  ""
)
</f>
        <v/>
      </c>
      <c r="AV57" s="30" t="str">
        <f t="array" ref="AV57">IFERROR(
  INDEX(PLAYER_STAT!G$2:G64, 
    MATCH(1, 
      (PLAYER_STAT!A$2:A64 = MATCH_DATES!$A$5) * (PLAYER_STAT!D$2:D64 = $B57), 
    0)
  ), 
  ""
)
</f>
        <v/>
      </c>
      <c r="AW57" s="31">
        <f t="shared" si="154"/>
        <v>10</v>
      </c>
      <c r="AX57" s="32" t="str">
        <f t="shared" si="23"/>
        <v>↓</v>
      </c>
      <c r="AY57" s="42"/>
      <c r="AZ57" s="33">
        <f t="shared" si="24"/>
        <v>0</v>
      </c>
      <c r="BA57" s="22">
        <f t="shared" si="25"/>
        <v>0</v>
      </c>
      <c r="BB57" s="22">
        <f>SUM(BC57*2) + (BD57*1) + SUMIFS(MATCH_INPUT!$G$18:$G$21, MATCH_INPUT!$F$18:$F$21, AY57) + SUMIFS(MATCH_INPUT!$I$18:$I$21, MATCH_INPUT!$J$18:$J$21, AY57)
</f>
        <v>0</v>
      </c>
      <c r="BC57" s="22">
        <f>IF(AY57&lt;&gt;"",
    COUNTIFS(MATCH_INPUT!$K$18:$K$21,AY57),
0)</f>
        <v>0</v>
      </c>
      <c r="BD57" s="22">
        <f>IF(AY57&lt;&gt;"",
    COUNTIFS(MATCH_INPUT!$F$18:$F$21, AY57, MATCH_INPUT!$K$18:$K$21, "Draw") +
    COUNTIFS(MATCH_INPUT!$J$18:$J$21, AY57, MATCH_INPUT!$K$18:$K$21, "Draw"),
0)</f>
        <v>0</v>
      </c>
      <c r="BE57" s="22">
        <f>IF(AY57&lt;&gt;"",
    COUNTIFS(MATCH_INPUT!$F$18:$F$21, AY57, MATCH_INPUT!$K$18:$K$21, "&lt;&gt;"&amp;AY57, MATCH_INPUT!$K$18:$K$21, "&lt;&gt;Draw", MATCH_INPUT!$K$18:$K$21, "&lt;&gt;""") +
    COUNTIFS(MATCH_INPUT!$J$18:$J$21, AY57, MATCH_INPUT!$K$18:$K$21, "&lt;&gt;"&amp;AY57, MATCH_INPUT!$K$18:$K$21, "&lt;&gt;Draw", MATCH_INPUT!$K$18:$K$21, "&lt;&gt;"""),
0)</f>
        <v>0</v>
      </c>
      <c r="BF57" s="23" t="str">
        <f t="array" ref="BF57">IFERROR(
  INDEX(PLAYER_STAT!E$2:E64, 
    MATCH(1, 
      (PLAYER_STAT!A$2:A64 = MATCH_DATES!$A$6) * (PLAYER_STAT!D$2:D64 = $B57), 
    0)
  ), 
  ""
)
</f>
        <v/>
      </c>
      <c r="BG57" s="23" t="str">
        <f t="array" ref="BG57">IFERROR(
  INDEX(PLAYER_STAT!F$2:F64, 
    MATCH(1, 
      (PLAYER_STAT!A$2:A64 = MATCH_DATES!$A$6) * (PLAYER_STAT!D$2:D64 = $B57), 
    0)
  ), 
  ""
)
</f>
        <v/>
      </c>
      <c r="BH57" s="34" t="str">
        <f t="array" ref="BH57">IFERROR(
  INDEX(PLAYER_STAT!G$2:G64, 
    MATCH(1, 
      (PLAYER_STAT!A$2:A64 = MATCH_DATES!$A$6) * (PLAYER_STAT!D$2:D64 = $B57), 
    0)
  ), 
  ""
)
</f>
        <v/>
      </c>
      <c r="BI57" s="25">
        <f t="shared" si="155"/>
        <v>12</v>
      </c>
      <c r="BJ57" s="26" t="str">
        <f t="shared" si="27"/>
        <v>↓</v>
      </c>
      <c r="BK57" s="43"/>
      <c r="BL57" s="28">
        <f t="shared" si="28"/>
        <v>0</v>
      </c>
      <c r="BM57" s="28">
        <f t="shared" si="29"/>
        <v>0</v>
      </c>
      <c r="BN57" s="28">
        <f>SUM(BO57*2) + (BP57*1) + SUMIFS(MATCH_INPUT!$G$22:$G$25, MATCH_INPUT!$F$22:$F$25, BK57) + SUMIFS(MATCH_INPUT!$I$22:$I$25, MATCH_INPUT!$J$22:$J$25, BK57)
</f>
        <v>0</v>
      </c>
      <c r="BO57" s="28">
        <f>IF(BK57&lt;&gt;"",
    COUNTIFS(MATCH_INPUT!$K$22:$K$25,BK57),
0)</f>
        <v>0</v>
      </c>
      <c r="BP57" s="28">
        <f>IF(BK57&lt;&gt;"",
    COUNTIFS(MATCH_INPUT!$F$22:$F$25, BK57, MATCH_INPUT!$K$22:$K$25, "Draw") +
    COUNTIFS(MATCH_INPUT!$J$22:$J$25, BK57, MATCH_INPUT!$K$22:$K$25, "Draw"),
0)</f>
        <v>0</v>
      </c>
      <c r="BQ57" s="28">
        <f>IF(BK57&lt;&gt;"",
    COUNTIFS(MATCH_INPUT!$F$22:$F$25, BK57, MATCH_INPUT!$K$22:$K$25, "&lt;&gt;"&amp;BK57, MATCH_INPUT!$K$22:$K$25, "&lt;&gt;Draw", MATCH_INPUT!$K$22:$K$25, "&lt;&gt;""") +
    COUNTIFS(MATCH_INPUT!$J$22:$J$25, BK57, MATCH_INPUT!$K$22:$K$25, "&lt;&gt;"&amp;BK57, MATCH_INPUT!$K$22:$K$25, "&lt;&gt;Draw", MATCH_INPUT!$K$22:$K$25, "&lt;&gt;"""),
0)</f>
        <v>0</v>
      </c>
      <c r="BR57" s="29" t="str">
        <f t="array" ref="BR57">IFERROR(
  INDEX(PLAYER_STAT!E$2:E64, 
    MATCH(1, 
      (PLAYER_STAT!A$2:A64 = MATCH_DATES!$A$7) * (PLAYER_STAT!D$2:D64 = $B57), 
    0)
  ), 
  ""
)
</f>
        <v/>
      </c>
      <c r="BS57" s="29" t="str">
        <f t="array" ref="BS57">IFERROR(
  INDEX(PLAYER_STAT!F$2:F64, 
    MATCH(1, 
      (PLAYER_STAT!A$2:A64 = MATCH_DATES!$A$7) * (PLAYER_STAT!D$2:D64 = $B57), 
    0)
  ), 
  ""
)
</f>
        <v/>
      </c>
      <c r="BT57" s="30" t="str">
        <f t="array" ref="BT57">IFERROR(
  INDEX(PLAYER_STAT!G$2:G64, 
    MATCH(1, 
      (PLAYER_STAT!A$2:A64 = MATCH_DATES!$A$7) * (PLAYER_STAT!D$2:D64 = $B57), 
    0)
  ), 
  ""
)
</f>
        <v/>
      </c>
      <c r="BU57" s="31">
        <f t="shared" si="156"/>
        <v>12</v>
      </c>
      <c r="BV57" s="32" t="str">
        <f t="shared" si="31"/>
        <v>=</v>
      </c>
      <c r="BW57" s="42"/>
      <c r="BX57" s="33">
        <f t="shared" si="32"/>
        <v>0</v>
      </c>
      <c r="BY57" s="22">
        <f t="shared" si="33"/>
        <v>0</v>
      </c>
      <c r="BZ57" s="22">
        <f>SUM(CA57*2)+(CB57*1) + SUMIFS(MATCH_INPUT!$G$26:$G$29, MATCH_INPUT!$F$26:$F$29, BW57) + SUMIFS(MATCH_INPUT!$I$26:$I$29, MATCH_INPUT!$J$26:$J$29, BW57)
</f>
        <v>0</v>
      </c>
      <c r="CA57" s="22">
        <f>IF(BW57&lt;&gt;"",
    COUNTIFS(MATCH_INPUT!$K$26:$K$29,BW57),
0)</f>
        <v>0</v>
      </c>
      <c r="CB57" s="22">
        <f>IF(BW57&lt;&gt;"",
    COUNTIFS(MATCH_INPUT!$F$26:$F$29, BW57, MATCH_INPUT!$K$26:$K$29, "Draw") +
    COUNTIFS(MATCH_INPUT!$J$26:$J$29, BW57, MATCH_INPUT!$K$26:$K$29, "Draw"),
0)</f>
        <v>0</v>
      </c>
      <c r="CC57" s="22">
        <f>IF(BW57&lt;&gt;"",
    COUNTIFS(MATCH_INPUT!$F$26:$F$29, BW57, MATCH_INPUT!$K$26:$K$29, "&lt;&gt;"&amp;BW57, MATCH_INPUT!$K$26:$K$29, "&lt;&gt;Draw", MATCH_INPUT!$K$26:$K$29, "&lt;&gt;""") +
    COUNTIFS(MATCH_INPUT!$J$26:$J$29, BW57, MATCH_INPUT!$K$26:$K$29, "&lt;&gt;"&amp;BW57, MATCH_INPUT!$K$26:$K$29, "&lt;&gt;Draw", MATCH_INPUT!$K$26:$K$29, "&lt;&gt;"""),
0)</f>
        <v>0</v>
      </c>
      <c r="CD57" s="23" t="str">
        <f t="array" ref="CD57">IFERROR(
  INDEX(PLAYER_STAT!E$2:E64, 
    MATCH(1, 
      (PLAYER_STAT!A$2:A64 = MATCH_DATES!$A$8) * (PLAYER_STAT!D$2:D64 = $B57), 
    0)
  ), 
  ""
)
</f>
        <v/>
      </c>
      <c r="CE57" s="23" t="str">
        <f t="array" ref="CE57">IFERROR(
  INDEX(PLAYER_STAT!F$2:F64, 
    MATCH(1, 
      (PLAYER_STAT!A$2:A64 = MATCH_DATES!$A$8) * (PLAYER_STAT!D$2:D64 = $B57), 
    0)
  ), 
  ""
)
</f>
        <v/>
      </c>
      <c r="CF57" s="34" t="str">
        <f t="array" ref="CF57">IFERROR(
  INDEX(PLAYER_STAT!G$2:G64, 
    MATCH(1, 
      (PLAYER_STAT!A$2:A64 = MATCH_DATES!$A$8) * (PLAYER_STAT!D$2:D64 = $B57), 
    0)
  ), 
  ""
)
</f>
        <v/>
      </c>
      <c r="CG57" s="25">
        <f t="shared" si="157"/>
        <v>14</v>
      </c>
      <c r="CH57" s="26" t="str">
        <f t="shared" si="35"/>
        <v>↓</v>
      </c>
      <c r="CI57" s="43"/>
      <c r="CJ57" s="44">
        <f t="shared" si="36"/>
        <v>0</v>
      </c>
      <c r="CK57" s="28">
        <f t="shared" si="37"/>
        <v>0</v>
      </c>
      <c r="CL57" s="28">
        <f>SUM(CM57*2)+(CN57*1) + SUMIFS(MATCH_INPUT!$G$30:$G$33, MATCH_INPUT!$F$30:$F$33, CI57) + SUMIFS(MATCH_INPUT!$I$30:$I$33, MATCH_INPUT!$J$30:$J$33, CI57)
</f>
        <v>0</v>
      </c>
      <c r="CM57" s="28">
        <f>IF(CI57&lt;&gt;"",
    COUNTIFS(MATCH_INPUT!$K$30:$K$33,CI57),
0)</f>
        <v>0</v>
      </c>
      <c r="CN57" s="28">
        <f>IF(CI57&lt;&gt;"",
    COUNTIFS(MATCH_INPUT!$F$30:$F$33, CI57, MATCH_INPUT!$K$30:$K$33, "Draw") +
    COUNTIFS(MATCH_INPUT!$J$30:$J$33, CI57, MATCH_INPUT!$K$30:$K$33, "Draw"),
0)</f>
        <v>0</v>
      </c>
      <c r="CO57" s="28">
        <f>IF(CI57&lt;&gt;"",
    COUNTIFS(MATCH_INPUT!$F$30:$F$33, CI57, MATCH_INPUT!$K$30:$K$33, "&lt;&gt;"&amp;CI57, MATCH_INPUT!$K$30:$K$33, "&lt;&gt;Draw", MATCH_INPUT!$K$30:$K$33, "&lt;&gt;""") +
    COUNTIFS(MATCH_INPUT!$J$30:$J$33, CI57, MATCH_INPUT!$K$30:$K$33, "&lt;&gt;"&amp;CI57, MATCH_INPUT!$K$30:$K$33, "&lt;&gt;Draw", MATCH_INPUT!$K$30:$K$33, "&lt;&gt;"""),
0)</f>
        <v>0</v>
      </c>
      <c r="CP57" s="29" t="str">
        <f t="array" ref="CP57">IFERROR(
  INDEX(PLAYER_STAT!E$2:E64, 
    MATCH(1, 
      (PLAYER_STAT!A$2:A64 = MATCH_DATES!$A$9) * (PLAYER_STAT!D$2:D64 = $B57), 
    0)
  ), 
  ""
)
</f>
        <v/>
      </c>
      <c r="CQ57" s="29" t="str">
        <f t="array" ref="CQ57">IFERROR(
  INDEX(PLAYER_STAT!F$2:F64, 
    MATCH(1, 
      (PLAYER_STAT!A$2:A64 = MATCH_DATES!$A$9) * (PLAYER_STAT!D$2:D64 = $B57), 
    0)
  ), 
  ""
)
</f>
        <v/>
      </c>
      <c r="CR57" s="30" t="str">
        <f t="array" ref="CR57">IFERROR(
  INDEX(PLAYER_STAT!G$2:G64, 
    MATCH(1, 
      (PLAYER_STAT!A$2:A64 = MATCH_DATES!$A$9) * (PLAYER_STAT!D$2:D64 = $B57), 
    0)
  ), 
  ""
)
</f>
        <v/>
      </c>
      <c r="CS57" s="35">
        <f t="shared" si="158"/>
        <v>14</v>
      </c>
      <c r="CT57" s="35" t="str">
        <f t="shared" si="39"/>
        <v>=</v>
      </c>
      <c r="CU57" s="37">
        <f t="shared" si="40"/>
        <v>0</v>
      </c>
      <c r="CV57" s="37" t="str">
        <f t="shared" ref="CV57:CW57" si="210">A57</f>
        <v/>
      </c>
      <c r="CW57" s="37" t="str">
        <f t="shared" si="210"/>
        <v/>
      </c>
      <c r="CX57" s="37">
        <f t="shared" si="42"/>
        <v>0</v>
      </c>
      <c r="CY57" s="37">
        <f>SUM(
  IF(AND(MATCH_DATES!$A$2 &lt;= TODAY(), NOW() &gt;= MATCH_DATES!$A$2 + TIME(22, 0, 0)), E57, 0),
  IF(AND(MATCH_DATES!$A$3 &lt;= TODAY(), NOW() &gt;= MATCH_DATES!$A$3 + TIME(22, 0, 0)), Q57, 0),
  IF(AND(MATCH_DATES!$A$4 &lt;= TODAY(), NOW() &gt;= MATCH_DATES!$A$4 + TIME(22, 0, 0)), AC57, 0),
  IF(AND(MATCH_DATES!$A$5 &lt;= TODAY(), NOW() &gt;= MATCH_DATES!$A$5 + TIME(22, 0, 0)), AO57, 0),
  IF(AND(MATCH_DATES!$A$6 &lt;= TODAY(), NOW() &gt;= MATCH_DATES!$A$6 + TIME(22, 0, 0)), BA57, 0),
  IF(AND(MATCH_DATES!$A$7 &lt;= TODAY(), NOW() &gt;= MATCH_DATES!$A$7 + TIME(22, 0, 0)), BM57, 0),
  IF(AND(MATCH_DATES!$A$8 &lt;= TODAY(), NOW() &gt;= MATCH_DATES!$A$8 + TIME(22, 0, 0)), BY57, 0),
  IF(AND(MATCH_DATES!$A$9 &lt;= TODAY(), NOW() &gt;= MATCH_DATES!$A$9 + TIME(22, 0, 0)), CK57, 0)
)
</f>
        <v>0</v>
      </c>
      <c r="CZ57" s="37">
        <f t="shared" ref="CZ57:DA57" si="211">SUM(G57,S57,AE57,AQ57,BC57,BO57,CA57,CM57)</f>
        <v>0</v>
      </c>
      <c r="DA57" s="37">
        <f t="shared" si="211"/>
        <v>0</v>
      </c>
      <c r="DB57" s="37">
        <f>SUM(
  IF(AND(MATCH_DATES!$A$2 &lt;= TODAY(), NOW() &gt;= MATCH_DATES!$A$2 + TIME(22, 0, 0)), I57, 0),
  IF(AND(MATCH_DATES!$A$3 &lt;= TODAY(), NOW() &gt;= MATCH_DATES!$A$3 + TIME(22, 0, 0)), U57, 0),
  IF(AND(MATCH_DATES!$A$4 &lt;= TODAY(), NOW() &gt;= MATCH_DATES!$A$4 + TIME(22, 0, 0)), AG57, 0),
  IF(AND(MATCH_DATES!$A$5 &lt;= TODAY(), NOW() &gt;= MATCH_DATES!$A$5 + TIME(22, 0, 0)), AS57, 0),
  IF(AND(MATCH_DATES!$A$6 &lt;= TODAY(), NOW() &gt;= MATCH_DATES!$A$6 + TIME(22, 0, 0)), BE57, 0),
  IF(AND(MATCH_DATES!$A$7 &lt;= TODAY(), NOW() &gt;= MATCH_DATES!$A$7 + TIME(22, 0, 0)), BQ57, 0),
  IF(AND(MATCH_DATES!$A$8 &lt;= TODAY(), NOW() &gt;= MATCH_DATES!$A$8 + TIME(22, 0, 0)), CC57, 0),
  IF(AND(MATCH_DATES!$A$9 &lt;= TODAY(), NOW() &gt;= MATCH_DATES!$A$9 + TIME(22, 0, 0)), CO57, 0)
)</f>
        <v>0</v>
      </c>
      <c r="DC57" s="37">
        <f t="shared" si="44"/>
        <v>0</v>
      </c>
      <c r="DD57" s="37">
        <f t="shared" ref="DD57:DE57" si="212">SUM(K57,W57,AI57,AU57,BG57,BS57,CE57,CQ57)</f>
        <v>0</v>
      </c>
      <c r="DE57" s="37">
        <f t="shared" si="212"/>
        <v>0</v>
      </c>
    </row>
    <row r="58" ht="24.75" customHeight="1">
      <c r="A58" s="19"/>
      <c r="B58" s="19"/>
      <c r="C58" s="42"/>
      <c r="D58" s="22">
        <f t="shared" si="4"/>
        <v>0</v>
      </c>
      <c r="E58" s="22">
        <f t="shared" si="5"/>
        <v>0</v>
      </c>
      <c r="F58" s="22">
        <f t="shared" si="6"/>
        <v>0</v>
      </c>
      <c r="G58" s="22">
        <f>IF(C58&lt;&gt;"",
    COUNTIFS(MATCH_INPUT!$K$2:$K$5,C58),
0)</f>
        <v>0</v>
      </c>
      <c r="H58" s="22">
        <f>IF(C58&lt;&gt;"",
    COUNTIFS(MATCH_INPUT!$F$2:$F$5, C58, MATCH_INPUT!$K$2:$K$5, "Draw") +
    COUNTIFS(MATCH_INPUT!$J$2:$J$5, C58, MATCH_INPUT!$K$2:$K$5, "Draw"),
0)</f>
        <v>0</v>
      </c>
      <c r="I58" s="22">
        <f>IF(C58&lt;&gt;"",
    COUNTIFS(MATCH_INPUT!$F$2:$F$5, C58, MATCH_INPUT!$K$2:$K$5, "&lt;&gt;"&amp;C58, MATCH_INPUT!$K$2:$K$5, "&lt;&gt;Draw", MATCH_INPUT!$K$2:$K$5, "&lt;&gt;""") +
    COUNTIFS(MATCH_INPUT!$J$2:$J$5, C58, MATCH_INPUT!$K$2:$K$5, "&lt;&gt;"&amp;C58, MATCH_INPUT!$K$2:$K$5, "&lt;&gt;Draw", MATCH_INPUT!$K$2:$K$5, "&lt;&gt;"""),
0)</f>
        <v>0</v>
      </c>
      <c r="J58" s="23" t="str">
        <f t="array" ref="J58">IFERROR(
  INDEX(PLAYER_STAT!E$2:E64, 
    MATCH(1, 
      (PLAYER_STAT!A$2:A64 = MATCH_DATES!$A$2) * (PLAYER_STAT!D$2:D64 = $B58), 
    0)
  ), 
  ""
)
</f>
        <v/>
      </c>
      <c r="K58" s="23" t="str">
        <f t="array" ref="K58">IFERROR(
  INDEX(PLAYER_STAT!F$2:F64, 
    MATCH(1, 
      (PLAYER_STAT!A$2:A64 = MATCH_DATES!$A$2) * (PLAYER_STAT!D$2:D64 = $B58), 
    0)
  ), 
  ""
)
</f>
        <v/>
      </c>
      <c r="L58" s="24" t="str">
        <f t="array" ref="L58">IFERROR(
  INDEX(PLAYER_STAT!G$2:G64, 
    MATCH(1, 
      (PLAYER_STAT!A$2:A64 = MATCH_DATES!$A$2) * (PLAYER_STAT!D$2:D64 = $B58), 
    0)
  ), 
  ""
)
</f>
        <v/>
      </c>
      <c r="M58" s="25">
        <f t="shared" si="151"/>
        <v>6</v>
      </c>
      <c r="N58" s="26" t="str">
        <f t="shared" si="8"/>
        <v>↓</v>
      </c>
      <c r="O58" s="43"/>
      <c r="P58" s="28">
        <f t="shared" si="9"/>
        <v>0</v>
      </c>
      <c r="Q58" s="28">
        <f t="shared" si="10"/>
        <v>0</v>
      </c>
      <c r="R58" s="28">
        <f t="shared" si="11"/>
        <v>0</v>
      </c>
      <c r="S58" s="28">
        <f>IF(O58&lt;&gt;"",
    COUNTIFS(MATCH_INPUT!$K$6:$K$9,O58),
0)</f>
        <v>0</v>
      </c>
      <c r="T58" s="28">
        <f>IF(O58&lt;&gt;"",
    COUNTIFS(MATCH_INPUT!$F$6:$F$9, O58, MATCH_INPUT!$K$6:$K$9, "Draw") +
    COUNTIFS(MATCH_INPUT!$J$6:$J$9, O58, MATCH_INPUT!$K$6:$K$9, "Draw"),
0)</f>
        <v>0</v>
      </c>
      <c r="U58" s="28">
        <f>IF(O58&lt;&gt;"",
    COUNTIFS(MATCH_INPUT!$F$6:$F$9, O58, MATCH_INPUT!$K$6:$K$9, "&lt;&gt;"&amp;O58, MATCH_INPUT!$K$6:$K$9, "&lt;&gt;Draw", MATCH_INPUT!$K$6:$K$9, "&lt;&gt;""") +
    COUNTIFS(MATCH_INPUT!$J$6:$J$9, O58, MATCH_INPUT!$K$6:$K$9, "&lt;&gt;"&amp;O58, MATCH_INPUT!$K$6:$K$9, "&lt;&gt;Draw", MATCH_INPUT!$K$6:$K$9, "&lt;&gt;"""),
0)</f>
        <v>0</v>
      </c>
      <c r="V58" s="29" t="str">
        <f t="array" ref="V58">IFERROR(
  INDEX(PLAYER_STAT!E$2:E64, 
    MATCH(1, 
      (PLAYER_STAT!A$2:A64 = MATCH_DATES!$A$3) * (PLAYER_STAT!D$2:D64 = $B58), 
    0)
  ), 
  ""
)
</f>
        <v/>
      </c>
      <c r="W58" s="29" t="str">
        <f t="array" ref="W58">IFERROR(
  INDEX(PLAYER_STAT!F$2:F64, 
    MATCH(1, 
      (PLAYER_STAT!A$2:A64 = MATCH_DATES!$A$3) * (PLAYER_STAT!D$2:D64 = $B58), 
    0)
  ), 
  ""
)
</f>
        <v/>
      </c>
      <c r="X58" s="30" t="str">
        <f t="array" ref="X58">IFERROR(
  INDEX(PLAYER_STAT!G$2:G64, 
    MATCH(1, 
      (PLAYER_STAT!A$2:A64 = MATCH_DATES!$A$3) * (PLAYER_STAT!D$2:D64 = $B58), 
    0)
  ), 
  ""
)
</f>
        <v/>
      </c>
      <c r="Y58" s="31">
        <f t="shared" si="152"/>
        <v>7</v>
      </c>
      <c r="Z58" s="32" t="str">
        <f t="shared" si="13"/>
        <v>↓</v>
      </c>
      <c r="AA58" s="42"/>
      <c r="AB58" s="33">
        <f t="shared" si="14"/>
        <v>0</v>
      </c>
      <c r="AC58" s="22">
        <f t="shared" si="15"/>
        <v>0</v>
      </c>
      <c r="AD58" s="22">
        <f t="shared" si="16"/>
        <v>0</v>
      </c>
      <c r="AE58" s="22">
        <f>IF(AA58&lt;&gt;"",
    COUNTIFS(MATCH_INPUT!$K$10:$K$13,AA58),
0)</f>
        <v>0</v>
      </c>
      <c r="AF58" s="22">
        <f>IF(AA58&lt;&gt;"",
    COUNTIFS(MATCH_INPUT!$F$10:$F$13, AA58, MATCH_INPUT!$K$10:$K$13, "Draw") +
    COUNTIFS(MATCH_INPUT!$J$10:$J$13, AA58, MATCH_INPUT!$K$10:$K$13, "Draw"),
0)</f>
        <v>0</v>
      </c>
      <c r="AG58" s="22">
        <f>IF(AA58&lt;&gt;"",
    COUNTIFS(MATCH_INPUT!$F$10:$F$13, AA58, MATCH_INPUT!$K$10:$K$13, "&lt;&gt;"&amp;AA58, MATCH_INPUT!$K$10:$K$13, "&lt;&gt;Draw", MATCH_INPUT!$K$10:$K$13, "&lt;&gt;""") +
    COUNTIFS(MATCH_INPUT!$J$10:$J$13, AA58, MATCH_INPUT!$K$10:$K$13, "&lt;&gt;"&amp;AA58, MATCH_INPUT!$K$10:$K$13, "&lt;&gt;Draw", MATCH_INPUT!$K$10:$K$13, "&lt;&gt;"""),
0)</f>
        <v>0</v>
      </c>
      <c r="AH58" s="23" t="str">
        <f t="array" ref="AH58">IFERROR(
  INDEX(PLAYER_STAT!E$2:E64, 
    MATCH(1, 
      (PLAYER_STAT!A$2:A64 = MATCH_DATES!$A$4) * (PLAYER_STAT!D$2:D64 = $B58), 
    0)
  ), 
  ""
)
</f>
        <v/>
      </c>
      <c r="AI58" s="23" t="str">
        <f t="array" ref="AI58">IFERROR(
  INDEX(PLAYER_STAT!F$2:F64, 
    MATCH(1, 
      (PLAYER_STAT!A$2:A64 = MATCH_DATES!$A$4) * (PLAYER_STAT!D$2:D64 = $B58), 
    0)
  ), 
  ""
)
</f>
        <v/>
      </c>
      <c r="AJ58" s="34" t="str">
        <f t="array" ref="AJ58">IFERROR(
  INDEX(PLAYER_STAT!G$2:G64, 
    MATCH(1, 
      (PLAYER_STAT!A$2:A64 = MATCH_DATES!$A$4) * (PLAYER_STAT!D$2:D64 = $B58), 
    0)
  ), 
  ""
)
</f>
        <v/>
      </c>
      <c r="AK58" s="25">
        <f t="shared" si="153"/>
        <v>7</v>
      </c>
      <c r="AL58" s="26" t="str">
        <f t="shared" si="18"/>
        <v>=</v>
      </c>
      <c r="AM58" s="43"/>
      <c r="AN58" s="28">
        <f t="shared" si="19"/>
        <v>0</v>
      </c>
      <c r="AO58" s="28">
        <f t="shared" si="20"/>
        <v>0</v>
      </c>
      <c r="AP58" s="28">
        <f t="shared" si="21"/>
        <v>0</v>
      </c>
      <c r="AQ58" s="28">
        <f>IF(AM58&lt;&gt;"",
    COUNTIFS(MATCH_INPUT!$K$14:$K$17,AM58),
0)</f>
        <v>0</v>
      </c>
      <c r="AR58" s="28">
        <f>IF(AM58&lt;&gt;"",
    COUNTIFS(MATCH_INPUT!$F$14:$F$17, AM58, MATCH_INPUT!$K$14:$K$17, "Draw") +
    COUNTIFS(MATCH_INPUT!$J$14:$J$17, AM58, MATCH_INPUT!$K$14:$K$17, "Draw"),
0)</f>
        <v>0</v>
      </c>
      <c r="AS58" s="28">
        <f>IF(AM58&lt;&gt;"",
    COUNTIFS(MATCH_INPUT!$F$14:$F$17, AM58, MATCH_INPUT!$K$14:$K$17, "&lt;&gt;"&amp;AM58, MATCH_INPUT!$K$14:$K$17, "&lt;&gt;Draw", MATCH_INPUT!$K$14:$K$17, "&lt;&gt;""") +
    COUNTIFS(MATCH_INPUT!$J$14:$J$17, AM58, MATCH_INPUT!$K$14:$K$17, "&lt;&gt;"&amp;AM58, MATCH_INPUT!$K$14:$K$17, "&lt;&gt;Draw", MATCH_INPUT!$K$14:$K$17, "&lt;&gt;"""),
0)</f>
        <v>0</v>
      </c>
      <c r="AT58" s="29" t="str">
        <f t="array" ref="AT58">IFERROR(
  INDEX(PLAYER_STAT!E$2:E64, 
    MATCH(1, 
      (PLAYER_STAT!A$2:A64 = MATCH_DATES!$A$5) * (PLAYER_STAT!D$2:D64 = $B58), 
    0)
  ), 
  ""
)
</f>
        <v/>
      </c>
      <c r="AU58" s="29" t="str">
        <f t="array" ref="AU58">IFERROR(
  INDEX(PLAYER_STAT!F$2:F64, 
    MATCH(1, 
      (PLAYER_STAT!A$2:A64 = MATCH_DATES!$A$5) * (PLAYER_STAT!D$2:D64 = $B58), 
    0)
  ), 
  ""
)
</f>
        <v/>
      </c>
      <c r="AV58" s="30" t="str">
        <f t="array" ref="AV58">IFERROR(
  INDEX(PLAYER_STAT!G$2:G64, 
    MATCH(1, 
      (PLAYER_STAT!A$2:A64 = MATCH_DATES!$A$5) * (PLAYER_STAT!D$2:D64 = $B58), 
    0)
  ), 
  ""
)
</f>
        <v/>
      </c>
      <c r="AW58" s="31">
        <f t="shared" si="154"/>
        <v>10</v>
      </c>
      <c r="AX58" s="32" t="str">
        <f t="shared" si="23"/>
        <v>↓</v>
      </c>
      <c r="AY58" s="42"/>
      <c r="AZ58" s="33">
        <f t="shared" si="24"/>
        <v>0</v>
      </c>
      <c r="BA58" s="22">
        <f t="shared" si="25"/>
        <v>0</v>
      </c>
      <c r="BB58" s="22">
        <f>SUM(BC58*2) + (BD58*1) + SUMIFS(MATCH_INPUT!$G$18:$G$21, MATCH_INPUT!$F$18:$F$21, AY58) + SUMIFS(MATCH_INPUT!$I$18:$I$21, MATCH_INPUT!$J$18:$J$21, AY58)
</f>
        <v>0</v>
      </c>
      <c r="BC58" s="22">
        <f>IF(AY58&lt;&gt;"",
    COUNTIFS(MATCH_INPUT!$K$18:$K$21,AY58),
0)</f>
        <v>0</v>
      </c>
      <c r="BD58" s="22">
        <f>IF(AY58&lt;&gt;"",
    COUNTIFS(MATCH_INPUT!$F$18:$F$21, AY58, MATCH_INPUT!$K$18:$K$21, "Draw") +
    COUNTIFS(MATCH_INPUT!$J$18:$J$21, AY58, MATCH_INPUT!$K$18:$K$21, "Draw"),
0)</f>
        <v>0</v>
      </c>
      <c r="BE58" s="22">
        <f>IF(AY58&lt;&gt;"",
    COUNTIFS(MATCH_INPUT!$F$18:$F$21, AY58, MATCH_INPUT!$K$18:$K$21, "&lt;&gt;"&amp;AY58, MATCH_INPUT!$K$18:$K$21, "&lt;&gt;Draw", MATCH_INPUT!$K$18:$K$21, "&lt;&gt;""") +
    COUNTIFS(MATCH_INPUT!$J$18:$J$21, AY58, MATCH_INPUT!$K$18:$K$21, "&lt;&gt;"&amp;AY58, MATCH_INPUT!$K$18:$K$21, "&lt;&gt;Draw", MATCH_INPUT!$K$18:$K$21, "&lt;&gt;"""),
0)</f>
        <v>0</v>
      </c>
      <c r="BF58" s="23" t="str">
        <f t="array" ref="BF58">IFERROR(
  INDEX(PLAYER_STAT!E$2:E64, 
    MATCH(1, 
      (PLAYER_STAT!A$2:A64 = MATCH_DATES!$A$6) * (PLAYER_STAT!D$2:D64 = $B58), 
    0)
  ), 
  ""
)
</f>
        <v/>
      </c>
      <c r="BG58" s="23" t="str">
        <f t="array" ref="BG58">IFERROR(
  INDEX(PLAYER_STAT!F$2:F64, 
    MATCH(1, 
      (PLAYER_STAT!A$2:A64 = MATCH_DATES!$A$6) * (PLAYER_STAT!D$2:D64 = $B58), 
    0)
  ), 
  ""
)
</f>
        <v/>
      </c>
      <c r="BH58" s="34" t="str">
        <f t="array" ref="BH58">IFERROR(
  INDEX(PLAYER_STAT!G$2:G64, 
    MATCH(1, 
      (PLAYER_STAT!A$2:A64 = MATCH_DATES!$A$6) * (PLAYER_STAT!D$2:D64 = $B58), 
    0)
  ), 
  ""
)
</f>
        <v/>
      </c>
      <c r="BI58" s="25">
        <f t="shared" si="155"/>
        <v>12</v>
      </c>
      <c r="BJ58" s="26" t="str">
        <f t="shared" si="27"/>
        <v>↓</v>
      </c>
      <c r="BK58" s="43"/>
      <c r="BL58" s="28">
        <f t="shared" si="28"/>
        <v>0</v>
      </c>
      <c r="BM58" s="28">
        <f t="shared" si="29"/>
        <v>0</v>
      </c>
      <c r="BN58" s="28">
        <f>SUM(BO58*2) + (BP58*1) + SUMIFS(MATCH_INPUT!$G$22:$G$25, MATCH_INPUT!$F$22:$F$25, BK58) + SUMIFS(MATCH_INPUT!$I$22:$I$25, MATCH_INPUT!$J$22:$J$25, BK58)
</f>
        <v>0</v>
      </c>
      <c r="BO58" s="28">
        <f>IF(BK58&lt;&gt;"",
    COUNTIFS(MATCH_INPUT!$K$22:$K$25,BK58),
0)</f>
        <v>0</v>
      </c>
      <c r="BP58" s="28">
        <f>IF(BK58&lt;&gt;"",
    COUNTIFS(MATCH_INPUT!$F$22:$F$25, BK58, MATCH_INPUT!$K$22:$K$25, "Draw") +
    COUNTIFS(MATCH_INPUT!$J$22:$J$25, BK58, MATCH_INPUT!$K$22:$K$25, "Draw"),
0)</f>
        <v>0</v>
      </c>
      <c r="BQ58" s="28">
        <f>IF(BK58&lt;&gt;"",
    COUNTIFS(MATCH_INPUT!$F$22:$F$25, BK58, MATCH_INPUT!$K$22:$K$25, "&lt;&gt;"&amp;BK58, MATCH_INPUT!$K$22:$K$25, "&lt;&gt;Draw", MATCH_INPUT!$K$22:$K$25, "&lt;&gt;""") +
    COUNTIFS(MATCH_INPUT!$J$22:$J$25, BK58, MATCH_INPUT!$K$22:$K$25, "&lt;&gt;"&amp;BK58, MATCH_INPUT!$K$22:$K$25, "&lt;&gt;Draw", MATCH_INPUT!$K$22:$K$25, "&lt;&gt;"""),
0)</f>
        <v>0</v>
      </c>
      <c r="BR58" s="29" t="str">
        <f t="array" ref="BR58">IFERROR(
  INDEX(PLAYER_STAT!E$2:E64, 
    MATCH(1, 
      (PLAYER_STAT!A$2:A64 = MATCH_DATES!$A$7) * (PLAYER_STAT!D$2:D64 = $B58), 
    0)
  ), 
  ""
)
</f>
        <v/>
      </c>
      <c r="BS58" s="29" t="str">
        <f t="array" ref="BS58">IFERROR(
  INDEX(PLAYER_STAT!F$2:F64, 
    MATCH(1, 
      (PLAYER_STAT!A$2:A64 = MATCH_DATES!$A$7) * (PLAYER_STAT!D$2:D64 = $B58), 
    0)
  ), 
  ""
)
</f>
        <v/>
      </c>
      <c r="BT58" s="30" t="str">
        <f t="array" ref="BT58">IFERROR(
  INDEX(PLAYER_STAT!G$2:G64, 
    MATCH(1, 
      (PLAYER_STAT!A$2:A64 = MATCH_DATES!$A$7) * (PLAYER_STAT!D$2:D64 = $B58), 
    0)
  ), 
  ""
)
</f>
        <v/>
      </c>
      <c r="BU58" s="31">
        <f t="shared" si="156"/>
        <v>12</v>
      </c>
      <c r="BV58" s="32" t="str">
        <f t="shared" si="31"/>
        <v>=</v>
      </c>
      <c r="BW58" s="42"/>
      <c r="BX58" s="33">
        <f t="shared" si="32"/>
        <v>0</v>
      </c>
      <c r="BY58" s="22">
        <f t="shared" si="33"/>
        <v>0</v>
      </c>
      <c r="BZ58" s="22">
        <f>SUM(CA58*2)+(CB58*1) + SUMIFS(MATCH_INPUT!$G$26:$G$29, MATCH_INPUT!$F$26:$F$29, BW58) + SUMIFS(MATCH_INPUT!$I$26:$I$29, MATCH_INPUT!$J$26:$J$29, BW58)
</f>
        <v>0</v>
      </c>
      <c r="CA58" s="22">
        <f>IF(BW58&lt;&gt;"",
    COUNTIFS(MATCH_INPUT!$K$26:$K$29,BW58),
0)</f>
        <v>0</v>
      </c>
      <c r="CB58" s="22">
        <f>IF(BW58&lt;&gt;"",
    COUNTIFS(MATCH_INPUT!$F$26:$F$29, BW58, MATCH_INPUT!$K$26:$K$29, "Draw") +
    COUNTIFS(MATCH_INPUT!$J$26:$J$29, BW58, MATCH_INPUT!$K$26:$K$29, "Draw"),
0)</f>
        <v>0</v>
      </c>
      <c r="CC58" s="22">
        <f>IF(BW58&lt;&gt;"",
    COUNTIFS(MATCH_INPUT!$F$26:$F$29, BW58, MATCH_INPUT!$K$26:$K$29, "&lt;&gt;"&amp;BW58, MATCH_INPUT!$K$26:$K$29, "&lt;&gt;Draw", MATCH_INPUT!$K$26:$K$29, "&lt;&gt;""") +
    COUNTIFS(MATCH_INPUT!$J$26:$J$29, BW58, MATCH_INPUT!$K$26:$K$29, "&lt;&gt;"&amp;BW58, MATCH_INPUT!$K$26:$K$29, "&lt;&gt;Draw", MATCH_INPUT!$K$26:$K$29, "&lt;&gt;"""),
0)</f>
        <v>0</v>
      </c>
      <c r="CD58" s="23" t="str">
        <f t="array" ref="CD58">IFERROR(
  INDEX(PLAYER_STAT!E$2:E64, 
    MATCH(1, 
      (PLAYER_STAT!A$2:A64 = MATCH_DATES!$A$8) * (PLAYER_STAT!D$2:D64 = $B58), 
    0)
  ), 
  ""
)
</f>
        <v/>
      </c>
      <c r="CE58" s="23" t="str">
        <f t="array" ref="CE58">IFERROR(
  INDEX(PLAYER_STAT!F$2:F64, 
    MATCH(1, 
      (PLAYER_STAT!A$2:A64 = MATCH_DATES!$A$8) * (PLAYER_STAT!D$2:D64 = $B58), 
    0)
  ), 
  ""
)
</f>
        <v/>
      </c>
      <c r="CF58" s="34" t="str">
        <f t="array" ref="CF58">IFERROR(
  INDEX(PLAYER_STAT!G$2:G64, 
    MATCH(1, 
      (PLAYER_STAT!A$2:A64 = MATCH_DATES!$A$8) * (PLAYER_STAT!D$2:D64 = $B58), 
    0)
  ), 
  ""
)
</f>
        <v/>
      </c>
      <c r="CG58" s="25">
        <f t="shared" si="157"/>
        <v>14</v>
      </c>
      <c r="CH58" s="26" t="str">
        <f t="shared" si="35"/>
        <v>↓</v>
      </c>
      <c r="CI58" s="43"/>
      <c r="CJ58" s="44">
        <f t="shared" si="36"/>
        <v>0</v>
      </c>
      <c r="CK58" s="28">
        <f t="shared" si="37"/>
        <v>0</v>
      </c>
      <c r="CL58" s="28">
        <f>SUM(CM58*2)+(CN58*1) + SUMIFS(MATCH_INPUT!$G$30:$G$33, MATCH_INPUT!$F$30:$F$33, CI58) + SUMIFS(MATCH_INPUT!$I$30:$I$33, MATCH_INPUT!$J$30:$J$33, CI58)
</f>
        <v>0</v>
      </c>
      <c r="CM58" s="28">
        <f>IF(CI58&lt;&gt;"",
    COUNTIFS(MATCH_INPUT!$K$30:$K$33,CI58),
0)</f>
        <v>0</v>
      </c>
      <c r="CN58" s="28">
        <f>IF(CI58&lt;&gt;"",
    COUNTIFS(MATCH_INPUT!$F$30:$F$33, CI58, MATCH_INPUT!$K$30:$K$33, "Draw") +
    COUNTIFS(MATCH_INPUT!$J$30:$J$33, CI58, MATCH_INPUT!$K$30:$K$33, "Draw"),
0)</f>
        <v>0</v>
      </c>
      <c r="CO58" s="28">
        <f>IF(CI58&lt;&gt;"",
    COUNTIFS(MATCH_INPUT!$F$30:$F$33, CI58, MATCH_INPUT!$K$30:$K$33, "&lt;&gt;"&amp;CI58, MATCH_INPUT!$K$30:$K$33, "&lt;&gt;Draw", MATCH_INPUT!$K$30:$K$33, "&lt;&gt;""") +
    COUNTIFS(MATCH_INPUT!$J$30:$J$33, CI58, MATCH_INPUT!$K$30:$K$33, "&lt;&gt;"&amp;CI58, MATCH_INPUT!$K$30:$K$33, "&lt;&gt;Draw", MATCH_INPUT!$K$30:$K$33, "&lt;&gt;"""),
0)</f>
        <v>0</v>
      </c>
      <c r="CP58" s="29" t="str">
        <f t="array" ref="CP58">IFERROR(
  INDEX(PLAYER_STAT!E$2:E64, 
    MATCH(1, 
      (PLAYER_STAT!A$2:A64 = MATCH_DATES!$A$9) * (PLAYER_STAT!D$2:D64 = $B58), 
    0)
  ), 
  ""
)
</f>
        <v/>
      </c>
      <c r="CQ58" s="29" t="str">
        <f t="array" ref="CQ58">IFERROR(
  INDEX(PLAYER_STAT!F$2:F64, 
    MATCH(1, 
      (PLAYER_STAT!A$2:A64 = MATCH_DATES!$A$9) * (PLAYER_STAT!D$2:D64 = $B58), 
    0)
  ), 
  ""
)
</f>
        <v/>
      </c>
      <c r="CR58" s="30" t="str">
        <f t="array" ref="CR58">IFERROR(
  INDEX(PLAYER_STAT!G$2:G64, 
    MATCH(1, 
      (PLAYER_STAT!A$2:A64 = MATCH_DATES!$A$9) * (PLAYER_STAT!D$2:D64 = $B58), 
    0)
  ), 
  ""
)
</f>
        <v/>
      </c>
      <c r="CS58" s="35">
        <f t="shared" si="158"/>
        <v>14</v>
      </c>
      <c r="CT58" s="35" t="str">
        <f t="shared" si="39"/>
        <v>=</v>
      </c>
      <c r="CU58" s="37">
        <f t="shared" si="40"/>
        <v>0</v>
      </c>
      <c r="CV58" s="37" t="str">
        <f t="shared" ref="CV58:CW58" si="213">A58</f>
        <v/>
      </c>
      <c r="CW58" s="37" t="str">
        <f t="shared" si="213"/>
        <v/>
      </c>
      <c r="CX58" s="37">
        <f t="shared" si="42"/>
        <v>0</v>
      </c>
      <c r="CY58" s="37">
        <f>SUM(
  IF(AND(MATCH_DATES!$A$2 &lt;= TODAY(), NOW() &gt;= MATCH_DATES!$A$2 + TIME(22, 0, 0)), E58, 0),
  IF(AND(MATCH_DATES!$A$3 &lt;= TODAY(), NOW() &gt;= MATCH_DATES!$A$3 + TIME(22, 0, 0)), Q58, 0),
  IF(AND(MATCH_DATES!$A$4 &lt;= TODAY(), NOW() &gt;= MATCH_DATES!$A$4 + TIME(22, 0, 0)), AC58, 0),
  IF(AND(MATCH_DATES!$A$5 &lt;= TODAY(), NOW() &gt;= MATCH_DATES!$A$5 + TIME(22, 0, 0)), AO58, 0),
  IF(AND(MATCH_DATES!$A$6 &lt;= TODAY(), NOW() &gt;= MATCH_DATES!$A$6 + TIME(22, 0, 0)), BA58, 0),
  IF(AND(MATCH_DATES!$A$7 &lt;= TODAY(), NOW() &gt;= MATCH_DATES!$A$7 + TIME(22, 0, 0)), BM58, 0),
  IF(AND(MATCH_DATES!$A$8 &lt;= TODAY(), NOW() &gt;= MATCH_DATES!$A$8 + TIME(22, 0, 0)), BY58, 0),
  IF(AND(MATCH_DATES!$A$9 &lt;= TODAY(), NOW() &gt;= MATCH_DATES!$A$9 + TIME(22, 0, 0)), CK58, 0)
)
</f>
        <v>0</v>
      </c>
      <c r="CZ58" s="37">
        <f t="shared" ref="CZ58:DA58" si="214">SUM(G58,S58,AE58,AQ58,BC58,BO58,CA58,CM58)</f>
        <v>0</v>
      </c>
      <c r="DA58" s="37">
        <f t="shared" si="214"/>
        <v>0</v>
      </c>
      <c r="DB58" s="37">
        <f>SUM(
  IF(AND(MATCH_DATES!$A$2 &lt;= TODAY(), NOW() &gt;= MATCH_DATES!$A$2 + TIME(22, 0, 0)), I58, 0),
  IF(AND(MATCH_DATES!$A$3 &lt;= TODAY(), NOW() &gt;= MATCH_DATES!$A$3 + TIME(22, 0, 0)), U58, 0),
  IF(AND(MATCH_DATES!$A$4 &lt;= TODAY(), NOW() &gt;= MATCH_DATES!$A$4 + TIME(22, 0, 0)), AG58, 0),
  IF(AND(MATCH_DATES!$A$5 &lt;= TODAY(), NOW() &gt;= MATCH_DATES!$A$5 + TIME(22, 0, 0)), AS58, 0),
  IF(AND(MATCH_DATES!$A$6 &lt;= TODAY(), NOW() &gt;= MATCH_DATES!$A$6 + TIME(22, 0, 0)), BE58, 0),
  IF(AND(MATCH_DATES!$A$7 &lt;= TODAY(), NOW() &gt;= MATCH_DATES!$A$7 + TIME(22, 0, 0)), BQ58, 0),
  IF(AND(MATCH_DATES!$A$8 &lt;= TODAY(), NOW() &gt;= MATCH_DATES!$A$8 + TIME(22, 0, 0)), CC58, 0),
  IF(AND(MATCH_DATES!$A$9 &lt;= TODAY(), NOW() &gt;= MATCH_DATES!$A$9 + TIME(22, 0, 0)), CO58, 0)
)</f>
        <v>0</v>
      </c>
      <c r="DC58" s="37">
        <f t="shared" si="44"/>
        <v>0</v>
      </c>
      <c r="DD58" s="37">
        <f t="shared" ref="DD58:DE58" si="215">SUM(K58,W58,AI58,AU58,BG58,BS58,CE58,CQ58)</f>
        <v>0</v>
      </c>
      <c r="DE58" s="37">
        <f t="shared" si="215"/>
        <v>0</v>
      </c>
    </row>
    <row r="59" ht="24.75" customHeight="1">
      <c r="A59" s="19"/>
      <c r="B59" s="19"/>
      <c r="C59" s="42"/>
      <c r="D59" s="22">
        <f t="shared" si="4"/>
        <v>0</v>
      </c>
      <c r="E59" s="22">
        <f t="shared" si="5"/>
        <v>0</v>
      </c>
      <c r="F59" s="22">
        <f t="shared" si="6"/>
        <v>0</v>
      </c>
      <c r="G59" s="22">
        <f>IF(C59&lt;&gt;"",
    COUNTIFS(MATCH_INPUT!$K$2:$K$5,C59),
0)</f>
        <v>0</v>
      </c>
      <c r="H59" s="22">
        <f>IF(C59&lt;&gt;"",
    COUNTIFS(MATCH_INPUT!$F$2:$F$5, C59, MATCH_INPUT!$K$2:$K$5, "Draw") +
    COUNTIFS(MATCH_INPUT!$J$2:$J$5, C59, MATCH_INPUT!$K$2:$K$5, "Draw"),
0)</f>
        <v>0</v>
      </c>
      <c r="I59" s="22">
        <f>IF(C59&lt;&gt;"",
    COUNTIFS(MATCH_INPUT!$F$2:$F$5, C59, MATCH_INPUT!$K$2:$K$5, "&lt;&gt;"&amp;C59, MATCH_INPUT!$K$2:$K$5, "&lt;&gt;Draw", MATCH_INPUT!$K$2:$K$5, "&lt;&gt;""") +
    COUNTIFS(MATCH_INPUT!$J$2:$J$5, C59, MATCH_INPUT!$K$2:$K$5, "&lt;&gt;"&amp;C59, MATCH_INPUT!$K$2:$K$5, "&lt;&gt;Draw", MATCH_INPUT!$K$2:$K$5, "&lt;&gt;"""),
0)</f>
        <v>0</v>
      </c>
      <c r="J59" s="23" t="str">
        <f t="array" ref="J59">IFERROR(
  INDEX(PLAYER_STAT!E$2:E64, 
    MATCH(1, 
      (PLAYER_STAT!A$2:A64 = MATCH_DATES!$A$2) * (PLAYER_STAT!D$2:D64 = $B59), 
    0)
  ), 
  ""
)
</f>
        <v/>
      </c>
      <c r="K59" s="23" t="str">
        <f t="array" ref="K59">IFERROR(
  INDEX(PLAYER_STAT!F$2:F64, 
    MATCH(1, 
      (PLAYER_STAT!A$2:A64 = MATCH_DATES!$A$2) * (PLAYER_STAT!D$2:D64 = $B59), 
    0)
  ), 
  ""
)
</f>
        <v/>
      </c>
      <c r="L59" s="24" t="str">
        <f t="array" ref="L59">IFERROR(
  INDEX(PLAYER_STAT!G$2:G64, 
    MATCH(1, 
      (PLAYER_STAT!A$2:A64 = MATCH_DATES!$A$2) * (PLAYER_STAT!D$2:D64 = $B59), 
    0)
  ), 
  ""
)
</f>
        <v/>
      </c>
      <c r="M59" s="25">
        <f t="shared" si="151"/>
        <v>6</v>
      </c>
      <c r="N59" s="26" t="str">
        <f t="shared" si="8"/>
        <v>↓</v>
      </c>
      <c r="O59" s="43"/>
      <c r="P59" s="28">
        <f t="shared" si="9"/>
        <v>0</v>
      </c>
      <c r="Q59" s="28">
        <f t="shared" si="10"/>
        <v>0</v>
      </c>
      <c r="R59" s="28">
        <f t="shared" si="11"/>
        <v>0</v>
      </c>
      <c r="S59" s="28">
        <f>IF(O59&lt;&gt;"",
    COUNTIFS(MATCH_INPUT!$K$6:$K$9,O59),
0)</f>
        <v>0</v>
      </c>
      <c r="T59" s="28">
        <f>IF(O59&lt;&gt;"",
    COUNTIFS(MATCH_INPUT!$F$6:$F$9, O59, MATCH_INPUT!$K$6:$K$9, "Draw") +
    COUNTIFS(MATCH_INPUT!$J$6:$J$9, O59, MATCH_INPUT!$K$6:$K$9, "Draw"),
0)</f>
        <v>0</v>
      </c>
      <c r="U59" s="28">
        <f>IF(O59&lt;&gt;"",
    COUNTIFS(MATCH_INPUT!$F$6:$F$9, O59, MATCH_INPUT!$K$6:$K$9, "&lt;&gt;"&amp;O59, MATCH_INPUT!$K$6:$K$9, "&lt;&gt;Draw", MATCH_INPUT!$K$6:$K$9, "&lt;&gt;""") +
    COUNTIFS(MATCH_INPUT!$J$6:$J$9, O59, MATCH_INPUT!$K$6:$K$9, "&lt;&gt;"&amp;O59, MATCH_INPUT!$K$6:$K$9, "&lt;&gt;Draw", MATCH_INPUT!$K$6:$K$9, "&lt;&gt;"""),
0)</f>
        <v>0</v>
      </c>
      <c r="V59" s="29" t="str">
        <f t="array" ref="V59">IFERROR(
  INDEX(PLAYER_STAT!E$2:E64, 
    MATCH(1, 
      (PLAYER_STAT!A$2:A64 = MATCH_DATES!$A$3) * (PLAYER_STAT!D$2:D64 = $B59), 
    0)
  ), 
  ""
)
</f>
        <v/>
      </c>
      <c r="W59" s="29" t="str">
        <f t="array" ref="W59">IFERROR(
  INDEX(PLAYER_STAT!F$2:F64, 
    MATCH(1, 
      (PLAYER_STAT!A$2:A64 = MATCH_DATES!$A$3) * (PLAYER_STAT!D$2:D64 = $B59), 
    0)
  ), 
  ""
)
</f>
        <v/>
      </c>
      <c r="X59" s="30" t="str">
        <f t="array" ref="X59">IFERROR(
  INDEX(PLAYER_STAT!G$2:G64, 
    MATCH(1, 
      (PLAYER_STAT!A$2:A64 = MATCH_DATES!$A$3) * (PLAYER_STAT!D$2:D64 = $B59), 
    0)
  ), 
  ""
)
</f>
        <v/>
      </c>
      <c r="Y59" s="31">
        <f t="shared" si="152"/>
        <v>7</v>
      </c>
      <c r="Z59" s="32" t="str">
        <f t="shared" si="13"/>
        <v>↓</v>
      </c>
      <c r="AA59" s="42"/>
      <c r="AB59" s="33">
        <f t="shared" si="14"/>
        <v>0</v>
      </c>
      <c r="AC59" s="22">
        <f t="shared" si="15"/>
        <v>0</v>
      </c>
      <c r="AD59" s="22">
        <f t="shared" si="16"/>
        <v>0</v>
      </c>
      <c r="AE59" s="22">
        <f>IF(AA59&lt;&gt;"",
    COUNTIFS(MATCH_INPUT!$K$10:$K$13,AA59),
0)</f>
        <v>0</v>
      </c>
      <c r="AF59" s="22">
        <f>IF(AA59&lt;&gt;"",
    COUNTIFS(MATCH_INPUT!$F$10:$F$13, AA59, MATCH_INPUT!$K$10:$K$13, "Draw") +
    COUNTIFS(MATCH_INPUT!$J$10:$J$13, AA59, MATCH_INPUT!$K$10:$K$13, "Draw"),
0)</f>
        <v>0</v>
      </c>
      <c r="AG59" s="22">
        <f>IF(AA59&lt;&gt;"",
    COUNTIFS(MATCH_INPUT!$F$10:$F$13, AA59, MATCH_INPUT!$K$10:$K$13, "&lt;&gt;"&amp;AA59, MATCH_INPUT!$K$10:$K$13, "&lt;&gt;Draw", MATCH_INPUT!$K$10:$K$13, "&lt;&gt;""") +
    COUNTIFS(MATCH_INPUT!$J$10:$J$13, AA59, MATCH_INPUT!$K$10:$K$13, "&lt;&gt;"&amp;AA59, MATCH_INPUT!$K$10:$K$13, "&lt;&gt;Draw", MATCH_INPUT!$K$10:$K$13, "&lt;&gt;"""),
0)</f>
        <v>0</v>
      </c>
      <c r="AH59" s="23" t="str">
        <f t="array" ref="AH59">IFERROR(
  INDEX(PLAYER_STAT!E$2:E64, 
    MATCH(1, 
      (PLAYER_STAT!A$2:A64 = MATCH_DATES!$A$4) * (PLAYER_STAT!D$2:D64 = $B59), 
    0)
  ), 
  ""
)
</f>
        <v/>
      </c>
      <c r="AI59" s="23" t="str">
        <f t="array" ref="AI59">IFERROR(
  INDEX(PLAYER_STAT!F$2:F64, 
    MATCH(1, 
      (PLAYER_STAT!A$2:A64 = MATCH_DATES!$A$4) * (PLAYER_STAT!D$2:D64 = $B59), 
    0)
  ), 
  ""
)
</f>
        <v/>
      </c>
      <c r="AJ59" s="34" t="str">
        <f t="array" ref="AJ59">IFERROR(
  INDEX(PLAYER_STAT!G$2:G64, 
    MATCH(1, 
      (PLAYER_STAT!A$2:A64 = MATCH_DATES!$A$4) * (PLAYER_STAT!D$2:D64 = $B59), 
    0)
  ), 
  ""
)
</f>
        <v/>
      </c>
      <c r="AK59" s="25">
        <f t="shared" si="153"/>
        <v>7</v>
      </c>
      <c r="AL59" s="26" t="str">
        <f t="shared" si="18"/>
        <v>=</v>
      </c>
      <c r="AM59" s="43"/>
      <c r="AN59" s="28">
        <f t="shared" si="19"/>
        <v>0</v>
      </c>
      <c r="AO59" s="28">
        <f t="shared" si="20"/>
        <v>0</v>
      </c>
      <c r="AP59" s="28">
        <f t="shared" si="21"/>
        <v>0</v>
      </c>
      <c r="AQ59" s="28">
        <f>IF(AM59&lt;&gt;"",
    COUNTIFS(MATCH_INPUT!$K$14:$K$17,AM59),
0)</f>
        <v>0</v>
      </c>
      <c r="AR59" s="28">
        <f>IF(AM59&lt;&gt;"",
    COUNTIFS(MATCH_INPUT!$F$14:$F$17, AM59, MATCH_INPUT!$K$14:$K$17, "Draw") +
    COUNTIFS(MATCH_INPUT!$J$14:$J$17, AM59, MATCH_INPUT!$K$14:$K$17, "Draw"),
0)</f>
        <v>0</v>
      </c>
      <c r="AS59" s="28">
        <f>IF(AM59&lt;&gt;"",
    COUNTIFS(MATCH_INPUT!$F$14:$F$17, AM59, MATCH_INPUT!$K$14:$K$17, "&lt;&gt;"&amp;AM59, MATCH_INPUT!$K$14:$K$17, "&lt;&gt;Draw", MATCH_INPUT!$K$14:$K$17, "&lt;&gt;""") +
    COUNTIFS(MATCH_INPUT!$J$14:$J$17, AM59, MATCH_INPUT!$K$14:$K$17, "&lt;&gt;"&amp;AM59, MATCH_INPUT!$K$14:$K$17, "&lt;&gt;Draw", MATCH_INPUT!$K$14:$K$17, "&lt;&gt;"""),
0)</f>
        <v>0</v>
      </c>
      <c r="AT59" s="29" t="str">
        <f t="array" ref="AT59">IFERROR(
  INDEX(PLAYER_STAT!E$2:E64, 
    MATCH(1, 
      (PLAYER_STAT!A$2:A64 = MATCH_DATES!$A$5) * (PLAYER_STAT!D$2:D64 = $B59), 
    0)
  ), 
  ""
)
</f>
        <v/>
      </c>
      <c r="AU59" s="29" t="str">
        <f t="array" ref="AU59">IFERROR(
  INDEX(PLAYER_STAT!F$2:F64, 
    MATCH(1, 
      (PLAYER_STAT!A$2:A64 = MATCH_DATES!$A$5) * (PLAYER_STAT!D$2:D64 = $B59), 
    0)
  ), 
  ""
)
</f>
        <v/>
      </c>
      <c r="AV59" s="30" t="str">
        <f t="array" ref="AV59">IFERROR(
  INDEX(PLAYER_STAT!G$2:G64, 
    MATCH(1, 
      (PLAYER_STAT!A$2:A64 = MATCH_DATES!$A$5) * (PLAYER_STAT!D$2:D64 = $B59), 
    0)
  ), 
  ""
)
</f>
        <v/>
      </c>
      <c r="AW59" s="31">
        <f t="shared" si="154"/>
        <v>10</v>
      </c>
      <c r="AX59" s="32" t="str">
        <f t="shared" si="23"/>
        <v>↓</v>
      </c>
      <c r="AY59" s="42"/>
      <c r="AZ59" s="33">
        <f t="shared" si="24"/>
        <v>0</v>
      </c>
      <c r="BA59" s="22">
        <f t="shared" si="25"/>
        <v>0</v>
      </c>
      <c r="BB59" s="22">
        <f>SUM(BC59*2) + (BD59*1) + SUMIFS(MATCH_INPUT!$G$18:$G$21, MATCH_INPUT!$F$18:$F$21, AY59) + SUMIFS(MATCH_INPUT!$I$18:$I$21, MATCH_INPUT!$J$18:$J$21, AY59)
</f>
        <v>0</v>
      </c>
      <c r="BC59" s="22">
        <f>IF(AY59&lt;&gt;"",
    COUNTIFS(MATCH_INPUT!$K$18:$K$21,AY59),
0)</f>
        <v>0</v>
      </c>
      <c r="BD59" s="22">
        <f>IF(AY59&lt;&gt;"",
    COUNTIFS(MATCH_INPUT!$F$18:$F$21, AY59, MATCH_INPUT!$K$18:$K$21, "Draw") +
    COUNTIFS(MATCH_INPUT!$J$18:$J$21, AY59, MATCH_INPUT!$K$18:$K$21, "Draw"),
0)</f>
        <v>0</v>
      </c>
      <c r="BE59" s="22">
        <f>IF(AY59&lt;&gt;"",
    COUNTIFS(MATCH_INPUT!$F$18:$F$21, AY59, MATCH_INPUT!$K$18:$K$21, "&lt;&gt;"&amp;AY59, MATCH_INPUT!$K$18:$K$21, "&lt;&gt;Draw", MATCH_INPUT!$K$18:$K$21, "&lt;&gt;""") +
    COUNTIFS(MATCH_INPUT!$J$18:$J$21, AY59, MATCH_INPUT!$K$18:$K$21, "&lt;&gt;"&amp;AY59, MATCH_INPUT!$K$18:$K$21, "&lt;&gt;Draw", MATCH_INPUT!$K$18:$K$21, "&lt;&gt;"""),
0)</f>
        <v>0</v>
      </c>
      <c r="BF59" s="23" t="str">
        <f t="array" ref="BF59">IFERROR(
  INDEX(PLAYER_STAT!E$2:E64, 
    MATCH(1, 
      (PLAYER_STAT!A$2:A64 = MATCH_DATES!$A$6) * (PLAYER_STAT!D$2:D64 = $B59), 
    0)
  ), 
  ""
)
</f>
        <v/>
      </c>
      <c r="BG59" s="23" t="str">
        <f t="array" ref="BG59">IFERROR(
  INDEX(PLAYER_STAT!F$2:F64, 
    MATCH(1, 
      (PLAYER_STAT!A$2:A64 = MATCH_DATES!$A$6) * (PLAYER_STAT!D$2:D64 = $B59), 
    0)
  ), 
  ""
)
</f>
        <v/>
      </c>
      <c r="BH59" s="34" t="str">
        <f t="array" ref="BH59">IFERROR(
  INDEX(PLAYER_STAT!G$2:G64, 
    MATCH(1, 
      (PLAYER_STAT!A$2:A64 = MATCH_DATES!$A$6) * (PLAYER_STAT!D$2:D64 = $B59), 
    0)
  ), 
  ""
)
</f>
        <v/>
      </c>
      <c r="BI59" s="25">
        <f t="shared" si="155"/>
        <v>12</v>
      </c>
      <c r="BJ59" s="26" t="str">
        <f t="shared" si="27"/>
        <v>↓</v>
      </c>
      <c r="BK59" s="43"/>
      <c r="BL59" s="28">
        <f t="shared" si="28"/>
        <v>0</v>
      </c>
      <c r="BM59" s="28">
        <f t="shared" si="29"/>
        <v>0</v>
      </c>
      <c r="BN59" s="28">
        <f>SUM(BO59*2) + (BP59*1) + SUMIFS(MATCH_INPUT!$G$22:$G$25, MATCH_INPUT!$F$22:$F$25, BK59) + SUMIFS(MATCH_INPUT!$I$22:$I$25, MATCH_INPUT!$J$22:$J$25, BK59)
</f>
        <v>0</v>
      </c>
      <c r="BO59" s="28">
        <f>IF(BK59&lt;&gt;"",
    COUNTIFS(MATCH_INPUT!$K$22:$K$25,BK59),
0)</f>
        <v>0</v>
      </c>
      <c r="BP59" s="28">
        <f>IF(BK59&lt;&gt;"",
    COUNTIFS(MATCH_INPUT!$F$22:$F$25, BK59, MATCH_INPUT!$K$22:$K$25, "Draw") +
    COUNTIFS(MATCH_INPUT!$J$22:$J$25, BK59, MATCH_INPUT!$K$22:$K$25, "Draw"),
0)</f>
        <v>0</v>
      </c>
      <c r="BQ59" s="28">
        <f>IF(BK59&lt;&gt;"",
    COUNTIFS(MATCH_INPUT!$F$22:$F$25, BK59, MATCH_INPUT!$K$22:$K$25, "&lt;&gt;"&amp;BK59, MATCH_INPUT!$K$22:$K$25, "&lt;&gt;Draw", MATCH_INPUT!$K$22:$K$25, "&lt;&gt;""") +
    COUNTIFS(MATCH_INPUT!$J$22:$J$25, BK59, MATCH_INPUT!$K$22:$K$25, "&lt;&gt;"&amp;BK59, MATCH_INPUT!$K$22:$K$25, "&lt;&gt;Draw", MATCH_INPUT!$K$22:$K$25, "&lt;&gt;"""),
0)</f>
        <v>0</v>
      </c>
      <c r="BR59" s="29" t="str">
        <f t="array" ref="BR59">IFERROR(
  INDEX(PLAYER_STAT!E$2:E64, 
    MATCH(1, 
      (PLAYER_STAT!A$2:A64 = MATCH_DATES!$A$7) * (PLAYER_STAT!D$2:D64 = $B59), 
    0)
  ), 
  ""
)
</f>
        <v/>
      </c>
      <c r="BS59" s="29" t="str">
        <f t="array" ref="BS59">IFERROR(
  INDEX(PLAYER_STAT!F$2:F64, 
    MATCH(1, 
      (PLAYER_STAT!A$2:A64 = MATCH_DATES!$A$7) * (PLAYER_STAT!D$2:D64 = $B59), 
    0)
  ), 
  ""
)
</f>
        <v/>
      </c>
      <c r="BT59" s="30" t="str">
        <f t="array" ref="BT59">IFERROR(
  INDEX(PLAYER_STAT!G$2:G64, 
    MATCH(1, 
      (PLAYER_STAT!A$2:A64 = MATCH_DATES!$A$7) * (PLAYER_STAT!D$2:D64 = $B59), 
    0)
  ), 
  ""
)
</f>
        <v/>
      </c>
      <c r="BU59" s="31">
        <f t="shared" si="156"/>
        <v>12</v>
      </c>
      <c r="BV59" s="32" t="str">
        <f t="shared" si="31"/>
        <v>=</v>
      </c>
      <c r="BW59" s="42"/>
      <c r="BX59" s="33">
        <f t="shared" si="32"/>
        <v>0</v>
      </c>
      <c r="BY59" s="22">
        <f t="shared" si="33"/>
        <v>0</v>
      </c>
      <c r="BZ59" s="22">
        <f>SUM(CA59*2)+(CB59*1) + SUMIFS(MATCH_INPUT!$G$26:$G$29, MATCH_INPUT!$F$26:$F$29, BW59) + SUMIFS(MATCH_INPUT!$I$26:$I$29, MATCH_INPUT!$J$26:$J$29, BW59)
</f>
        <v>0</v>
      </c>
      <c r="CA59" s="22">
        <f>IF(BW59&lt;&gt;"",
    COUNTIFS(MATCH_INPUT!$K$26:$K$29,BW59),
0)</f>
        <v>0</v>
      </c>
      <c r="CB59" s="22">
        <f>IF(BW59&lt;&gt;"",
    COUNTIFS(MATCH_INPUT!$F$26:$F$29, BW59, MATCH_INPUT!$K$26:$K$29, "Draw") +
    COUNTIFS(MATCH_INPUT!$J$26:$J$29, BW59, MATCH_INPUT!$K$26:$K$29, "Draw"),
0)</f>
        <v>0</v>
      </c>
      <c r="CC59" s="22">
        <f>IF(BW59&lt;&gt;"",
    COUNTIFS(MATCH_INPUT!$F$26:$F$29, BW59, MATCH_INPUT!$K$26:$K$29, "&lt;&gt;"&amp;BW59, MATCH_INPUT!$K$26:$K$29, "&lt;&gt;Draw", MATCH_INPUT!$K$26:$K$29, "&lt;&gt;""") +
    COUNTIFS(MATCH_INPUT!$J$26:$J$29, BW59, MATCH_INPUT!$K$26:$K$29, "&lt;&gt;"&amp;BW59, MATCH_INPUT!$K$26:$K$29, "&lt;&gt;Draw", MATCH_INPUT!$K$26:$K$29, "&lt;&gt;"""),
0)</f>
        <v>0</v>
      </c>
      <c r="CD59" s="23" t="str">
        <f t="array" ref="CD59">IFERROR(
  INDEX(PLAYER_STAT!E$2:E64, 
    MATCH(1, 
      (PLAYER_STAT!A$2:A64 = MATCH_DATES!$A$8) * (PLAYER_STAT!D$2:D64 = $B59), 
    0)
  ), 
  ""
)
</f>
        <v/>
      </c>
      <c r="CE59" s="23" t="str">
        <f t="array" ref="CE59">IFERROR(
  INDEX(PLAYER_STAT!F$2:F64, 
    MATCH(1, 
      (PLAYER_STAT!A$2:A64 = MATCH_DATES!$A$8) * (PLAYER_STAT!D$2:D64 = $B59), 
    0)
  ), 
  ""
)
</f>
        <v/>
      </c>
      <c r="CF59" s="34" t="str">
        <f t="array" ref="CF59">IFERROR(
  INDEX(PLAYER_STAT!G$2:G64, 
    MATCH(1, 
      (PLAYER_STAT!A$2:A64 = MATCH_DATES!$A$8) * (PLAYER_STAT!D$2:D64 = $B59), 
    0)
  ), 
  ""
)
</f>
        <v/>
      </c>
      <c r="CG59" s="25">
        <f t="shared" si="157"/>
        <v>14</v>
      </c>
      <c r="CH59" s="26" t="str">
        <f t="shared" si="35"/>
        <v>↓</v>
      </c>
      <c r="CI59" s="43"/>
      <c r="CJ59" s="44">
        <f t="shared" si="36"/>
        <v>0</v>
      </c>
      <c r="CK59" s="28">
        <f t="shared" si="37"/>
        <v>0</v>
      </c>
      <c r="CL59" s="28">
        <f>SUM(CM59*2)+(CN59*1) + SUMIFS(MATCH_INPUT!$G$30:$G$33, MATCH_INPUT!$F$30:$F$33, CI59) + SUMIFS(MATCH_INPUT!$I$30:$I$33, MATCH_INPUT!$J$30:$J$33, CI59)
</f>
        <v>0</v>
      </c>
      <c r="CM59" s="28">
        <f>IF(CI59&lt;&gt;"",
    COUNTIFS(MATCH_INPUT!$K$30:$K$33,CI59),
0)</f>
        <v>0</v>
      </c>
      <c r="CN59" s="28">
        <f>IF(CI59&lt;&gt;"",
    COUNTIFS(MATCH_INPUT!$F$30:$F$33, CI59, MATCH_INPUT!$K$30:$K$33, "Draw") +
    COUNTIFS(MATCH_INPUT!$J$30:$J$33, CI59, MATCH_INPUT!$K$30:$K$33, "Draw"),
0)</f>
        <v>0</v>
      </c>
      <c r="CO59" s="28">
        <f>IF(CI59&lt;&gt;"",
    COUNTIFS(MATCH_INPUT!$F$30:$F$33, CI59, MATCH_INPUT!$K$30:$K$33, "&lt;&gt;"&amp;CI59, MATCH_INPUT!$K$30:$K$33, "&lt;&gt;Draw", MATCH_INPUT!$K$30:$K$33, "&lt;&gt;""") +
    COUNTIFS(MATCH_INPUT!$J$30:$J$33, CI59, MATCH_INPUT!$K$30:$K$33, "&lt;&gt;"&amp;CI59, MATCH_INPUT!$K$30:$K$33, "&lt;&gt;Draw", MATCH_INPUT!$K$30:$K$33, "&lt;&gt;"""),
0)</f>
        <v>0</v>
      </c>
      <c r="CP59" s="29" t="str">
        <f t="array" ref="CP59">IFERROR(
  INDEX(PLAYER_STAT!E$2:E64, 
    MATCH(1, 
      (PLAYER_STAT!A$2:A64 = MATCH_DATES!$A$9) * (PLAYER_STAT!D$2:D64 = $B59), 
    0)
  ), 
  ""
)
</f>
        <v/>
      </c>
      <c r="CQ59" s="29" t="str">
        <f t="array" ref="CQ59">IFERROR(
  INDEX(PLAYER_STAT!F$2:F64, 
    MATCH(1, 
      (PLAYER_STAT!A$2:A64 = MATCH_DATES!$A$9) * (PLAYER_STAT!D$2:D64 = $B59), 
    0)
  ), 
  ""
)
</f>
        <v/>
      </c>
      <c r="CR59" s="30" t="str">
        <f t="array" ref="CR59">IFERROR(
  INDEX(PLAYER_STAT!G$2:G64, 
    MATCH(1, 
      (PLAYER_STAT!A$2:A64 = MATCH_DATES!$A$9) * (PLAYER_STAT!D$2:D64 = $B59), 
    0)
  ), 
  ""
)
</f>
        <v/>
      </c>
      <c r="CS59" s="35">
        <f t="shared" si="158"/>
        <v>14</v>
      </c>
      <c r="CT59" s="35" t="str">
        <f t="shared" si="39"/>
        <v>=</v>
      </c>
      <c r="CU59" s="37">
        <f t="shared" si="40"/>
        <v>0</v>
      </c>
      <c r="CV59" s="37" t="str">
        <f t="shared" ref="CV59:CW59" si="216">A59</f>
        <v/>
      </c>
      <c r="CW59" s="37" t="str">
        <f t="shared" si="216"/>
        <v/>
      </c>
      <c r="CX59" s="37">
        <f t="shared" si="42"/>
        <v>0</v>
      </c>
      <c r="CY59" s="37">
        <f>SUM(
  IF(AND(MATCH_DATES!$A$2 &lt;= TODAY(), NOW() &gt;= MATCH_DATES!$A$2 + TIME(22, 0, 0)), E59, 0),
  IF(AND(MATCH_DATES!$A$3 &lt;= TODAY(), NOW() &gt;= MATCH_DATES!$A$3 + TIME(22, 0, 0)), Q59, 0),
  IF(AND(MATCH_DATES!$A$4 &lt;= TODAY(), NOW() &gt;= MATCH_DATES!$A$4 + TIME(22, 0, 0)), AC59, 0),
  IF(AND(MATCH_DATES!$A$5 &lt;= TODAY(), NOW() &gt;= MATCH_DATES!$A$5 + TIME(22, 0, 0)), AO59, 0),
  IF(AND(MATCH_DATES!$A$6 &lt;= TODAY(), NOW() &gt;= MATCH_DATES!$A$6 + TIME(22, 0, 0)), BA59, 0),
  IF(AND(MATCH_DATES!$A$7 &lt;= TODAY(), NOW() &gt;= MATCH_DATES!$A$7 + TIME(22, 0, 0)), BM59, 0),
  IF(AND(MATCH_DATES!$A$8 &lt;= TODAY(), NOW() &gt;= MATCH_DATES!$A$8 + TIME(22, 0, 0)), BY59, 0),
  IF(AND(MATCH_DATES!$A$9 &lt;= TODAY(), NOW() &gt;= MATCH_DATES!$A$9 + TIME(22, 0, 0)), CK59, 0)
)
</f>
        <v>0</v>
      </c>
      <c r="CZ59" s="37">
        <f t="shared" ref="CZ59:DA59" si="217">SUM(G59,S59,AE59,AQ59,BC59,BO59,CA59,CM59)</f>
        <v>0</v>
      </c>
      <c r="DA59" s="37">
        <f t="shared" si="217"/>
        <v>0</v>
      </c>
      <c r="DB59" s="37">
        <f>SUM(
  IF(AND(MATCH_DATES!$A$2 &lt;= TODAY(), NOW() &gt;= MATCH_DATES!$A$2 + TIME(22, 0, 0)), I59, 0),
  IF(AND(MATCH_DATES!$A$3 &lt;= TODAY(), NOW() &gt;= MATCH_DATES!$A$3 + TIME(22, 0, 0)), U59, 0),
  IF(AND(MATCH_DATES!$A$4 &lt;= TODAY(), NOW() &gt;= MATCH_DATES!$A$4 + TIME(22, 0, 0)), AG59, 0),
  IF(AND(MATCH_DATES!$A$5 &lt;= TODAY(), NOW() &gt;= MATCH_DATES!$A$5 + TIME(22, 0, 0)), AS59, 0),
  IF(AND(MATCH_DATES!$A$6 &lt;= TODAY(), NOW() &gt;= MATCH_DATES!$A$6 + TIME(22, 0, 0)), BE59, 0),
  IF(AND(MATCH_DATES!$A$7 &lt;= TODAY(), NOW() &gt;= MATCH_DATES!$A$7 + TIME(22, 0, 0)), BQ59, 0),
  IF(AND(MATCH_DATES!$A$8 &lt;= TODAY(), NOW() &gt;= MATCH_DATES!$A$8 + TIME(22, 0, 0)), CC59, 0),
  IF(AND(MATCH_DATES!$A$9 &lt;= TODAY(), NOW() &gt;= MATCH_DATES!$A$9 + TIME(22, 0, 0)), CO59, 0)
)</f>
        <v>0</v>
      </c>
      <c r="DC59" s="37">
        <f t="shared" si="44"/>
        <v>0</v>
      </c>
      <c r="DD59" s="37">
        <f t="shared" ref="DD59:DE59" si="218">SUM(K59,W59,AI59,AU59,BG59,BS59,CE59,CQ59)</f>
        <v>0</v>
      </c>
      <c r="DE59" s="37">
        <f t="shared" si="218"/>
        <v>0</v>
      </c>
    </row>
    <row r="60" ht="24.75" customHeight="1">
      <c r="A60" s="19"/>
      <c r="B60" s="19"/>
      <c r="C60" s="42"/>
      <c r="D60" s="22">
        <f t="shared" si="4"/>
        <v>0</v>
      </c>
      <c r="E60" s="22">
        <f t="shared" si="5"/>
        <v>0</v>
      </c>
      <c r="F60" s="22">
        <f t="shared" si="6"/>
        <v>0</v>
      </c>
      <c r="G60" s="22">
        <f>IF(C60&lt;&gt;"",
    COUNTIFS(MATCH_INPUT!$K$2:$K$5,C60),
0)</f>
        <v>0</v>
      </c>
      <c r="H60" s="22">
        <f>IF(C60&lt;&gt;"",
    COUNTIFS(MATCH_INPUT!$F$2:$F$5, C60, MATCH_INPUT!$K$2:$K$5, "Draw") +
    COUNTIFS(MATCH_INPUT!$J$2:$J$5, C60, MATCH_INPUT!$K$2:$K$5, "Draw"),
0)</f>
        <v>0</v>
      </c>
      <c r="I60" s="22">
        <f>IF(C60&lt;&gt;"",
    COUNTIFS(MATCH_INPUT!$F$2:$F$5, C60, MATCH_INPUT!$K$2:$K$5, "&lt;&gt;"&amp;C60, MATCH_INPUT!$K$2:$K$5, "&lt;&gt;Draw", MATCH_INPUT!$K$2:$K$5, "&lt;&gt;""") +
    COUNTIFS(MATCH_INPUT!$J$2:$J$5, C60, MATCH_INPUT!$K$2:$K$5, "&lt;&gt;"&amp;C60, MATCH_INPUT!$K$2:$K$5, "&lt;&gt;Draw", MATCH_INPUT!$K$2:$K$5, "&lt;&gt;"""),
0)</f>
        <v>0</v>
      </c>
      <c r="J60" s="23" t="str">
        <f t="array" ref="J60">IFERROR(
  INDEX(PLAYER_STAT!E$2:E64, 
    MATCH(1, 
      (PLAYER_STAT!A$2:A64 = MATCH_DATES!$A$2) * (PLAYER_STAT!D$2:D64 = $B60), 
    0)
  ), 
  ""
)
</f>
        <v/>
      </c>
      <c r="K60" s="23" t="str">
        <f t="array" ref="K60">IFERROR(
  INDEX(PLAYER_STAT!F$2:F64, 
    MATCH(1, 
      (PLAYER_STAT!A$2:A64 = MATCH_DATES!$A$2) * (PLAYER_STAT!D$2:D64 = $B60), 
    0)
  ), 
  ""
)
</f>
        <v/>
      </c>
      <c r="L60" s="24" t="str">
        <f t="array" ref="L60">IFERROR(
  INDEX(PLAYER_STAT!G$2:G64, 
    MATCH(1, 
      (PLAYER_STAT!A$2:A64 = MATCH_DATES!$A$2) * (PLAYER_STAT!D$2:D64 = $B60), 
    0)
  ), 
  ""
)
</f>
        <v/>
      </c>
      <c r="M60" s="25">
        <f t="shared" si="151"/>
        <v>6</v>
      </c>
      <c r="N60" s="26" t="str">
        <f t="shared" si="8"/>
        <v>↓</v>
      </c>
      <c r="O60" s="43"/>
      <c r="P60" s="28">
        <f t="shared" si="9"/>
        <v>0</v>
      </c>
      <c r="Q60" s="28">
        <f t="shared" si="10"/>
        <v>0</v>
      </c>
      <c r="R60" s="28">
        <f t="shared" si="11"/>
        <v>0</v>
      </c>
      <c r="S60" s="28">
        <f>IF(O60&lt;&gt;"",
    COUNTIFS(MATCH_INPUT!$K$6:$K$9,O60),
0)</f>
        <v>0</v>
      </c>
      <c r="T60" s="28">
        <f>IF(O60&lt;&gt;"",
    COUNTIFS(MATCH_INPUT!$F$6:$F$9, O60, MATCH_INPUT!$K$6:$K$9, "Draw") +
    COUNTIFS(MATCH_INPUT!$J$6:$J$9, O60, MATCH_INPUT!$K$6:$K$9, "Draw"),
0)</f>
        <v>0</v>
      </c>
      <c r="U60" s="28">
        <f>IF(O60&lt;&gt;"",
    COUNTIFS(MATCH_INPUT!$F$6:$F$9, O60, MATCH_INPUT!$K$6:$K$9, "&lt;&gt;"&amp;O60, MATCH_INPUT!$K$6:$K$9, "&lt;&gt;Draw", MATCH_INPUT!$K$6:$K$9, "&lt;&gt;""") +
    COUNTIFS(MATCH_INPUT!$J$6:$J$9, O60, MATCH_INPUT!$K$6:$K$9, "&lt;&gt;"&amp;O60, MATCH_INPUT!$K$6:$K$9, "&lt;&gt;Draw", MATCH_INPUT!$K$6:$K$9, "&lt;&gt;"""),
0)</f>
        <v>0</v>
      </c>
      <c r="V60" s="29" t="str">
        <f t="array" ref="V60">IFERROR(
  INDEX(PLAYER_STAT!E$2:E64, 
    MATCH(1, 
      (PLAYER_STAT!A$2:A64 = MATCH_DATES!$A$3) * (PLAYER_STAT!D$2:D64 = $B60), 
    0)
  ), 
  ""
)
</f>
        <v/>
      </c>
      <c r="W60" s="29" t="str">
        <f t="array" ref="W60">IFERROR(
  INDEX(PLAYER_STAT!F$2:F64, 
    MATCH(1, 
      (PLAYER_STAT!A$2:A64 = MATCH_DATES!$A$3) * (PLAYER_STAT!D$2:D64 = $B60), 
    0)
  ), 
  ""
)
</f>
        <v/>
      </c>
      <c r="X60" s="30" t="str">
        <f t="array" ref="X60">IFERROR(
  INDEX(PLAYER_STAT!G$2:G64, 
    MATCH(1, 
      (PLAYER_STAT!A$2:A64 = MATCH_DATES!$A$3) * (PLAYER_STAT!D$2:D64 = $B60), 
    0)
  ), 
  ""
)
</f>
        <v/>
      </c>
      <c r="Y60" s="31">
        <f t="shared" si="152"/>
        <v>7</v>
      </c>
      <c r="Z60" s="32" t="str">
        <f t="shared" si="13"/>
        <v>↓</v>
      </c>
      <c r="AA60" s="42"/>
      <c r="AB60" s="33">
        <f t="shared" si="14"/>
        <v>0</v>
      </c>
      <c r="AC60" s="22">
        <f t="shared" si="15"/>
        <v>0</v>
      </c>
      <c r="AD60" s="22">
        <f t="shared" si="16"/>
        <v>0</v>
      </c>
      <c r="AE60" s="22">
        <f>IF(AA60&lt;&gt;"",
    COUNTIFS(MATCH_INPUT!$K$10:$K$13,AA60),
0)</f>
        <v>0</v>
      </c>
      <c r="AF60" s="22">
        <f>IF(AA60&lt;&gt;"",
    COUNTIFS(MATCH_INPUT!$F$10:$F$13, AA60, MATCH_INPUT!$K$10:$K$13, "Draw") +
    COUNTIFS(MATCH_INPUT!$J$10:$J$13, AA60, MATCH_INPUT!$K$10:$K$13, "Draw"),
0)</f>
        <v>0</v>
      </c>
      <c r="AG60" s="22">
        <f>IF(AA60&lt;&gt;"",
    COUNTIFS(MATCH_INPUT!$F$10:$F$13, AA60, MATCH_INPUT!$K$10:$K$13, "&lt;&gt;"&amp;AA60, MATCH_INPUT!$K$10:$K$13, "&lt;&gt;Draw", MATCH_INPUT!$K$10:$K$13, "&lt;&gt;""") +
    COUNTIFS(MATCH_INPUT!$J$10:$J$13, AA60, MATCH_INPUT!$K$10:$K$13, "&lt;&gt;"&amp;AA60, MATCH_INPUT!$K$10:$K$13, "&lt;&gt;Draw", MATCH_INPUT!$K$10:$K$13, "&lt;&gt;"""),
0)</f>
        <v>0</v>
      </c>
      <c r="AH60" s="23" t="str">
        <f t="array" ref="AH60">IFERROR(
  INDEX(PLAYER_STAT!E$2:E64, 
    MATCH(1, 
      (PLAYER_STAT!A$2:A64 = MATCH_DATES!$A$4) * (PLAYER_STAT!D$2:D64 = $B60), 
    0)
  ), 
  ""
)
</f>
        <v/>
      </c>
      <c r="AI60" s="23" t="str">
        <f t="array" ref="AI60">IFERROR(
  INDEX(PLAYER_STAT!F$2:F64, 
    MATCH(1, 
      (PLAYER_STAT!A$2:A64 = MATCH_DATES!$A$4) * (PLAYER_STAT!D$2:D64 = $B60), 
    0)
  ), 
  ""
)
</f>
        <v/>
      </c>
      <c r="AJ60" s="34" t="str">
        <f t="array" ref="AJ60">IFERROR(
  INDEX(PLAYER_STAT!G$2:G64, 
    MATCH(1, 
      (PLAYER_STAT!A$2:A64 = MATCH_DATES!$A$4) * (PLAYER_STAT!D$2:D64 = $B60), 
    0)
  ), 
  ""
)
</f>
        <v/>
      </c>
      <c r="AK60" s="25">
        <f t="shared" si="153"/>
        <v>7</v>
      </c>
      <c r="AL60" s="26" t="str">
        <f t="shared" si="18"/>
        <v>=</v>
      </c>
      <c r="AM60" s="43"/>
      <c r="AN60" s="28">
        <f t="shared" si="19"/>
        <v>0</v>
      </c>
      <c r="AO60" s="28">
        <f t="shared" si="20"/>
        <v>0</v>
      </c>
      <c r="AP60" s="28">
        <f t="shared" si="21"/>
        <v>0</v>
      </c>
      <c r="AQ60" s="28">
        <f>IF(AM60&lt;&gt;"",
    COUNTIFS(MATCH_INPUT!$K$14:$K$17,AM60),
0)</f>
        <v>0</v>
      </c>
      <c r="AR60" s="28">
        <f>IF(AM60&lt;&gt;"",
    COUNTIFS(MATCH_INPUT!$F$14:$F$17, AM60, MATCH_INPUT!$K$14:$K$17, "Draw") +
    COUNTIFS(MATCH_INPUT!$J$14:$J$17, AM60, MATCH_INPUT!$K$14:$K$17, "Draw"),
0)</f>
        <v>0</v>
      </c>
      <c r="AS60" s="28">
        <f>IF(AM60&lt;&gt;"",
    COUNTIFS(MATCH_INPUT!$F$14:$F$17, AM60, MATCH_INPUT!$K$14:$K$17, "&lt;&gt;"&amp;AM60, MATCH_INPUT!$K$14:$K$17, "&lt;&gt;Draw", MATCH_INPUT!$K$14:$K$17, "&lt;&gt;""") +
    COUNTIFS(MATCH_INPUT!$J$14:$J$17, AM60, MATCH_INPUT!$K$14:$K$17, "&lt;&gt;"&amp;AM60, MATCH_INPUT!$K$14:$K$17, "&lt;&gt;Draw", MATCH_INPUT!$K$14:$K$17, "&lt;&gt;"""),
0)</f>
        <v>0</v>
      </c>
      <c r="AT60" s="29" t="str">
        <f t="array" ref="AT60">IFERROR(
  INDEX(PLAYER_STAT!E$2:E64, 
    MATCH(1, 
      (PLAYER_STAT!A$2:A64 = MATCH_DATES!$A$5) * (PLAYER_STAT!D$2:D64 = $B60), 
    0)
  ), 
  ""
)
</f>
        <v/>
      </c>
      <c r="AU60" s="29" t="str">
        <f t="array" ref="AU60">IFERROR(
  INDEX(PLAYER_STAT!F$2:F64, 
    MATCH(1, 
      (PLAYER_STAT!A$2:A64 = MATCH_DATES!$A$5) * (PLAYER_STAT!D$2:D64 = $B60), 
    0)
  ), 
  ""
)
</f>
        <v/>
      </c>
      <c r="AV60" s="30" t="str">
        <f t="array" ref="AV60">IFERROR(
  INDEX(PLAYER_STAT!G$2:G64, 
    MATCH(1, 
      (PLAYER_STAT!A$2:A64 = MATCH_DATES!$A$5) * (PLAYER_STAT!D$2:D64 = $B60), 
    0)
  ), 
  ""
)
</f>
        <v/>
      </c>
      <c r="AW60" s="31">
        <f t="shared" si="154"/>
        <v>10</v>
      </c>
      <c r="AX60" s="32" t="str">
        <f t="shared" si="23"/>
        <v>↓</v>
      </c>
      <c r="AY60" s="42"/>
      <c r="AZ60" s="33">
        <f t="shared" si="24"/>
        <v>0</v>
      </c>
      <c r="BA60" s="22">
        <f t="shared" si="25"/>
        <v>0</v>
      </c>
      <c r="BB60" s="22">
        <f>SUM(BC60*2) + (BD60*1) + SUMIFS(MATCH_INPUT!$G$18:$G$21, MATCH_INPUT!$F$18:$F$21, AY60) + SUMIFS(MATCH_INPUT!$I$18:$I$21, MATCH_INPUT!$J$18:$J$21, AY60)
</f>
        <v>0</v>
      </c>
      <c r="BC60" s="22">
        <f>IF(AY60&lt;&gt;"",
    COUNTIFS(MATCH_INPUT!$K$18:$K$21,AY60),
0)</f>
        <v>0</v>
      </c>
      <c r="BD60" s="22">
        <f>IF(AY60&lt;&gt;"",
    COUNTIFS(MATCH_INPUT!$F$18:$F$21, AY60, MATCH_INPUT!$K$18:$K$21, "Draw") +
    COUNTIFS(MATCH_INPUT!$J$18:$J$21, AY60, MATCH_INPUT!$K$18:$K$21, "Draw"),
0)</f>
        <v>0</v>
      </c>
      <c r="BE60" s="22">
        <f>IF(AY60&lt;&gt;"",
    COUNTIFS(MATCH_INPUT!$F$18:$F$21, AY60, MATCH_INPUT!$K$18:$K$21, "&lt;&gt;"&amp;AY60, MATCH_INPUT!$K$18:$K$21, "&lt;&gt;Draw", MATCH_INPUT!$K$18:$K$21, "&lt;&gt;""") +
    COUNTIFS(MATCH_INPUT!$J$18:$J$21, AY60, MATCH_INPUT!$K$18:$K$21, "&lt;&gt;"&amp;AY60, MATCH_INPUT!$K$18:$K$21, "&lt;&gt;Draw", MATCH_INPUT!$K$18:$K$21, "&lt;&gt;"""),
0)</f>
        <v>0</v>
      </c>
      <c r="BF60" s="23" t="str">
        <f t="array" ref="BF60">IFERROR(
  INDEX(PLAYER_STAT!E$2:E64, 
    MATCH(1, 
      (PLAYER_STAT!A$2:A64 = MATCH_DATES!$A$6) * (PLAYER_STAT!D$2:D64 = $B60), 
    0)
  ), 
  ""
)
</f>
        <v/>
      </c>
      <c r="BG60" s="23" t="str">
        <f t="array" ref="BG60">IFERROR(
  INDEX(PLAYER_STAT!F$2:F64, 
    MATCH(1, 
      (PLAYER_STAT!A$2:A64 = MATCH_DATES!$A$6) * (PLAYER_STAT!D$2:D64 = $B60), 
    0)
  ), 
  ""
)
</f>
        <v/>
      </c>
      <c r="BH60" s="34" t="str">
        <f t="array" ref="BH60">IFERROR(
  INDEX(PLAYER_STAT!G$2:G64, 
    MATCH(1, 
      (PLAYER_STAT!A$2:A64 = MATCH_DATES!$A$6) * (PLAYER_STAT!D$2:D64 = $B60), 
    0)
  ), 
  ""
)
</f>
        <v/>
      </c>
      <c r="BI60" s="25">
        <f t="shared" si="155"/>
        <v>12</v>
      </c>
      <c r="BJ60" s="26" t="str">
        <f t="shared" si="27"/>
        <v>↓</v>
      </c>
      <c r="BK60" s="43"/>
      <c r="BL60" s="28">
        <f t="shared" si="28"/>
        <v>0</v>
      </c>
      <c r="BM60" s="28">
        <f t="shared" si="29"/>
        <v>0</v>
      </c>
      <c r="BN60" s="28">
        <f>SUM(BO60*2) + (BP60*1) + SUMIFS(MATCH_INPUT!$G$22:$G$25, MATCH_INPUT!$F$22:$F$25, BK60) + SUMIFS(MATCH_INPUT!$I$22:$I$25, MATCH_INPUT!$J$22:$J$25, BK60)
</f>
        <v>0</v>
      </c>
      <c r="BO60" s="28">
        <f>IF(BK60&lt;&gt;"",
    COUNTIFS(MATCH_INPUT!$K$22:$K$25,BK60),
0)</f>
        <v>0</v>
      </c>
      <c r="BP60" s="28">
        <f>IF(BK60&lt;&gt;"",
    COUNTIFS(MATCH_INPUT!$F$22:$F$25, BK60, MATCH_INPUT!$K$22:$K$25, "Draw") +
    COUNTIFS(MATCH_INPUT!$J$22:$J$25, BK60, MATCH_INPUT!$K$22:$K$25, "Draw"),
0)</f>
        <v>0</v>
      </c>
      <c r="BQ60" s="28">
        <f>IF(BK60&lt;&gt;"",
    COUNTIFS(MATCH_INPUT!$F$22:$F$25, BK60, MATCH_INPUT!$K$22:$K$25, "&lt;&gt;"&amp;BK60, MATCH_INPUT!$K$22:$K$25, "&lt;&gt;Draw", MATCH_INPUT!$K$22:$K$25, "&lt;&gt;""") +
    COUNTIFS(MATCH_INPUT!$J$22:$J$25, BK60, MATCH_INPUT!$K$22:$K$25, "&lt;&gt;"&amp;BK60, MATCH_INPUT!$K$22:$K$25, "&lt;&gt;Draw", MATCH_INPUT!$K$22:$K$25, "&lt;&gt;"""),
0)</f>
        <v>0</v>
      </c>
      <c r="BR60" s="29" t="str">
        <f t="array" ref="BR60">IFERROR(
  INDEX(PLAYER_STAT!E$2:E64, 
    MATCH(1, 
      (PLAYER_STAT!A$2:A64 = MATCH_DATES!$A$7) * (PLAYER_STAT!D$2:D64 = $B60), 
    0)
  ), 
  ""
)
</f>
        <v/>
      </c>
      <c r="BS60" s="29" t="str">
        <f t="array" ref="BS60">IFERROR(
  INDEX(PLAYER_STAT!F$2:F64, 
    MATCH(1, 
      (PLAYER_STAT!A$2:A64 = MATCH_DATES!$A$7) * (PLAYER_STAT!D$2:D64 = $B60), 
    0)
  ), 
  ""
)
</f>
        <v/>
      </c>
      <c r="BT60" s="30" t="str">
        <f t="array" ref="BT60">IFERROR(
  INDEX(PLAYER_STAT!G$2:G64, 
    MATCH(1, 
      (PLAYER_STAT!A$2:A64 = MATCH_DATES!$A$7) * (PLAYER_STAT!D$2:D64 = $B60), 
    0)
  ), 
  ""
)
</f>
        <v/>
      </c>
      <c r="BU60" s="31">
        <f t="shared" si="156"/>
        <v>12</v>
      </c>
      <c r="BV60" s="32" t="str">
        <f t="shared" si="31"/>
        <v>=</v>
      </c>
      <c r="BW60" s="42"/>
      <c r="BX60" s="33">
        <f t="shared" si="32"/>
        <v>0</v>
      </c>
      <c r="BY60" s="22">
        <f t="shared" si="33"/>
        <v>0</v>
      </c>
      <c r="BZ60" s="22">
        <f>SUM(CA60*2)+(CB60*1) + SUMIFS(MATCH_INPUT!$G$26:$G$29, MATCH_INPUT!$F$26:$F$29, BW60) + SUMIFS(MATCH_INPUT!$I$26:$I$29, MATCH_INPUT!$J$26:$J$29, BW60)
</f>
        <v>0</v>
      </c>
      <c r="CA60" s="22">
        <f>IF(BW60&lt;&gt;"",
    COUNTIFS(MATCH_INPUT!$K$26:$K$29,BW60),
0)</f>
        <v>0</v>
      </c>
      <c r="CB60" s="22">
        <f>IF(BW60&lt;&gt;"",
    COUNTIFS(MATCH_INPUT!$F$26:$F$29, BW60, MATCH_INPUT!$K$26:$K$29, "Draw") +
    COUNTIFS(MATCH_INPUT!$J$26:$J$29, BW60, MATCH_INPUT!$K$26:$K$29, "Draw"),
0)</f>
        <v>0</v>
      </c>
      <c r="CC60" s="22">
        <f>IF(BW60&lt;&gt;"",
    COUNTIFS(MATCH_INPUT!$F$26:$F$29, BW60, MATCH_INPUT!$K$26:$K$29, "&lt;&gt;"&amp;BW60, MATCH_INPUT!$K$26:$K$29, "&lt;&gt;Draw", MATCH_INPUT!$K$26:$K$29, "&lt;&gt;""") +
    COUNTIFS(MATCH_INPUT!$J$26:$J$29, BW60, MATCH_INPUT!$K$26:$K$29, "&lt;&gt;"&amp;BW60, MATCH_INPUT!$K$26:$K$29, "&lt;&gt;Draw", MATCH_INPUT!$K$26:$K$29, "&lt;&gt;"""),
0)</f>
        <v>0</v>
      </c>
      <c r="CD60" s="23" t="str">
        <f t="array" ref="CD60">IFERROR(
  INDEX(PLAYER_STAT!E$2:E64, 
    MATCH(1, 
      (PLAYER_STAT!A$2:A64 = MATCH_DATES!$A$8) * (PLAYER_STAT!D$2:D64 = $B60), 
    0)
  ), 
  ""
)
</f>
        <v/>
      </c>
      <c r="CE60" s="23" t="str">
        <f t="array" ref="CE60">IFERROR(
  INDEX(PLAYER_STAT!F$2:F64, 
    MATCH(1, 
      (PLAYER_STAT!A$2:A64 = MATCH_DATES!$A$8) * (PLAYER_STAT!D$2:D64 = $B60), 
    0)
  ), 
  ""
)
</f>
        <v/>
      </c>
      <c r="CF60" s="34" t="str">
        <f t="array" ref="CF60">IFERROR(
  INDEX(PLAYER_STAT!G$2:G64, 
    MATCH(1, 
      (PLAYER_STAT!A$2:A64 = MATCH_DATES!$A$8) * (PLAYER_STAT!D$2:D64 = $B60), 
    0)
  ), 
  ""
)
</f>
        <v/>
      </c>
      <c r="CG60" s="25">
        <f t="shared" si="157"/>
        <v>14</v>
      </c>
      <c r="CH60" s="26" t="str">
        <f t="shared" si="35"/>
        <v>↓</v>
      </c>
      <c r="CI60" s="43"/>
      <c r="CJ60" s="44">
        <f t="shared" si="36"/>
        <v>0</v>
      </c>
      <c r="CK60" s="28">
        <f t="shared" si="37"/>
        <v>0</v>
      </c>
      <c r="CL60" s="28">
        <f>SUM(CM60*2)+(CN60*1) + SUMIFS(MATCH_INPUT!$G$30:$G$33, MATCH_INPUT!$F$30:$F$33, CI60) + SUMIFS(MATCH_INPUT!$I$30:$I$33, MATCH_INPUT!$J$30:$J$33, CI60)
</f>
        <v>0</v>
      </c>
      <c r="CM60" s="28">
        <f>IF(CI60&lt;&gt;"",
    COUNTIFS(MATCH_INPUT!$K$30:$K$33,CI60),
0)</f>
        <v>0</v>
      </c>
      <c r="CN60" s="28">
        <f>IF(CI60&lt;&gt;"",
    COUNTIFS(MATCH_INPUT!$F$30:$F$33, CI60, MATCH_INPUT!$K$30:$K$33, "Draw") +
    COUNTIFS(MATCH_INPUT!$J$30:$J$33, CI60, MATCH_INPUT!$K$30:$K$33, "Draw"),
0)</f>
        <v>0</v>
      </c>
      <c r="CO60" s="28">
        <f>IF(CI60&lt;&gt;"",
    COUNTIFS(MATCH_INPUT!$F$30:$F$33, CI60, MATCH_INPUT!$K$30:$K$33, "&lt;&gt;"&amp;CI60, MATCH_INPUT!$K$30:$K$33, "&lt;&gt;Draw", MATCH_INPUT!$K$30:$K$33, "&lt;&gt;""") +
    COUNTIFS(MATCH_INPUT!$J$30:$J$33, CI60, MATCH_INPUT!$K$30:$K$33, "&lt;&gt;"&amp;CI60, MATCH_INPUT!$K$30:$K$33, "&lt;&gt;Draw", MATCH_INPUT!$K$30:$K$33, "&lt;&gt;"""),
0)</f>
        <v>0</v>
      </c>
      <c r="CP60" s="29" t="str">
        <f t="array" ref="CP60">IFERROR(
  INDEX(PLAYER_STAT!E$2:E64, 
    MATCH(1, 
      (PLAYER_STAT!A$2:A64 = MATCH_DATES!$A$9) * (PLAYER_STAT!D$2:D64 = $B60), 
    0)
  ), 
  ""
)
</f>
        <v/>
      </c>
      <c r="CQ60" s="29" t="str">
        <f t="array" ref="CQ60">IFERROR(
  INDEX(PLAYER_STAT!F$2:F64, 
    MATCH(1, 
      (PLAYER_STAT!A$2:A64 = MATCH_DATES!$A$9) * (PLAYER_STAT!D$2:D64 = $B60), 
    0)
  ), 
  ""
)
</f>
        <v/>
      </c>
      <c r="CR60" s="30" t="str">
        <f t="array" ref="CR60">IFERROR(
  INDEX(PLAYER_STAT!G$2:G64, 
    MATCH(1, 
      (PLAYER_STAT!A$2:A64 = MATCH_DATES!$A$9) * (PLAYER_STAT!D$2:D64 = $B60), 
    0)
  ), 
  ""
)
</f>
        <v/>
      </c>
      <c r="CS60" s="35">
        <f t="shared" si="158"/>
        <v>14</v>
      </c>
      <c r="CT60" s="35" t="str">
        <f t="shared" si="39"/>
        <v>=</v>
      </c>
      <c r="CU60" s="37">
        <f t="shared" si="40"/>
        <v>0</v>
      </c>
      <c r="CV60" s="37" t="str">
        <f t="shared" ref="CV60:CW60" si="219">A60</f>
        <v/>
      </c>
      <c r="CW60" s="37" t="str">
        <f t="shared" si="219"/>
        <v/>
      </c>
      <c r="CX60" s="37">
        <f t="shared" si="42"/>
        <v>0</v>
      </c>
      <c r="CY60" s="37">
        <f>SUM(
  IF(AND(MATCH_DATES!$A$2 &lt;= TODAY(), NOW() &gt;= MATCH_DATES!$A$2 + TIME(22, 0, 0)), E60, 0),
  IF(AND(MATCH_DATES!$A$3 &lt;= TODAY(), NOW() &gt;= MATCH_DATES!$A$3 + TIME(22, 0, 0)), Q60, 0),
  IF(AND(MATCH_DATES!$A$4 &lt;= TODAY(), NOW() &gt;= MATCH_DATES!$A$4 + TIME(22, 0, 0)), AC60, 0),
  IF(AND(MATCH_DATES!$A$5 &lt;= TODAY(), NOW() &gt;= MATCH_DATES!$A$5 + TIME(22, 0, 0)), AO60, 0),
  IF(AND(MATCH_DATES!$A$6 &lt;= TODAY(), NOW() &gt;= MATCH_DATES!$A$6 + TIME(22, 0, 0)), BA60, 0),
  IF(AND(MATCH_DATES!$A$7 &lt;= TODAY(), NOW() &gt;= MATCH_DATES!$A$7 + TIME(22, 0, 0)), BM60, 0),
  IF(AND(MATCH_DATES!$A$8 &lt;= TODAY(), NOW() &gt;= MATCH_DATES!$A$8 + TIME(22, 0, 0)), BY60, 0),
  IF(AND(MATCH_DATES!$A$9 &lt;= TODAY(), NOW() &gt;= MATCH_DATES!$A$9 + TIME(22, 0, 0)), CK60, 0)
)
</f>
        <v>0</v>
      </c>
      <c r="CZ60" s="37">
        <f t="shared" ref="CZ60:DA60" si="220">SUM(G60,S60,AE60,AQ60,BC60,BO60,CA60,CM60)</f>
        <v>0</v>
      </c>
      <c r="DA60" s="37">
        <f t="shared" si="220"/>
        <v>0</v>
      </c>
      <c r="DB60" s="37">
        <f>SUM(
  IF(AND(MATCH_DATES!$A$2 &lt;= TODAY(), NOW() &gt;= MATCH_DATES!$A$2 + TIME(22, 0, 0)), I60, 0),
  IF(AND(MATCH_DATES!$A$3 &lt;= TODAY(), NOW() &gt;= MATCH_DATES!$A$3 + TIME(22, 0, 0)), U60, 0),
  IF(AND(MATCH_DATES!$A$4 &lt;= TODAY(), NOW() &gt;= MATCH_DATES!$A$4 + TIME(22, 0, 0)), AG60, 0),
  IF(AND(MATCH_DATES!$A$5 &lt;= TODAY(), NOW() &gt;= MATCH_DATES!$A$5 + TIME(22, 0, 0)), AS60, 0),
  IF(AND(MATCH_DATES!$A$6 &lt;= TODAY(), NOW() &gt;= MATCH_DATES!$A$6 + TIME(22, 0, 0)), BE60, 0),
  IF(AND(MATCH_DATES!$A$7 &lt;= TODAY(), NOW() &gt;= MATCH_DATES!$A$7 + TIME(22, 0, 0)), BQ60, 0),
  IF(AND(MATCH_DATES!$A$8 &lt;= TODAY(), NOW() &gt;= MATCH_DATES!$A$8 + TIME(22, 0, 0)), CC60, 0),
  IF(AND(MATCH_DATES!$A$9 &lt;= TODAY(), NOW() &gt;= MATCH_DATES!$A$9 + TIME(22, 0, 0)), CO60, 0)
)</f>
        <v>0</v>
      </c>
      <c r="DC60" s="37">
        <f t="shared" si="44"/>
        <v>0</v>
      </c>
      <c r="DD60" s="37">
        <f t="shared" ref="DD60:DE60" si="221">SUM(K60,W60,AI60,AU60,BG60,BS60,CE60,CQ60)</f>
        <v>0</v>
      </c>
      <c r="DE60" s="37">
        <f t="shared" si="221"/>
        <v>0</v>
      </c>
    </row>
    <row r="61" ht="24.75" customHeight="1">
      <c r="A61" s="19"/>
      <c r="B61" s="19"/>
      <c r="C61" s="42"/>
      <c r="D61" s="22">
        <f t="shared" si="4"/>
        <v>0</v>
      </c>
      <c r="E61" s="22">
        <f t="shared" si="5"/>
        <v>0</v>
      </c>
      <c r="F61" s="22">
        <f t="shared" si="6"/>
        <v>0</v>
      </c>
      <c r="G61" s="22">
        <f>IF(C61&lt;&gt;"",
    COUNTIFS(MATCH_INPUT!$K$2:$K$5,C61),
0)</f>
        <v>0</v>
      </c>
      <c r="H61" s="22">
        <f>IF(C61&lt;&gt;"",
    COUNTIFS(MATCH_INPUT!$F$2:$F$5, C61, MATCH_INPUT!$K$2:$K$5, "Draw") +
    COUNTIFS(MATCH_INPUT!$J$2:$J$5, C61, MATCH_INPUT!$K$2:$K$5, "Draw"),
0)</f>
        <v>0</v>
      </c>
      <c r="I61" s="22">
        <f>IF(C61&lt;&gt;"",
    COUNTIFS(MATCH_INPUT!$F$2:$F$5, C61, MATCH_INPUT!$K$2:$K$5, "&lt;&gt;"&amp;C61, MATCH_INPUT!$K$2:$K$5, "&lt;&gt;Draw", MATCH_INPUT!$K$2:$K$5, "&lt;&gt;""") +
    COUNTIFS(MATCH_INPUT!$J$2:$J$5, C61, MATCH_INPUT!$K$2:$K$5, "&lt;&gt;"&amp;C61, MATCH_INPUT!$K$2:$K$5, "&lt;&gt;Draw", MATCH_INPUT!$K$2:$K$5, "&lt;&gt;"""),
0)</f>
        <v>0</v>
      </c>
      <c r="J61" s="23" t="str">
        <f t="array" ref="J61">IFERROR(
  INDEX(PLAYER_STAT!E$2:E64, 
    MATCH(1, 
      (PLAYER_STAT!A$2:A64 = MATCH_DATES!$A$2) * (PLAYER_STAT!D$2:D64 = $B61), 
    0)
  ), 
  ""
)
</f>
        <v/>
      </c>
      <c r="K61" s="23" t="str">
        <f t="array" ref="K61">IFERROR(
  INDEX(PLAYER_STAT!F$2:F64, 
    MATCH(1, 
      (PLAYER_STAT!A$2:A64 = MATCH_DATES!$A$2) * (PLAYER_STAT!D$2:D64 = $B61), 
    0)
  ), 
  ""
)
</f>
        <v/>
      </c>
      <c r="L61" s="24" t="str">
        <f t="array" ref="L61">IFERROR(
  INDEX(PLAYER_STAT!G$2:G64, 
    MATCH(1, 
      (PLAYER_STAT!A$2:A64 = MATCH_DATES!$A$2) * (PLAYER_STAT!D$2:D64 = $B61), 
    0)
  ), 
  ""
)
</f>
        <v/>
      </c>
      <c r="M61" s="25">
        <f t="shared" si="151"/>
        <v>6</v>
      </c>
      <c r="N61" s="26" t="str">
        <f t="shared" si="8"/>
        <v>↓</v>
      </c>
      <c r="O61" s="43"/>
      <c r="P61" s="28">
        <f t="shared" si="9"/>
        <v>0</v>
      </c>
      <c r="Q61" s="28">
        <f t="shared" si="10"/>
        <v>0</v>
      </c>
      <c r="R61" s="28">
        <f t="shared" si="11"/>
        <v>0</v>
      </c>
      <c r="S61" s="28">
        <f>IF(O61&lt;&gt;"",
    COUNTIFS(MATCH_INPUT!$K$6:$K$9,O61),
0)</f>
        <v>0</v>
      </c>
      <c r="T61" s="28">
        <f>IF(O61&lt;&gt;"",
    COUNTIFS(MATCH_INPUT!$F$6:$F$9, O61, MATCH_INPUT!$K$6:$K$9, "Draw") +
    COUNTIFS(MATCH_INPUT!$J$6:$J$9, O61, MATCH_INPUT!$K$6:$K$9, "Draw"),
0)</f>
        <v>0</v>
      </c>
      <c r="U61" s="28">
        <f>IF(O61&lt;&gt;"",
    COUNTIFS(MATCH_INPUT!$F$6:$F$9, O61, MATCH_INPUT!$K$6:$K$9, "&lt;&gt;"&amp;O61, MATCH_INPUT!$K$6:$K$9, "&lt;&gt;Draw", MATCH_INPUT!$K$6:$K$9, "&lt;&gt;""") +
    COUNTIFS(MATCH_INPUT!$J$6:$J$9, O61, MATCH_INPUT!$K$6:$K$9, "&lt;&gt;"&amp;O61, MATCH_INPUT!$K$6:$K$9, "&lt;&gt;Draw", MATCH_INPUT!$K$6:$K$9, "&lt;&gt;"""),
0)</f>
        <v>0</v>
      </c>
      <c r="V61" s="29" t="str">
        <f t="array" ref="V61">IFERROR(
  INDEX(PLAYER_STAT!E$2:E64, 
    MATCH(1, 
      (PLAYER_STAT!A$2:A64 = MATCH_DATES!$A$3) * (PLAYER_STAT!D$2:D64 = $B61), 
    0)
  ), 
  ""
)
</f>
        <v/>
      </c>
      <c r="W61" s="29" t="str">
        <f t="array" ref="W61">IFERROR(
  INDEX(PLAYER_STAT!F$2:F64, 
    MATCH(1, 
      (PLAYER_STAT!A$2:A64 = MATCH_DATES!$A$3) * (PLAYER_STAT!D$2:D64 = $B61), 
    0)
  ), 
  ""
)
</f>
        <v/>
      </c>
      <c r="X61" s="30" t="str">
        <f t="array" ref="X61">IFERROR(
  INDEX(PLAYER_STAT!G$2:G64, 
    MATCH(1, 
      (PLAYER_STAT!A$2:A64 = MATCH_DATES!$A$3) * (PLAYER_STAT!D$2:D64 = $B61), 
    0)
  ), 
  ""
)
</f>
        <v/>
      </c>
      <c r="Y61" s="31">
        <f t="shared" si="152"/>
        <v>7</v>
      </c>
      <c r="Z61" s="32" t="str">
        <f t="shared" si="13"/>
        <v>↓</v>
      </c>
      <c r="AA61" s="42"/>
      <c r="AB61" s="33">
        <f t="shared" si="14"/>
        <v>0</v>
      </c>
      <c r="AC61" s="22">
        <f t="shared" si="15"/>
        <v>0</v>
      </c>
      <c r="AD61" s="22">
        <f t="shared" si="16"/>
        <v>0</v>
      </c>
      <c r="AE61" s="22">
        <f>IF(AA61&lt;&gt;"",
    COUNTIFS(MATCH_INPUT!$K$10:$K$13,AA61),
0)</f>
        <v>0</v>
      </c>
      <c r="AF61" s="22">
        <f>IF(AA61&lt;&gt;"",
    COUNTIFS(MATCH_INPUT!$F$10:$F$13, AA61, MATCH_INPUT!$K$10:$K$13, "Draw") +
    COUNTIFS(MATCH_INPUT!$J$10:$J$13, AA61, MATCH_INPUT!$K$10:$K$13, "Draw"),
0)</f>
        <v>0</v>
      </c>
      <c r="AG61" s="22">
        <f>IF(AA61&lt;&gt;"",
    COUNTIFS(MATCH_INPUT!$F$10:$F$13, AA61, MATCH_INPUT!$K$10:$K$13, "&lt;&gt;"&amp;AA61, MATCH_INPUT!$K$10:$K$13, "&lt;&gt;Draw", MATCH_INPUT!$K$10:$K$13, "&lt;&gt;""") +
    COUNTIFS(MATCH_INPUT!$J$10:$J$13, AA61, MATCH_INPUT!$K$10:$K$13, "&lt;&gt;"&amp;AA61, MATCH_INPUT!$K$10:$K$13, "&lt;&gt;Draw", MATCH_INPUT!$K$10:$K$13, "&lt;&gt;"""),
0)</f>
        <v>0</v>
      </c>
      <c r="AH61" s="23" t="str">
        <f t="array" ref="AH61">IFERROR(
  INDEX(PLAYER_STAT!E$2:E64, 
    MATCH(1, 
      (PLAYER_STAT!A$2:A64 = MATCH_DATES!$A$4) * (PLAYER_STAT!D$2:D64 = $B61), 
    0)
  ), 
  ""
)
</f>
        <v/>
      </c>
      <c r="AI61" s="23" t="str">
        <f t="array" ref="AI61">IFERROR(
  INDEX(PLAYER_STAT!F$2:F64, 
    MATCH(1, 
      (PLAYER_STAT!A$2:A64 = MATCH_DATES!$A$4) * (PLAYER_STAT!D$2:D64 = $B61), 
    0)
  ), 
  ""
)
</f>
        <v/>
      </c>
      <c r="AJ61" s="34" t="str">
        <f t="array" ref="AJ61">IFERROR(
  INDEX(PLAYER_STAT!G$2:G64, 
    MATCH(1, 
      (PLAYER_STAT!A$2:A64 = MATCH_DATES!$A$4) * (PLAYER_STAT!D$2:D64 = $B61), 
    0)
  ), 
  ""
)
</f>
        <v/>
      </c>
      <c r="AK61" s="25">
        <f t="shared" si="153"/>
        <v>7</v>
      </c>
      <c r="AL61" s="26" t="str">
        <f t="shared" si="18"/>
        <v>=</v>
      </c>
      <c r="AM61" s="43"/>
      <c r="AN61" s="28">
        <f t="shared" si="19"/>
        <v>0</v>
      </c>
      <c r="AO61" s="28">
        <f t="shared" si="20"/>
        <v>0</v>
      </c>
      <c r="AP61" s="28">
        <f t="shared" si="21"/>
        <v>0</v>
      </c>
      <c r="AQ61" s="28">
        <f>IF(AM61&lt;&gt;"",
    COUNTIFS(MATCH_INPUT!$K$14:$K$17,AM61),
0)</f>
        <v>0</v>
      </c>
      <c r="AR61" s="28">
        <f>IF(AM61&lt;&gt;"",
    COUNTIFS(MATCH_INPUT!$F$14:$F$17, AM61, MATCH_INPUT!$K$14:$K$17, "Draw") +
    COUNTIFS(MATCH_INPUT!$J$14:$J$17, AM61, MATCH_INPUT!$K$14:$K$17, "Draw"),
0)</f>
        <v>0</v>
      </c>
      <c r="AS61" s="28">
        <f>IF(AM61&lt;&gt;"",
    COUNTIFS(MATCH_INPUT!$F$14:$F$17, AM61, MATCH_INPUT!$K$14:$K$17, "&lt;&gt;"&amp;AM61, MATCH_INPUT!$K$14:$K$17, "&lt;&gt;Draw", MATCH_INPUT!$K$14:$K$17, "&lt;&gt;""") +
    COUNTIFS(MATCH_INPUT!$J$14:$J$17, AM61, MATCH_INPUT!$K$14:$K$17, "&lt;&gt;"&amp;AM61, MATCH_INPUT!$K$14:$K$17, "&lt;&gt;Draw", MATCH_INPUT!$K$14:$K$17, "&lt;&gt;"""),
0)</f>
        <v>0</v>
      </c>
      <c r="AT61" s="29" t="str">
        <f t="array" ref="AT61">IFERROR(
  INDEX(PLAYER_STAT!E$2:E64, 
    MATCH(1, 
      (PLAYER_STAT!A$2:A64 = MATCH_DATES!$A$5) * (PLAYER_STAT!D$2:D64 = $B61), 
    0)
  ), 
  ""
)
</f>
        <v/>
      </c>
      <c r="AU61" s="29" t="str">
        <f t="array" ref="AU61">IFERROR(
  INDEX(PLAYER_STAT!F$2:F64, 
    MATCH(1, 
      (PLAYER_STAT!A$2:A64 = MATCH_DATES!$A$5) * (PLAYER_STAT!D$2:D64 = $B61), 
    0)
  ), 
  ""
)
</f>
        <v/>
      </c>
      <c r="AV61" s="30" t="str">
        <f t="array" ref="AV61">IFERROR(
  INDEX(PLAYER_STAT!G$2:G64, 
    MATCH(1, 
      (PLAYER_STAT!A$2:A64 = MATCH_DATES!$A$5) * (PLAYER_STAT!D$2:D64 = $B61), 
    0)
  ), 
  ""
)
</f>
        <v/>
      </c>
      <c r="AW61" s="31">
        <f t="shared" si="154"/>
        <v>10</v>
      </c>
      <c r="AX61" s="32" t="str">
        <f t="shared" si="23"/>
        <v>↓</v>
      </c>
      <c r="AY61" s="42"/>
      <c r="AZ61" s="33">
        <f t="shared" si="24"/>
        <v>0</v>
      </c>
      <c r="BA61" s="22">
        <f t="shared" si="25"/>
        <v>0</v>
      </c>
      <c r="BB61" s="22">
        <f>SUM(BC61*2) + (BD61*1) + SUMIFS(MATCH_INPUT!$G$18:$G$21, MATCH_INPUT!$F$18:$F$21, AY61) + SUMIFS(MATCH_INPUT!$I$18:$I$21, MATCH_INPUT!$J$18:$J$21, AY61)
</f>
        <v>0</v>
      </c>
      <c r="BC61" s="22">
        <f>IF(AY61&lt;&gt;"",
    COUNTIFS(MATCH_INPUT!$K$18:$K$21,AY61),
0)</f>
        <v>0</v>
      </c>
      <c r="BD61" s="22">
        <f>IF(AY61&lt;&gt;"",
    COUNTIFS(MATCH_INPUT!$F$18:$F$21, AY61, MATCH_INPUT!$K$18:$K$21, "Draw") +
    COUNTIFS(MATCH_INPUT!$J$18:$J$21, AY61, MATCH_INPUT!$K$18:$K$21, "Draw"),
0)</f>
        <v>0</v>
      </c>
      <c r="BE61" s="22">
        <f>IF(AY61&lt;&gt;"",
    COUNTIFS(MATCH_INPUT!$F$18:$F$21, AY61, MATCH_INPUT!$K$18:$K$21, "&lt;&gt;"&amp;AY61, MATCH_INPUT!$K$18:$K$21, "&lt;&gt;Draw", MATCH_INPUT!$K$18:$K$21, "&lt;&gt;""") +
    COUNTIFS(MATCH_INPUT!$J$18:$J$21, AY61, MATCH_INPUT!$K$18:$K$21, "&lt;&gt;"&amp;AY61, MATCH_INPUT!$K$18:$K$21, "&lt;&gt;Draw", MATCH_INPUT!$K$18:$K$21, "&lt;&gt;"""),
0)</f>
        <v>0</v>
      </c>
      <c r="BF61" s="23" t="str">
        <f t="array" ref="BF61">IFERROR(
  INDEX(PLAYER_STAT!E$2:E64, 
    MATCH(1, 
      (PLAYER_STAT!A$2:A64 = MATCH_DATES!$A$6) * (PLAYER_STAT!D$2:D64 = $B61), 
    0)
  ), 
  ""
)
</f>
        <v/>
      </c>
      <c r="BG61" s="23" t="str">
        <f t="array" ref="BG61">IFERROR(
  INDEX(PLAYER_STAT!F$2:F64, 
    MATCH(1, 
      (PLAYER_STAT!A$2:A64 = MATCH_DATES!$A$6) * (PLAYER_STAT!D$2:D64 = $B61), 
    0)
  ), 
  ""
)
</f>
        <v/>
      </c>
      <c r="BH61" s="34" t="str">
        <f t="array" ref="BH61">IFERROR(
  INDEX(PLAYER_STAT!G$2:G64, 
    MATCH(1, 
      (PLAYER_STAT!A$2:A64 = MATCH_DATES!$A$6) * (PLAYER_STAT!D$2:D64 = $B61), 
    0)
  ), 
  ""
)
</f>
        <v/>
      </c>
      <c r="BI61" s="25">
        <f t="shared" si="155"/>
        <v>12</v>
      </c>
      <c r="BJ61" s="26" t="str">
        <f t="shared" si="27"/>
        <v>↓</v>
      </c>
      <c r="BK61" s="43"/>
      <c r="BL61" s="28">
        <f t="shared" si="28"/>
        <v>0</v>
      </c>
      <c r="BM61" s="28">
        <f t="shared" si="29"/>
        <v>0</v>
      </c>
      <c r="BN61" s="28">
        <f>SUM(BO61*2) + (BP61*1) + SUMIFS(MATCH_INPUT!$G$22:$G$25, MATCH_INPUT!$F$22:$F$25, BK61) + SUMIFS(MATCH_INPUT!$I$22:$I$25, MATCH_INPUT!$J$22:$J$25, BK61)
</f>
        <v>0</v>
      </c>
      <c r="BO61" s="28">
        <f>IF(BK61&lt;&gt;"",
    COUNTIFS(MATCH_INPUT!$K$22:$K$25,BK61),
0)</f>
        <v>0</v>
      </c>
      <c r="BP61" s="28">
        <f>IF(BK61&lt;&gt;"",
    COUNTIFS(MATCH_INPUT!$F$22:$F$25, BK61, MATCH_INPUT!$K$22:$K$25, "Draw") +
    COUNTIFS(MATCH_INPUT!$J$22:$J$25, BK61, MATCH_INPUT!$K$22:$K$25, "Draw"),
0)</f>
        <v>0</v>
      </c>
      <c r="BQ61" s="28">
        <f>IF(BK61&lt;&gt;"",
    COUNTIFS(MATCH_INPUT!$F$22:$F$25, BK61, MATCH_INPUT!$K$22:$K$25, "&lt;&gt;"&amp;BK61, MATCH_INPUT!$K$22:$K$25, "&lt;&gt;Draw", MATCH_INPUT!$K$22:$K$25, "&lt;&gt;""") +
    COUNTIFS(MATCH_INPUT!$J$22:$J$25, BK61, MATCH_INPUT!$K$22:$K$25, "&lt;&gt;"&amp;BK61, MATCH_INPUT!$K$22:$K$25, "&lt;&gt;Draw", MATCH_INPUT!$K$22:$K$25, "&lt;&gt;"""),
0)</f>
        <v>0</v>
      </c>
      <c r="BR61" s="29" t="str">
        <f t="array" ref="BR61">IFERROR(
  INDEX(PLAYER_STAT!E$2:E64, 
    MATCH(1, 
      (PLAYER_STAT!A$2:A64 = MATCH_DATES!$A$7) * (PLAYER_STAT!D$2:D64 = $B61), 
    0)
  ), 
  ""
)
</f>
        <v/>
      </c>
      <c r="BS61" s="29" t="str">
        <f t="array" ref="BS61">IFERROR(
  INDEX(PLAYER_STAT!F$2:F64, 
    MATCH(1, 
      (PLAYER_STAT!A$2:A64 = MATCH_DATES!$A$7) * (PLAYER_STAT!D$2:D64 = $B61), 
    0)
  ), 
  ""
)
</f>
        <v/>
      </c>
      <c r="BT61" s="30" t="str">
        <f t="array" ref="BT61">IFERROR(
  INDEX(PLAYER_STAT!G$2:G64, 
    MATCH(1, 
      (PLAYER_STAT!A$2:A64 = MATCH_DATES!$A$7) * (PLAYER_STAT!D$2:D64 = $B61), 
    0)
  ), 
  ""
)
</f>
        <v/>
      </c>
      <c r="BU61" s="31">
        <f t="shared" si="156"/>
        <v>12</v>
      </c>
      <c r="BV61" s="32" t="str">
        <f t="shared" si="31"/>
        <v>=</v>
      </c>
      <c r="BW61" s="42"/>
      <c r="BX61" s="33">
        <f t="shared" si="32"/>
        <v>0</v>
      </c>
      <c r="BY61" s="22">
        <f t="shared" si="33"/>
        <v>0</v>
      </c>
      <c r="BZ61" s="22">
        <f>SUM(CA61*2)+(CB61*1) + SUMIFS(MATCH_INPUT!$G$26:$G$29, MATCH_INPUT!$F$26:$F$29, BW61) + SUMIFS(MATCH_INPUT!$I$26:$I$29, MATCH_INPUT!$J$26:$J$29, BW61)
</f>
        <v>0</v>
      </c>
      <c r="CA61" s="22">
        <f>IF(BW61&lt;&gt;"",
    COUNTIFS(MATCH_INPUT!$K$26:$K$29,BW61),
0)</f>
        <v>0</v>
      </c>
      <c r="CB61" s="22">
        <f>IF(BW61&lt;&gt;"",
    COUNTIFS(MATCH_INPUT!$F$26:$F$29, BW61, MATCH_INPUT!$K$26:$K$29, "Draw") +
    COUNTIFS(MATCH_INPUT!$J$26:$J$29, BW61, MATCH_INPUT!$K$26:$K$29, "Draw"),
0)</f>
        <v>0</v>
      </c>
      <c r="CC61" s="22">
        <f>IF(BW61&lt;&gt;"",
    COUNTIFS(MATCH_INPUT!$F$26:$F$29, BW61, MATCH_INPUT!$K$26:$K$29, "&lt;&gt;"&amp;BW61, MATCH_INPUT!$K$26:$K$29, "&lt;&gt;Draw", MATCH_INPUT!$K$26:$K$29, "&lt;&gt;""") +
    COUNTIFS(MATCH_INPUT!$J$26:$J$29, BW61, MATCH_INPUT!$K$26:$K$29, "&lt;&gt;"&amp;BW61, MATCH_INPUT!$K$26:$K$29, "&lt;&gt;Draw", MATCH_INPUT!$K$26:$K$29, "&lt;&gt;"""),
0)</f>
        <v>0</v>
      </c>
      <c r="CD61" s="23" t="str">
        <f t="array" ref="CD61">IFERROR(
  INDEX(PLAYER_STAT!E$2:E64, 
    MATCH(1, 
      (PLAYER_STAT!A$2:A64 = MATCH_DATES!$A$8) * (PLAYER_STAT!D$2:D64 = $B61), 
    0)
  ), 
  ""
)
</f>
        <v/>
      </c>
      <c r="CE61" s="23" t="str">
        <f t="array" ref="CE61">IFERROR(
  INDEX(PLAYER_STAT!F$2:F64, 
    MATCH(1, 
      (PLAYER_STAT!A$2:A64 = MATCH_DATES!$A$8) * (PLAYER_STAT!D$2:D64 = $B61), 
    0)
  ), 
  ""
)
</f>
        <v/>
      </c>
      <c r="CF61" s="34" t="str">
        <f t="array" ref="CF61">IFERROR(
  INDEX(PLAYER_STAT!G$2:G64, 
    MATCH(1, 
      (PLAYER_STAT!A$2:A64 = MATCH_DATES!$A$8) * (PLAYER_STAT!D$2:D64 = $B61), 
    0)
  ), 
  ""
)
</f>
        <v/>
      </c>
      <c r="CG61" s="25">
        <f t="shared" si="157"/>
        <v>14</v>
      </c>
      <c r="CH61" s="26" t="str">
        <f t="shared" si="35"/>
        <v>↓</v>
      </c>
      <c r="CI61" s="43"/>
      <c r="CJ61" s="44">
        <f t="shared" si="36"/>
        <v>0</v>
      </c>
      <c r="CK61" s="28">
        <f t="shared" si="37"/>
        <v>0</v>
      </c>
      <c r="CL61" s="28">
        <f>SUM(CM61*2)+(CN61*1) + SUMIFS(MATCH_INPUT!$G$30:$G$33, MATCH_INPUT!$F$30:$F$33, CI61) + SUMIFS(MATCH_INPUT!$I$30:$I$33, MATCH_INPUT!$J$30:$J$33, CI61)
</f>
        <v>0</v>
      </c>
      <c r="CM61" s="28">
        <f>IF(CI61&lt;&gt;"",
    COUNTIFS(MATCH_INPUT!$K$30:$K$33,CI61),
0)</f>
        <v>0</v>
      </c>
      <c r="CN61" s="28">
        <f>IF(CI61&lt;&gt;"",
    COUNTIFS(MATCH_INPUT!$F$30:$F$33, CI61, MATCH_INPUT!$K$30:$K$33, "Draw") +
    COUNTIFS(MATCH_INPUT!$J$30:$J$33, CI61, MATCH_INPUT!$K$30:$K$33, "Draw"),
0)</f>
        <v>0</v>
      </c>
      <c r="CO61" s="28">
        <f>IF(CI61&lt;&gt;"",
    COUNTIFS(MATCH_INPUT!$F$30:$F$33, CI61, MATCH_INPUT!$K$30:$K$33, "&lt;&gt;"&amp;CI61, MATCH_INPUT!$K$30:$K$33, "&lt;&gt;Draw", MATCH_INPUT!$K$30:$K$33, "&lt;&gt;""") +
    COUNTIFS(MATCH_INPUT!$J$30:$J$33, CI61, MATCH_INPUT!$K$30:$K$33, "&lt;&gt;"&amp;CI61, MATCH_INPUT!$K$30:$K$33, "&lt;&gt;Draw", MATCH_INPUT!$K$30:$K$33, "&lt;&gt;"""),
0)</f>
        <v>0</v>
      </c>
      <c r="CP61" s="29" t="str">
        <f t="array" ref="CP61">IFERROR(
  INDEX(PLAYER_STAT!E$2:E64, 
    MATCH(1, 
      (PLAYER_STAT!A$2:A64 = MATCH_DATES!$A$9) * (PLAYER_STAT!D$2:D64 = $B61), 
    0)
  ), 
  ""
)
</f>
        <v/>
      </c>
      <c r="CQ61" s="29" t="str">
        <f t="array" ref="CQ61">IFERROR(
  INDEX(PLAYER_STAT!F$2:F64, 
    MATCH(1, 
      (PLAYER_STAT!A$2:A64 = MATCH_DATES!$A$9) * (PLAYER_STAT!D$2:D64 = $B61), 
    0)
  ), 
  ""
)
</f>
        <v/>
      </c>
      <c r="CR61" s="30" t="str">
        <f t="array" ref="CR61">IFERROR(
  INDEX(PLAYER_STAT!G$2:G64, 
    MATCH(1, 
      (PLAYER_STAT!A$2:A64 = MATCH_DATES!$A$9) * (PLAYER_STAT!D$2:D64 = $B61), 
    0)
  ), 
  ""
)
</f>
        <v/>
      </c>
      <c r="CS61" s="35">
        <f t="shared" si="158"/>
        <v>14</v>
      </c>
      <c r="CT61" s="35" t="str">
        <f t="shared" si="39"/>
        <v>=</v>
      </c>
      <c r="CU61" s="37">
        <f t="shared" si="40"/>
        <v>0</v>
      </c>
      <c r="CV61" s="37" t="str">
        <f t="shared" ref="CV61:CW61" si="222">A61</f>
        <v/>
      </c>
      <c r="CW61" s="37" t="str">
        <f t="shared" si="222"/>
        <v/>
      </c>
      <c r="CX61" s="37">
        <f t="shared" si="42"/>
        <v>0</v>
      </c>
      <c r="CY61" s="37">
        <f>SUM(
  IF(AND(MATCH_DATES!$A$2 &lt;= TODAY(), NOW() &gt;= MATCH_DATES!$A$2 + TIME(22, 0, 0)), E61, 0),
  IF(AND(MATCH_DATES!$A$3 &lt;= TODAY(), NOW() &gt;= MATCH_DATES!$A$3 + TIME(22, 0, 0)), Q61, 0),
  IF(AND(MATCH_DATES!$A$4 &lt;= TODAY(), NOW() &gt;= MATCH_DATES!$A$4 + TIME(22, 0, 0)), AC61, 0),
  IF(AND(MATCH_DATES!$A$5 &lt;= TODAY(), NOW() &gt;= MATCH_DATES!$A$5 + TIME(22, 0, 0)), AO61, 0),
  IF(AND(MATCH_DATES!$A$6 &lt;= TODAY(), NOW() &gt;= MATCH_DATES!$A$6 + TIME(22, 0, 0)), BA61, 0),
  IF(AND(MATCH_DATES!$A$7 &lt;= TODAY(), NOW() &gt;= MATCH_DATES!$A$7 + TIME(22, 0, 0)), BM61, 0),
  IF(AND(MATCH_DATES!$A$8 &lt;= TODAY(), NOW() &gt;= MATCH_DATES!$A$8 + TIME(22, 0, 0)), BY61, 0),
  IF(AND(MATCH_DATES!$A$9 &lt;= TODAY(), NOW() &gt;= MATCH_DATES!$A$9 + TIME(22, 0, 0)), CK61, 0)
)
</f>
        <v>0</v>
      </c>
      <c r="CZ61" s="37">
        <f t="shared" ref="CZ61:DA61" si="223">SUM(G61,S61,AE61,AQ61,BC61,BO61,CA61,CM61)</f>
        <v>0</v>
      </c>
      <c r="DA61" s="37">
        <f t="shared" si="223"/>
        <v>0</v>
      </c>
      <c r="DB61" s="37">
        <f>SUM(
  IF(AND(MATCH_DATES!$A$2 &lt;= TODAY(), NOW() &gt;= MATCH_DATES!$A$2 + TIME(22, 0, 0)), I61, 0),
  IF(AND(MATCH_DATES!$A$3 &lt;= TODAY(), NOW() &gt;= MATCH_DATES!$A$3 + TIME(22, 0, 0)), U61, 0),
  IF(AND(MATCH_DATES!$A$4 &lt;= TODAY(), NOW() &gt;= MATCH_DATES!$A$4 + TIME(22, 0, 0)), AG61, 0),
  IF(AND(MATCH_DATES!$A$5 &lt;= TODAY(), NOW() &gt;= MATCH_DATES!$A$5 + TIME(22, 0, 0)), AS61, 0),
  IF(AND(MATCH_DATES!$A$6 &lt;= TODAY(), NOW() &gt;= MATCH_DATES!$A$6 + TIME(22, 0, 0)), BE61, 0),
  IF(AND(MATCH_DATES!$A$7 &lt;= TODAY(), NOW() &gt;= MATCH_DATES!$A$7 + TIME(22, 0, 0)), BQ61, 0),
  IF(AND(MATCH_DATES!$A$8 &lt;= TODAY(), NOW() &gt;= MATCH_DATES!$A$8 + TIME(22, 0, 0)), CC61, 0),
  IF(AND(MATCH_DATES!$A$9 &lt;= TODAY(), NOW() &gt;= MATCH_DATES!$A$9 + TIME(22, 0, 0)), CO61, 0)
)</f>
        <v>0</v>
      </c>
      <c r="DC61" s="37">
        <f t="shared" si="44"/>
        <v>0</v>
      </c>
      <c r="DD61" s="37">
        <f t="shared" ref="DD61:DE61" si="224">SUM(K61,W61,AI61,AU61,BG61,BS61,CE61,CQ61)</f>
        <v>0</v>
      </c>
      <c r="DE61" s="37">
        <f t="shared" si="224"/>
        <v>0</v>
      </c>
    </row>
    <row r="62" ht="24.75" customHeight="1">
      <c r="A62" s="19"/>
      <c r="B62" s="19"/>
      <c r="C62" s="42"/>
      <c r="D62" s="22">
        <f t="shared" si="4"/>
        <v>0</v>
      </c>
      <c r="E62" s="22">
        <f t="shared" si="5"/>
        <v>0</v>
      </c>
      <c r="F62" s="22">
        <f t="shared" si="6"/>
        <v>0</v>
      </c>
      <c r="G62" s="22">
        <f>IF(C62&lt;&gt;"",
    COUNTIFS(MATCH_INPUT!$K$2:$K$5,C62),
0)</f>
        <v>0</v>
      </c>
      <c r="H62" s="22">
        <f>IF(C62&lt;&gt;"",
    COUNTIFS(MATCH_INPUT!$F$2:$F$5, C62, MATCH_INPUT!$K$2:$K$5, "Draw") +
    COUNTIFS(MATCH_INPUT!$J$2:$J$5, C62, MATCH_INPUT!$K$2:$K$5, "Draw"),
0)</f>
        <v>0</v>
      </c>
      <c r="I62" s="22">
        <f>IF(C62&lt;&gt;"",
    COUNTIFS(MATCH_INPUT!$F$2:$F$5, C62, MATCH_INPUT!$K$2:$K$5, "&lt;&gt;"&amp;C62, MATCH_INPUT!$K$2:$K$5, "&lt;&gt;Draw", MATCH_INPUT!$K$2:$K$5, "&lt;&gt;""") +
    COUNTIFS(MATCH_INPUT!$J$2:$J$5, C62, MATCH_INPUT!$K$2:$K$5, "&lt;&gt;"&amp;C62, MATCH_INPUT!$K$2:$K$5, "&lt;&gt;Draw", MATCH_INPUT!$K$2:$K$5, "&lt;&gt;"""),
0)</f>
        <v>0</v>
      </c>
      <c r="J62" s="23" t="str">
        <f t="array" ref="J62">IFERROR(
  INDEX(PLAYER_STAT!E$2:E64, 
    MATCH(1, 
      (PLAYER_STAT!A$2:A64 = MATCH_DATES!$A$2) * (PLAYER_STAT!D$2:D64 = $B62), 
    0)
  ), 
  ""
)
</f>
        <v/>
      </c>
      <c r="K62" s="23" t="str">
        <f t="array" ref="K62">IFERROR(
  INDEX(PLAYER_STAT!F$2:F64, 
    MATCH(1, 
      (PLAYER_STAT!A$2:A64 = MATCH_DATES!$A$2) * (PLAYER_STAT!D$2:D64 = $B62), 
    0)
  ), 
  ""
)
</f>
        <v/>
      </c>
      <c r="L62" s="24" t="str">
        <f t="array" ref="L62">IFERROR(
  INDEX(PLAYER_STAT!G$2:G64, 
    MATCH(1, 
      (PLAYER_STAT!A$2:A64 = MATCH_DATES!$A$2) * (PLAYER_STAT!D$2:D64 = $B62), 
    0)
  ), 
  ""
)
</f>
        <v/>
      </c>
      <c r="M62" s="25">
        <f t="shared" si="151"/>
        <v>6</v>
      </c>
      <c r="N62" s="26" t="str">
        <f t="shared" si="8"/>
        <v>↓</v>
      </c>
      <c r="O62" s="43"/>
      <c r="P62" s="28">
        <f t="shared" si="9"/>
        <v>0</v>
      </c>
      <c r="Q62" s="28">
        <f t="shared" si="10"/>
        <v>0</v>
      </c>
      <c r="R62" s="28">
        <f t="shared" si="11"/>
        <v>0</v>
      </c>
      <c r="S62" s="28">
        <f>IF(O62&lt;&gt;"",
    COUNTIFS(MATCH_INPUT!$K$6:$K$9,O62),
0)</f>
        <v>0</v>
      </c>
      <c r="T62" s="28">
        <f>IF(O62&lt;&gt;"",
    COUNTIFS(MATCH_INPUT!$F$6:$F$9, O62, MATCH_INPUT!$K$6:$K$9, "Draw") +
    COUNTIFS(MATCH_INPUT!$J$6:$J$9, O62, MATCH_INPUT!$K$6:$K$9, "Draw"),
0)</f>
        <v>0</v>
      </c>
      <c r="U62" s="28">
        <f>IF(O62&lt;&gt;"",
    COUNTIFS(MATCH_INPUT!$F$6:$F$9, O62, MATCH_INPUT!$K$6:$K$9, "&lt;&gt;"&amp;O62, MATCH_INPUT!$K$6:$K$9, "&lt;&gt;Draw", MATCH_INPUT!$K$6:$K$9, "&lt;&gt;""") +
    COUNTIFS(MATCH_INPUT!$J$6:$J$9, O62, MATCH_INPUT!$K$6:$K$9, "&lt;&gt;"&amp;O62, MATCH_INPUT!$K$6:$K$9, "&lt;&gt;Draw", MATCH_INPUT!$K$6:$K$9, "&lt;&gt;"""),
0)</f>
        <v>0</v>
      </c>
      <c r="V62" s="29" t="str">
        <f t="array" ref="V62">IFERROR(
  INDEX(PLAYER_STAT!E$2:E64, 
    MATCH(1, 
      (PLAYER_STAT!A$2:A64 = MATCH_DATES!$A$3) * (PLAYER_STAT!D$2:D64 = $B62), 
    0)
  ), 
  ""
)
</f>
        <v/>
      </c>
      <c r="W62" s="29" t="str">
        <f t="array" ref="W62">IFERROR(
  INDEX(PLAYER_STAT!F$2:F64, 
    MATCH(1, 
      (PLAYER_STAT!A$2:A64 = MATCH_DATES!$A$3) * (PLAYER_STAT!D$2:D64 = $B62), 
    0)
  ), 
  ""
)
</f>
        <v/>
      </c>
      <c r="X62" s="30" t="str">
        <f t="array" ref="X62">IFERROR(
  INDEX(PLAYER_STAT!G$2:G64, 
    MATCH(1, 
      (PLAYER_STAT!A$2:A64 = MATCH_DATES!$A$3) * (PLAYER_STAT!D$2:D64 = $B62), 
    0)
  ), 
  ""
)
</f>
        <v/>
      </c>
      <c r="Y62" s="31">
        <f t="shared" si="152"/>
        <v>7</v>
      </c>
      <c r="Z62" s="32" t="str">
        <f t="shared" si="13"/>
        <v>↓</v>
      </c>
      <c r="AA62" s="42"/>
      <c r="AB62" s="33">
        <f t="shared" si="14"/>
        <v>0</v>
      </c>
      <c r="AC62" s="22">
        <f t="shared" si="15"/>
        <v>0</v>
      </c>
      <c r="AD62" s="22">
        <f t="shared" si="16"/>
        <v>0</v>
      </c>
      <c r="AE62" s="22">
        <f>IF(AA62&lt;&gt;"",
    COUNTIFS(MATCH_INPUT!$K$10:$K$13,AA62),
0)</f>
        <v>0</v>
      </c>
      <c r="AF62" s="22">
        <f>IF(AA62&lt;&gt;"",
    COUNTIFS(MATCH_INPUT!$F$10:$F$13, AA62, MATCH_INPUT!$K$10:$K$13, "Draw") +
    COUNTIFS(MATCH_INPUT!$J$10:$J$13, AA62, MATCH_INPUT!$K$10:$K$13, "Draw"),
0)</f>
        <v>0</v>
      </c>
      <c r="AG62" s="22">
        <f>IF(AA62&lt;&gt;"",
    COUNTIFS(MATCH_INPUT!$F$10:$F$13, AA62, MATCH_INPUT!$K$10:$K$13, "&lt;&gt;"&amp;AA62, MATCH_INPUT!$K$10:$K$13, "&lt;&gt;Draw", MATCH_INPUT!$K$10:$K$13, "&lt;&gt;""") +
    COUNTIFS(MATCH_INPUT!$J$10:$J$13, AA62, MATCH_INPUT!$K$10:$K$13, "&lt;&gt;"&amp;AA62, MATCH_INPUT!$K$10:$K$13, "&lt;&gt;Draw", MATCH_INPUT!$K$10:$K$13, "&lt;&gt;"""),
0)</f>
        <v>0</v>
      </c>
      <c r="AH62" s="23" t="str">
        <f t="array" ref="AH62">IFERROR(
  INDEX(PLAYER_STAT!E$2:E64, 
    MATCH(1, 
      (PLAYER_STAT!A$2:A64 = MATCH_DATES!$A$4) * (PLAYER_STAT!D$2:D64 = $B62), 
    0)
  ), 
  ""
)
</f>
        <v/>
      </c>
      <c r="AI62" s="23" t="str">
        <f t="array" ref="AI62">IFERROR(
  INDEX(PLAYER_STAT!F$2:F64, 
    MATCH(1, 
      (PLAYER_STAT!A$2:A64 = MATCH_DATES!$A$4) * (PLAYER_STAT!D$2:D64 = $B62), 
    0)
  ), 
  ""
)
</f>
        <v/>
      </c>
      <c r="AJ62" s="34" t="str">
        <f t="array" ref="AJ62">IFERROR(
  INDEX(PLAYER_STAT!G$2:G64, 
    MATCH(1, 
      (PLAYER_STAT!A$2:A64 = MATCH_DATES!$A$4) * (PLAYER_STAT!D$2:D64 = $B62), 
    0)
  ), 
  ""
)
</f>
        <v/>
      </c>
      <c r="AK62" s="25">
        <f t="shared" si="153"/>
        <v>7</v>
      </c>
      <c r="AL62" s="26" t="str">
        <f t="shared" si="18"/>
        <v>=</v>
      </c>
      <c r="AM62" s="43"/>
      <c r="AN62" s="28">
        <f t="shared" si="19"/>
        <v>0</v>
      </c>
      <c r="AO62" s="28">
        <f t="shared" si="20"/>
        <v>0</v>
      </c>
      <c r="AP62" s="28">
        <f t="shared" si="21"/>
        <v>0</v>
      </c>
      <c r="AQ62" s="28">
        <f>IF(AM62&lt;&gt;"",
    COUNTIFS(MATCH_INPUT!$K$14:$K$17,AM62),
0)</f>
        <v>0</v>
      </c>
      <c r="AR62" s="28">
        <f>IF(AM62&lt;&gt;"",
    COUNTIFS(MATCH_INPUT!$F$14:$F$17, AM62, MATCH_INPUT!$K$14:$K$17, "Draw") +
    COUNTIFS(MATCH_INPUT!$J$14:$J$17, AM62, MATCH_INPUT!$K$14:$K$17, "Draw"),
0)</f>
        <v>0</v>
      </c>
      <c r="AS62" s="28">
        <f>IF(AM62&lt;&gt;"",
    COUNTIFS(MATCH_INPUT!$F$14:$F$17, AM62, MATCH_INPUT!$K$14:$K$17, "&lt;&gt;"&amp;AM62, MATCH_INPUT!$K$14:$K$17, "&lt;&gt;Draw", MATCH_INPUT!$K$14:$K$17, "&lt;&gt;""") +
    COUNTIFS(MATCH_INPUT!$J$14:$J$17, AM62, MATCH_INPUT!$K$14:$K$17, "&lt;&gt;"&amp;AM62, MATCH_INPUT!$K$14:$K$17, "&lt;&gt;Draw", MATCH_INPUT!$K$14:$K$17, "&lt;&gt;"""),
0)</f>
        <v>0</v>
      </c>
      <c r="AT62" s="29" t="str">
        <f t="array" ref="AT62">IFERROR(
  INDEX(PLAYER_STAT!E$2:E64, 
    MATCH(1, 
      (PLAYER_STAT!A$2:A64 = MATCH_DATES!$A$5) * (PLAYER_STAT!D$2:D64 = $B62), 
    0)
  ), 
  ""
)
</f>
        <v/>
      </c>
      <c r="AU62" s="29" t="str">
        <f t="array" ref="AU62">IFERROR(
  INDEX(PLAYER_STAT!F$2:F64, 
    MATCH(1, 
      (PLAYER_STAT!A$2:A64 = MATCH_DATES!$A$5) * (PLAYER_STAT!D$2:D64 = $B62), 
    0)
  ), 
  ""
)
</f>
        <v/>
      </c>
      <c r="AV62" s="30" t="str">
        <f t="array" ref="AV62">IFERROR(
  INDEX(PLAYER_STAT!G$2:G64, 
    MATCH(1, 
      (PLAYER_STAT!A$2:A64 = MATCH_DATES!$A$5) * (PLAYER_STAT!D$2:D64 = $B62), 
    0)
  ), 
  ""
)
</f>
        <v/>
      </c>
      <c r="AW62" s="31">
        <f t="shared" si="154"/>
        <v>10</v>
      </c>
      <c r="AX62" s="32" t="str">
        <f t="shared" si="23"/>
        <v>↓</v>
      </c>
      <c r="AY62" s="42"/>
      <c r="AZ62" s="33">
        <f t="shared" si="24"/>
        <v>0</v>
      </c>
      <c r="BA62" s="22">
        <f t="shared" si="25"/>
        <v>0</v>
      </c>
      <c r="BB62" s="22">
        <f>SUM(BC62*2) + (BD62*1) + SUMIFS(MATCH_INPUT!$G$18:$G$21, MATCH_INPUT!$F$18:$F$21, AY62) + SUMIFS(MATCH_INPUT!$I$18:$I$21, MATCH_INPUT!$J$18:$J$21, AY62)
</f>
        <v>0</v>
      </c>
      <c r="BC62" s="22">
        <f>IF(AY62&lt;&gt;"",
    COUNTIFS(MATCH_INPUT!$K$18:$K$21,AY62),
0)</f>
        <v>0</v>
      </c>
      <c r="BD62" s="22">
        <f>IF(AY62&lt;&gt;"",
    COUNTIFS(MATCH_INPUT!$F$18:$F$21, AY62, MATCH_INPUT!$K$18:$K$21, "Draw") +
    COUNTIFS(MATCH_INPUT!$J$18:$J$21, AY62, MATCH_INPUT!$K$18:$K$21, "Draw"),
0)</f>
        <v>0</v>
      </c>
      <c r="BE62" s="22">
        <f>IF(AY62&lt;&gt;"",
    COUNTIFS(MATCH_INPUT!$F$18:$F$21, AY62, MATCH_INPUT!$K$18:$K$21, "&lt;&gt;"&amp;AY62, MATCH_INPUT!$K$18:$K$21, "&lt;&gt;Draw", MATCH_INPUT!$K$18:$K$21, "&lt;&gt;""") +
    COUNTIFS(MATCH_INPUT!$J$18:$J$21, AY62, MATCH_INPUT!$K$18:$K$21, "&lt;&gt;"&amp;AY62, MATCH_INPUT!$K$18:$K$21, "&lt;&gt;Draw", MATCH_INPUT!$K$18:$K$21, "&lt;&gt;"""),
0)</f>
        <v>0</v>
      </c>
      <c r="BF62" s="23" t="str">
        <f t="array" ref="BF62">IFERROR(
  INDEX(PLAYER_STAT!E$2:E64, 
    MATCH(1, 
      (PLAYER_STAT!A$2:A64 = MATCH_DATES!$A$6) * (PLAYER_STAT!D$2:D64 = $B62), 
    0)
  ), 
  ""
)
</f>
        <v/>
      </c>
      <c r="BG62" s="23" t="str">
        <f t="array" ref="BG62">IFERROR(
  INDEX(PLAYER_STAT!F$2:F64, 
    MATCH(1, 
      (PLAYER_STAT!A$2:A64 = MATCH_DATES!$A$6) * (PLAYER_STAT!D$2:D64 = $B62), 
    0)
  ), 
  ""
)
</f>
        <v/>
      </c>
      <c r="BH62" s="34" t="str">
        <f t="array" ref="BH62">IFERROR(
  INDEX(PLAYER_STAT!G$2:G64, 
    MATCH(1, 
      (PLAYER_STAT!A$2:A64 = MATCH_DATES!$A$6) * (PLAYER_STAT!D$2:D64 = $B62), 
    0)
  ), 
  ""
)
</f>
        <v/>
      </c>
      <c r="BI62" s="25">
        <f t="shared" si="155"/>
        <v>12</v>
      </c>
      <c r="BJ62" s="26" t="str">
        <f t="shared" si="27"/>
        <v>↓</v>
      </c>
      <c r="BK62" s="43"/>
      <c r="BL62" s="28">
        <f t="shared" si="28"/>
        <v>0</v>
      </c>
      <c r="BM62" s="28">
        <f t="shared" si="29"/>
        <v>0</v>
      </c>
      <c r="BN62" s="28">
        <f>SUM(BO62*2) + (BP62*1) + SUMIFS(MATCH_INPUT!$G$22:$G$25, MATCH_INPUT!$F$22:$F$25, BK62) + SUMIFS(MATCH_INPUT!$I$22:$I$25, MATCH_INPUT!$J$22:$J$25, BK62)
</f>
        <v>0</v>
      </c>
      <c r="BO62" s="28">
        <f>IF(BK62&lt;&gt;"",
    COUNTIFS(MATCH_INPUT!$K$22:$K$25,BK62),
0)</f>
        <v>0</v>
      </c>
      <c r="BP62" s="28">
        <f>IF(BK62&lt;&gt;"",
    COUNTIFS(MATCH_INPUT!$F$22:$F$25, BK62, MATCH_INPUT!$K$22:$K$25, "Draw") +
    COUNTIFS(MATCH_INPUT!$J$22:$J$25, BK62, MATCH_INPUT!$K$22:$K$25, "Draw"),
0)</f>
        <v>0</v>
      </c>
      <c r="BQ62" s="28">
        <f>IF(BK62&lt;&gt;"",
    COUNTIFS(MATCH_INPUT!$F$22:$F$25, BK62, MATCH_INPUT!$K$22:$K$25, "&lt;&gt;"&amp;BK62, MATCH_INPUT!$K$22:$K$25, "&lt;&gt;Draw", MATCH_INPUT!$K$22:$K$25, "&lt;&gt;""") +
    COUNTIFS(MATCH_INPUT!$J$22:$J$25, BK62, MATCH_INPUT!$K$22:$K$25, "&lt;&gt;"&amp;BK62, MATCH_INPUT!$K$22:$K$25, "&lt;&gt;Draw", MATCH_INPUT!$K$22:$K$25, "&lt;&gt;"""),
0)</f>
        <v>0</v>
      </c>
      <c r="BR62" s="29" t="str">
        <f t="array" ref="BR62">IFERROR(
  INDEX(PLAYER_STAT!E$2:E64, 
    MATCH(1, 
      (PLAYER_STAT!A$2:A64 = MATCH_DATES!$A$7) * (PLAYER_STAT!D$2:D64 = $B62), 
    0)
  ), 
  ""
)
</f>
        <v/>
      </c>
      <c r="BS62" s="29" t="str">
        <f t="array" ref="BS62">IFERROR(
  INDEX(PLAYER_STAT!F$2:F64, 
    MATCH(1, 
      (PLAYER_STAT!A$2:A64 = MATCH_DATES!$A$7) * (PLAYER_STAT!D$2:D64 = $B62), 
    0)
  ), 
  ""
)
</f>
        <v/>
      </c>
      <c r="BT62" s="30" t="str">
        <f t="array" ref="BT62">IFERROR(
  INDEX(PLAYER_STAT!G$2:G64, 
    MATCH(1, 
      (PLAYER_STAT!A$2:A64 = MATCH_DATES!$A$7) * (PLAYER_STAT!D$2:D64 = $B62), 
    0)
  ), 
  ""
)
</f>
        <v/>
      </c>
      <c r="BU62" s="31">
        <f t="shared" si="156"/>
        <v>12</v>
      </c>
      <c r="BV62" s="32" t="str">
        <f t="shared" si="31"/>
        <v>=</v>
      </c>
      <c r="BW62" s="42"/>
      <c r="BX62" s="33">
        <f t="shared" si="32"/>
        <v>0</v>
      </c>
      <c r="BY62" s="22">
        <f t="shared" si="33"/>
        <v>0</v>
      </c>
      <c r="BZ62" s="22">
        <f>SUM(CA62*2)+(CB62*1) + SUMIFS(MATCH_INPUT!$G$26:$G$29, MATCH_INPUT!$F$26:$F$29, BW62) + SUMIFS(MATCH_INPUT!$I$26:$I$29, MATCH_INPUT!$J$26:$J$29, BW62)
</f>
        <v>0</v>
      </c>
      <c r="CA62" s="22">
        <f>IF(BW62&lt;&gt;"",
    COUNTIFS(MATCH_INPUT!$K$26:$K$29,BW62),
0)</f>
        <v>0</v>
      </c>
      <c r="CB62" s="22">
        <f>IF(BW62&lt;&gt;"",
    COUNTIFS(MATCH_INPUT!$F$26:$F$29, BW62, MATCH_INPUT!$K$26:$K$29, "Draw") +
    COUNTIFS(MATCH_INPUT!$J$26:$J$29, BW62, MATCH_INPUT!$K$26:$K$29, "Draw"),
0)</f>
        <v>0</v>
      </c>
      <c r="CC62" s="22">
        <f>IF(BW62&lt;&gt;"",
    COUNTIFS(MATCH_INPUT!$F$26:$F$29, BW62, MATCH_INPUT!$K$26:$K$29, "&lt;&gt;"&amp;BW62, MATCH_INPUT!$K$26:$K$29, "&lt;&gt;Draw", MATCH_INPUT!$K$26:$K$29, "&lt;&gt;""") +
    COUNTIFS(MATCH_INPUT!$J$26:$J$29, BW62, MATCH_INPUT!$K$26:$K$29, "&lt;&gt;"&amp;BW62, MATCH_INPUT!$K$26:$K$29, "&lt;&gt;Draw", MATCH_INPUT!$K$26:$K$29, "&lt;&gt;"""),
0)</f>
        <v>0</v>
      </c>
      <c r="CD62" s="23" t="str">
        <f t="array" ref="CD62">IFERROR(
  INDEX(PLAYER_STAT!E$2:E64, 
    MATCH(1, 
      (PLAYER_STAT!A$2:A64 = MATCH_DATES!$A$8) * (PLAYER_STAT!D$2:D64 = $B62), 
    0)
  ), 
  ""
)
</f>
        <v/>
      </c>
      <c r="CE62" s="23" t="str">
        <f t="array" ref="CE62">IFERROR(
  INDEX(PLAYER_STAT!F$2:F64, 
    MATCH(1, 
      (PLAYER_STAT!A$2:A64 = MATCH_DATES!$A$8) * (PLAYER_STAT!D$2:D64 = $B62), 
    0)
  ), 
  ""
)
</f>
        <v/>
      </c>
      <c r="CF62" s="34" t="str">
        <f t="array" ref="CF62">IFERROR(
  INDEX(PLAYER_STAT!G$2:G64, 
    MATCH(1, 
      (PLAYER_STAT!A$2:A64 = MATCH_DATES!$A$8) * (PLAYER_STAT!D$2:D64 = $B62), 
    0)
  ), 
  ""
)
</f>
        <v/>
      </c>
      <c r="CG62" s="25">
        <f t="shared" si="157"/>
        <v>14</v>
      </c>
      <c r="CH62" s="26" t="str">
        <f t="shared" si="35"/>
        <v>↓</v>
      </c>
      <c r="CI62" s="43"/>
      <c r="CJ62" s="44">
        <f t="shared" si="36"/>
        <v>0</v>
      </c>
      <c r="CK62" s="28">
        <f t="shared" si="37"/>
        <v>0</v>
      </c>
      <c r="CL62" s="28">
        <f>SUM(CM62*2)+(CN62*1) + SUMIFS(MATCH_INPUT!$G$30:$G$33, MATCH_INPUT!$F$30:$F$33, CI62) + SUMIFS(MATCH_INPUT!$I$30:$I$33, MATCH_INPUT!$J$30:$J$33, CI62)
</f>
        <v>0</v>
      </c>
      <c r="CM62" s="28">
        <f>IF(CI62&lt;&gt;"",
    COUNTIFS(MATCH_INPUT!$K$30:$K$33,CI62),
0)</f>
        <v>0</v>
      </c>
      <c r="CN62" s="28">
        <f>IF(CI62&lt;&gt;"",
    COUNTIFS(MATCH_INPUT!$F$30:$F$33, CI62, MATCH_INPUT!$K$30:$K$33, "Draw") +
    COUNTIFS(MATCH_INPUT!$J$30:$J$33, CI62, MATCH_INPUT!$K$30:$K$33, "Draw"),
0)</f>
        <v>0</v>
      </c>
      <c r="CO62" s="28">
        <f>IF(CI62&lt;&gt;"",
    COUNTIFS(MATCH_INPUT!$F$30:$F$33, CI62, MATCH_INPUT!$K$30:$K$33, "&lt;&gt;"&amp;CI62, MATCH_INPUT!$K$30:$K$33, "&lt;&gt;Draw", MATCH_INPUT!$K$30:$K$33, "&lt;&gt;""") +
    COUNTIFS(MATCH_INPUT!$J$30:$J$33, CI62, MATCH_INPUT!$K$30:$K$33, "&lt;&gt;"&amp;CI62, MATCH_INPUT!$K$30:$K$33, "&lt;&gt;Draw", MATCH_INPUT!$K$30:$K$33, "&lt;&gt;"""),
0)</f>
        <v>0</v>
      </c>
      <c r="CP62" s="29" t="str">
        <f t="array" ref="CP62">IFERROR(
  INDEX(PLAYER_STAT!E$2:E64, 
    MATCH(1, 
      (PLAYER_STAT!A$2:A64 = MATCH_DATES!$A$9) * (PLAYER_STAT!D$2:D64 = $B62), 
    0)
  ), 
  ""
)
</f>
        <v/>
      </c>
      <c r="CQ62" s="29" t="str">
        <f t="array" ref="CQ62">IFERROR(
  INDEX(PLAYER_STAT!F$2:F64, 
    MATCH(1, 
      (PLAYER_STAT!A$2:A64 = MATCH_DATES!$A$9) * (PLAYER_STAT!D$2:D64 = $B62), 
    0)
  ), 
  ""
)
</f>
        <v/>
      </c>
      <c r="CR62" s="30" t="str">
        <f t="array" ref="CR62">IFERROR(
  INDEX(PLAYER_STAT!G$2:G64, 
    MATCH(1, 
      (PLAYER_STAT!A$2:A64 = MATCH_DATES!$A$9) * (PLAYER_STAT!D$2:D64 = $B62), 
    0)
  ), 
  ""
)
</f>
        <v/>
      </c>
      <c r="CS62" s="35">
        <f t="shared" si="158"/>
        <v>14</v>
      </c>
      <c r="CT62" s="35" t="str">
        <f t="shared" si="39"/>
        <v>=</v>
      </c>
      <c r="CU62" s="37">
        <f t="shared" si="40"/>
        <v>0</v>
      </c>
      <c r="CV62" s="37" t="str">
        <f t="shared" ref="CV62:CW62" si="225">A62</f>
        <v/>
      </c>
      <c r="CW62" s="37" t="str">
        <f t="shared" si="225"/>
        <v/>
      </c>
      <c r="CX62" s="37">
        <f t="shared" si="42"/>
        <v>0</v>
      </c>
      <c r="CY62" s="37">
        <f>SUM(
  IF(AND(MATCH_DATES!$A$2 &lt;= TODAY(), NOW() &gt;= MATCH_DATES!$A$2 + TIME(22, 0, 0)), E62, 0),
  IF(AND(MATCH_DATES!$A$3 &lt;= TODAY(), NOW() &gt;= MATCH_DATES!$A$3 + TIME(22, 0, 0)), Q62, 0),
  IF(AND(MATCH_DATES!$A$4 &lt;= TODAY(), NOW() &gt;= MATCH_DATES!$A$4 + TIME(22, 0, 0)), AC62, 0),
  IF(AND(MATCH_DATES!$A$5 &lt;= TODAY(), NOW() &gt;= MATCH_DATES!$A$5 + TIME(22, 0, 0)), AO62, 0),
  IF(AND(MATCH_DATES!$A$6 &lt;= TODAY(), NOW() &gt;= MATCH_DATES!$A$6 + TIME(22, 0, 0)), BA62, 0),
  IF(AND(MATCH_DATES!$A$7 &lt;= TODAY(), NOW() &gt;= MATCH_DATES!$A$7 + TIME(22, 0, 0)), BM62, 0),
  IF(AND(MATCH_DATES!$A$8 &lt;= TODAY(), NOW() &gt;= MATCH_DATES!$A$8 + TIME(22, 0, 0)), BY62, 0),
  IF(AND(MATCH_DATES!$A$9 &lt;= TODAY(), NOW() &gt;= MATCH_DATES!$A$9 + TIME(22, 0, 0)), CK62, 0)
)
</f>
        <v>0</v>
      </c>
      <c r="CZ62" s="37">
        <f t="shared" ref="CZ62:DA62" si="226">SUM(G62,S62,AE62,AQ62,BC62,BO62,CA62,CM62)</f>
        <v>0</v>
      </c>
      <c r="DA62" s="37">
        <f t="shared" si="226"/>
        <v>0</v>
      </c>
      <c r="DB62" s="37">
        <f>SUM(
  IF(AND(MATCH_DATES!$A$2 &lt;= TODAY(), NOW() &gt;= MATCH_DATES!$A$2 + TIME(22, 0, 0)), I62, 0),
  IF(AND(MATCH_DATES!$A$3 &lt;= TODAY(), NOW() &gt;= MATCH_DATES!$A$3 + TIME(22, 0, 0)), U62, 0),
  IF(AND(MATCH_DATES!$A$4 &lt;= TODAY(), NOW() &gt;= MATCH_DATES!$A$4 + TIME(22, 0, 0)), AG62, 0),
  IF(AND(MATCH_DATES!$A$5 &lt;= TODAY(), NOW() &gt;= MATCH_DATES!$A$5 + TIME(22, 0, 0)), AS62, 0),
  IF(AND(MATCH_DATES!$A$6 &lt;= TODAY(), NOW() &gt;= MATCH_DATES!$A$6 + TIME(22, 0, 0)), BE62, 0),
  IF(AND(MATCH_DATES!$A$7 &lt;= TODAY(), NOW() &gt;= MATCH_DATES!$A$7 + TIME(22, 0, 0)), BQ62, 0),
  IF(AND(MATCH_DATES!$A$8 &lt;= TODAY(), NOW() &gt;= MATCH_DATES!$A$8 + TIME(22, 0, 0)), CC62, 0),
  IF(AND(MATCH_DATES!$A$9 &lt;= TODAY(), NOW() &gt;= MATCH_DATES!$A$9 + TIME(22, 0, 0)), CO62, 0)
)</f>
        <v>0</v>
      </c>
      <c r="DC62" s="37">
        <f t="shared" si="44"/>
        <v>0</v>
      </c>
      <c r="DD62" s="37">
        <f t="shared" ref="DD62:DE62" si="227">SUM(K62,W62,AI62,AU62,BG62,BS62,CE62,CQ62)</f>
        <v>0</v>
      </c>
      <c r="DE62" s="37">
        <f t="shared" si="227"/>
        <v>0</v>
      </c>
    </row>
    <row r="63" ht="24.75" customHeight="1">
      <c r="A63" s="19"/>
      <c r="B63" s="19"/>
      <c r="C63" s="42"/>
      <c r="D63" s="22">
        <f t="shared" si="4"/>
        <v>0</v>
      </c>
      <c r="E63" s="22">
        <f t="shared" si="5"/>
        <v>0</v>
      </c>
      <c r="F63" s="22">
        <f t="shared" si="6"/>
        <v>0</v>
      </c>
      <c r="G63" s="22">
        <f>IF(C63&lt;&gt;"",
    COUNTIFS(MATCH_INPUT!$K$2:$K$5,C63),
0)</f>
        <v>0</v>
      </c>
      <c r="H63" s="22">
        <f>IF(C63&lt;&gt;"",
    COUNTIFS(MATCH_INPUT!$F$2:$F$5, C63, MATCH_INPUT!$K$2:$K$5, "Draw") +
    COUNTIFS(MATCH_INPUT!$J$2:$J$5, C63, MATCH_INPUT!$K$2:$K$5, "Draw"),
0)</f>
        <v>0</v>
      </c>
      <c r="I63" s="22">
        <f>IF(C63&lt;&gt;"",
    COUNTIFS(MATCH_INPUT!$F$2:$F$5, C63, MATCH_INPUT!$K$2:$K$5, "&lt;&gt;"&amp;C63, MATCH_INPUT!$K$2:$K$5, "&lt;&gt;Draw", MATCH_INPUT!$K$2:$K$5, "&lt;&gt;""") +
    COUNTIFS(MATCH_INPUT!$J$2:$J$5, C63, MATCH_INPUT!$K$2:$K$5, "&lt;&gt;"&amp;C63, MATCH_INPUT!$K$2:$K$5, "&lt;&gt;Draw", MATCH_INPUT!$K$2:$K$5, "&lt;&gt;"""),
0)</f>
        <v>0</v>
      </c>
      <c r="J63" s="23" t="str">
        <f t="array" ref="J63">IFERROR(
  INDEX(PLAYER_STAT!E$2:E64, 
    MATCH(1, 
      (PLAYER_STAT!A$2:A64 = MATCH_DATES!$A$2) * (PLAYER_STAT!D$2:D64 = $B63), 
    0)
  ), 
  ""
)
</f>
        <v/>
      </c>
      <c r="K63" s="23" t="str">
        <f t="array" ref="K63">IFERROR(
  INDEX(PLAYER_STAT!F$2:F64, 
    MATCH(1, 
      (PLAYER_STAT!A$2:A64 = MATCH_DATES!$A$2) * (PLAYER_STAT!D$2:D64 = $B63), 
    0)
  ), 
  ""
)
</f>
        <v/>
      </c>
      <c r="L63" s="24" t="str">
        <f t="array" ref="L63">IFERROR(
  INDEX(PLAYER_STAT!G$2:G64, 
    MATCH(1, 
      (PLAYER_STAT!A$2:A64 = MATCH_DATES!$A$2) * (PLAYER_STAT!D$2:D64 = $B63), 
    0)
  ), 
  ""
)
</f>
        <v/>
      </c>
      <c r="M63" s="25">
        <f t="shared" si="151"/>
        <v>6</v>
      </c>
      <c r="N63" s="26" t="str">
        <f t="shared" si="8"/>
        <v>↓</v>
      </c>
      <c r="O63" s="43"/>
      <c r="P63" s="28">
        <f t="shared" si="9"/>
        <v>0</v>
      </c>
      <c r="Q63" s="28">
        <f t="shared" si="10"/>
        <v>0</v>
      </c>
      <c r="R63" s="28">
        <f t="shared" si="11"/>
        <v>0</v>
      </c>
      <c r="S63" s="28">
        <f>IF(O63&lt;&gt;"",
    COUNTIFS(MATCH_INPUT!$K$6:$K$9,O63),
0)</f>
        <v>0</v>
      </c>
      <c r="T63" s="28">
        <f>IF(O63&lt;&gt;"",
    COUNTIFS(MATCH_INPUT!$F$6:$F$9, O63, MATCH_INPUT!$K$6:$K$9, "Draw") +
    COUNTIFS(MATCH_INPUT!$J$6:$J$9, O63, MATCH_INPUT!$K$6:$K$9, "Draw"),
0)</f>
        <v>0</v>
      </c>
      <c r="U63" s="28">
        <f>IF(O63&lt;&gt;"",
    COUNTIFS(MATCH_INPUT!$F$6:$F$9, O63, MATCH_INPUT!$K$6:$K$9, "&lt;&gt;"&amp;O63, MATCH_INPUT!$K$6:$K$9, "&lt;&gt;Draw", MATCH_INPUT!$K$6:$K$9, "&lt;&gt;""") +
    COUNTIFS(MATCH_INPUT!$J$6:$J$9, O63, MATCH_INPUT!$K$6:$K$9, "&lt;&gt;"&amp;O63, MATCH_INPUT!$K$6:$K$9, "&lt;&gt;Draw", MATCH_INPUT!$K$6:$K$9, "&lt;&gt;"""),
0)</f>
        <v>0</v>
      </c>
      <c r="V63" s="29" t="str">
        <f t="array" ref="V63">IFERROR(
  INDEX(PLAYER_STAT!E$2:E64, 
    MATCH(1, 
      (PLAYER_STAT!A$2:A64 = MATCH_DATES!$A$3) * (PLAYER_STAT!D$2:D64 = $B63), 
    0)
  ), 
  ""
)
</f>
        <v/>
      </c>
      <c r="W63" s="29" t="str">
        <f t="array" ref="W63">IFERROR(
  INDEX(PLAYER_STAT!F$2:F64, 
    MATCH(1, 
      (PLAYER_STAT!A$2:A64 = MATCH_DATES!$A$3) * (PLAYER_STAT!D$2:D64 = $B63), 
    0)
  ), 
  ""
)
</f>
        <v/>
      </c>
      <c r="X63" s="30" t="str">
        <f t="array" ref="X63">IFERROR(
  INDEX(PLAYER_STAT!G$2:G64, 
    MATCH(1, 
      (PLAYER_STAT!A$2:A64 = MATCH_DATES!$A$3) * (PLAYER_STAT!D$2:D64 = $B63), 
    0)
  ), 
  ""
)
</f>
        <v/>
      </c>
      <c r="Y63" s="31">
        <f t="shared" si="152"/>
        <v>7</v>
      </c>
      <c r="Z63" s="32" t="str">
        <f t="shared" si="13"/>
        <v>↓</v>
      </c>
      <c r="AA63" s="42"/>
      <c r="AB63" s="33">
        <f t="shared" si="14"/>
        <v>0</v>
      </c>
      <c r="AC63" s="22">
        <f t="shared" si="15"/>
        <v>0</v>
      </c>
      <c r="AD63" s="22">
        <f t="shared" si="16"/>
        <v>0</v>
      </c>
      <c r="AE63" s="22">
        <f>IF(AA63&lt;&gt;"",
    COUNTIFS(MATCH_INPUT!$K$10:$K$13,AA63),
0)</f>
        <v>0</v>
      </c>
      <c r="AF63" s="22">
        <f>IF(AA63&lt;&gt;"",
    COUNTIFS(MATCH_INPUT!$F$10:$F$13, AA63, MATCH_INPUT!$K$10:$K$13, "Draw") +
    COUNTIFS(MATCH_INPUT!$J$10:$J$13, AA63, MATCH_INPUT!$K$10:$K$13, "Draw"),
0)</f>
        <v>0</v>
      </c>
      <c r="AG63" s="22">
        <f>IF(AA63&lt;&gt;"",
    COUNTIFS(MATCH_INPUT!$F$10:$F$13, AA63, MATCH_INPUT!$K$10:$K$13, "&lt;&gt;"&amp;AA63, MATCH_INPUT!$K$10:$K$13, "&lt;&gt;Draw", MATCH_INPUT!$K$10:$K$13, "&lt;&gt;""") +
    COUNTIFS(MATCH_INPUT!$J$10:$J$13, AA63, MATCH_INPUT!$K$10:$K$13, "&lt;&gt;"&amp;AA63, MATCH_INPUT!$K$10:$K$13, "&lt;&gt;Draw", MATCH_INPUT!$K$10:$K$13, "&lt;&gt;"""),
0)</f>
        <v>0</v>
      </c>
      <c r="AH63" s="23" t="str">
        <f t="array" ref="AH63">IFERROR(
  INDEX(PLAYER_STAT!E$2:E64, 
    MATCH(1, 
      (PLAYER_STAT!A$2:A64 = MATCH_DATES!$A$4) * (PLAYER_STAT!D$2:D64 = $B63), 
    0)
  ), 
  ""
)
</f>
        <v/>
      </c>
      <c r="AI63" s="23" t="str">
        <f t="array" ref="AI63">IFERROR(
  INDEX(PLAYER_STAT!F$2:F64, 
    MATCH(1, 
      (PLAYER_STAT!A$2:A64 = MATCH_DATES!$A$4) * (PLAYER_STAT!D$2:D64 = $B63), 
    0)
  ), 
  ""
)
</f>
        <v/>
      </c>
      <c r="AJ63" s="34" t="str">
        <f t="array" ref="AJ63">IFERROR(
  INDEX(PLAYER_STAT!G$2:G64, 
    MATCH(1, 
      (PLAYER_STAT!A$2:A64 = MATCH_DATES!$A$4) * (PLAYER_STAT!D$2:D64 = $B63), 
    0)
  ), 
  ""
)
</f>
        <v/>
      </c>
      <c r="AK63" s="25">
        <f t="shared" si="153"/>
        <v>7</v>
      </c>
      <c r="AL63" s="26" t="str">
        <f t="shared" si="18"/>
        <v>=</v>
      </c>
      <c r="AM63" s="43"/>
      <c r="AN63" s="28">
        <f t="shared" si="19"/>
        <v>0</v>
      </c>
      <c r="AO63" s="28">
        <f t="shared" si="20"/>
        <v>0</v>
      </c>
      <c r="AP63" s="28">
        <f t="shared" si="21"/>
        <v>0</v>
      </c>
      <c r="AQ63" s="28">
        <f>IF(AM63&lt;&gt;"",
    COUNTIFS(MATCH_INPUT!$K$14:$K$17,AM63),
0)</f>
        <v>0</v>
      </c>
      <c r="AR63" s="28">
        <f>IF(AM63&lt;&gt;"",
    COUNTIFS(MATCH_INPUT!$F$14:$F$17, AM63, MATCH_INPUT!$K$14:$K$17, "Draw") +
    COUNTIFS(MATCH_INPUT!$J$14:$J$17, AM63, MATCH_INPUT!$K$14:$K$17, "Draw"),
0)</f>
        <v>0</v>
      </c>
      <c r="AS63" s="28">
        <f>IF(AM63&lt;&gt;"",
    COUNTIFS(MATCH_INPUT!$F$14:$F$17, AM63, MATCH_INPUT!$K$14:$K$17, "&lt;&gt;"&amp;AM63, MATCH_INPUT!$K$14:$K$17, "&lt;&gt;Draw", MATCH_INPUT!$K$14:$K$17, "&lt;&gt;""") +
    COUNTIFS(MATCH_INPUT!$J$14:$J$17, AM63, MATCH_INPUT!$K$14:$K$17, "&lt;&gt;"&amp;AM63, MATCH_INPUT!$K$14:$K$17, "&lt;&gt;Draw", MATCH_INPUT!$K$14:$K$17, "&lt;&gt;"""),
0)</f>
        <v>0</v>
      </c>
      <c r="AT63" s="29" t="str">
        <f t="array" ref="AT63">IFERROR(
  INDEX(PLAYER_STAT!E$2:E64, 
    MATCH(1, 
      (PLAYER_STAT!A$2:A64 = MATCH_DATES!$A$5) * (PLAYER_STAT!D$2:D64 = $B63), 
    0)
  ), 
  ""
)
</f>
        <v/>
      </c>
      <c r="AU63" s="29" t="str">
        <f t="array" ref="AU63">IFERROR(
  INDEX(PLAYER_STAT!F$2:F64, 
    MATCH(1, 
      (PLAYER_STAT!A$2:A64 = MATCH_DATES!$A$5) * (PLAYER_STAT!D$2:D64 = $B63), 
    0)
  ), 
  ""
)
</f>
        <v/>
      </c>
      <c r="AV63" s="30" t="str">
        <f t="array" ref="AV63">IFERROR(
  INDEX(PLAYER_STAT!G$2:G64, 
    MATCH(1, 
      (PLAYER_STAT!A$2:A64 = MATCH_DATES!$A$5) * (PLAYER_STAT!D$2:D64 = $B63), 
    0)
  ), 
  ""
)
</f>
        <v/>
      </c>
      <c r="AW63" s="31">
        <f t="shared" si="154"/>
        <v>10</v>
      </c>
      <c r="AX63" s="32" t="str">
        <f t="shared" si="23"/>
        <v>↓</v>
      </c>
      <c r="AY63" s="42"/>
      <c r="AZ63" s="33">
        <f t="shared" si="24"/>
        <v>0</v>
      </c>
      <c r="BA63" s="22">
        <f t="shared" si="25"/>
        <v>0</v>
      </c>
      <c r="BB63" s="22">
        <f>SUM(BC63*2) + (BD63*1) + SUMIFS(MATCH_INPUT!$G$18:$G$21, MATCH_INPUT!$F$18:$F$21, AY63) + SUMIFS(MATCH_INPUT!$I$18:$I$21, MATCH_INPUT!$J$18:$J$21, AY63)
</f>
        <v>0</v>
      </c>
      <c r="BC63" s="22">
        <f>IF(AY63&lt;&gt;"",
    COUNTIFS(MATCH_INPUT!$K$18:$K$21,AY63),
0)</f>
        <v>0</v>
      </c>
      <c r="BD63" s="22">
        <f>IF(AY63&lt;&gt;"",
    COUNTIFS(MATCH_INPUT!$F$18:$F$21, AY63, MATCH_INPUT!$K$18:$K$21, "Draw") +
    COUNTIFS(MATCH_INPUT!$J$18:$J$21, AY63, MATCH_INPUT!$K$18:$K$21, "Draw"),
0)</f>
        <v>0</v>
      </c>
      <c r="BE63" s="22">
        <f>IF(AY63&lt;&gt;"",
    COUNTIFS(MATCH_INPUT!$F$18:$F$21, AY63, MATCH_INPUT!$K$18:$K$21, "&lt;&gt;"&amp;AY63, MATCH_INPUT!$K$18:$K$21, "&lt;&gt;Draw", MATCH_INPUT!$K$18:$K$21, "&lt;&gt;""") +
    COUNTIFS(MATCH_INPUT!$J$18:$J$21, AY63, MATCH_INPUT!$K$18:$K$21, "&lt;&gt;"&amp;AY63, MATCH_INPUT!$K$18:$K$21, "&lt;&gt;Draw", MATCH_INPUT!$K$18:$K$21, "&lt;&gt;"""),
0)</f>
        <v>0</v>
      </c>
      <c r="BF63" s="23" t="str">
        <f t="array" ref="BF63">IFERROR(
  INDEX(PLAYER_STAT!E$2:E64, 
    MATCH(1, 
      (PLAYER_STAT!A$2:A64 = MATCH_DATES!$A$6) * (PLAYER_STAT!D$2:D64 = $B63), 
    0)
  ), 
  ""
)
</f>
        <v/>
      </c>
      <c r="BG63" s="23" t="str">
        <f t="array" ref="BG63">IFERROR(
  INDEX(PLAYER_STAT!F$2:F64, 
    MATCH(1, 
      (PLAYER_STAT!A$2:A64 = MATCH_DATES!$A$6) * (PLAYER_STAT!D$2:D64 = $B63), 
    0)
  ), 
  ""
)
</f>
        <v/>
      </c>
      <c r="BH63" s="34" t="str">
        <f t="array" ref="BH63">IFERROR(
  INDEX(PLAYER_STAT!G$2:G64, 
    MATCH(1, 
      (PLAYER_STAT!A$2:A64 = MATCH_DATES!$A$6) * (PLAYER_STAT!D$2:D64 = $B63), 
    0)
  ), 
  ""
)
</f>
        <v/>
      </c>
      <c r="BI63" s="25">
        <f t="shared" si="155"/>
        <v>12</v>
      </c>
      <c r="BJ63" s="26" t="str">
        <f t="shared" si="27"/>
        <v>↓</v>
      </c>
      <c r="BK63" s="43"/>
      <c r="BL63" s="28">
        <f t="shared" si="28"/>
        <v>0</v>
      </c>
      <c r="BM63" s="28">
        <f t="shared" si="29"/>
        <v>0</v>
      </c>
      <c r="BN63" s="28">
        <f>SUM(BO63*2) + (BP63*1) + SUMIFS(MATCH_INPUT!$G$22:$G$25, MATCH_INPUT!$F$22:$F$25, BK63) + SUMIFS(MATCH_INPUT!$I$22:$I$25, MATCH_INPUT!$J$22:$J$25, BK63)
</f>
        <v>0</v>
      </c>
      <c r="BO63" s="28">
        <f>IF(BK63&lt;&gt;"",
    COUNTIFS(MATCH_INPUT!$K$22:$K$25,BK63),
0)</f>
        <v>0</v>
      </c>
      <c r="BP63" s="28">
        <f>IF(BK63&lt;&gt;"",
    COUNTIFS(MATCH_INPUT!$F$22:$F$25, BK63, MATCH_INPUT!$K$22:$K$25, "Draw") +
    COUNTIFS(MATCH_INPUT!$J$22:$J$25, BK63, MATCH_INPUT!$K$22:$K$25, "Draw"),
0)</f>
        <v>0</v>
      </c>
      <c r="BQ63" s="28">
        <f>IF(BK63&lt;&gt;"",
    COUNTIFS(MATCH_INPUT!$F$22:$F$25, BK63, MATCH_INPUT!$K$22:$K$25, "&lt;&gt;"&amp;BK63, MATCH_INPUT!$K$22:$K$25, "&lt;&gt;Draw", MATCH_INPUT!$K$22:$K$25, "&lt;&gt;""") +
    COUNTIFS(MATCH_INPUT!$J$22:$J$25, BK63, MATCH_INPUT!$K$22:$K$25, "&lt;&gt;"&amp;BK63, MATCH_INPUT!$K$22:$K$25, "&lt;&gt;Draw", MATCH_INPUT!$K$22:$K$25, "&lt;&gt;"""),
0)</f>
        <v>0</v>
      </c>
      <c r="BR63" s="29" t="str">
        <f t="array" ref="BR63">IFERROR(
  INDEX(PLAYER_STAT!E$2:E64, 
    MATCH(1, 
      (PLAYER_STAT!A$2:A64 = MATCH_DATES!$A$7) * (PLAYER_STAT!D$2:D64 = $B63), 
    0)
  ), 
  ""
)
</f>
        <v/>
      </c>
      <c r="BS63" s="29" t="str">
        <f t="array" ref="BS63">IFERROR(
  INDEX(PLAYER_STAT!F$2:F64, 
    MATCH(1, 
      (PLAYER_STAT!A$2:A64 = MATCH_DATES!$A$7) * (PLAYER_STAT!D$2:D64 = $B63), 
    0)
  ), 
  ""
)
</f>
        <v/>
      </c>
      <c r="BT63" s="30" t="str">
        <f t="array" ref="BT63">IFERROR(
  INDEX(PLAYER_STAT!G$2:G64, 
    MATCH(1, 
      (PLAYER_STAT!A$2:A64 = MATCH_DATES!$A$7) * (PLAYER_STAT!D$2:D64 = $B63), 
    0)
  ), 
  ""
)
</f>
        <v/>
      </c>
      <c r="BU63" s="31">
        <f t="shared" si="156"/>
        <v>12</v>
      </c>
      <c r="BV63" s="32" t="str">
        <f t="shared" si="31"/>
        <v>=</v>
      </c>
      <c r="BW63" s="42"/>
      <c r="BX63" s="33">
        <f t="shared" si="32"/>
        <v>0</v>
      </c>
      <c r="BY63" s="22">
        <f t="shared" si="33"/>
        <v>0</v>
      </c>
      <c r="BZ63" s="22">
        <f>SUM(CA63*2)+(CB63*1) + SUMIFS(MATCH_INPUT!$G$26:$G$29, MATCH_INPUT!$F$26:$F$29, BW63) + SUMIFS(MATCH_INPUT!$I$26:$I$29, MATCH_INPUT!$J$26:$J$29, BW63)
</f>
        <v>0</v>
      </c>
      <c r="CA63" s="22">
        <f>IF(BW63&lt;&gt;"",
    COUNTIFS(MATCH_INPUT!$K$26:$K$29,BW63),
0)</f>
        <v>0</v>
      </c>
      <c r="CB63" s="22">
        <f>IF(BW63&lt;&gt;"",
    COUNTIFS(MATCH_INPUT!$F$26:$F$29, BW63, MATCH_INPUT!$K$26:$K$29, "Draw") +
    COUNTIFS(MATCH_INPUT!$J$26:$J$29, BW63, MATCH_INPUT!$K$26:$K$29, "Draw"),
0)</f>
        <v>0</v>
      </c>
      <c r="CC63" s="22">
        <f>IF(BW63&lt;&gt;"",
    COUNTIFS(MATCH_INPUT!$F$26:$F$29, BW63, MATCH_INPUT!$K$26:$K$29, "&lt;&gt;"&amp;BW63, MATCH_INPUT!$K$26:$K$29, "&lt;&gt;Draw", MATCH_INPUT!$K$26:$K$29, "&lt;&gt;""") +
    COUNTIFS(MATCH_INPUT!$J$26:$J$29, BW63, MATCH_INPUT!$K$26:$K$29, "&lt;&gt;"&amp;BW63, MATCH_INPUT!$K$26:$K$29, "&lt;&gt;Draw", MATCH_INPUT!$K$26:$K$29, "&lt;&gt;"""),
0)</f>
        <v>0</v>
      </c>
      <c r="CD63" s="23" t="str">
        <f t="array" ref="CD63">IFERROR(
  INDEX(PLAYER_STAT!E$2:E64, 
    MATCH(1, 
      (PLAYER_STAT!A$2:A64 = MATCH_DATES!$A$8) * (PLAYER_STAT!D$2:D64 = $B63), 
    0)
  ), 
  ""
)
</f>
        <v/>
      </c>
      <c r="CE63" s="23" t="str">
        <f t="array" ref="CE63">IFERROR(
  INDEX(PLAYER_STAT!F$2:F64, 
    MATCH(1, 
      (PLAYER_STAT!A$2:A64 = MATCH_DATES!$A$8) * (PLAYER_STAT!D$2:D64 = $B63), 
    0)
  ), 
  ""
)
</f>
        <v/>
      </c>
      <c r="CF63" s="34" t="str">
        <f t="array" ref="CF63">IFERROR(
  INDEX(PLAYER_STAT!G$2:G64, 
    MATCH(1, 
      (PLAYER_STAT!A$2:A64 = MATCH_DATES!$A$8) * (PLAYER_STAT!D$2:D64 = $B63), 
    0)
  ), 
  ""
)
</f>
        <v/>
      </c>
      <c r="CG63" s="25">
        <f t="shared" si="157"/>
        <v>14</v>
      </c>
      <c r="CH63" s="26" t="str">
        <f t="shared" si="35"/>
        <v>↓</v>
      </c>
      <c r="CI63" s="43"/>
      <c r="CJ63" s="44">
        <f t="shared" si="36"/>
        <v>0</v>
      </c>
      <c r="CK63" s="28">
        <f t="shared" si="37"/>
        <v>0</v>
      </c>
      <c r="CL63" s="28">
        <f>SUM(CM63*2)+(CN63*1) + SUMIFS(MATCH_INPUT!$G$30:$G$33, MATCH_INPUT!$F$30:$F$33, CI63) + SUMIFS(MATCH_INPUT!$I$30:$I$33, MATCH_INPUT!$J$30:$J$33, CI63)
</f>
        <v>0</v>
      </c>
      <c r="CM63" s="28">
        <f>IF(CI63&lt;&gt;"",
    COUNTIFS(MATCH_INPUT!$K$30:$K$33,CI63),
0)</f>
        <v>0</v>
      </c>
      <c r="CN63" s="28">
        <f>IF(CI63&lt;&gt;"",
    COUNTIFS(MATCH_INPUT!$F$30:$F$33, CI63, MATCH_INPUT!$K$30:$K$33, "Draw") +
    COUNTIFS(MATCH_INPUT!$J$30:$J$33, CI63, MATCH_INPUT!$K$30:$K$33, "Draw"),
0)</f>
        <v>0</v>
      </c>
      <c r="CO63" s="28">
        <f>IF(CI63&lt;&gt;"",
    COUNTIFS(MATCH_INPUT!$F$30:$F$33, CI63, MATCH_INPUT!$K$30:$K$33, "&lt;&gt;"&amp;CI63, MATCH_INPUT!$K$30:$K$33, "&lt;&gt;Draw", MATCH_INPUT!$K$30:$K$33, "&lt;&gt;""") +
    COUNTIFS(MATCH_INPUT!$J$30:$J$33, CI63, MATCH_INPUT!$K$30:$K$33, "&lt;&gt;"&amp;CI63, MATCH_INPUT!$K$30:$K$33, "&lt;&gt;Draw", MATCH_INPUT!$K$30:$K$33, "&lt;&gt;"""),
0)</f>
        <v>0</v>
      </c>
      <c r="CP63" s="29" t="str">
        <f t="array" ref="CP63">IFERROR(
  INDEX(PLAYER_STAT!E$2:E64, 
    MATCH(1, 
      (PLAYER_STAT!A$2:A64 = MATCH_DATES!$A$9) * (PLAYER_STAT!D$2:D64 = $B63), 
    0)
  ), 
  ""
)
</f>
        <v/>
      </c>
      <c r="CQ63" s="29" t="str">
        <f t="array" ref="CQ63">IFERROR(
  INDEX(PLAYER_STAT!F$2:F64, 
    MATCH(1, 
      (PLAYER_STAT!A$2:A64 = MATCH_DATES!$A$9) * (PLAYER_STAT!D$2:D64 = $B63), 
    0)
  ), 
  ""
)
</f>
        <v/>
      </c>
      <c r="CR63" s="30" t="str">
        <f t="array" ref="CR63">IFERROR(
  INDEX(PLAYER_STAT!G$2:G64, 
    MATCH(1, 
      (PLAYER_STAT!A$2:A64 = MATCH_DATES!$A$9) * (PLAYER_STAT!D$2:D64 = $B63), 
    0)
  ), 
  ""
)
</f>
        <v/>
      </c>
      <c r="CS63" s="35">
        <f t="shared" si="158"/>
        <v>14</v>
      </c>
      <c r="CT63" s="35" t="str">
        <f t="shared" si="39"/>
        <v>=</v>
      </c>
      <c r="CU63" s="37">
        <f t="shared" si="40"/>
        <v>0</v>
      </c>
      <c r="CV63" s="37" t="str">
        <f t="shared" ref="CV63:CW63" si="228">A63</f>
        <v/>
      </c>
      <c r="CW63" s="37" t="str">
        <f t="shared" si="228"/>
        <v/>
      </c>
      <c r="CX63" s="37">
        <f t="shared" si="42"/>
        <v>0</v>
      </c>
      <c r="CY63" s="37">
        <f>SUM(
  IF(AND(MATCH_DATES!$A$2 &lt;= TODAY(), NOW() &gt;= MATCH_DATES!$A$2 + TIME(22, 0, 0)), E63, 0),
  IF(AND(MATCH_DATES!$A$3 &lt;= TODAY(), NOW() &gt;= MATCH_DATES!$A$3 + TIME(22, 0, 0)), Q63, 0),
  IF(AND(MATCH_DATES!$A$4 &lt;= TODAY(), NOW() &gt;= MATCH_DATES!$A$4 + TIME(22, 0, 0)), AC63, 0),
  IF(AND(MATCH_DATES!$A$5 &lt;= TODAY(), NOW() &gt;= MATCH_DATES!$A$5 + TIME(22, 0, 0)), AO63, 0),
  IF(AND(MATCH_DATES!$A$6 &lt;= TODAY(), NOW() &gt;= MATCH_DATES!$A$6 + TIME(22, 0, 0)), BA63, 0),
  IF(AND(MATCH_DATES!$A$7 &lt;= TODAY(), NOW() &gt;= MATCH_DATES!$A$7 + TIME(22, 0, 0)), BM63, 0),
  IF(AND(MATCH_DATES!$A$8 &lt;= TODAY(), NOW() &gt;= MATCH_DATES!$A$8 + TIME(22, 0, 0)), BY63, 0),
  IF(AND(MATCH_DATES!$A$9 &lt;= TODAY(), NOW() &gt;= MATCH_DATES!$A$9 + TIME(22, 0, 0)), CK63, 0)
)
</f>
        <v>0</v>
      </c>
      <c r="CZ63" s="37">
        <f t="shared" ref="CZ63:DA63" si="229">SUM(G63,S63,AE63,AQ63,BC63,BO63,CA63,CM63)</f>
        <v>0</v>
      </c>
      <c r="DA63" s="37">
        <f t="shared" si="229"/>
        <v>0</v>
      </c>
      <c r="DB63" s="37">
        <f>SUM(
  IF(AND(MATCH_DATES!$A$2 &lt;= TODAY(), NOW() &gt;= MATCH_DATES!$A$2 + TIME(22, 0, 0)), I63, 0),
  IF(AND(MATCH_DATES!$A$3 &lt;= TODAY(), NOW() &gt;= MATCH_DATES!$A$3 + TIME(22, 0, 0)), U63, 0),
  IF(AND(MATCH_DATES!$A$4 &lt;= TODAY(), NOW() &gt;= MATCH_DATES!$A$4 + TIME(22, 0, 0)), AG63, 0),
  IF(AND(MATCH_DATES!$A$5 &lt;= TODAY(), NOW() &gt;= MATCH_DATES!$A$5 + TIME(22, 0, 0)), AS63, 0),
  IF(AND(MATCH_DATES!$A$6 &lt;= TODAY(), NOW() &gt;= MATCH_DATES!$A$6 + TIME(22, 0, 0)), BE63, 0),
  IF(AND(MATCH_DATES!$A$7 &lt;= TODAY(), NOW() &gt;= MATCH_DATES!$A$7 + TIME(22, 0, 0)), BQ63, 0),
  IF(AND(MATCH_DATES!$A$8 &lt;= TODAY(), NOW() &gt;= MATCH_DATES!$A$8 + TIME(22, 0, 0)), CC63, 0),
  IF(AND(MATCH_DATES!$A$9 &lt;= TODAY(), NOW() &gt;= MATCH_DATES!$A$9 + TIME(22, 0, 0)), CO63, 0)
)</f>
        <v>0</v>
      </c>
      <c r="DC63" s="37">
        <f t="shared" si="44"/>
        <v>0</v>
      </c>
      <c r="DD63" s="37">
        <f t="shared" ref="DD63:DE63" si="230">SUM(K63,W63,AI63,AU63,BG63,BS63,CE63,CQ63)</f>
        <v>0</v>
      </c>
      <c r="DE63" s="37">
        <f t="shared" si="230"/>
        <v>0</v>
      </c>
    </row>
    <row r="64" ht="24.75" customHeight="1">
      <c r="A64" s="19"/>
      <c r="B64" s="19"/>
      <c r="C64" s="42"/>
      <c r="D64" s="22">
        <f t="shared" si="4"/>
        <v>0</v>
      </c>
      <c r="E64" s="22">
        <f t="shared" si="5"/>
        <v>0</v>
      </c>
      <c r="F64" s="22">
        <f t="shared" si="6"/>
        <v>0</v>
      </c>
      <c r="G64" s="22">
        <f>IF(C64&lt;&gt;"",
    COUNTIFS(MATCH_INPUT!$K$2:$K$5,C64),
0)</f>
        <v>0</v>
      </c>
      <c r="H64" s="22">
        <f>IF(C64&lt;&gt;"",
    COUNTIFS(MATCH_INPUT!$F$2:$F$5, C64, MATCH_INPUT!$K$2:$K$5, "Draw") +
    COUNTIFS(MATCH_INPUT!$J$2:$J$5, C64, MATCH_INPUT!$K$2:$K$5, "Draw"),
0)</f>
        <v>0</v>
      </c>
      <c r="I64" s="22">
        <f>IF(C64&lt;&gt;"",
    COUNTIFS(MATCH_INPUT!$F$2:$F$5, C64, MATCH_INPUT!$K$2:$K$5, "&lt;&gt;"&amp;C64, MATCH_INPUT!$K$2:$K$5, "&lt;&gt;Draw", MATCH_INPUT!$K$2:$K$5, "&lt;&gt;""") +
    COUNTIFS(MATCH_INPUT!$J$2:$J$5, C64, MATCH_INPUT!$K$2:$K$5, "&lt;&gt;"&amp;C64, MATCH_INPUT!$K$2:$K$5, "&lt;&gt;Draw", MATCH_INPUT!$K$2:$K$5, "&lt;&gt;"""),
0)</f>
        <v>0</v>
      </c>
      <c r="J64" s="23" t="str">
        <f t="array" ref="J64">IFERROR(
  INDEX(PLAYER_STAT!E$2:E64, 
    MATCH(1, 
      (PLAYER_STAT!A$2:A64 = MATCH_DATES!$A$2) * (PLAYER_STAT!D$2:D64 = $B64), 
    0)
  ), 
  ""
)
</f>
        <v/>
      </c>
      <c r="K64" s="23" t="str">
        <f t="array" ref="K64">IFERROR(
  INDEX(PLAYER_STAT!F$2:F64, 
    MATCH(1, 
      (PLAYER_STAT!A$2:A64 = MATCH_DATES!$A$2) * (PLAYER_STAT!D$2:D64 = $B64), 
    0)
  ), 
  ""
)
</f>
        <v/>
      </c>
      <c r="L64" s="24" t="str">
        <f t="array" ref="L64">IFERROR(
  INDEX(PLAYER_STAT!G$2:G64, 
    MATCH(1, 
      (PLAYER_STAT!A$2:A64 = MATCH_DATES!$A$2) * (PLAYER_STAT!D$2:D64 = $B64), 
    0)
  ), 
  ""
)
</f>
        <v/>
      </c>
      <c r="M64" s="25">
        <f t="shared" si="151"/>
        <v>6</v>
      </c>
      <c r="N64" s="26" t="str">
        <f t="shared" si="8"/>
        <v>↓</v>
      </c>
      <c r="O64" s="43"/>
      <c r="P64" s="28">
        <f t="shared" si="9"/>
        <v>0</v>
      </c>
      <c r="Q64" s="28">
        <f t="shared" si="10"/>
        <v>0</v>
      </c>
      <c r="R64" s="28">
        <f t="shared" si="11"/>
        <v>0</v>
      </c>
      <c r="S64" s="28">
        <f>IF(O64&lt;&gt;"",
    COUNTIFS(MATCH_INPUT!$K$6:$K$9,O64),
0)</f>
        <v>0</v>
      </c>
      <c r="T64" s="28">
        <f>IF(O64&lt;&gt;"",
    COUNTIFS(MATCH_INPUT!$F$6:$F$9, O64, MATCH_INPUT!$K$6:$K$9, "Draw") +
    COUNTIFS(MATCH_INPUT!$J$6:$J$9, O64, MATCH_INPUT!$K$6:$K$9, "Draw"),
0)</f>
        <v>0</v>
      </c>
      <c r="U64" s="28">
        <f>IF(O64&lt;&gt;"",
    COUNTIFS(MATCH_INPUT!$F$6:$F$9, O64, MATCH_INPUT!$K$6:$K$9, "&lt;&gt;"&amp;O64, MATCH_INPUT!$K$6:$K$9, "&lt;&gt;Draw", MATCH_INPUT!$K$6:$K$9, "&lt;&gt;""") +
    COUNTIFS(MATCH_INPUT!$J$6:$J$9, O64, MATCH_INPUT!$K$6:$K$9, "&lt;&gt;"&amp;O64, MATCH_INPUT!$K$6:$K$9, "&lt;&gt;Draw", MATCH_INPUT!$K$6:$K$9, "&lt;&gt;"""),
0)</f>
        <v>0</v>
      </c>
      <c r="V64" s="29" t="str">
        <f t="array" ref="V64">IFERROR(
  INDEX(PLAYER_STAT!E$2:E64, 
    MATCH(1, 
      (PLAYER_STAT!A$2:A64 = MATCH_DATES!$A$3) * (PLAYER_STAT!D$2:D64 = $B64), 
    0)
  ), 
  ""
)
</f>
        <v/>
      </c>
      <c r="W64" s="29" t="str">
        <f t="array" ref="W64">IFERROR(
  INDEX(PLAYER_STAT!F$2:F64, 
    MATCH(1, 
      (PLAYER_STAT!A$2:A64 = MATCH_DATES!$A$3) * (PLAYER_STAT!D$2:D64 = $B64), 
    0)
  ), 
  ""
)
</f>
        <v/>
      </c>
      <c r="X64" s="30" t="str">
        <f t="array" ref="X64">IFERROR(
  INDEX(PLAYER_STAT!G$2:G64, 
    MATCH(1, 
      (PLAYER_STAT!A$2:A64 = MATCH_DATES!$A$3) * (PLAYER_STAT!D$2:D64 = $B64), 
    0)
  ), 
  ""
)
</f>
        <v/>
      </c>
      <c r="Y64" s="31">
        <f t="shared" si="152"/>
        <v>7</v>
      </c>
      <c r="Z64" s="32" t="str">
        <f t="shared" si="13"/>
        <v>↓</v>
      </c>
      <c r="AA64" s="42"/>
      <c r="AB64" s="33">
        <f t="shared" si="14"/>
        <v>0</v>
      </c>
      <c r="AC64" s="22">
        <f t="shared" si="15"/>
        <v>0</v>
      </c>
      <c r="AD64" s="22">
        <f t="shared" si="16"/>
        <v>0</v>
      </c>
      <c r="AE64" s="22">
        <f>IF(AA64&lt;&gt;"",
    COUNTIFS(MATCH_INPUT!$K$10:$K$13,AA64),
0)</f>
        <v>0</v>
      </c>
      <c r="AF64" s="22">
        <f>IF(AA64&lt;&gt;"",
    COUNTIFS(MATCH_INPUT!$F$10:$F$13, AA64, MATCH_INPUT!$K$10:$K$13, "Draw") +
    COUNTIFS(MATCH_INPUT!$J$10:$J$13, AA64, MATCH_INPUT!$K$10:$K$13, "Draw"),
0)</f>
        <v>0</v>
      </c>
      <c r="AG64" s="22">
        <f>IF(AA64&lt;&gt;"",
    COUNTIFS(MATCH_INPUT!$F$10:$F$13, AA64, MATCH_INPUT!$K$10:$K$13, "&lt;&gt;"&amp;AA64, MATCH_INPUT!$K$10:$K$13, "&lt;&gt;Draw", MATCH_INPUT!$K$10:$K$13, "&lt;&gt;""") +
    COUNTIFS(MATCH_INPUT!$J$10:$J$13, AA64, MATCH_INPUT!$K$10:$K$13, "&lt;&gt;"&amp;AA64, MATCH_INPUT!$K$10:$K$13, "&lt;&gt;Draw", MATCH_INPUT!$K$10:$K$13, "&lt;&gt;"""),
0)</f>
        <v>0</v>
      </c>
      <c r="AH64" s="23" t="str">
        <f t="array" ref="AH64">IFERROR(
  INDEX(PLAYER_STAT!E$2:E64, 
    MATCH(1, 
      (PLAYER_STAT!A$2:A64 = MATCH_DATES!$A$4) * (PLAYER_STAT!D$2:D64 = $B64), 
    0)
  ), 
  ""
)
</f>
        <v/>
      </c>
      <c r="AI64" s="23" t="str">
        <f t="array" ref="AI64">IFERROR(
  INDEX(PLAYER_STAT!F$2:F64, 
    MATCH(1, 
      (PLAYER_STAT!A$2:A64 = MATCH_DATES!$A$4) * (PLAYER_STAT!D$2:D64 = $B64), 
    0)
  ), 
  ""
)
</f>
        <v/>
      </c>
      <c r="AJ64" s="34" t="str">
        <f t="array" ref="AJ64">IFERROR(
  INDEX(PLAYER_STAT!G$2:G64, 
    MATCH(1, 
      (PLAYER_STAT!A$2:A64 = MATCH_DATES!$A$4) * (PLAYER_STAT!D$2:D64 = $B64), 
    0)
  ), 
  ""
)
</f>
        <v/>
      </c>
      <c r="AK64" s="25">
        <f t="shared" si="153"/>
        <v>7</v>
      </c>
      <c r="AL64" s="26" t="str">
        <f t="shared" si="18"/>
        <v>=</v>
      </c>
      <c r="AM64" s="43"/>
      <c r="AN64" s="28">
        <f t="shared" si="19"/>
        <v>0</v>
      </c>
      <c r="AO64" s="28">
        <f t="shared" si="20"/>
        <v>0</v>
      </c>
      <c r="AP64" s="28">
        <f t="shared" si="21"/>
        <v>0</v>
      </c>
      <c r="AQ64" s="28">
        <f>IF(AM64&lt;&gt;"",
    COUNTIFS(MATCH_INPUT!$K$14:$K$17,AM64),
0)</f>
        <v>0</v>
      </c>
      <c r="AR64" s="28">
        <f>IF(AM64&lt;&gt;"",
    COUNTIFS(MATCH_INPUT!$F$14:$F$17, AM64, MATCH_INPUT!$K$14:$K$17, "Draw") +
    COUNTIFS(MATCH_INPUT!$J$14:$J$17, AM64, MATCH_INPUT!$K$14:$K$17, "Draw"),
0)</f>
        <v>0</v>
      </c>
      <c r="AS64" s="28">
        <f>IF(AM64&lt;&gt;"",
    COUNTIFS(MATCH_INPUT!$F$14:$F$17, AM64, MATCH_INPUT!$K$14:$K$17, "&lt;&gt;"&amp;AM64, MATCH_INPUT!$K$14:$K$17, "&lt;&gt;Draw", MATCH_INPUT!$K$14:$K$17, "&lt;&gt;""") +
    COUNTIFS(MATCH_INPUT!$J$14:$J$17, AM64, MATCH_INPUT!$K$14:$K$17, "&lt;&gt;"&amp;AM64, MATCH_INPUT!$K$14:$K$17, "&lt;&gt;Draw", MATCH_INPUT!$K$14:$K$17, "&lt;&gt;"""),
0)</f>
        <v>0</v>
      </c>
      <c r="AT64" s="29" t="str">
        <f t="array" ref="AT64">IFERROR(
  INDEX(PLAYER_STAT!E$2:E64, 
    MATCH(1, 
      (PLAYER_STAT!A$2:A64 = MATCH_DATES!$A$5) * (PLAYER_STAT!D$2:D64 = $B64), 
    0)
  ), 
  ""
)
</f>
        <v/>
      </c>
      <c r="AU64" s="29" t="str">
        <f t="array" ref="AU64">IFERROR(
  INDEX(PLAYER_STAT!F$2:F64, 
    MATCH(1, 
      (PLAYER_STAT!A$2:A64 = MATCH_DATES!$A$5) * (PLAYER_STAT!D$2:D64 = $B64), 
    0)
  ), 
  ""
)
</f>
        <v/>
      </c>
      <c r="AV64" s="30" t="str">
        <f t="array" ref="AV64">IFERROR(
  INDEX(PLAYER_STAT!G$2:G64, 
    MATCH(1, 
      (PLAYER_STAT!A$2:A64 = MATCH_DATES!$A$5) * (PLAYER_STAT!D$2:D64 = $B64), 
    0)
  ), 
  ""
)
</f>
        <v/>
      </c>
      <c r="AW64" s="31">
        <f t="shared" si="154"/>
        <v>10</v>
      </c>
      <c r="AX64" s="32" t="str">
        <f t="shared" si="23"/>
        <v>↓</v>
      </c>
      <c r="AY64" s="42"/>
      <c r="AZ64" s="33">
        <f t="shared" si="24"/>
        <v>0</v>
      </c>
      <c r="BA64" s="22">
        <f t="shared" si="25"/>
        <v>0</v>
      </c>
      <c r="BB64" s="22">
        <f>SUM(BC64*2) + (BD64*1) + SUMIFS(MATCH_INPUT!$G$18:$G$21, MATCH_INPUT!$F$18:$F$21, AY64) + SUMIFS(MATCH_INPUT!$I$18:$I$21, MATCH_INPUT!$J$18:$J$21, AY64)
</f>
        <v>0</v>
      </c>
      <c r="BC64" s="22">
        <f>IF(AY64&lt;&gt;"",
    COUNTIFS(MATCH_INPUT!$K$18:$K$21,AY64),
0)</f>
        <v>0</v>
      </c>
      <c r="BD64" s="22">
        <f>IF(AY64&lt;&gt;"",
    COUNTIFS(MATCH_INPUT!$F$18:$F$21, AY64, MATCH_INPUT!$K$18:$K$21, "Draw") +
    COUNTIFS(MATCH_INPUT!$J$18:$J$21, AY64, MATCH_INPUT!$K$18:$K$21, "Draw"),
0)</f>
        <v>0</v>
      </c>
      <c r="BE64" s="22">
        <f>IF(AY64&lt;&gt;"",
    COUNTIFS(MATCH_INPUT!$F$18:$F$21, AY64, MATCH_INPUT!$K$18:$K$21, "&lt;&gt;"&amp;AY64, MATCH_INPUT!$K$18:$K$21, "&lt;&gt;Draw", MATCH_INPUT!$K$18:$K$21, "&lt;&gt;""") +
    COUNTIFS(MATCH_INPUT!$J$18:$J$21, AY64, MATCH_INPUT!$K$18:$K$21, "&lt;&gt;"&amp;AY64, MATCH_INPUT!$K$18:$K$21, "&lt;&gt;Draw", MATCH_INPUT!$K$18:$K$21, "&lt;&gt;"""),
0)</f>
        <v>0</v>
      </c>
      <c r="BF64" s="23" t="str">
        <f t="array" ref="BF64">IFERROR(
  INDEX(PLAYER_STAT!E$2:E64, 
    MATCH(1, 
      (PLAYER_STAT!A$2:A64 = MATCH_DATES!$A$6) * (PLAYER_STAT!D$2:D64 = $B64), 
    0)
  ), 
  ""
)
</f>
        <v/>
      </c>
      <c r="BG64" s="23" t="str">
        <f t="array" ref="BG64">IFERROR(
  INDEX(PLAYER_STAT!F$2:F64, 
    MATCH(1, 
      (PLAYER_STAT!A$2:A64 = MATCH_DATES!$A$6) * (PLAYER_STAT!D$2:D64 = $B64), 
    0)
  ), 
  ""
)
</f>
        <v/>
      </c>
      <c r="BH64" s="34" t="str">
        <f t="array" ref="BH64">IFERROR(
  INDEX(PLAYER_STAT!G$2:G64, 
    MATCH(1, 
      (PLAYER_STAT!A$2:A64 = MATCH_DATES!$A$6) * (PLAYER_STAT!D$2:D64 = $B64), 
    0)
  ), 
  ""
)
</f>
        <v/>
      </c>
      <c r="BI64" s="25">
        <f t="shared" si="155"/>
        <v>12</v>
      </c>
      <c r="BJ64" s="26" t="str">
        <f t="shared" si="27"/>
        <v>↓</v>
      </c>
      <c r="BK64" s="43"/>
      <c r="BL64" s="28">
        <f t="shared" si="28"/>
        <v>0</v>
      </c>
      <c r="BM64" s="28">
        <f t="shared" si="29"/>
        <v>0</v>
      </c>
      <c r="BN64" s="28">
        <f>SUM(BO64*2) + (BP64*1) + SUMIFS(MATCH_INPUT!$G$22:$G$25, MATCH_INPUT!$F$22:$F$25, BK64) + SUMIFS(MATCH_INPUT!$I$22:$I$25, MATCH_INPUT!$J$22:$J$25, BK64)
</f>
        <v>0</v>
      </c>
      <c r="BO64" s="28">
        <f>IF(BK64&lt;&gt;"",
    COUNTIFS(MATCH_INPUT!$K$22:$K$25,BK64),
0)</f>
        <v>0</v>
      </c>
      <c r="BP64" s="28">
        <f>IF(BK64&lt;&gt;"",
    COUNTIFS(MATCH_INPUT!$F$22:$F$25, BK64, MATCH_INPUT!$K$22:$K$25, "Draw") +
    COUNTIFS(MATCH_INPUT!$J$22:$J$25, BK64, MATCH_INPUT!$K$22:$K$25, "Draw"),
0)</f>
        <v>0</v>
      </c>
      <c r="BQ64" s="28">
        <f>IF(BK64&lt;&gt;"",
    COUNTIFS(MATCH_INPUT!$F$22:$F$25, BK64, MATCH_INPUT!$K$22:$K$25, "&lt;&gt;"&amp;BK64, MATCH_INPUT!$K$22:$K$25, "&lt;&gt;Draw", MATCH_INPUT!$K$22:$K$25, "&lt;&gt;""") +
    COUNTIFS(MATCH_INPUT!$J$22:$J$25, BK64, MATCH_INPUT!$K$22:$K$25, "&lt;&gt;"&amp;BK64, MATCH_INPUT!$K$22:$K$25, "&lt;&gt;Draw", MATCH_INPUT!$K$22:$K$25, "&lt;&gt;"""),
0)</f>
        <v>0</v>
      </c>
      <c r="BR64" s="29" t="str">
        <f t="array" ref="BR64">IFERROR(
  INDEX(PLAYER_STAT!E$2:E64, 
    MATCH(1, 
      (PLAYER_STAT!A$2:A64 = MATCH_DATES!$A$7) * (PLAYER_STAT!D$2:D64 = $B64), 
    0)
  ), 
  ""
)
</f>
        <v/>
      </c>
      <c r="BS64" s="29" t="str">
        <f t="array" ref="BS64">IFERROR(
  INDEX(PLAYER_STAT!F$2:F64, 
    MATCH(1, 
      (PLAYER_STAT!A$2:A64 = MATCH_DATES!$A$7) * (PLAYER_STAT!D$2:D64 = $B64), 
    0)
  ), 
  ""
)
</f>
        <v/>
      </c>
      <c r="BT64" s="30" t="str">
        <f t="array" ref="BT64">IFERROR(
  INDEX(PLAYER_STAT!G$2:G64, 
    MATCH(1, 
      (PLAYER_STAT!A$2:A64 = MATCH_DATES!$A$7) * (PLAYER_STAT!D$2:D64 = $B64), 
    0)
  ), 
  ""
)
</f>
        <v/>
      </c>
      <c r="BU64" s="31">
        <f t="shared" si="156"/>
        <v>12</v>
      </c>
      <c r="BV64" s="32" t="str">
        <f t="shared" si="31"/>
        <v>=</v>
      </c>
      <c r="BW64" s="42"/>
      <c r="BX64" s="33">
        <f t="shared" si="32"/>
        <v>0</v>
      </c>
      <c r="BY64" s="22">
        <f t="shared" si="33"/>
        <v>0</v>
      </c>
      <c r="BZ64" s="22">
        <f>SUM(CA64*2)+(CB64*1) + SUMIFS(MATCH_INPUT!$G$26:$G$29, MATCH_INPUT!$F$26:$F$29, BW64) + SUMIFS(MATCH_INPUT!$I$26:$I$29, MATCH_INPUT!$J$26:$J$29, BW64)
</f>
        <v>0</v>
      </c>
      <c r="CA64" s="22">
        <f>IF(BW64&lt;&gt;"",
    COUNTIFS(MATCH_INPUT!$K$26:$K$29,BW64),
0)</f>
        <v>0</v>
      </c>
      <c r="CB64" s="22">
        <f>IF(BW64&lt;&gt;"",
    COUNTIFS(MATCH_INPUT!$F$26:$F$29, BW64, MATCH_INPUT!$K$26:$K$29, "Draw") +
    COUNTIFS(MATCH_INPUT!$J$26:$J$29, BW64, MATCH_INPUT!$K$26:$K$29, "Draw"),
0)</f>
        <v>0</v>
      </c>
      <c r="CC64" s="22">
        <f>IF(BW64&lt;&gt;"",
    COUNTIFS(MATCH_INPUT!$F$26:$F$29, BW64, MATCH_INPUT!$K$26:$K$29, "&lt;&gt;"&amp;BW64, MATCH_INPUT!$K$26:$K$29, "&lt;&gt;Draw", MATCH_INPUT!$K$26:$K$29, "&lt;&gt;""") +
    COUNTIFS(MATCH_INPUT!$J$26:$J$29, BW64, MATCH_INPUT!$K$26:$K$29, "&lt;&gt;"&amp;BW64, MATCH_INPUT!$K$26:$K$29, "&lt;&gt;Draw", MATCH_INPUT!$K$26:$K$29, "&lt;&gt;"""),
0)</f>
        <v>0</v>
      </c>
      <c r="CD64" s="23" t="str">
        <f t="array" ref="CD64">IFERROR(
  INDEX(PLAYER_STAT!E$2:E64, 
    MATCH(1, 
      (PLAYER_STAT!A$2:A64 = MATCH_DATES!$A$8) * (PLAYER_STAT!D$2:D64 = $B64), 
    0)
  ), 
  ""
)
</f>
        <v/>
      </c>
      <c r="CE64" s="23" t="str">
        <f t="array" ref="CE64">IFERROR(
  INDEX(PLAYER_STAT!F$2:F64, 
    MATCH(1, 
      (PLAYER_STAT!A$2:A64 = MATCH_DATES!$A$8) * (PLAYER_STAT!D$2:D64 = $B64), 
    0)
  ), 
  ""
)
</f>
        <v/>
      </c>
      <c r="CF64" s="34" t="str">
        <f t="array" ref="CF64">IFERROR(
  INDEX(PLAYER_STAT!G$2:G64, 
    MATCH(1, 
      (PLAYER_STAT!A$2:A64 = MATCH_DATES!$A$8) * (PLAYER_STAT!D$2:D64 = $B64), 
    0)
  ), 
  ""
)
</f>
        <v/>
      </c>
      <c r="CG64" s="25">
        <f t="shared" si="157"/>
        <v>14</v>
      </c>
      <c r="CH64" s="26" t="str">
        <f t="shared" si="35"/>
        <v>↓</v>
      </c>
      <c r="CI64" s="43"/>
      <c r="CJ64" s="44">
        <f t="shared" si="36"/>
        <v>0</v>
      </c>
      <c r="CK64" s="28">
        <f t="shared" si="37"/>
        <v>0</v>
      </c>
      <c r="CL64" s="28">
        <f>SUM(CM64*2)+(CN64*1) + SUMIFS(MATCH_INPUT!$G$30:$G$33, MATCH_INPUT!$F$30:$F$33, CI64) + SUMIFS(MATCH_INPUT!$I$30:$I$33, MATCH_INPUT!$J$30:$J$33, CI64)
</f>
        <v>0</v>
      </c>
      <c r="CM64" s="28">
        <f>IF(CI64&lt;&gt;"",
    COUNTIFS(MATCH_INPUT!$K$30:$K$33,CI64),
0)</f>
        <v>0</v>
      </c>
      <c r="CN64" s="28">
        <f>IF(CI64&lt;&gt;"",
    COUNTIFS(MATCH_INPUT!$F$30:$F$33, CI64, MATCH_INPUT!$K$30:$K$33, "Draw") +
    COUNTIFS(MATCH_INPUT!$J$30:$J$33, CI64, MATCH_INPUT!$K$30:$K$33, "Draw"),
0)</f>
        <v>0</v>
      </c>
      <c r="CO64" s="28">
        <f>IF(CI64&lt;&gt;"",
    COUNTIFS(MATCH_INPUT!$F$30:$F$33, CI64, MATCH_INPUT!$K$30:$K$33, "&lt;&gt;"&amp;CI64, MATCH_INPUT!$K$30:$K$33, "&lt;&gt;Draw", MATCH_INPUT!$K$30:$K$33, "&lt;&gt;""") +
    COUNTIFS(MATCH_INPUT!$J$30:$J$33, CI64, MATCH_INPUT!$K$30:$K$33, "&lt;&gt;"&amp;CI64, MATCH_INPUT!$K$30:$K$33, "&lt;&gt;Draw", MATCH_INPUT!$K$30:$K$33, "&lt;&gt;"""),
0)</f>
        <v>0</v>
      </c>
      <c r="CP64" s="29" t="str">
        <f t="array" ref="CP64">IFERROR(
  INDEX(PLAYER_STAT!E$2:E64, 
    MATCH(1, 
      (PLAYER_STAT!A$2:A64 = MATCH_DATES!$A$9) * (PLAYER_STAT!D$2:D64 = $B64), 
    0)
  ), 
  ""
)
</f>
        <v/>
      </c>
      <c r="CQ64" s="29" t="str">
        <f t="array" ref="CQ64">IFERROR(
  INDEX(PLAYER_STAT!F$2:F64, 
    MATCH(1, 
      (PLAYER_STAT!A$2:A64 = MATCH_DATES!$A$9) * (PLAYER_STAT!D$2:D64 = $B64), 
    0)
  ), 
  ""
)
</f>
        <v/>
      </c>
      <c r="CR64" s="30" t="str">
        <f t="array" ref="CR64">IFERROR(
  INDEX(PLAYER_STAT!G$2:G64, 
    MATCH(1, 
      (PLAYER_STAT!A$2:A64 = MATCH_DATES!$A$9) * (PLAYER_STAT!D$2:D64 = $B64), 
    0)
  ), 
  ""
)
</f>
        <v/>
      </c>
      <c r="CS64" s="35">
        <f t="shared" si="158"/>
        <v>14</v>
      </c>
      <c r="CT64" s="35" t="str">
        <f t="shared" si="39"/>
        <v>=</v>
      </c>
      <c r="CU64" s="37">
        <f t="shared" si="40"/>
        <v>0</v>
      </c>
      <c r="CV64" s="37" t="str">
        <f t="shared" ref="CV64:CW64" si="231">A64</f>
        <v/>
      </c>
      <c r="CW64" s="37" t="str">
        <f t="shared" si="231"/>
        <v/>
      </c>
      <c r="CX64" s="37">
        <f t="shared" si="42"/>
        <v>0</v>
      </c>
      <c r="CY64" s="37">
        <f>SUM(
  IF(AND(MATCH_DATES!$A$2 &lt;= TODAY(), NOW() &gt;= MATCH_DATES!$A$2 + TIME(22, 0, 0)), E64, 0),
  IF(AND(MATCH_DATES!$A$3 &lt;= TODAY(), NOW() &gt;= MATCH_DATES!$A$3 + TIME(22, 0, 0)), Q64, 0),
  IF(AND(MATCH_DATES!$A$4 &lt;= TODAY(), NOW() &gt;= MATCH_DATES!$A$4 + TIME(22, 0, 0)), AC64, 0),
  IF(AND(MATCH_DATES!$A$5 &lt;= TODAY(), NOW() &gt;= MATCH_DATES!$A$5 + TIME(22, 0, 0)), AO64, 0),
  IF(AND(MATCH_DATES!$A$6 &lt;= TODAY(), NOW() &gt;= MATCH_DATES!$A$6 + TIME(22, 0, 0)), BA64, 0),
  IF(AND(MATCH_DATES!$A$7 &lt;= TODAY(), NOW() &gt;= MATCH_DATES!$A$7 + TIME(22, 0, 0)), BM64, 0),
  IF(AND(MATCH_DATES!$A$8 &lt;= TODAY(), NOW() &gt;= MATCH_DATES!$A$8 + TIME(22, 0, 0)), BY64, 0),
  IF(AND(MATCH_DATES!$A$9 &lt;= TODAY(), NOW() &gt;= MATCH_DATES!$A$9 + TIME(22, 0, 0)), CK64, 0)
)
</f>
        <v>0</v>
      </c>
      <c r="CZ64" s="37">
        <f t="shared" ref="CZ64:DA64" si="232">SUM(G64,S64,AE64,AQ64,BC64,BO64,CA64,CM64)</f>
        <v>0</v>
      </c>
      <c r="DA64" s="37">
        <f t="shared" si="232"/>
        <v>0</v>
      </c>
      <c r="DB64" s="37">
        <f>SUM(
  IF(AND(MATCH_DATES!$A$2 &lt;= TODAY(), NOW() &gt;= MATCH_DATES!$A$2 + TIME(22, 0, 0)), I64, 0),
  IF(AND(MATCH_DATES!$A$3 &lt;= TODAY(), NOW() &gt;= MATCH_DATES!$A$3 + TIME(22, 0, 0)), U64, 0),
  IF(AND(MATCH_DATES!$A$4 &lt;= TODAY(), NOW() &gt;= MATCH_DATES!$A$4 + TIME(22, 0, 0)), AG64, 0),
  IF(AND(MATCH_DATES!$A$5 &lt;= TODAY(), NOW() &gt;= MATCH_DATES!$A$5 + TIME(22, 0, 0)), AS64, 0),
  IF(AND(MATCH_DATES!$A$6 &lt;= TODAY(), NOW() &gt;= MATCH_DATES!$A$6 + TIME(22, 0, 0)), BE64, 0),
  IF(AND(MATCH_DATES!$A$7 &lt;= TODAY(), NOW() &gt;= MATCH_DATES!$A$7 + TIME(22, 0, 0)), BQ64, 0),
  IF(AND(MATCH_DATES!$A$8 &lt;= TODAY(), NOW() &gt;= MATCH_DATES!$A$8 + TIME(22, 0, 0)), CC64, 0),
  IF(AND(MATCH_DATES!$A$9 &lt;= TODAY(), NOW() &gt;= MATCH_DATES!$A$9 + TIME(22, 0, 0)), CO64, 0)
)</f>
        <v>0</v>
      </c>
      <c r="DC64" s="37">
        <f t="shared" si="44"/>
        <v>0</v>
      </c>
      <c r="DD64" s="37">
        <f t="shared" ref="DD64:DE64" si="233">SUM(K64,W64,AI64,AU64,BG64,BS64,CE64,CQ64)</f>
        <v>0</v>
      </c>
      <c r="DE64" s="37">
        <f t="shared" si="233"/>
        <v>0</v>
      </c>
    </row>
  </sheetData>
  <mergeCells count="8">
    <mergeCell ref="C1:N1"/>
    <mergeCell ref="O1:Z1"/>
    <mergeCell ref="AA1:AL1"/>
    <mergeCell ref="AM1:AX1"/>
    <mergeCell ref="AY1:BJ1"/>
    <mergeCell ref="BK1:BV1"/>
    <mergeCell ref="BW1:CH1"/>
    <mergeCell ref="CI1:CT1"/>
  </mergeCells>
  <conditionalFormatting sqref="A1:C1 O1 AA1 AM1 AY1 BK1 BW1 CI1 CX1:CY1">
    <cfRule type="cellIs" dxfId="5" priority="1" operator="equal">
      <formula>0</formula>
    </cfRule>
  </conditionalFormatting>
  <conditionalFormatting sqref="C1:C64 O1:O64 AA1 AM1 AY1 BK1 BW1 CI1">
    <cfRule type="cellIs" dxfId="6" priority="2" operator="equal">
      <formula>"BLUE"</formula>
    </cfRule>
  </conditionalFormatting>
  <conditionalFormatting sqref="C1:C64 O1:O64 AA1 AM1 AY1 BK1 BW1 CI1">
    <cfRule type="cellIs" dxfId="7" priority="3" stopIfTrue="1" operator="equal">
      <formula>"MAGENTA"</formula>
    </cfRule>
  </conditionalFormatting>
  <conditionalFormatting sqref="C1:C64 O1:O64 AA1 AM1 AY1 BK1 BW1 CI1">
    <cfRule type="cellIs" dxfId="8" priority="4" stopIfTrue="1" operator="equal">
      <formula>"GREEN"</formula>
    </cfRule>
  </conditionalFormatting>
  <conditionalFormatting sqref="C1:C64 O1:O64 AA1 AM1 AY1 BK1 BW1 CI1">
    <cfRule type="cellIs" dxfId="9" priority="5" operator="equal">
      <formula>"ORANGE"</formula>
    </cfRule>
  </conditionalFormatting>
  <conditionalFormatting sqref="AA2:AA64">
    <cfRule type="cellIs" dxfId="6" priority="6" operator="equal">
      <formula>"BLUE"</formula>
    </cfRule>
  </conditionalFormatting>
  <conditionalFormatting sqref="AA2:AA64">
    <cfRule type="cellIs" dxfId="7" priority="7" stopIfTrue="1" operator="equal">
      <formula>"MAGENTA"</formula>
    </cfRule>
  </conditionalFormatting>
  <conditionalFormatting sqref="AA2:AA64">
    <cfRule type="cellIs" dxfId="8" priority="8" stopIfTrue="1" operator="equal">
      <formula>"GREEN"</formula>
    </cfRule>
  </conditionalFormatting>
  <conditionalFormatting sqref="AA2:AA64">
    <cfRule type="cellIs" dxfId="9" priority="9" operator="equal">
      <formula>"ORANGE"</formula>
    </cfRule>
  </conditionalFormatting>
  <conditionalFormatting sqref="AM2:AM64">
    <cfRule type="cellIs" dxfId="6" priority="10" operator="equal">
      <formula>"BLUE"</formula>
    </cfRule>
  </conditionalFormatting>
  <conditionalFormatting sqref="AM2:AM64">
    <cfRule type="cellIs" dxfId="7" priority="11" stopIfTrue="1" operator="equal">
      <formula>"MAGENTA"</formula>
    </cfRule>
  </conditionalFormatting>
  <conditionalFormatting sqref="AM2:AM64">
    <cfRule type="cellIs" dxfId="8" priority="12" stopIfTrue="1" operator="equal">
      <formula>"GREEN"</formula>
    </cfRule>
  </conditionalFormatting>
  <conditionalFormatting sqref="AM2:AM64">
    <cfRule type="cellIs" dxfId="9" priority="13" operator="equal">
      <formula>"ORANGE"</formula>
    </cfRule>
  </conditionalFormatting>
  <conditionalFormatting sqref="AY2:AY64">
    <cfRule type="cellIs" dxfId="6" priority="14" operator="equal">
      <formula>"BLUE"</formula>
    </cfRule>
  </conditionalFormatting>
  <conditionalFormatting sqref="AY2:AY64">
    <cfRule type="cellIs" dxfId="7" priority="15" stopIfTrue="1" operator="equal">
      <formula>"MAGENTA"</formula>
    </cfRule>
  </conditionalFormatting>
  <conditionalFormatting sqref="AY2:AY64">
    <cfRule type="cellIs" dxfId="8" priority="16" stopIfTrue="1" operator="equal">
      <formula>"GREEN"</formula>
    </cfRule>
  </conditionalFormatting>
  <conditionalFormatting sqref="AY2:AY64">
    <cfRule type="cellIs" dxfId="9" priority="17" operator="equal">
      <formula>"ORANGE"</formula>
    </cfRule>
  </conditionalFormatting>
  <conditionalFormatting sqref="BK2:BK64">
    <cfRule type="cellIs" dxfId="6" priority="18" operator="equal">
      <formula>"BLUE"</formula>
    </cfRule>
  </conditionalFormatting>
  <conditionalFormatting sqref="BK2:BK64">
    <cfRule type="cellIs" dxfId="7" priority="19" stopIfTrue="1" operator="equal">
      <formula>"MAGENTA"</formula>
    </cfRule>
  </conditionalFormatting>
  <conditionalFormatting sqref="BK2:BK64">
    <cfRule type="cellIs" dxfId="8" priority="20" stopIfTrue="1" operator="equal">
      <formula>"GREEN"</formula>
    </cfRule>
  </conditionalFormatting>
  <conditionalFormatting sqref="BK2:BK64">
    <cfRule type="cellIs" dxfId="9" priority="21" operator="equal">
      <formula>"ORANGE"</formula>
    </cfRule>
  </conditionalFormatting>
  <conditionalFormatting sqref="BW2:BW64">
    <cfRule type="cellIs" dxfId="6" priority="22" operator="equal">
      <formula>"BLUE"</formula>
    </cfRule>
  </conditionalFormatting>
  <conditionalFormatting sqref="BW2:BW64">
    <cfRule type="cellIs" dxfId="7" priority="23" stopIfTrue="1" operator="equal">
      <formula>"MAGENTA"</formula>
    </cfRule>
  </conditionalFormatting>
  <conditionalFormatting sqref="BW2:BW64">
    <cfRule type="cellIs" dxfId="8" priority="24" stopIfTrue="1" operator="equal">
      <formula>"GREEN"</formula>
    </cfRule>
  </conditionalFormatting>
  <conditionalFormatting sqref="BW2:BW64">
    <cfRule type="cellIs" dxfId="9" priority="25" operator="equal">
      <formula>"ORANGE"</formula>
    </cfRule>
  </conditionalFormatting>
  <conditionalFormatting sqref="CI2:CI64">
    <cfRule type="cellIs" dxfId="6" priority="26" operator="equal">
      <formula>"BLUE"</formula>
    </cfRule>
  </conditionalFormatting>
  <conditionalFormatting sqref="CI2:CI64">
    <cfRule type="cellIs" dxfId="7" priority="27" stopIfTrue="1" operator="equal">
      <formula>"MAGENTA"</formula>
    </cfRule>
  </conditionalFormatting>
  <conditionalFormatting sqref="CI2:CI64">
    <cfRule type="cellIs" dxfId="8" priority="28" stopIfTrue="1" operator="equal">
      <formula>"GREEN"</formula>
    </cfRule>
  </conditionalFormatting>
  <conditionalFormatting sqref="CI2:CI64">
    <cfRule type="cellIs" dxfId="9" priority="29" operator="equal">
      <formula>"ORANGE"</formula>
    </cfRule>
  </conditionalFormatting>
  <conditionalFormatting sqref="D1:L64">
    <cfRule type="cellIs" dxfId="10" priority="30" operator="equal">
      <formula>0</formula>
    </cfRule>
  </conditionalFormatting>
  <conditionalFormatting sqref="P1:X64">
    <cfRule type="cellIs" dxfId="11" priority="31" operator="equal">
      <formula>0</formula>
    </cfRule>
  </conditionalFormatting>
  <conditionalFormatting sqref="AB1:AJ64">
    <cfRule type="cellIs" dxfId="10" priority="32" operator="equal">
      <formula>0</formula>
    </cfRule>
  </conditionalFormatting>
  <conditionalFormatting sqref="AN1:AV64">
    <cfRule type="cellIs" dxfId="11" priority="33" operator="equal">
      <formula>0</formula>
    </cfRule>
  </conditionalFormatting>
  <conditionalFormatting sqref="AZ1:BH64">
    <cfRule type="cellIs" dxfId="10" priority="34" operator="equal">
      <formula>0</formula>
    </cfRule>
  </conditionalFormatting>
  <conditionalFormatting sqref="BL1:BT64">
    <cfRule type="cellIs" dxfId="11" priority="35" operator="equal">
      <formula>0</formula>
    </cfRule>
  </conditionalFormatting>
  <conditionalFormatting sqref="BX1:CF64">
    <cfRule type="cellIs" dxfId="10" priority="36" operator="equal">
      <formula>0</formula>
    </cfRule>
  </conditionalFormatting>
  <conditionalFormatting sqref="CJ1:CR64">
    <cfRule type="cellIs" dxfId="11" priority="37" operator="equal">
      <formula>0</formula>
    </cfRule>
  </conditionalFormatting>
  <conditionalFormatting sqref="CU1:DE64">
    <cfRule type="cellIs" dxfId="12" priority="38" operator="equal">
      <formula>0</formula>
    </cfRule>
  </conditionalFormatting>
  <dataValidations>
    <dataValidation type="list" allowBlank="1" showErrorMessage="1" sqref="C3:C64 O3:O64 AA3:AA64 AM3:AM64 AY3:AY64 BK3:BK64 BW3:BW64 CI3:CI64">
      <formula1>"BLUE,GREEN,MAGENTA,ORANGE"</formula1>
    </dataValidation>
  </dataValidations>
  <printOptions/>
  <pageMargins bottom="0.75" footer="0.0" header="0.0" left="0.7" right="0.7" top="0.75"/>
  <pageSetup paperSize="3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89"/>
    <col customWidth="1" min="2" max="3" width="5.67"/>
    <col customWidth="1" min="4" max="4" width="11.22"/>
    <col customWidth="1" hidden="1" min="5" max="5" width="33.44"/>
    <col customWidth="1" min="6" max="10" width="5.67"/>
    <col customWidth="1" hidden="1" min="11" max="12" width="11.22"/>
    <col customWidth="1" hidden="1" min="13" max="13" width="33.44"/>
    <col customWidth="1" min="14" max="15" width="5.67"/>
    <col customWidth="1" min="16" max="16" width="2.89"/>
  </cols>
  <sheetData>
    <row r="1" ht="56.25" customHeight="1">
      <c r="A1" s="45"/>
      <c r="B1" s="45" t="s">
        <v>256</v>
      </c>
      <c r="C1" s="46" t="s">
        <v>257</v>
      </c>
      <c r="D1" s="46" t="s">
        <v>258</v>
      </c>
      <c r="E1" s="47"/>
      <c r="F1" s="45" t="s">
        <v>259</v>
      </c>
      <c r="G1" s="45" t="s">
        <v>260</v>
      </c>
      <c r="H1" s="46"/>
      <c r="I1" s="45" t="s">
        <v>261</v>
      </c>
      <c r="J1" s="45" t="s">
        <v>262</v>
      </c>
      <c r="K1" s="46" t="s">
        <v>263</v>
      </c>
      <c r="L1" s="46" t="s">
        <v>264</v>
      </c>
      <c r="M1" s="48"/>
      <c r="N1" s="46" t="s">
        <v>257</v>
      </c>
      <c r="O1" s="46" t="s">
        <v>256</v>
      </c>
      <c r="P1" s="49"/>
    </row>
    <row r="2" ht="37.5" customHeight="1">
      <c r="A2" s="50"/>
      <c r="B2" s="51" t="s">
        <v>1</v>
      </c>
      <c r="C2" s="51">
        <v>1.0</v>
      </c>
      <c r="D2" s="52" t="s">
        <v>265</v>
      </c>
      <c r="E2" s="53" t="str">
        <f>IFERROR(__xludf.DUMMYFUNCTION("IF(COUNTIF(WEEKLY_TEAMS!$C$3:$C$52, F2) &gt; 0, ""GOALS: "" &amp; TEXTJOIN(""; "", TRUE, IFERROR(FILTER(WEEKLY_TEAMS!B3:B52 &amp; "" [ "" &amp; WEEKLY_TEAMS!$J$3:$J$52 &amp; "" ]"", WEEKLY_TEAMS!$C$3:$C$52 = F2, WEEKLY_TEAMS!$J$3:$J$52 &gt; 0), """")) &amp; CHAR(10) &amp; CHAR(10) &amp;
"&amp;"""CLEAN SHEETS: "" &amp; TEXTJOIN(""; "", TRUE, IFERROR(FILTER(WEEKLY_TEAMS!$B$3:$B$52 &amp; "" [ "" &amp; WEEKLY_TEAMS!$L$3:$L$52 &amp; "" ]"", WEEKLY_TEAMS!$C$3:$C$52 = F2, WEEKLY_TEAMS!$L$3:$L$52 &gt; 0), """")), """")
"),"GOALS: Andrés 👬 López [  ]; Fer 👬 Guille [  ]; Gabo [ 1 ]; Jesús 👬 Rodrigo [ 1 ]; Ruben [  ]; Rudy [  ]; Valencia [ 2 ]; (Sub) Emilio [  ]
CLEAN SHEETS: Andrés 👬 López [  ]; Fer 👬 Guille [  ]; Ruben [  ]; Rudy [  ]; (Sub) Emilio [  ]")</f>
        <v>GOALS: Andrés 👬 López [  ]; Fer 👬 Guille [  ]; Gabo [ 1 ]; Jesús 👬 Rodrigo [ 1 ]; Ruben [  ]; Rudy [  ]; Valencia [ 2 ]; (Sub) Emilio [  ]
CLEAN SHEETS: Andrés 👬 López [  ]; Fer 👬 Guille [  ]; Ruben [  ]; Rudy [  ]; (Sub) Emilio [  ]</v>
      </c>
      <c r="F2" s="54" t="s">
        <v>213</v>
      </c>
      <c r="G2" s="55">
        <v>0.0</v>
      </c>
      <c r="H2" s="56" t="s">
        <v>266</v>
      </c>
      <c r="I2" s="55">
        <v>1.0</v>
      </c>
      <c r="J2" s="54" t="s">
        <v>214</v>
      </c>
      <c r="K2" s="57" t="str">
        <f t="shared" ref="K2:K33" si="1">IF(OR(G2="",I2=""),"",IF(G2&gt;I2,F2,IF(G2&lt;I2,J2,"Draw")))</f>
        <v>MAGENTA</v>
      </c>
      <c r="L2" s="58">
        <f t="shared" ref="L2:L33" si="2">IF(K2="", 0, IF(K2="Draw", 1, IF(K2=F2, 2, IF(K2=J2, 2, 0))))</f>
        <v>2</v>
      </c>
      <c r="M2" s="59" t="str">
        <f>IFERROR(__xludf.DUMMYFUNCTION("IF(COUNTIF(WEEKLY_TEAMS!$C$3:$C$52, J2) &gt; 0, ""GOALS: "" &amp; TEXTJOIN(""; "", TRUE, IFERROR(FILTER(WEEKLY_TEAMS!B3:B52 &amp; "" [ "" &amp; WEEKLY_TEAMS!$J$3:$J$52 &amp; "" ]"", WEEKLY_TEAMS!$C$3:$C$52 = J2, WEEKLY_TEAMS!$J$3:$J$52 &gt; 0), """")) &amp; CHAR(10) &amp; CHAR(10) &amp;
"&amp;"""CLEAN SHEETS: "" &amp; TEXTJOIN(""; "", TRUE, IFERROR(FILTER(WEEKLY_TEAMS!$B$3:$B$52 &amp; "" [ "" &amp; WEEKLY_TEAMS!$L$3:$L$52 &amp; "" ]"", WEEKLY_TEAMS!$C$3:$C$52 = J2, WEEKLY_TEAMS!$L$3:$L$52 &gt; 0), """")), """")
"),"GOALS: Chilas 👬 Calin [  ]; Cuñis [  ]; Gerardo [  ]; Joseph 👬 Da Silva [ 1 ]; Mikey  [  ]; Nicky [ 1 ]; Nicolás [  ]; Valverde [ 1 ]
CLEAN SHEETS: Chilas 👬 Calin [  ]; Cuñis [  ]; Enerson [ 1 ]; Gerardo [  ]; Mikey  [  ]; Nicolás [  ]")</f>
        <v>GOALS: Chilas 👬 Calin [  ]; Cuñis [  ]; Gerardo [  ]; Joseph 👬 Da Silva [ 1 ]; Mikey  [  ]; Nicky [ 1 ]; Nicolás [  ]; Valverde [ 1 ]
CLEAN SHEETS: Chilas 👬 Calin [  ]; Cuñis [  ]; Enerson [ 1 ]; Gerardo [  ]; Mikey  [  ]; Nicolás [  ]</v>
      </c>
      <c r="N2" s="60" t="s">
        <v>267</v>
      </c>
      <c r="O2" s="60">
        <v>1.0</v>
      </c>
      <c r="P2" s="49"/>
    </row>
    <row r="3" ht="37.5" customHeight="1">
      <c r="A3" s="50"/>
      <c r="B3" s="51" t="s">
        <v>1</v>
      </c>
      <c r="C3" s="51">
        <v>2.0</v>
      </c>
      <c r="D3" s="61" t="s">
        <v>268</v>
      </c>
      <c r="E3" s="62" t="str">
        <f>IFERROR(__xludf.DUMMYFUNCTION("IF(COUNTIF(WEEKLY_TEAMS!$C$3:$C$52, F3) &gt; 0, ""GOALS: "" &amp; TEXTJOIN(""; "", TRUE, IFERROR(FILTER(WEEKLY_TEAMS!B3:B52 &amp; "" [ "" &amp; WEEKLY_TEAMS!$J$3:$J$52 &amp; "" ]"", WEEKLY_TEAMS!$C$3:$C$52 = F3, WEEKLY_TEAMS!$J$3:$J$52 &gt; 0), """")) &amp; CHAR(10) &amp; CHAR(10) &amp;
"&amp;"""CLEAN SHEETS: "" &amp; TEXTJOIN(""; "", TRUE, IFERROR(FILTER(WEEKLY_TEAMS!$B$3:$B$52 &amp; "" [ "" &amp; WEEKLY_TEAMS!$L$3:$L$52 &amp; "" ]"", WEEKLY_TEAMS!$C$3:$C$52 = F3, WEEKLY_TEAMS!$L$3:$L$52 &gt; 0), """")), """")
"),"GOALS: Alex 👬 Gus  [  ]; David [  ]; Fabián 👬 Asdruval [  ]; Javier [  ]; Juan Pablo [ 2 ]; Osmin [  ]; Rob [  ]; (Sub) Asdruval [  ]; (Sub) 👬 Víctor S [  ]
CLEAN SHEETS: Alex 👬 Gus  [  ]; David [  ]; Fabián 👬 Asdruval [  ]; Javier [  ]; Osmin [  ];"&amp;" Rob [  ]; (Sub) Asdruval [  ]; (Sub) 👬 Víctor S [  ]")</f>
        <v>GOALS: Alex 👬 Gus  [  ]; David [  ]; Fabián 👬 Asdruval [  ]; Javier [  ]; Juan Pablo [ 2 ]; Osmin [  ]; Rob [  ]; (Sub) Asdruval [  ]; (Sub) 👬 Víctor S [  ]
CLEAN SHEETS: Alex 👬 Gus  [  ]; David [  ]; Fabián 👬 Asdruval [  ]; Javier [  ]; Osmin [  ]; Rob [  ]; (Sub) Asdruval [  ]; (Sub) 👬 Víctor S [  ]</v>
      </c>
      <c r="F3" s="63" t="s">
        <v>212</v>
      </c>
      <c r="G3" s="64">
        <v>3.0</v>
      </c>
      <c r="H3" s="65" t="s">
        <v>266</v>
      </c>
      <c r="I3" s="64">
        <v>0.0</v>
      </c>
      <c r="J3" s="63" t="s">
        <v>215</v>
      </c>
      <c r="K3" s="66" t="str">
        <f t="shared" si="1"/>
        <v>GREEN</v>
      </c>
      <c r="L3" s="67">
        <f t="shared" si="2"/>
        <v>2</v>
      </c>
      <c r="M3" s="68" t="str">
        <f>IFERROR(__xludf.DUMMYFUNCTION("IF(COUNTIF(WEEKLY_TEAMS!$C$3:$C$52, J3) &gt; 0, ""GOALS: "" &amp; TEXTJOIN(""; "", TRUE, IFERROR(FILTER(WEEKLY_TEAMS!B3:B52 &amp; "" [ "" &amp; WEEKLY_TEAMS!$J$3:$J$52 &amp; "" ]"", WEEKLY_TEAMS!$C$3:$C$52 = J3, WEEKLY_TEAMS!$J$3:$J$52 &gt; 0), """")) &amp; CHAR(10) &amp; CHAR(10) &amp;
"&amp;"""CLEAN SHEETS: "" &amp; TEXTJOIN(""; "", TRUE, IFERROR(FILTER(WEEKLY_TEAMS!$B$3:$B$52 &amp; "" [ "" &amp; WEEKLY_TEAMS!$L$3:$L$52 &amp; "" ]"", WEEKLY_TEAMS!$C$3:$C$52 = J3, WEEKLY_TEAMS!$L$3:$L$52 &gt; 0), """")), """")
"),"GOALS: Carlos S [  ]; Chato [ 1 ]; Eder 👬 Honorio [  ]; Jhony S [  ]; Jordan [  ]; Pirlo [  ]; Rodolfo 👬 Víctor S [  ]; (Sub) Walter Acero [  ]; (Sub) Eder 👬 Honorio  [  ]
CLEAN SHEETS: Carlos S [  ]; Eder 👬 Honorio [  ]; Jhony S [  ]; Jordan [  ]; P"&amp;"irlo [  ]; Rodolfo 👬 Víctor S [  ]; (Sub) Walter Acero [  ]; (Sub) Eder 👬 Honorio  [  ]")</f>
        <v>GOALS: Carlos S [  ]; Chato [ 1 ]; Eder 👬 Honorio [  ]; Jhony S [  ]; Jordan [  ]; Pirlo [  ]; Rodolfo 👬 Víctor S [  ]; (Sub) Walter Acero [  ]; (Sub) Eder 👬 Honorio  [  ]
CLEAN SHEETS: Carlos S [  ]; Eder 👬 Honorio [  ]; Jhony S [  ]; Jordan [  ]; Pirlo [  ]; Rodolfo 👬 Víctor S [  ]; (Sub) Walter Acero [  ]; (Sub) Eder 👬 Honorio  [  ]</v>
      </c>
      <c r="N3" s="69"/>
      <c r="P3" s="49"/>
    </row>
    <row r="4" ht="37.5" customHeight="1">
      <c r="A4" s="50"/>
      <c r="B4" s="51" t="s">
        <v>1</v>
      </c>
      <c r="C4" s="51">
        <v>3.0</v>
      </c>
      <c r="D4" s="52" t="s">
        <v>265</v>
      </c>
      <c r="E4" s="53" t="str">
        <f>IFERROR(__xludf.DUMMYFUNCTION("IF(COUNTIF(WEEKLY_TEAMS!$C$3:$C$52, F4) &gt; 0, ""GOALS: "" &amp; TEXTJOIN(""; "", TRUE, IFERROR(FILTER(WEEKLY_TEAMS!B3:B52 &amp; "" [ "" &amp; #REF! &amp; "" ]"", WEEKLY_TEAMS!$C$3:$C$52 = F4, #REF! &gt; 0), """")) &amp; CHAR(10) &amp; CHAR(10) &amp;
""CLEAN SHEETS: "" &amp; TEXTJOIN(""; "","&amp;" TRUE, IFERROR(FILTER(WEEKLY_TEAMS!$B$3:$B$52 &amp; "" [ "" &amp; #REF! &amp; "" ]"", WEEKLY_TEAMS!$C$3:$C$52 = F4, #REF! &gt; 0), """")), """")
"),"GOALS: 
CLEAN SHEETS: ")</f>
        <v>GOALS: 
CLEAN SHEETS: </v>
      </c>
      <c r="F4" s="54" t="s">
        <v>215</v>
      </c>
      <c r="G4" s="55">
        <v>1.0</v>
      </c>
      <c r="H4" s="56" t="s">
        <v>266</v>
      </c>
      <c r="I4" s="55">
        <v>4.0</v>
      </c>
      <c r="J4" s="54" t="s">
        <v>213</v>
      </c>
      <c r="K4" s="57" t="str">
        <f t="shared" si="1"/>
        <v>BLUE</v>
      </c>
      <c r="L4" s="58">
        <f t="shared" si="2"/>
        <v>2</v>
      </c>
      <c r="M4" s="59" t="str">
        <f>IFERROR(__xludf.DUMMYFUNCTION("IF(COUNTIF(WEEKLY_TEAMS!$C$3:$C$52, J4) &gt; 0, ""GOALS: "" &amp; TEXTJOIN(""; "", TRUE, IFERROR(FILTER(WEEKLY_TEAMS!B3:B52 &amp; "" [ "" &amp; #REF! &amp; "" ]"", WEEKLY_TEAMS!$C$3:$C$52 = J4, #REF! &gt; 0), """")) &amp; CHAR(10) &amp; CHAR(10) &amp;
""CLEAN SHEETS: "" &amp; TEXTJOIN(""; "","&amp;" TRUE, IFERROR(FILTER(WEEKLY_TEAMS!$B$3:$B$52 &amp; "" [ "" &amp; #REF! &amp; "" ]"", WEEKLY_TEAMS!$C$3:$C$52 = J4, #REF! &gt; 0), """")), """")
"),"GOALS: 
CLEAN SHEETS: ")</f>
        <v>GOALS: 
CLEAN SHEETS: </v>
      </c>
      <c r="N4" s="60" t="s">
        <v>269</v>
      </c>
      <c r="P4" s="49"/>
    </row>
    <row r="5" ht="37.5" customHeight="1">
      <c r="A5" s="70"/>
      <c r="B5" s="51" t="s">
        <v>1</v>
      </c>
      <c r="C5" s="51">
        <v>4.0</v>
      </c>
      <c r="D5" s="61" t="s">
        <v>268</v>
      </c>
      <c r="E5" s="62" t="str">
        <f>IFERROR(__xludf.DUMMYFUNCTION("IF(COUNTIF(WEEKLY_TEAMS!$C$3:$C$52, F5) &gt; 0, ""GOALS: "" &amp; TEXTJOIN(""; "", TRUE, IFERROR(FILTER(WEEKLY_TEAMS!B3:B52 &amp; "" [ "" &amp; #REF! &amp; "" ]"", WEEKLY_TEAMS!$C$3:$C$52 = F5, #REF! &gt; 0), """")) &amp; CHAR(10) &amp; CHAR(10) &amp;
""CLEAN SHEETS: "" &amp; TEXTJOIN(""; "","&amp;" TRUE, IFERROR(FILTER(WEEKLY_TEAMS!$B$3:$B$52 &amp; "" [ "" &amp; #REF! &amp; "" ]"", WEEKLY_TEAMS!$C$3:$C$52 = F5, #REF! &gt; 0), """")), """")
"),"GOALS: 
CLEAN SHEETS: ")</f>
        <v>GOALS: 
CLEAN SHEETS: </v>
      </c>
      <c r="F5" s="63" t="s">
        <v>214</v>
      </c>
      <c r="G5" s="64">
        <v>2.0</v>
      </c>
      <c r="H5" s="56" t="s">
        <v>266</v>
      </c>
      <c r="I5" s="64">
        <v>0.0</v>
      </c>
      <c r="J5" s="63" t="s">
        <v>212</v>
      </c>
      <c r="K5" s="66" t="str">
        <f t="shared" si="1"/>
        <v>MAGENTA</v>
      </c>
      <c r="L5" s="67">
        <f t="shared" si="2"/>
        <v>2</v>
      </c>
      <c r="M5" s="68" t="str">
        <f>IFERROR(__xludf.DUMMYFUNCTION("IF(COUNTIF(WEEKLY_TEAMS!$C$3:$C$52, J5) &gt; 0, ""GOALS: "" &amp; TEXTJOIN(""; "", TRUE, IFERROR(FILTER(WEEKLY_TEAMS!B3:B52 &amp; "" [ "" &amp; #REF! &amp; "" ]"", WEEKLY_TEAMS!$C$3:$C$52 = J5, #REF! &gt; 0), """")) &amp; CHAR(10) &amp; CHAR(10) &amp;
""CLEAN SHEETS: "" &amp; TEXTJOIN(""; "","&amp;" TRUE, IFERROR(FILTER(WEEKLY_TEAMS!$B$3:$B$52 &amp; "" [ "" &amp; #REF! &amp; "" ]"", WEEKLY_TEAMS!$C$3:$C$52 = J5, #REF! &gt; 0), """")), """")
"),"GOALS: 
CLEAN SHEETS: ")</f>
        <v>GOALS: 
CLEAN SHEETS: </v>
      </c>
      <c r="N5" s="69"/>
      <c r="O5" s="69"/>
      <c r="P5" s="49"/>
    </row>
    <row r="6" ht="37.5" customHeight="1">
      <c r="A6" s="50"/>
      <c r="B6" s="51" t="s">
        <v>2</v>
      </c>
      <c r="C6" s="51">
        <v>1.0</v>
      </c>
      <c r="D6" s="71" t="s">
        <v>265</v>
      </c>
      <c r="E6" s="53" t="str">
        <f>IFERROR(__xludf.DUMMYFUNCTION("IF(COUNTIF(WEEKLY_TEAMS!$O$3:$O$52, F6) &gt; 0, ""GOALS: "" &amp; TEXTJOIN(""; "", TRUE, IFERROR(FILTER(WEEKLY_TEAMS!B3:B52 &amp; "" [ "" &amp; WEEKLY_TEAMS!$V$3:$V$52 &amp; "" ]"", WEEKLY_TEAMS!$O$3:$O$52 = F6, WEEKLY_TEAMS!$V$3:$V$52 &gt; 0), """")) &amp; CHAR(10) &amp; CHAR(10) &amp;
"&amp;"""CLEAN SHEETS: "" &amp; TEXTJOIN(""; "", TRUE, IFERROR(FILTER(WEEKLY_TEAMS!$B$3:$B$52 &amp; "" [ "" &amp; WEEKLY_TEAMS!$X$3:$X$52 &amp; "" ]"", WEEKLY_TEAMS!$O$3:$O$52 = F6, WEEKLY_TEAMS!$X$3:$X$52 &gt; 0), """")), """")
"),"GOALS: Alex 👬 Gus  [  ]; Carlos S [ 1 ]; Chato [  ]; Cuñis [  ]; Fabián 👬 Asdruval [  ]; Gerardo [ 1 ]; Nicolás [  ]; Pirlo [  ]; Rodolfo 👬 Víctor S [ 1 ]
CLEAN SHEETS: Alex 👬 Gus  [  ]; Chato [  ]; Cuñis [  ]; Fabián 👬 Asdruval [  ]; Nicolás [  ]; "&amp;"Pirlo [  ]")</f>
        <v>GOALS: Alex 👬 Gus  [  ]; Carlos S [ 1 ]; Chato [  ]; Cuñis [  ]; Fabián 👬 Asdruval [  ]; Gerardo [ 1 ]; Nicolás [  ]; Pirlo [  ]; Rodolfo 👬 Víctor S [ 1 ]
CLEAN SHEETS: Alex 👬 Gus  [  ]; Chato [  ]; Cuñis [  ]; Fabián 👬 Asdruval [  ]; Nicolás [  ]; Pirlo [  ]</v>
      </c>
      <c r="F6" s="72" t="s">
        <v>213</v>
      </c>
      <c r="G6" s="73">
        <v>3.0</v>
      </c>
      <c r="H6" s="56" t="s">
        <v>266</v>
      </c>
      <c r="I6" s="73">
        <v>3.0</v>
      </c>
      <c r="J6" s="72" t="s">
        <v>214</v>
      </c>
      <c r="K6" s="74" t="str">
        <f t="shared" si="1"/>
        <v>Draw</v>
      </c>
      <c r="L6" s="74">
        <f t="shared" si="2"/>
        <v>1</v>
      </c>
      <c r="M6" s="59" t="str">
        <f>IFERROR(__xludf.DUMMYFUNCTION("IF(COUNTIF(WEEKLY_TEAMS!$O$3:$O$52, J6) &gt; 0, ""GOALS: "" &amp; TEXTJOIN(""; "", TRUE, IFERROR(FILTER(WEEKLY_TEAMS!B3:B52 &amp; "" [ "" &amp; WEEKLY_TEAMS!$V$3:$V$52 &amp; "" ]"", WEEKLY_TEAMS!$O$3:$O$52 = J6, WEEKLY_TEAMS!$V$3:$V$52 &gt; 0), """")) &amp; CHAR(10) &amp; CHAR(10) &amp;
"&amp;"""CLEAN SHEETS: "" &amp; TEXTJOIN(""; "", TRUE, IFERROR(FILTER(WEEKLY_TEAMS!$B$3:$B$52 &amp; "" [ "" &amp; WEEKLY_TEAMS!$X$3:$X$52 &amp; "" ]"", WEEKLY_TEAMS!$O$3:$O$52 = J6, WEEKLY_TEAMS!$X$3:$X$52 &gt; 0), """")), """")
"),"GOALS: Chilas 👬 Calin [  ]; Efraín [  ]; Javier [  ]; Jesús 👬 Rodrigo [  ]; Jhony S [  ]; Joseph 👬 Da Silva [ 1 ]; Juan Pablo [  ]; Valverde [ 2 ]
CLEAN SHEETS: Chilas 👬 Calin [  ]; Efraín [  ]; Javier [  ]; Jesús 👬 Rodrigo [  ]; Jhony S [  ]; Juan "&amp;"Pablo [  ]")</f>
        <v>GOALS: Chilas 👬 Calin [  ]; Efraín [  ]; Javier [  ]; Jesús 👬 Rodrigo [  ]; Jhony S [  ]; Joseph 👬 Da Silva [ 1 ]; Juan Pablo [  ]; Valverde [ 2 ]
CLEAN SHEETS: Chilas 👬 Calin [  ]; Efraín [  ]; Javier [  ]; Jesús 👬 Rodrigo [  ]; Jhony S [  ]; Juan Pablo [  ]</v>
      </c>
      <c r="N6" s="60" t="s">
        <v>270</v>
      </c>
      <c r="O6" s="60">
        <v>2.0</v>
      </c>
      <c r="P6" s="49"/>
    </row>
    <row r="7" ht="37.5" customHeight="1">
      <c r="A7" s="50"/>
      <c r="B7" s="51" t="s">
        <v>2</v>
      </c>
      <c r="C7" s="51">
        <v>2.0</v>
      </c>
      <c r="D7" s="75" t="s">
        <v>268</v>
      </c>
      <c r="E7" s="62" t="str">
        <f>IFERROR(__xludf.DUMMYFUNCTION("IF(COUNTIF(WEEKLY_TEAMS!$O$3:$O$52, F7) &gt; 0, ""GOALS: "" &amp; TEXTJOIN(""; "", TRUE, IFERROR(FILTER(WEEKLY_TEAMS!B3:B52 &amp; "" [ "" &amp; WEEKLY_TEAMS!$V$3:$V$52 &amp; "" ]"", WEEKLY_TEAMS!$O$3:$O$52 = F7, WEEKLY_TEAMS!$V$3:$V$52 &gt; 0), """")) &amp; CHAR(10) &amp; CHAR(10) &amp;
"&amp;"""CLEAN SHEETS: "" &amp; TEXTJOIN(""; "", TRUE, IFERROR(FILTER(WEEKLY_TEAMS!$B$3:$B$52 &amp; "" [ "" &amp; WEEKLY_TEAMS!$X$3:$X$52 &amp; "" ]"", WEEKLY_TEAMS!$O$3:$O$52 = F7, WEEKLY_TEAMS!$X$3:$X$52 &gt; 0), """")), """")
"),"GOALS: Andrés 👬 López [  ]; Chavito 👬 Coti [  ]; David [  ]; Eder 👬 Honorio [  ]; Gabo [  ]; José Blanco [  ]; José Sarza [  ]; Mikey  [  ]; (Sub) Pedro [  ]
CLEAN SHEETS: Andrés 👬 López [  ]; Chavito 👬 Coti [  ]; David [  ]; Eder 👬 Honorio [  ]; G"&amp;"abo [  ]; José Blanco [  ]; José Sarza [  ]; Mikey  [  ]; (Sub) Pedro [  ]")</f>
        <v>GOALS: Andrés 👬 López [  ]; Chavito 👬 Coti [  ]; David [  ]; Eder 👬 Honorio [  ]; Gabo [  ]; José Blanco [  ]; José Sarza [  ]; Mikey  [  ]; (Sub) Pedro [  ]
CLEAN SHEETS: Andrés 👬 López [  ]; Chavito 👬 Coti [  ]; David [  ]; Eder 👬 Honorio [  ]; Gabo [  ]; José Blanco [  ]; José Sarza [  ]; Mikey  [  ]; (Sub) Pedro [  ]</v>
      </c>
      <c r="F7" s="76" t="s">
        <v>212</v>
      </c>
      <c r="G7" s="77">
        <v>0.0</v>
      </c>
      <c r="H7" s="56" t="s">
        <v>266</v>
      </c>
      <c r="I7" s="77">
        <v>2.0</v>
      </c>
      <c r="J7" s="76" t="s">
        <v>215</v>
      </c>
      <c r="K7" s="78" t="str">
        <f t="shared" si="1"/>
        <v>ORANGE</v>
      </c>
      <c r="L7" s="78">
        <f t="shared" si="2"/>
        <v>2</v>
      </c>
      <c r="M7" s="68" t="str">
        <f>IFERROR(__xludf.DUMMYFUNCTION("IF(COUNTIF(WEEKLY_TEAMS!$O$3:$O$52, J7) &gt; 0, ""GOALS: "" &amp; TEXTJOIN(""; "", TRUE, IFERROR(FILTER(WEEKLY_TEAMS!B3:B52 &amp; "" [ "" &amp; WEEKLY_TEAMS!$V$3:$V$52 &amp; "" ]"", WEEKLY_TEAMS!$O$3:$O$52 = J7, WEEKLY_TEAMS!$V$3:$V$52 &gt; 0), """")) &amp; CHAR(10) &amp; CHAR(10) &amp;
"&amp;"""CLEAN SHEETS: "" &amp; TEXTJOIN(""; "", TRUE, IFERROR(FILTER(WEEKLY_TEAMS!$B$3:$B$52 &amp; "" [ "" &amp; WEEKLY_TEAMS!$X$3:$X$52 &amp; "" ]"", WEEKLY_TEAMS!$O$3:$O$52 = J7, WEEKLY_TEAMS!$X$3:$X$52 &gt; 0), """")), """")
"),"GOALS: Jordan [  ]; Nicky [  ]; Osmin [  ]; Ruben [  ]; Rudy [ 1 ]; Valencia [ 1 ]; (Sub) Asdruval [  ]
CLEAN SHEETS: Jordan [  ]; Nicky [  ]; Osmin [  ]; Rob [ 1 ]; Ruben [  ]; (Sub) Asdruval [  ]")</f>
        <v>GOALS: Jordan [  ]; Nicky [  ]; Osmin [  ]; Ruben [  ]; Rudy [ 1 ]; Valencia [ 1 ]; (Sub) Asdruval [  ]
CLEAN SHEETS: Jordan [  ]; Nicky [  ]; Osmin [  ]; Rob [ 1 ]; Ruben [  ]; (Sub) Asdruval [  ]</v>
      </c>
      <c r="N7" s="69"/>
      <c r="P7" s="49"/>
    </row>
    <row r="8" ht="37.5" customHeight="1">
      <c r="A8" s="50"/>
      <c r="B8" s="51" t="s">
        <v>2</v>
      </c>
      <c r="C8" s="51">
        <v>3.0</v>
      </c>
      <c r="D8" s="71" t="s">
        <v>265</v>
      </c>
      <c r="E8" s="53" t="str">
        <f>IFERROR(__xludf.DUMMYFUNCTION("IF(COUNTIF(WEEKLY_TEAMS!$O$3:$O$52, F8) &gt; 0, ""GOALS: "" &amp; TEXTJOIN(""; "", TRUE, IFERROR(FILTER(WEEKLY_TEAMS!B3:B52 &amp; "" [ "" &amp; #REF! &amp; "" ]"", WEEKLY_TEAMS!$O$3:$O$52 = F8, #REF! &gt; 0), """")) &amp; CHAR(10) &amp; CHAR(10) &amp;
""CLEAN SHEETS: "" &amp; TEXTJOIN(""; "","&amp;" TRUE, IFERROR(FILTER(WEEKLY_TEAMS!$B$3:$B$52 &amp; "" [ "" &amp; #REF! &amp; "" ]"", WEEKLY_TEAMS!$O$3:$O$52 = F8, #REF! &gt; 0), """")), """")
"),"GOALS: 
CLEAN SHEETS: ")</f>
        <v>GOALS: 
CLEAN SHEETS: </v>
      </c>
      <c r="F8" s="72" t="s">
        <v>213</v>
      </c>
      <c r="G8" s="73">
        <v>1.0</v>
      </c>
      <c r="H8" s="56" t="s">
        <v>266</v>
      </c>
      <c r="I8" s="73">
        <v>0.0</v>
      </c>
      <c r="J8" s="72" t="s">
        <v>215</v>
      </c>
      <c r="K8" s="74" t="str">
        <f t="shared" si="1"/>
        <v>BLUE</v>
      </c>
      <c r="L8" s="74">
        <f t="shared" si="2"/>
        <v>2</v>
      </c>
      <c r="M8" s="59" t="str">
        <f>IFERROR(__xludf.DUMMYFUNCTION("IF(COUNTIF(WEEKLY_TEAMS!$O$3:$O$52, J8) &gt; 0, ""GOALS: "" &amp; TEXTJOIN(""; "", TRUE, IFERROR(FILTER(WEEKLY_TEAMS!B3:B52 &amp; "" [ "" &amp; #REF! &amp; "" ]"", WEEKLY_TEAMS!$O$3:$O$52 = J8, #REF! &gt; 0), """")) &amp; CHAR(10) &amp; CHAR(10) &amp;
""CLEAN SHEETS: "" &amp; TEXTJOIN(""; "","&amp;" TRUE, IFERROR(FILTER(WEEKLY_TEAMS!$B$3:$B$52 &amp; "" [ "" &amp; #REF! &amp; "" ]"", WEEKLY_TEAMS!$O$3:$O$52 = J8, #REF! &gt; 0), """")), """")
"),"GOALS: 
CLEAN SHEETS: ")</f>
        <v>GOALS: 
CLEAN SHEETS: </v>
      </c>
      <c r="N8" s="60" t="s">
        <v>271</v>
      </c>
      <c r="P8" s="49"/>
    </row>
    <row r="9" ht="37.5" customHeight="1">
      <c r="A9" s="70"/>
      <c r="B9" s="51" t="s">
        <v>2</v>
      </c>
      <c r="C9" s="51">
        <v>4.0</v>
      </c>
      <c r="D9" s="75" t="s">
        <v>268</v>
      </c>
      <c r="E9" s="62" t="str">
        <f>IFERROR(__xludf.DUMMYFUNCTION("IF(COUNTIF(WEEKLY_TEAMS!$O$3:$O$52, F9) &gt; 0, ""GOALS: "" &amp; TEXTJOIN(""; "", TRUE, IFERROR(FILTER(WEEKLY_TEAMS!B3:B52 &amp; "" [ "" &amp; #REF! &amp; "" ]"", WEEKLY_TEAMS!$O$3:$O$52 = F9, #REF! &gt; 0), """")) &amp; CHAR(10) &amp; CHAR(10) &amp;
""CLEAN SHEETS: "" &amp; TEXTJOIN(""; "","&amp;" TRUE, IFERROR(FILTER(WEEKLY_TEAMS!$B$3:$B$52 &amp; "" [ "" &amp; #REF! &amp; "" ]"", WEEKLY_TEAMS!$O$3:$O$52 = F9, #REF! &gt; 0), """")), """")
"),"GOALS: 
CLEAN SHEETS: ")</f>
        <v>GOALS: 
CLEAN SHEETS: </v>
      </c>
      <c r="F9" s="76" t="s">
        <v>214</v>
      </c>
      <c r="G9" s="77">
        <v>0.0</v>
      </c>
      <c r="H9" s="56" t="s">
        <v>266</v>
      </c>
      <c r="I9" s="77">
        <v>0.0</v>
      </c>
      <c r="J9" s="76" t="s">
        <v>212</v>
      </c>
      <c r="K9" s="78" t="str">
        <f t="shared" si="1"/>
        <v>Draw</v>
      </c>
      <c r="L9" s="78">
        <f t="shared" si="2"/>
        <v>1</v>
      </c>
      <c r="M9" s="68" t="str">
        <f>IFERROR(__xludf.DUMMYFUNCTION("IF(COUNTIF(WEEKLY_TEAMS!$O$3:$O$52, J9) &gt; 0, ""GOALS: "" &amp; TEXTJOIN(""; "", TRUE, IFERROR(FILTER(WEEKLY_TEAMS!B3:B52 &amp; "" [ "" &amp; #REF! &amp; "" ]"", WEEKLY_TEAMS!$O$3:$O$52 = J9, #REF! &gt; 0), """")) &amp; CHAR(10) &amp; CHAR(10) &amp;
""CLEAN SHEETS: "" &amp; TEXTJOIN(""; "","&amp;" TRUE, IFERROR(FILTER(WEEKLY_TEAMS!$B$3:$B$52 &amp; "" [ "" &amp; #REF! &amp; "" ]"", WEEKLY_TEAMS!$O$3:$O$52 = J9, #REF! &gt; 0), """")), """")
"),"GOALS: 
CLEAN SHEETS: ")</f>
        <v>GOALS: 
CLEAN SHEETS: </v>
      </c>
      <c r="N9" s="69"/>
      <c r="O9" s="69"/>
      <c r="P9" s="49"/>
    </row>
    <row r="10" ht="37.5" customHeight="1">
      <c r="A10" s="50"/>
      <c r="B10" s="51" t="s">
        <v>3</v>
      </c>
      <c r="C10" s="51">
        <v>1.0</v>
      </c>
      <c r="D10" s="52" t="s">
        <v>265</v>
      </c>
      <c r="E10" s="53" t="str">
        <f>IFERROR(__xludf.DUMMYFUNCTION("IF(COUNTIF(WEEKLY_TEAMS!$AA$3:$AA$52, F10) &gt; 0, ""GOALS: "" &amp; TEXTJOIN(""; "", TRUE, IFERROR(FILTER(WEEKLY_TEAMS!B3:B52 &amp; "" [ "" &amp; WEEKLY_TEAMS!$AH$3:$AH$52 &amp; "" ]"", WEEKLY_TEAMS!$AA$3:$AA$52 = F10, WEEKLY_TEAMS!$AH$3:$AH$52 &gt; 0), """")) &amp; CHAR(10) &amp; CH"&amp;"AR(10) &amp;
""CLEAN SHEETS: "" &amp; TEXTJOIN(""; "", TRUE, IFERROR(FILTER(WEEKLY_TEAMS!$B$3:$B$52 &amp; "" [ "" &amp; WEEKLY_TEAMS!$AJ$3:$AJ$52 &amp; "" ]"", WEEKLY_TEAMS!$AA$3:$AA$52 = F10, WEEKLY_TEAMS!$AJ$3:$AJ$52 &gt; 0), """")), """")
"),"GOALS: Cuñis [  ]; David [  ]; Jhony S [ 1 ]; José Blanco [ 2 ]; Mikey  [  ]; Nicolás [ 2 ]; Ruben [  ]
CLEAN SHEETS: Cuñis [  ]; David [  ]; Mikey  [  ]; Ruben [  ]")</f>
        <v>GOALS: Cuñis [  ]; David [  ]; Jhony S [ 1 ]; José Blanco [ 2 ]; Mikey  [  ]; Nicolás [ 2 ]; Ruben [  ]
CLEAN SHEETS: Cuñis [  ]; David [  ]; Mikey  [  ]; Ruben [  ]</v>
      </c>
      <c r="F10" s="54" t="s">
        <v>213</v>
      </c>
      <c r="G10" s="55">
        <v>3.0</v>
      </c>
      <c r="H10" s="56" t="s">
        <v>266</v>
      </c>
      <c r="I10" s="55">
        <v>2.0</v>
      </c>
      <c r="J10" s="54" t="s">
        <v>214</v>
      </c>
      <c r="K10" s="57" t="str">
        <f t="shared" si="1"/>
        <v>BLUE</v>
      </c>
      <c r="L10" s="57">
        <f t="shared" si="2"/>
        <v>2</v>
      </c>
      <c r="M10" s="59" t="str">
        <f>IFERROR(__xludf.DUMMYFUNCTION("IF(COUNTIF(WEEKLY_TEAMS!$AA$3:$AA$52, J10) &gt; 0, ""GOALS: "" &amp; TEXTJOIN(""; "", TRUE, IFERROR(FILTER(WEEKLY_TEAMS!B3:B52 &amp; "" [ "" &amp; WEEKLY_TEAMS!$AH$3:$AH$52 &amp; "" ]"", WEEKLY_TEAMS!$AA$3:$AA$52 = J10, WEEKLY_TEAMS!$AH$3:$AH$52 &gt; 0), """")) &amp; CHAR(10) &amp; CH"&amp;"AR(10) &amp;
""CLEAN SHEETS: "" &amp; TEXTJOIN(""; "", TRUE, IFERROR(FILTER(WEEKLY_TEAMS!$B$3:$B$52 &amp; "" [ "" &amp; WEEKLY_TEAMS!$AJ$3:$AJ$52 &amp; "" ]"", WEEKLY_TEAMS!$AA$3:$AA$52 = J10, WEEKLY_TEAMS!$AJ$3:$AJ$52 &gt; 0), """")), """")
"),"GOALS: Alex 👬 Gus  [  ]; Enerson [  ]; Gerardo [  ]; Juan Pablo [ 1 ]; Pirlo [  ]; Valencia [ 1 ]; (Sub) Asdruval [  ]; (Sub) Eder 👬 Honorio  [  ]
CLEAN SHEETS: Alex 👬 Gus  [  ]; Enerson [  ]; Gerardo [  ]; Pirlo [  ]; (Sub) Asdruval [  ]; (Sub) Eder "&amp;"👬 Honorio  [  ]")</f>
        <v>GOALS: Alex 👬 Gus  [  ]; Enerson [  ]; Gerardo [  ]; Juan Pablo [ 1 ]; Pirlo [  ]; Valencia [ 1 ]; (Sub) Asdruval [  ]; (Sub) Eder 👬 Honorio  [  ]
CLEAN SHEETS: Alex 👬 Gus  [  ]; Enerson [  ]; Gerardo [  ]; Pirlo [  ]; (Sub) Asdruval [  ]; (Sub) Eder 👬 Honorio  [  ]</v>
      </c>
      <c r="N10" s="60" t="s">
        <v>272</v>
      </c>
      <c r="O10" s="79">
        <v>3.0</v>
      </c>
      <c r="P10" s="49"/>
    </row>
    <row r="11" ht="37.5" customHeight="1">
      <c r="A11" s="50"/>
      <c r="B11" s="51" t="s">
        <v>3</v>
      </c>
      <c r="C11" s="51">
        <v>2.0</v>
      </c>
      <c r="D11" s="61" t="s">
        <v>268</v>
      </c>
      <c r="E11" s="62" t="str">
        <f>IFERROR(__xludf.DUMMYFUNCTION("IF(COUNTIF(WEEKLY_TEAMS!$AA$3:$AA$52, F11) &gt; 0, ""GOALS: "" &amp; TEXTJOIN(""; "", TRUE, IFERROR(FILTER(WEEKLY_TEAMS!B3:B52 &amp; "" [ "" &amp; WEEKLY_TEAMS!$AH$3:$AH$52 &amp; "" ]"", WEEKLY_TEAMS!$AA$3:$AA$52 = F11, WEEKLY_TEAMS!$AH$3:$AH$52 &gt; 0), """")) &amp; CHAR(10) &amp; CH"&amp;"AR(10) &amp;
""CLEAN SHEETS: "" &amp; TEXTJOIN(""; "", TRUE, IFERROR(FILTER(WEEKLY_TEAMS!$B$3:$B$52 &amp; "" [ "" &amp; WEEKLY_TEAMS!$AJ$3:$AJ$52 &amp; "" ]"", WEEKLY_TEAMS!$AA$3:$AA$52 = F11, WEEKLY_TEAMS!$AJ$3:$AJ$52 &gt; 0), """")), """")
"),"GOALS: Andrés 👬 López [  ]; Efraín [  ]; Jordan [  ]; José Sarza [  ]; Joseph 👬 Da Silva [  ]; Kevin 👬 Mike [  ]; Rudy [  ]; Valverde [ 1 ]; (Sub) Walter Acero [  ]
CLEAN SHEETS: Andrés 👬 López [  ]; Efraín [  ]; Jordan [  ]; José Sarza [  ]; Joseph "&amp;"👬 Da Silva [  ]; Kevin 👬 Mike [  ]; Rudy [  ]; (Sub) Walter Acero [  ]")</f>
        <v>GOALS: Andrés 👬 López [  ]; Efraín [  ]; Jordan [  ]; José Sarza [  ]; Joseph 👬 Da Silva [  ]; Kevin 👬 Mike [  ]; Rudy [  ]; Valverde [ 1 ]; (Sub) Walter Acero [  ]
CLEAN SHEETS: Andrés 👬 López [  ]; Efraín [  ]; Jordan [  ]; José Sarza [  ]; Joseph 👬 Da Silva [  ]; Kevin 👬 Mike [  ]; Rudy [  ]; (Sub) Walter Acero [  ]</v>
      </c>
      <c r="F11" s="63" t="s">
        <v>215</v>
      </c>
      <c r="G11" s="64">
        <v>0.0</v>
      </c>
      <c r="H11" s="56" t="s">
        <v>266</v>
      </c>
      <c r="I11" s="64">
        <v>2.0</v>
      </c>
      <c r="J11" s="63" t="s">
        <v>212</v>
      </c>
      <c r="K11" s="66" t="str">
        <f t="shared" si="1"/>
        <v>GREEN</v>
      </c>
      <c r="L11" s="66">
        <f t="shared" si="2"/>
        <v>2</v>
      </c>
      <c r="M11" s="68" t="str">
        <f>IFERROR(__xludf.DUMMYFUNCTION("IF(COUNTIF(WEEKLY_TEAMS!$AA$3:$AA$52, J11) &gt; 0, ""GOALS: "" &amp; TEXTJOIN(""; "", TRUE, IFERROR(FILTER(WEEKLY_TEAMS!B3:B52 &amp; "" [ "" &amp; WEEKLY_TEAMS!$AH$3:$AH$52 &amp; "" ]"", WEEKLY_TEAMS!$AA$3:$AA$52 = J11, WEEKLY_TEAMS!$AH$3:$AH$52 &gt; 0), """")) &amp; CHAR(10) &amp; CH"&amp;"AR(10) &amp;
""CLEAN SHEETS: "" &amp; TEXTJOIN(""; "", TRUE, IFERROR(FILTER(WEEKLY_TEAMS!$B$3:$B$52 &amp; "" [ "" &amp; WEEKLY_TEAMS!$AJ$3:$AJ$52 &amp; "" ]"", WEEKLY_TEAMS!$AA$3:$AA$52 = J11, WEEKLY_TEAMS!$AJ$3:$AJ$52 &gt; 0), """")), """")
"),"GOALS: Carlos S [ 2 ]; Chato [ 1 ]; Eder 👬 Honorio [  ]; Fabián 👬 Asdruval [  ]; Gabo [ 1 ]; Javier [  ]; Jesús 👬 Rodrigo [ 1 ]; Osmin [  ]; Rodolfo 👬 Víctor S [  ]
CLEAN SHEETS: Eder 👬 Honorio [  ]; Fabián 👬 Asdruval [  ]; Javier [  ]; Osmin [  ];"&amp;" Rodolfo 👬 Víctor S [  ]")</f>
        <v>GOALS: Carlos S [ 2 ]; Chato [ 1 ]; Eder 👬 Honorio [  ]; Fabián 👬 Asdruval [  ]; Gabo [ 1 ]; Javier [  ]; Jesús 👬 Rodrigo [ 1 ]; Osmin [  ]; Rodolfo 👬 Víctor S [  ]
CLEAN SHEETS: Eder 👬 Honorio [  ]; Fabián 👬 Asdruval [  ]; Javier [  ]; Osmin [  ]; Rodolfo 👬 Víctor S [  ]</v>
      </c>
      <c r="N11" s="69"/>
      <c r="P11" s="49"/>
    </row>
    <row r="12" ht="37.5" customHeight="1">
      <c r="A12" s="50"/>
      <c r="B12" s="51" t="s">
        <v>3</v>
      </c>
      <c r="C12" s="51">
        <v>3.0</v>
      </c>
      <c r="D12" s="52" t="s">
        <v>265</v>
      </c>
      <c r="E12" s="53" t="str">
        <f>IFERROR(__xludf.DUMMYFUNCTION("IF(COUNTIF(WEEKLY_TEAMS!$AA$3:$AA$52, F12) &gt; 0, ""GOALS: "" &amp; TEXTJOIN(""; "", TRUE, IFERROR(FILTER(WEEKLY_TEAMS!B3:B52 &amp; "" [ "" &amp; #REF! &amp; "" ]"", WEEKLY_TEAMS!$AA$3:$AA$52 = F12, #REF! &gt; 0), """")) &amp; CHAR(10) &amp; CHAR(10) &amp;
""CLEAN SHEETS: "" &amp; TEXTJOIN("&amp;"""; "", TRUE, IFERROR(FILTER(WEEKLY_TEAMS!$B$3:$B$52 &amp; "" [ "" &amp; #REF! &amp; "" ]"", WEEKLY_TEAMS!$AA$3:$AA$52 = F12, #REF! &gt; 0), """")), """")
"),"GOALS: 
CLEAN SHEETS: ")</f>
        <v>GOALS: 
CLEAN SHEETS: </v>
      </c>
      <c r="F12" s="54" t="s">
        <v>213</v>
      </c>
      <c r="G12" s="55">
        <v>2.0</v>
      </c>
      <c r="H12" s="56" t="s">
        <v>266</v>
      </c>
      <c r="I12" s="55">
        <v>3.0</v>
      </c>
      <c r="J12" s="54" t="s">
        <v>212</v>
      </c>
      <c r="K12" s="57" t="str">
        <f t="shared" si="1"/>
        <v>GREEN</v>
      </c>
      <c r="L12" s="57">
        <f t="shared" si="2"/>
        <v>2</v>
      </c>
      <c r="M12" s="59" t="str">
        <f>IFERROR(__xludf.DUMMYFUNCTION("IF(COUNTIF(WEEKLY_TEAMS!$AA$3:$AA$52, J12) &gt; 0, ""GOALS: "" &amp; TEXTJOIN(""; "", TRUE, IFERROR(FILTER(WEEKLY_TEAMS!B3:B52 &amp; "" [ "" &amp; #REF! &amp; "" ]"", WEEKLY_TEAMS!$AA$3:$AA$52 = J12, #REF! &gt; 0), """")) &amp; CHAR(10) &amp; CHAR(10) &amp;
""CLEAN SHEETS: "" &amp; TEXTJOIN("&amp;"""; "", TRUE, IFERROR(FILTER(WEEKLY_TEAMS!$B$3:$B$52 &amp; "" [ "" &amp; #REF! &amp; "" ]"", WEEKLY_TEAMS!$AA$3:$AA$52 = J12, #REF! &gt; 0), """")), """")
"),"GOALS: 
CLEAN SHEETS: ")</f>
        <v>GOALS: 
CLEAN SHEETS: </v>
      </c>
      <c r="N12" s="60" t="s">
        <v>273</v>
      </c>
      <c r="P12" s="49"/>
    </row>
    <row r="13" ht="37.5" customHeight="1">
      <c r="A13" s="70"/>
      <c r="B13" s="51" t="s">
        <v>3</v>
      </c>
      <c r="C13" s="51">
        <v>4.0</v>
      </c>
      <c r="D13" s="61" t="s">
        <v>268</v>
      </c>
      <c r="E13" s="62" t="str">
        <f>IFERROR(__xludf.DUMMYFUNCTION("IF(COUNTIF(WEEKLY_TEAMS!$AA$3:$AA$52, F13) &gt; 0, ""GOALS: "" &amp; TEXTJOIN(""; "", TRUE, IFERROR(FILTER(WEEKLY_TEAMS!B3:B52 &amp; "" [ "" &amp; #REF! &amp; "" ]"", WEEKLY_TEAMS!$AA$3:$AA$52 = F13, #REF! &gt; 0), """")) &amp; CHAR(10) &amp; CHAR(10) &amp;
""CLEAN SHEETS: "" &amp; TEXTJOIN("&amp;"""; "", TRUE, IFERROR(FILTER(WEEKLY_TEAMS!$B$3:$B$52 &amp; "" [ "" &amp; #REF! &amp; "" ]"", WEEKLY_TEAMS!$AA$3:$AA$52 = F13, #REF! &gt; 0), """")), """")
"),"GOALS: 
CLEAN SHEETS: ")</f>
        <v>GOALS: 
CLEAN SHEETS: </v>
      </c>
      <c r="F13" s="63" t="s">
        <v>214</v>
      </c>
      <c r="G13" s="64">
        <v>2.0</v>
      </c>
      <c r="H13" s="56" t="s">
        <v>266</v>
      </c>
      <c r="I13" s="64">
        <v>1.0</v>
      </c>
      <c r="J13" s="63" t="s">
        <v>215</v>
      </c>
      <c r="K13" s="66" t="str">
        <f t="shared" si="1"/>
        <v>MAGENTA</v>
      </c>
      <c r="L13" s="66">
        <f t="shared" si="2"/>
        <v>2</v>
      </c>
      <c r="M13" s="68" t="str">
        <f>IFERROR(__xludf.DUMMYFUNCTION("IF(COUNTIF(WEEKLY_TEAMS!$AA$3:$AA$52, J13) &gt; 0, ""GOALS: "" &amp; TEXTJOIN(""; "", TRUE, IFERROR(FILTER(WEEKLY_TEAMS!B3:B52 &amp; "" [ "" &amp; #REF! &amp; "" ]"", WEEKLY_TEAMS!$AA$3:$AA$52 = J13, #REF! &gt; 0), """")) &amp; CHAR(10) &amp; CHAR(10) &amp;
""CLEAN SHEETS: "" &amp; TEXTJOIN("&amp;"""; "", TRUE, IFERROR(FILTER(WEEKLY_TEAMS!$B$3:$B$52 &amp; "" [ "" &amp; #REF! &amp; "" ]"", WEEKLY_TEAMS!$AA$3:$AA$52 = J13, #REF! &gt; 0), """")), """")
"),"GOALS: 
CLEAN SHEETS: ")</f>
        <v>GOALS: 
CLEAN SHEETS: </v>
      </c>
      <c r="N13" s="69"/>
      <c r="O13" s="69"/>
      <c r="P13" s="49"/>
    </row>
    <row r="14" ht="37.5" customHeight="1">
      <c r="A14" s="50"/>
      <c r="B14" s="51" t="s">
        <v>274</v>
      </c>
      <c r="C14" s="51">
        <v>1.0</v>
      </c>
      <c r="D14" s="71" t="s">
        <v>265</v>
      </c>
      <c r="E14" s="53" t="str">
        <f>IFERROR(__xludf.DUMMYFUNCTION("IF(COUNTIF(WEEKLY_TEAMS!$AM$3:$AM$52, F14) &gt; 0, ""GOALS: "" &amp; TEXTJOIN(""; "", TRUE, IFERROR(FILTER(WEEKLY_TEAMS!B3:B52 &amp; "" [ "" &amp; WEEKLY_TEAMS!$AT$3:$AT$52 &amp; "" ]"", WEEKLY_TEAMS!$AM$3:$AM$52 = F14, WEEKLY_TEAMS!$AT$3:$AT$52 &gt; 0), """")) &amp; CHAR(10) &amp; CH"&amp;"AR(10) &amp;
""CLEAN SHEETS: "" &amp; TEXTJOIN(""; "", TRUE, IFERROR(FILTER(WEEKLY_TEAMS!$B$3:$B$52 &amp; "" [ "" &amp; WEEKLY_TEAMS!$AV$3:$AV$52 &amp; "" ]"", WEEKLY_TEAMS!$AM$3:$AM$52 = F14, WEEKLY_TEAMS!$AV$3:$AV$52 &gt; 0), """")), """")
"),"GOALS: Cuñis [  ]; Efraín [  ]; Javier [  ]; Ruben [ 1 ]; (Sub) Asdruval [  ]; (Sub)  👬 Joseph [  ]; (Sub)  👬 Jesús [ 1 ]
CLEAN SHEETS: Cuñis [  ]; Efraín [  ]; Javier [  ]; (Sub) Asdruval [  ]; (Sub) Walter Acero [ 1 ]; (Sub)  👬 Joseph [  ]")</f>
        <v>GOALS: Cuñis [  ]; Efraín [  ]; Javier [  ]; Ruben [ 1 ]; (Sub) Asdruval [  ]; (Sub)  👬 Joseph [  ]; (Sub)  👬 Jesús [ 1 ]
CLEAN SHEETS: Cuñis [  ]; Efraín [  ]; Javier [  ]; (Sub) Asdruval [  ]; (Sub) Walter Acero [ 1 ]; (Sub)  👬 Joseph [  ]</v>
      </c>
      <c r="F14" s="72" t="s">
        <v>213</v>
      </c>
      <c r="G14" s="73">
        <v>2.0</v>
      </c>
      <c r="H14" s="56" t="s">
        <v>266</v>
      </c>
      <c r="I14" s="73">
        <v>0.0</v>
      </c>
      <c r="J14" s="72" t="s">
        <v>214</v>
      </c>
      <c r="K14" s="74" t="str">
        <f t="shared" si="1"/>
        <v>BLUE</v>
      </c>
      <c r="L14" s="74">
        <f t="shared" si="2"/>
        <v>2</v>
      </c>
      <c r="M14" s="59" t="str">
        <f>IFERROR(__xludf.DUMMYFUNCTION("IF(COUNTIF(WEEKLY_TEAMS!$AM$3:$AM$52, J14) &gt; 0, ""GOALS: "" &amp; TEXTJOIN(""; "", TRUE, IFERROR(FILTER(WEEKLY_TEAMS!B3:B52 &amp; "" [ "" &amp; WEEKLY_TEAMS!$AT$3:$AT$52 &amp; "" ]"", WEEKLY_TEAMS!$AM$3:$AM$52 = J14, WEEKLY_TEAMS!$AT$3:$AT$52 &gt; 0), """")) &amp; CHAR(10) &amp; CH"&amp;"AR(10) &amp;
""CLEAN SHEETS: "" &amp; TEXTJOIN(""; "", TRUE, IFERROR(FILTER(WEEKLY_TEAMS!$B$3:$B$52 &amp; "" [ "" &amp; WEEKLY_TEAMS!$AV$3:$AV$52 &amp; "" ]"", WEEKLY_TEAMS!$AM$3:$AM$52 = J14, WEEKLY_TEAMS!$AV$3:$AV$52 &gt; 0), """")), """")
"),"GOALS: Alex 👬 Gus  [  ]; Carlos S [ 1 ]; Chilas 👬 Calin [  ]; Fer 👬 Guille [  ]; Gabo [ 1 ]; Rodolfo 👬 Víctor S [  ]; Valverde [  ]; Víctor N [  ]; (Sub) 👬 Víctor S [  ]
CLEAN SHEETS: Alex 👬 Gus  [  ]; Chilas 👬 Calin [  ]; Fer 👬 Guille [  ]; Rodo"&amp;"lfo 👬 Víctor S [  ]; Valverde [  ]; Víctor N [  ]; (Sub) 👬 Víctor S [  ]")</f>
        <v>GOALS: Alex 👬 Gus  [  ]; Carlos S [ 1 ]; Chilas 👬 Calin [  ]; Fer 👬 Guille [  ]; Gabo [ 1 ]; Rodolfo 👬 Víctor S [  ]; Valverde [  ]; Víctor N [  ]; (Sub) 👬 Víctor S [  ]
CLEAN SHEETS: Alex 👬 Gus  [  ]; Chilas 👬 Calin [  ]; Fer 👬 Guille [  ]; Rodolfo 👬 Víctor S [  ]; Valverde [  ]; Víctor N [  ]; (Sub) 👬 Víctor S [  ]</v>
      </c>
      <c r="N14" s="60" t="s">
        <v>275</v>
      </c>
      <c r="O14" s="60">
        <v>4.0</v>
      </c>
      <c r="P14" s="49"/>
    </row>
    <row r="15" ht="37.5" customHeight="1">
      <c r="A15" s="50"/>
      <c r="B15" s="51" t="s">
        <v>274</v>
      </c>
      <c r="C15" s="51">
        <v>2.0</v>
      </c>
      <c r="D15" s="75" t="s">
        <v>268</v>
      </c>
      <c r="E15" s="62" t="str">
        <f>IFERROR(__xludf.DUMMYFUNCTION("IF(COUNTIF(WEEKLY_TEAMS!$AM$3:$AM$52, F15) &gt; 0, ""GOALS: "" &amp; TEXTJOIN(""; "", TRUE, IFERROR(FILTER(WEEKLY_TEAMS!B3:B52 &amp; "" [ "" &amp; WEEKLY_TEAMS!$AT$3:$AT$52 &amp; "" ]"", WEEKLY_TEAMS!$AM$3:$AM$52 = F15, WEEKLY_TEAMS!$AT$3:$AT$52 &gt; 0), """")) &amp; CHAR(10) &amp; CH"&amp;"AR(10) &amp;
""CLEAN SHEETS: "" &amp; TEXTJOIN(""; "", TRUE, IFERROR(FILTER(WEEKLY_TEAMS!$B$3:$B$52 &amp; "" [ "" &amp; WEEKLY_TEAMS!$AV$3:$AV$52 &amp; "" ]"", WEEKLY_TEAMS!$AM$3:$AM$52 = F15, WEEKLY_TEAMS!$AV$3:$AV$52 &gt; 0), """")), """")
"),"GOALS: Fabián 👬 Asdruval [  ]; Jesús 👬 Rodrigo [  ]; Jordan [  ]; José Blanco [  ]; Juan Pablo [  ]; Kevin 👬 Mike [ 1 ]; Mikey  [  ]; Nicolás [  ]; Rudy [ 2 ]
CLEAN SHEETS: Fabián 👬 Asdruval [  ]; Jesús 👬 Rodrigo [  ]; Jordan [  ]; José Blanco [  ];"&amp;" Juan Pablo [  ]; Mikey  [  ]; Nicolás [  ]")</f>
        <v>GOALS: Fabián 👬 Asdruval [  ]; Jesús 👬 Rodrigo [  ]; Jordan [  ]; José Blanco [  ]; Juan Pablo [  ]; Kevin 👬 Mike [ 1 ]; Mikey  [  ]; Nicolás [  ]; Rudy [ 2 ]
CLEAN SHEETS: Fabián 👬 Asdruval [  ]; Jesús 👬 Rodrigo [  ]; Jordan [  ]; José Blanco [  ]; Juan Pablo [  ]; Mikey  [  ]; Nicolás [  ]</v>
      </c>
      <c r="F15" s="76" t="s">
        <v>212</v>
      </c>
      <c r="G15" s="77">
        <v>2.0</v>
      </c>
      <c r="H15" s="56" t="s">
        <v>266</v>
      </c>
      <c r="I15" s="77">
        <v>0.0</v>
      </c>
      <c r="J15" s="76" t="s">
        <v>215</v>
      </c>
      <c r="K15" s="78" t="str">
        <f t="shared" si="1"/>
        <v>GREEN</v>
      </c>
      <c r="L15" s="78">
        <f t="shared" si="2"/>
        <v>2</v>
      </c>
      <c r="M15" s="68" t="str">
        <f>IFERROR(__xludf.DUMMYFUNCTION("IF(COUNTIF(WEEKLY_TEAMS!$AM$3:$AM$52, J15) &gt; 0, ""GOALS: "" &amp; TEXTJOIN(""; "", TRUE, IFERROR(FILTER(WEEKLY_TEAMS!B3:B52 &amp; "" [ "" &amp; WEEKLY_TEAMS!$AT$3:$AT$52 &amp; "" ]"", WEEKLY_TEAMS!$AM$3:$AM$52 = J15, WEEKLY_TEAMS!$AT$3:$AT$52 &gt; 0), """")) &amp; CHAR(10) &amp; CH"&amp;"AR(10) &amp;
""CLEAN SHEETS: "" &amp; TEXTJOIN(""; "", TRUE, IFERROR(FILTER(WEEKLY_TEAMS!$B$3:$B$52 &amp; "" [ "" &amp; WEEKLY_TEAMS!$AV$3:$AV$52 &amp; "" ]"", WEEKLY_TEAMS!$AM$3:$AM$52 = J15, WEEKLY_TEAMS!$AV$3:$AV$52 &gt; 0), """")), """")
"),"GOALS: Chato [ 1 ]; Eder 👬 Honorio [  ]; Enerson [  ]; Gerardo [  ]; Jhony S [  ]; Joseph 👬 Da Silva [  ]; Osmin [  ]; (Sub)  👬 Calin [  ]
CLEAN SHEETS: Eder 👬 Honorio [  ]; Enerson [  ]; Gerardo [  ]; Jhony S [  ]; Joseph 👬 Da Silva [  ]; Osmin [  "&amp;"]; (Sub)  👬 Calin [  ]")</f>
        <v>GOALS: Chato [ 1 ]; Eder 👬 Honorio [  ]; Enerson [  ]; Gerardo [  ]; Jhony S [  ]; Joseph 👬 Da Silva [  ]; Osmin [  ]; (Sub)  👬 Calin [  ]
CLEAN SHEETS: Eder 👬 Honorio [  ]; Enerson [  ]; Gerardo [  ]; Jhony S [  ]; Joseph 👬 Da Silva [  ]; Osmin [  ]; (Sub)  👬 Calin [  ]</v>
      </c>
      <c r="N15" s="69"/>
      <c r="P15" s="49"/>
    </row>
    <row r="16" ht="37.5" customHeight="1">
      <c r="A16" s="50"/>
      <c r="B16" s="51" t="s">
        <v>274</v>
      </c>
      <c r="C16" s="51">
        <v>3.0</v>
      </c>
      <c r="D16" s="71" t="s">
        <v>265</v>
      </c>
      <c r="E16" s="53" t="str">
        <f>IFERROR(__xludf.DUMMYFUNCTION("IF(COUNTIF(WEEKLY_TEAMS!$AM$3:$AM$52, F16) &gt; 0, ""GOALS: "" &amp; TEXTJOIN(""; "", TRUE, IFERROR(FILTER(WEEKLY_TEAMS!B3:B52 &amp; "" [ "" &amp; #REF! &amp; "" ]"", WEEKLY_TEAMS!$AM$3:$AM$52 = F16, #REF! &gt; 0), """")) &amp; CHAR(10) &amp; CHAR(10) &amp;
""CLEAN SHEETS: "" &amp; TEXTJOIN("&amp;"""; "", TRUE, IFERROR(FILTER(WEEKLY_TEAMS!$B$3:$B$52 &amp; "" [ "" &amp; #REF! &amp; "" ]"", WEEKLY_TEAMS!$AM$3:$AM$52 = F16, #REF! &gt; 0), """")), """")
"),"GOALS: 
CLEAN SHEETS: ")</f>
        <v>GOALS: 
CLEAN SHEETS: </v>
      </c>
      <c r="F16" s="72" t="s">
        <v>213</v>
      </c>
      <c r="G16" s="73">
        <v>0.0</v>
      </c>
      <c r="H16" s="56" t="s">
        <v>266</v>
      </c>
      <c r="I16" s="73">
        <v>1.0</v>
      </c>
      <c r="J16" s="72" t="s">
        <v>212</v>
      </c>
      <c r="K16" s="74" t="str">
        <f t="shared" si="1"/>
        <v>GREEN</v>
      </c>
      <c r="L16" s="74">
        <f t="shared" si="2"/>
        <v>2</v>
      </c>
      <c r="M16" s="59" t="str">
        <f>IFERROR(__xludf.DUMMYFUNCTION("IF(COUNTIF(WEEKLY_TEAMS!$AM$3:$AM$52, J16) &gt; 0, ""GOALS: "" &amp; TEXTJOIN(""; "", TRUE, IFERROR(FILTER(WEEKLY_TEAMS!B3:B52 &amp; "" [ "" &amp; #REF! &amp; "" ]"", WEEKLY_TEAMS!$AM$3:$AM$52 = J16, #REF! &gt; 0), """")) &amp; CHAR(10) &amp; CHAR(10) &amp;
""CLEAN SHEETS: "" &amp; TEXTJOIN("&amp;"""; "", TRUE, IFERROR(FILTER(WEEKLY_TEAMS!$B$3:$B$52 &amp; "" [ "" &amp; #REF! &amp; "" ]"", WEEKLY_TEAMS!$AM$3:$AM$52 = J16, #REF! &gt; 0), """")), """")
"),"GOALS: 
CLEAN SHEETS: ")</f>
        <v>GOALS: 
CLEAN SHEETS: </v>
      </c>
      <c r="N16" s="60" t="s">
        <v>276</v>
      </c>
      <c r="P16" s="49"/>
    </row>
    <row r="17" ht="37.5" customHeight="1">
      <c r="A17" s="70"/>
      <c r="B17" s="51" t="s">
        <v>274</v>
      </c>
      <c r="C17" s="51">
        <v>4.0</v>
      </c>
      <c r="D17" s="75" t="s">
        <v>268</v>
      </c>
      <c r="E17" s="62" t="str">
        <f>IFERROR(__xludf.DUMMYFUNCTION("IF(COUNTIF(WEEKLY_TEAMS!$AM$3:$AM$52, F17) &gt; 0, ""GOALS: "" &amp; TEXTJOIN(""; "", TRUE, IFERROR(FILTER(WEEKLY_TEAMS!B3:B52 &amp; "" [ "" &amp; #REF! &amp; "" ]"", WEEKLY_TEAMS!$AM$3:$AM$52 = F17, #REF! &gt; 0), """")) &amp; CHAR(10) &amp; CHAR(10) &amp;
""CLEAN SHEETS: "" &amp; TEXTJOIN("&amp;"""; "", TRUE, IFERROR(FILTER(WEEKLY_TEAMS!$B$3:$B$52 &amp; "" [ "" &amp; #REF! &amp; "" ]"", WEEKLY_TEAMS!$AM$3:$AM$52 = F17, #REF! &gt; 0), """")), """")
"),"GOALS: 
CLEAN SHEETS: ")</f>
        <v>GOALS: 
CLEAN SHEETS: </v>
      </c>
      <c r="F17" s="76" t="s">
        <v>215</v>
      </c>
      <c r="G17" s="77">
        <v>3.0</v>
      </c>
      <c r="H17" s="56" t="s">
        <v>266</v>
      </c>
      <c r="I17" s="77">
        <v>2.0</v>
      </c>
      <c r="J17" s="76" t="s">
        <v>214</v>
      </c>
      <c r="K17" s="78" t="str">
        <f t="shared" si="1"/>
        <v>ORANGE</v>
      </c>
      <c r="L17" s="78">
        <f t="shared" si="2"/>
        <v>2</v>
      </c>
      <c r="M17" s="68" t="str">
        <f>IFERROR(__xludf.DUMMYFUNCTION("IF(COUNTIF(WEEKLY_TEAMS!$AM$3:$AM$52, J17) &gt; 0, ""GOALS: "" &amp; TEXTJOIN(""; "", TRUE, IFERROR(FILTER(WEEKLY_TEAMS!B3:B52 &amp; "" [ "" &amp; #REF! &amp; "" ]"", WEEKLY_TEAMS!$AM$3:$AM$52 = J17, #REF! &gt; 0), """")) &amp; CHAR(10) &amp; CHAR(10) &amp;
""CLEAN SHEETS: "" &amp; TEXTJOIN("&amp;"""; "", TRUE, IFERROR(FILTER(WEEKLY_TEAMS!$B$3:$B$52 &amp; "" [ "" &amp; #REF! &amp; "" ]"", WEEKLY_TEAMS!$AM$3:$AM$52 = J17, #REF! &gt; 0), """")), """")
"),"GOALS: 
CLEAN SHEETS: ")</f>
        <v>GOALS: 
CLEAN SHEETS: </v>
      </c>
      <c r="N17" s="69"/>
      <c r="O17" s="69"/>
      <c r="P17" s="49"/>
    </row>
    <row r="18" ht="37.5" customHeight="1">
      <c r="A18" s="50"/>
      <c r="B18" s="51" t="s">
        <v>5</v>
      </c>
      <c r="C18" s="51">
        <v>1.0</v>
      </c>
      <c r="D18" s="52" t="s">
        <v>265</v>
      </c>
      <c r="E18" s="53" t="str">
        <f>IFERROR(__xludf.DUMMYFUNCTION("IF(COUNTIF(WEEKLY_TEAMS!$AY$3:$AY$52, F18) &gt; 0, ""GOALS: "" &amp; TEXTJOIN(""; "", TRUE, IFERROR(FILTER(WEEKLY_TEAMS!B3:B52 &amp; "" [ "" &amp; WEEKLY_TEAMS!$BF$3:$BF$52 &amp; "" ]"", WEEKLY_TEAMS!$AY$3:$AY$52 = F18, WEEKLY_TEAMS!$BF$3:$BF$52 &gt; 0), """")) &amp; CHAR(10) &amp; CH"&amp;"AR(10) &amp;
""CLEAN SHEETS: "" &amp; TEXTJOIN(""; "", TRUE, IFERROR(FILTER(WEEKLY_TEAMS!$B$3:$B$52 &amp; "" [ "" &amp; WEEKLY_TEAMS!$BH$3:$BH$52 &amp; "" ]"", WEEKLY_TEAMS!$AY$3:$AY$52 = F18, WEEKLY_TEAMS!$BH$3:$BH$52 &gt; 0), """")), """")
"),"GOALS: Chato [ 2 ]; Jhony S [ 1 ]; José Sarza [  ]; Joseph 👬 Da Silva [ 1 ]; Juan Pablo [ 1 ]; Nicky [ 1 ]; (Sub) Emilio [  ]
CLEAN SHEETS: José Sarza [  ]; Kevin 👬 Mike [ 1 ]; Víctor N [ 1 ]; (Sub) Emilio [  ]")</f>
        <v>GOALS: Chato [ 2 ]; Jhony S [ 1 ]; José Sarza [  ]; Joseph 👬 Da Silva [ 1 ]; Juan Pablo [ 1 ]; Nicky [ 1 ]; (Sub) Emilio [  ]
CLEAN SHEETS: José Sarza [  ]; Kevin 👬 Mike [ 1 ]; Víctor N [ 1 ]; (Sub) Emilio [  ]</v>
      </c>
      <c r="F18" s="54" t="s">
        <v>214</v>
      </c>
      <c r="G18" s="55">
        <v>0.0</v>
      </c>
      <c r="H18" s="56" t="s">
        <v>266</v>
      </c>
      <c r="I18" s="55">
        <v>0.0</v>
      </c>
      <c r="J18" s="54" t="s">
        <v>213</v>
      </c>
      <c r="K18" s="57" t="str">
        <f t="shared" si="1"/>
        <v>Draw</v>
      </c>
      <c r="L18" s="57">
        <f t="shared" si="2"/>
        <v>1</v>
      </c>
      <c r="M18" s="59" t="str">
        <f>IFERROR(__xludf.DUMMYFUNCTION("IF(COUNTIF(WEEKLY_TEAMS!$AY$3:$AY$52, J18) &gt; 0, ""GOALS: "" &amp; TEXTJOIN(""; "", TRUE, IFERROR(FILTER(WEEKLY_TEAMS!B3:B52 &amp; "" [ "" &amp; WEEKLY_TEAMS!$BF$3:$BF$52 &amp; "" ]"", WEEKLY_TEAMS!$AY$3:$AY$52 = J18, WEEKLY_TEAMS!$BF$3:$BF$52 &gt; 0), """")) &amp; CHAR(10) &amp; CH"&amp;"AR(10) &amp;
""CLEAN SHEETS: "" &amp; TEXTJOIN(""; "", TRUE, IFERROR(FILTER(WEEKLY_TEAMS!$B$3:$B$52 &amp; "" [ "" &amp; WEEKLY_TEAMS!$BH$3:$BH$52 &amp; "" ]"", WEEKLY_TEAMS!$AY$3:$AY$52 = J18, WEEKLY_TEAMS!$BH$3:$BH$52 &gt; 0), """")), """")
"),"GOALS: David [  ]; Gabo [  ]; Javier [  ]; Jordan [  ]; José Blanco [  ]; Rodolfo 👬 Víctor S [  ]; Rudy [  ]
CLEAN SHEETS: Andrés 👬 López [ 1 ]; David [  ]; Gabo [  ]; Javier [  ]; Jordan [  ]; José Blanco [  ]; Rodolfo 👬 Víctor S [  ]; Rudy [  ]")</f>
        <v>GOALS: David [  ]; Gabo [  ]; Javier [  ]; Jordan [  ]; José Blanco [  ]; Rodolfo 👬 Víctor S [  ]; Rudy [  ]
CLEAN SHEETS: Andrés 👬 López [ 1 ]; David [  ]; Gabo [  ]; Javier [  ]; Jordan [  ]; José Blanco [  ]; Rodolfo 👬 Víctor S [  ]; Rudy [  ]</v>
      </c>
      <c r="N18" s="60" t="s">
        <v>277</v>
      </c>
      <c r="O18" s="60">
        <v>5.0</v>
      </c>
      <c r="P18" s="49"/>
    </row>
    <row r="19" ht="37.5" customHeight="1">
      <c r="A19" s="50"/>
      <c r="B19" s="51" t="s">
        <v>5</v>
      </c>
      <c r="C19" s="51">
        <v>2.0</v>
      </c>
      <c r="D19" s="61" t="s">
        <v>268</v>
      </c>
      <c r="E19" s="62" t="str">
        <f>IFERROR(__xludf.DUMMYFUNCTION("IF(COUNTIF(WEEKLY_TEAMS!$AY$3:$AY$52, F19) &gt; 0, ""GOALS: "" &amp; TEXTJOIN(""; "", TRUE, IFERROR(FILTER(WEEKLY_TEAMS!B3:B52 &amp; "" [ "" &amp; WEEKLY_TEAMS!$BF$3:$BF$52 &amp; "" ]"", WEEKLY_TEAMS!$AY$3:$AY$52 = F19, WEEKLY_TEAMS!$BF$3:$BF$52 &gt; 0), """")) &amp; CHAR(10) &amp; CH"&amp;"AR(10) &amp;
""CLEAN SHEETS: "" &amp; TEXTJOIN(""; "", TRUE, IFERROR(FILTER(WEEKLY_TEAMS!$B$3:$B$52 &amp; "" [ "" &amp; WEEKLY_TEAMS!$BH$3:$BH$52 &amp; "" ]"", WEEKLY_TEAMS!$AY$3:$AY$52 = F19, WEEKLY_TEAMS!$BH$3:$BH$52 &gt; 0), """")), """")
"),"GOALS: Eder 👬 Honorio [  ]; Fer 👬 Guille [  ]; Mikey  [  ]; Osmin [  ]; Ruben [ 1 ]; Valencia [ 3 ]; (Sub) Sebastian Leal [  ]; (Sub) Karter [ 1 ]
CLEAN SHEETS: Eder 👬 Honorio [  ]; Fer 👬 Guille [  ]; Mikey  [  ]; Osmin [  ]; (Sub) Sebastian Leal [  "&amp;"]")</f>
        <v>GOALS: Eder 👬 Honorio [  ]; Fer 👬 Guille [  ]; Mikey  [  ]; Osmin [  ]; Ruben [ 1 ]; Valencia [ 3 ]; (Sub) Sebastian Leal [  ]; (Sub) Karter [ 1 ]
CLEAN SHEETS: Eder 👬 Honorio [  ]; Fer 👬 Guille [  ]; Mikey  [  ]; Osmin [  ]; (Sub) Sebastian Leal [  ]</v>
      </c>
      <c r="F19" s="63" t="s">
        <v>212</v>
      </c>
      <c r="G19" s="64">
        <v>3.0</v>
      </c>
      <c r="H19" s="56" t="s">
        <v>266</v>
      </c>
      <c r="I19" s="64">
        <v>1.0</v>
      </c>
      <c r="J19" s="63" t="s">
        <v>215</v>
      </c>
      <c r="K19" s="66" t="str">
        <f t="shared" si="1"/>
        <v>GREEN</v>
      </c>
      <c r="L19" s="66">
        <f t="shared" si="2"/>
        <v>2</v>
      </c>
      <c r="M19" s="68" t="str">
        <f>IFERROR(__xludf.DUMMYFUNCTION("IF(COUNTIF(WEEKLY_TEAMS!$AY$3:$AY$52, J19) &gt; 0, ""GOALS: "" &amp; TEXTJOIN(""; "", TRUE, IFERROR(FILTER(WEEKLY_TEAMS!B3:B52 &amp; "" [ "" &amp; WEEKLY_TEAMS!$BF$3:$BF$52 &amp; "" ]"", WEEKLY_TEAMS!$AY$3:$AY$52 = J19, WEEKLY_TEAMS!$BF$3:$BF$52 &gt; 0), """")) &amp; CHAR(10) &amp; CH"&amp;"AR(10) &amp;
""CLEAN SHEETS: "" &amp; TEXTJOIN(""; "", TRUE, IFERROR(FILTER(WEEKLY_TEAMS!$B$3:$B$52 &amp; "" [ "" &amp; WEEKLY_TEAMS!$BH$3:$BH$52 &amp; "" ]"", WEEKLY_TEAMS!$AY$3:$AY$52 = J19, WEEKLY_TEAMS!$BH$3:$BH$52 &gt; 0), """")), """")
"),"GOALS: Alex 👬 Gus  [  ]; Carlos S [  ]; Efraín [  ]; Enerson [  ]; Jesús 👬 Rodrigo [ 1 ]; Pirlo [  ]; Rob [  ]; Valverde [  ]
CLEAN SHEETS: Alex 👬 Gus  [  ]; Carlos S [  ]; Efraín [  ]; Enerson [  ]; Pirlo [  ]; Rob [  ]; Valverde [  ]")</f>
        <v>GOALS: Alex 👬 Gus  [  ]; Carlos S [  ]; Efraín [  ]; Enerson [  ]; Jesús 👬 Rodrigo [ 1 ]; Pirlo [  ]; Rob [  ]; Valverde [  ]
CLEAN SHEETS: Alex 👬 Gus  [  ]; Carlos S [  ]; Efraín [  ]; Enerson [  ]; Pirlo [  ]; Rob [  ]; Valverde [  ]</v>
      </c>
      <c r="N19" s="69"/>
      <c r="P19" s="49"/>
    </row>
    <row r="20" ht="37.5" customHeight="1">
      <c r="A20" s="50"/>
      <c r="B20" s="51" t="s">
        <v>5</v>
      </c>
      <c r="C20" s="51">
        <v>3.0</v>
      </c>
      <c r="D20" s="52" t="s">
        <v>265</v>
      </c>
      <c r="E20" s="53" t="str">
        <f>IFERROR(__xludf.DUMMYFUNCTION("IF(COUNTIF(WEEKLY_TEAMS!$AY$3:$AY$52, F20) &gt; 0, ""GOALS: "" &amp; TEXTJOIN(""; "", TRUE, IFERROR(FILTER(WEEKLY_TEAMS!B3:B52 &amp; "" [ "" &amp; #REF! &amp; "" ]"", WEEKLY_TEAMS!$AY$3:$AY$52 = F20, #REF! &gt; 0), """")) &amp; CHAR(10) &amp; CHAR(10) &amp;
""CLEAN SHEETS: "" &amp; TEXTJOIN("&amp;"""; "", TRUE, IFERROR(FILTER(WEEKLY_TEAMS!$B3:$B$52 &amp; "" [ "" &amp; #REF! &amp; "" ]"", WEEKLY_TEAMS!$AY$3:$AY$52 = F20, #REF! &gt; 0), """")), """")
"),"GOALS: 
CLEAN SHEETS: ")</f>
        <v>GOALS: 
CLEAN SHEETS: </v>
      </c>
      <c r="F20" s="54" t="s">
        <v>213</v>
      </c>
      <c r="G20" s="55">
        <v>1.0</v>
      </c>
      <c r="H20" s="56" t="s">
        <v>266</v>
      </c>
      <c r="I20" s="55">
        <v>4.0</v>
      </c>
      <c r="J20" s="54" t="s">
        <v>212</v>
      </c>
      <c r="K20" s="57" t="str">
        <f t="shared" si="1"/>
        <v>GREEN</v>
      </c>
      <c r="L20" s="57">
        <f t="shared" si="2"/>
        <v>2</v>
      </c>
      <c r="M20" s="59" t="str">
        <f>IFERROR(__xludf.DUMMYFUNCTION("IF(COUNTIF(WEEKLY_TEAMS!$AY$3:$AY$52, J20) &gt; 0, ""GOALS: "" &amp; TEXTJOIN(""; "", TRUE, IFERROR(FILTER(WEEKLY_TEAMS!B3:B52 &amp; "" [ "" &amp; #REF! &amp; "" ]"", WEEKLY_TEAMS!$AY$3:$AY$52 = J20, #REF! &gt; 0), """")) &amp; CHAR(10) &amp; CHAR(10) &amp;
""CLEAN SHEETS: "" &amp; TEXTJOIN("&amp;"""; "", TRUE, IFERROR(FILTER(WEEKLY_TEAMS!$B3:$B$52 &amp; "" [ "" &amp; #REF! &amp; "" ]"", WEEKLY_TEAMS!$AY$3:$AY$52 = J20, #REF! &gt; 0), """")), """")
"),"GOALS: 
CLEAN SHEETS: ")</f>
        <v>GOALS: 
CLEAN SHEETS: </v>
      </c>
      <c r="N20" s="60" t="s">
        <v>278</v>
      </c>
      <c r="P20" s="49"/>
    </row>
    <row r="21" ht="37.5" customHeight="1">
      <c r="A21" s="70"/>
      <c r="B21" s="51" t="s">
        <v>5</v>
      </c>
      <c r="C21" s="51">
        <v>4.0</v>
      </c>
      <c r="D21" s="61" t="s">
        <v>268</v>
      </c>
      <c r="E21" s="62" t="str">
        <f>IFERROR(__xludf.DUMMYFUNCTION("IF(COUNTIF(WEEKLY_TEAMS!$AY$3:$AY$52, F21) &gt; 0, ""GOALS: "" &amp; TEXTJOIN(""; "", TRUE, IFERROR(FILTER(WEEKLY_TEAMS!B3:B52 &amp; "" [ "" &amp; #REF! &amp; "" ]"", WEEKLY_TEAMS!$AY$3:$AY$52 = F21, #REF! &gt; 0), """")) &amp; CHAR(10) &amp; CHAR(10) &amp;
""CLEAN SHEETS: "" &amp; TEXTJOIN("&amp;"""; "", TRUE, IFERROR(FILTER(WEEKLY_TEAMS!$B3:$B$52 &amp; "" [ "" &amp; #REF! &amp; "" ]"", WEEKLY_TEAMS!$AY$3:$AY$52 = F21, #REF! &gt; 0), """")), """")
"),"GOALS: 
CLEAN SHEETS: ")</f>
        <v>GOALS: 
CLEAN SHEETS: </v>
      </c>
      <c r="F21" s="63" t="s">
        <v>214</v>
      </c>
      <c r="G21" s="64">
        <v>6.0</v>
      </c>
      <c r="H21" s="56" t="s">
        <v>266</v>
      </c>
      <c r="I21" s="64">
        <v>0.0</v>
      </c>
      <c r="J21" s="63" t="s">
        <v>215</v>
      </c>
      <c r="K21" s="66" t="str">
        <f t="shared" si="1"/>
        <v>MAGENTA</v>
      </c>
      <c r="L21" s="66">
        <f t="shared" si="2"/>
        <v>2</v>
      </c>
      <c r="M21" s="68" t="str">
        <f>IFERROR(__xludf.DUMMYFUNCTION("IF(COUNTIF(WEEKLY_TEAMS!$AY$3:$AY$52, J21) &gt; 0, ""GOALS: "" &amp; TEXTJOIN(""; "", TRUE, IFERROR(FILTER(WEEKLY_TEAMS!B3:B52 &amp; "" [ "" &amp; #REF! &amp; "" ]"", WEEKLY_TEAMS!$AY$3:$AY$52 = J21, #REF! &gt; 0), """")) &amp; CHAR(10) &amp; CHAR(10) &amp;
""CLEAN SHEETS: "" &amp; TEXTJOIN("&amp;"""; "", TRUE, IFERROR(FILTER(WEEKLY_TEAMS!$B3:$B$52 &amp; "" [ "" &amp; #REF! &amp; "" ]"", WEEKLY_TEAMS!$AY$3:$AY$52 = J21, #REF! &gt; 0), """")), """")
"),"GOALS: 
CLEAN SHEETS: ")</f>
        <v>GOALS: 
CLEAN SHEETS: </v>
      </c>
      <c r="N21" s="69"/>
      <c r="O21" s="69"/>
      <c r="P21" s="49"/>
    </row>
    <row r="22" ht="37.5" customHeight="1">
      <c r="A22" s="50"/>
      <c r="B22" s="51" t="s">
        <v>6</v>
      </c>
      <c r="C22" s="51">
        <v>1.0</v>
      </c>
      <c r="D22" s="71" t="s">
        <v>265</v>
      </c>
      <c r="E22" s="53" t="str">
        <f>IFERROR(__xludf.DUMMYFUNCTION("IF(COUNTIF(WEEKLY_TEAMS!$BK$3:$BK$52, F22) &gt; 0, ""GOALS: "" &amp; TEXTJOIN(""; "", TRUE, IFERROR(FILTER(WEEKLY_TEAMS!B3:B52 &amp; "" [ "" &amp; WEEKLY_TEAMS!$BR$3:$BR$52 &amp; "" ]"", WEEKLY_TEAMS!$BK$3:$BK$52 = F22, WEEKLY_TEAMS!$BR$3:$BR$52 &gt; 0), """")) &amp; CHAR(10) &amp; CH"&amp;"AR(10) &amp;
""CLEAN SHEETS: "" &amp; TEXTJOIN(""; "", TRUE, IFERROR(FILTER(WEEKLY_TEAMS!$B$3:$B$52 &amp; "" [ "" &amp; WEEKLY_TEAMS!$BT$3:$BT$52 &amp; "" ]"", WEEKLY_TEAMS!$BK$3:$BK$52 = F22, WEEKLY_TEAMS!$BT$3:$BT$52 &gt; 0), """")), """")
"),"GOALS: Chavito 👬 Coti [  ]; Javier [ 1 ]; Jesús 👬 Rodrigo [  ]; José Blanco [  ]; Mikey  [  ]; Pirlo [  ]; Osmin [  ]; (Sub)  👬 Joseph [  ]
CLEAN SHEETS: Chavito 👬 Coti [  ]; Jesús 👬 Rodrigo [  ]; José Blanco [  ]; Mikey  [  ]; Pirlo [  ]; Osmin [  "&amp;"]; (Sub)  👬 Joseph [  ]")</f>
        <v>GOALS: Chavito 👬 Coti [  ]; Javier [ 1 ]; Jesús 👬 Rodrigo [  ]; José Blanco [  ]; Mikey  [  ]; Pirlo [  ]; Osmin [  ]; (Sub)  👬 Joseph [  ]
CLEAN SHEETS: Chavito 👬 Coti [  ]; Jesús 👬 Rodrigo [  ]; José Blanco [  ]; Mikey  [  ]; Pirlo [  ]; Osmin [  ]; (Sub)  👬 Joseph [  ]</v>
      </c>
      <c r="F22" s="72" t="s">
        <v>213</v>
      </c>
      <c r="G22" s="73">
        <v>1.0</v>
      </c>
      <c r="H22" s="56" t="s">
        <v>266</v>
      </c>
      <c r="I22" s="73">
        <v>1.0</v>
      </c>
      <c r="J22" s="72" t="s">
        <v>214</v>
      </c>
      <c r="K22" s="74" t="str">
        <f t="shared" si="1"/>
        <v>Draw</v>
      </c>
      <c r="L22" s="74">
        <f t="shared" si="2"/>
        <v>1</v>
      </c>
      <c r="M22" s="59" t="str">
        <f>IFERROR(__xludf.DUMMYFUNCTION("IF(COUNTIF(WEEKLY_TEAMS!$BK$3:$BK$52, J22) &gt; 0, ""GOALS: "" &amp; TEXTJOIN(""; "", TRUE, IFERROR(FILTER(WEEKLY_TEAMS!B3:B52 &amp; "" [ "" &amp; WEEKLY_TEAMS!$BR$3:$BR$52 &amp; "" ]"", WEEKLY_TEAMS!$BK$3:$BK$52 = J22, WEEKLY_TEAMS!$BR$3:$BR$52 &gt; 0), """")) &amp; CHAR(10) &amp; CH"&amp;"AR(10) &amp;
""CLEAN SHEETS: "" &amp; TEXTJOIN(""; "", TRUE, IFERROR(FILTER(WEEKLY_TEAMS!$B$3:$B$52 &amp; "" [ "" &amp; WEEKLY_TEAMS!$BT$3:$BT$52 &amp; "" ]"", WEEKLY_TEAMS!$BK$3:$BK$52 = J22, WEEKLY_TEAMS!$BT$3:$BT$52 &gt; 0), """")), """")
"),"GOALS: Alex 👬 Gus  [  ]; Cuñis [  ]; Fer 👬 Guille [  ]; Gerardo [  ]; Jhony S [ 1 ]; Kevin 👬 Mike [  ]; Ruben [  ]; Rudy [  ]
CLEAN SHEETS: Alex 👬 Gus  [  ]; Cuñis [  ]; Fer 👬 Guille [  ]; Gerardo [  ]; Jordan [ 1 ]; Kevin 👬 Mike [  ]; Ruben [  ]; "&amp;"Rudy [  ]")</f>
        <v>GOALS: Alex 👬 Gus  [  ]; Cuñis [  ]; Fer 👬 Guille [  ]; Gerardo [  ]; Jhony S [ 1 ]; Kevin 👬 Mike [  ]; Ruben [  ]; Rudy [  ]
CLEAN SHEETS: Alex 👬 Gus  [  ]; Cuñis [  ]; Fer 👬 Guille [  ]; Gerardo [  ]; Jordan [ 1 ]; Kevin 👬 Mike [  ]; Ruben [  ]; Rudy [  ]</v>
      </c>
      <c r="N22" s="60" t="s">
        <v>279</v>
      </c>
      <c r="O22" s="60">
        <v>6.0</v>
      </c>
      <c r="P22" s="49"/>
    </row>
    <row r="23" ht="37.5" customHeight="1">
      <c r="A23" s="50"/>
      <c r="B23" s="51" t="s">
        <v>6</v>
      </c>
      <c r="C23" s="51">
        <v>2.0</v>
      </c>
      <c r="D23" s="75" t="s">
        <v>268</v>
      </c>
      <c r="E23" s="62" t="str">
        <f>IFERROR(__xludf.DUMMYFUNCTION("IF(COUNTIF(WEEKLY_TEAMS!$BK$3:$BK$52, F23) &gt; 0, ""GOALS: "" &amp; TEXTJOIN(""; "", TRUE, IFERROR(FILTER(WEEKLY_TEAMS!B3:B52 &amp; "" [ "" &amp; WEEKLY_TEAMS!$BR$3:$BR$52 &amp; "" ]"", WEEKLY_TEAMS!$BK$3:$BK$52 = F23, WEEKLY_TEAMS!$BR$3:$BR$52 &gt; 0), """")) &amp; CHAR(10) &amp; CH"&amp;"AR(10) &amp;
""CLEAN SHEETS: "" &amp; TEXTJOIN(""; "", TRUE, IFERROR(FILTER(WEEKLY_TEAMS!$B$3:$B$52 &amp; "" [ "" &amp; WEEKLY_TEAMS!$BT$3:$BT$52 &amp; "" ]"", WEEKLY_TEAMS!$BK$3:$BK$52 = F23, WEEKLY_TEAMS!$BT$3:$BT$52 &gt; 0), """")), """")
"),"GOALS: Chato [  ]; David [  ]; Efraín [  ]; Gabo [  ]; Joseph 👬 Da Silva [  ]; Nicky [  ]; Valverde [  ]
CLEAN SHEETS: Chato [  ]; David [  ]; Efraín [  ]; Gabo [  ]; Joseph 👬 Da Silva [  ]; Nicky [  ]; Valverde [  ]")</f>
        <v>GOALS: Chato [  ]; David [  ]; Efraín [  ]; Gabo [  ]; Joseph 👬 Da Silva [  ]; Nicky [  ]; Valverde [  ]
CLEAN SHEETS: Chato [  ]; David [  ]; Efraín [  ]; Gabo [  ]; Joseph 👬 Da Silva [  ]; Nicky [  ]; Valverde [  ]</v>
      </c>
      <c r="F23" s="76" t="s">
        <v>212</v>
      </c>
      <c r="G23" s="77">
        <v>0.0</v>
      </c>
      <c r="H23" s="56" t="s">
        <v>266</v>
      </c>
      <c r="I23" s="77">
        <v>2.0</v>
      </c>
      <c r="J23" s="76" t="s">
        <v>215</v>
      </c>
      <c r="K23" s="78" t="str">
        <f t="shared" si="1"/>
        <v>ORANGE</v>
      </c>
      <c r="L23" s="78">
        <f t="shared" si="2"/>
        <v>2</v>
      </c>
      <c r="M23" s="68" t="str">
        <f>IFERROR(__xludf.DUMMYFUNCTION("IF(COUNTIF(WEEKLY_TEAMS!$BK$3:$BK$52, J23) &gt; 0, ""GOALS: "" &amp; TEXTJOIN(""; "", TRUE, IFERROR(FILTER(WEEKLY_TEAMS!B3:B52 &amp; "" [ "" &amp; WEEKLY_TEAMS!$BR$3:$BR$52 &amp; "" ]"", WEEKLY_TEAMS!$BK$3:$BK$52 = J23, WEEKLY_TEAMS!$BR$3:$BR$52 &gt; 0), """")) &amp; CHAR(10) &amp; CH"&amp;"AR(10) &amp;
""CLEAN SHEETS: "" &amp; TEXTJOIN(""; "", TRUE, IFERROR(FILTER(WEEKLY_TEAMS!$B$3:$B$52 &amp; "" [ "" &amp; WEEKLY_TEAMS!$BT$3:$BT$52 &amp; "" ]"", WEEKLY_TEAMS!$BK$3:$BK$52 = J23, WEEKLY_TEAMS!$BT$3:$BT$52 &gt; 0), """")), """")
"),"GOALS: Carlos S [  ]; Chilas 👬 Calin [  ]; Eder 👬 Honorio [ 4 ]; Fabián 👬 Asdruval [  ]; José Sarza [  ]; Juan Pablo [ 1 ]; Valencia [ 2 ]
CLEAN SHEETS: Carlos S [  ]; Chilas 👬 Calin [  ]; Fabián 👬 Asdruval [  ]; José Sarza [  ]; Rodolfo 👬 Víctor S"&amp;" [ 2 ]")</f>
        <v>GOALS: Carlos S [  ]; Chilas 👬 Calin [  ]; Eder 👬 Honorio [ 4 ]; Fabián 👬 Asdruval [  ]; José Sarza [  ]; Juan Pablo [ 1 ]; Valencia [ 2 ]
CLEAN SHEETS: Carlos S [  ]; Chilas 👬 Calin [  ]; Fabián 👬 Asdruval [  ]; José Sarza [  ]; Rodolfo 👬 Víctor S [ 2 ]</v>
      </c>
      <c r="N23" s="69"/>
      <c r="P23" s="49"/>
    </row>
    <row r="24" ht="37.5" customHeight="1">
      <c r="A24" s="50"/>
      <c r="B24" s="51" t="s">
        <v>6</v>
      </c>
      <c r="C24" s="51">
        <v>3.0</v>
      </c>
      <c r="D24" s="71" t="s">
        <v>265</v>
      </c>
      <c r="E24" s="53" t="str">
        <f>IFERROR(__xludf.DUMMYFUNCTION("IF(COUNTIF(WEEKLY_TEAMS!$BK$3:$BK$52, F24) &gt; 0, ""GOALS: "" &amp; TEXTJOIN(""; "", TRUE, IFERROR(FILTER(WEEKLY_TEAMS!B3:B52 &amp; "" [ "" &amp; #REF! &amp; "" ]"", WEEKLY_TEAMS!$BK$3:$BK$52 = F24, #REF! &gt; 0), """")) &amp; CHAR(10) &amp; CHAR(10) &amp;
""CLEAN SHEETS: "" &amp; TEXTJOIN("&amp;"""; "", TRUE, IFERROR(FILTER(WEEKLY_TEAMS!$B$3:$B$52 &amp; "" [ "" &amp; #REF! &amp; "" ]"", WEEKLY_TEAMS!$BK$3:$BK$52 = F24, #REF! &gt; 0), """")), """")
"),"GOALS: 
CLEAN SHEETS: ")</f>
        <v>GOALS: 
CLEAN SHEETS: </v>
      </c>
      <c r="F24" s="72" t="s">
        <v>215</v>
      </c>
      <c r="G24" s="73">
        <v>6.0</v>
      </c>
      <c r="H24" s="56" t="s">
        <v>266</v>
      </c>
      <c r="I24" s="73">
        <v>0.0</v>
      </c>
      <c r="J24" s="72" t="s">
        <v>213</v>
      </c>
      <c r="K24" s="74" t="str">
        <f t="shared" si="1"/>
        <v>ORANGE</v>
      </c>
      <c r="L24" s="74">
        <f t="shared" si="2"/>
        <v>2</v>
      </c>
      <c r="M24" s="59" t="str">
        <f>IFERROR(__xludf.DUMMYFUNCTION("IF(COUNTIF(WEEKLY_TEAMS!$BK$3:$BK$52, J24) &gt; 0, ""GOALS: "" &amp; TEXTJOIN(""; "", TRUE, IFERROR(FILTER(WEEKLY_TEAMS!B3:B52 &amp; "" [ "" &amp; #REF! &amp; "" ]"", WEEKLY_TEAMS!$BK$3:$BK$52 = J24, #REF! &gt; 0), """")) &amp; CHAR(10) &amp; CHAR(10) &amp;
""CLEAN SHEETS: "" &amp; TEXTJOIN("&amp;"""; "", TRUE, IFERROR(FILTER(WEEKLY_TEAMS!$B$3:$B$52 &amp; "" [ "" &amp; #REF! &amp; "" ]"", WEEKLY_TEAMS!$BK$3:$BK$52 = J24, #REF! &gt; 0), """")), """")
"),"GOALS: 
CLEAN SHEETS: ")</f>
        <v>GOALS: 
CLEAN SHEETS: </v>
      </c>
      <c r="N24" s="60" t="s">
        <v>280</v>
      </c>
      <c r="P24" s="49"/>
    </row>
    <row r="25" ht="37.5" customHeight="1">
      <c r="A25" s="70"/>
      <c r="B25" s="51" t="s">
        <v>6</v>
      </c>
      <c r="C25" s="51">
        <v>4.0</v>
      </c>
      <c r="D25" s="75" t="s">
        <v>268</v>
      </c>
      <c r="E25" s="62" t="str">
        <f>IFERROR(__xludf.DUMMYFUNCTION("IF(COUNTIF(WEEKLY_TEAMS!$BK$3:$BK$52, F25) &gt; 0, ""GOALS: "" &amp; TEXTJOIN(""; "", TRUE, IFERROR(FILTER(WEEKLY_TEAMS!B3:B52 &amp; "" [ "" &amp; #REF! &amp; "" ]"", WEEKLY_TEAMS!$BK$3:$BK$52 = F25, #REF! &gt; 0), """")) &amp; CHAR(10) &amp; CHAR(10) &amp;
""CLEAN SHEETS: "" &amp; TEXTJOIN("&amp;"""; "", TRUE, IFERROR(FILTER(WEEKLY_TEAMS!$B$3:$B$52 &amp; "" [ "" &amp; #REF! &amp; "" ]"", WEEKLY_TEAMS!$BK$3:$BK$52 = F25, #REF! &gt; 0), """")), """")
"),"GOALS: 
CLEAN SHEETS: ")</f>
        <v>GOALS: 
CLEAN SHEETS: </v>
      </c>
      <c r="F25" s="76" t="s">
        <v>212</v>
      </c>
      <c r="G25" s="77">
        <v>0.0</v>
      </c>
      <c r="H25" s="56" t="s">
        <v>266</v>
      </c>
      <c r="I25" s="77">
        <v>3.0</v>
      </c>
      <c r="J25" s="76" t="s">
        <v>214</v>
      </c>
      <c r="K25" s="78" t="str">
        <f t="shared" si="1"/>
        <v>MAGENTA</v>
      </c>
      <c r="L25" s="78">
        <f t="shared" si="2"/>
        <v>2</v>
      </c>
      <c r="M25" s="68" t="str">
        <f>IFERROR(__xludf.DUMMYFUNCTION("IF(COUNTIF(WEEKLY_TEAMS!$BK$3:$BK$52, J25) &gt; 0, ""GOALS: "" &amp; TEXTJOIN(""; "", TRUE, IFERROR(FILTER(WEEKLY_TEAMS!B3:B52 &amp; "" [ "" &amp; #REF! &amp; "" ]"", WEEKLY_TEAMS!$BK$3:$BK$52 = J25, #REF! &gt; 0), """")) &amp; CHAR(10) &amp; CHAR(10) &amp;
""CLEAN SHEETS: "" &amp; TEXTJOIN("&amp;"""; "", TRUE, IFERROR(FILTER(WEEKLY_TEAMS!$B$3:$B$52 &amp; "" [ "" &amp; #REF! &amp; "" ]"", WEEKLY_TEAMS!$BK$3:$BK$52 = J25, #REF! &gt; 0), """")), """")
"),"GOALS: 
CLEAN SHEETS: ")</f>
        <v>GOALS: 
CLEAN SHEETS: </v>
      </c>
      <c r="N25" s="69"/>
      <c r="O25" s="69"/>
      <c r="P25" s="49"/>
    </row>
    <row r="26" ht="37.5" customHeight="1">
      <c r="A26" s="50"/>
      <c r="B26" s="51" t="s">
        <v>7</v>
      </c>
      <c r="C26" s="51">
        <v>1.0</v>
      </c>
      <c r="D26" s="52" t="s">
        <v>265</v>
      </c>
      <c r="E26" s="53" t="str">
        <f>IFERROR(__xludf.DUMMYFUNCTION("IF(COUNTIF(WEEKLY_TEAMS!$BW$3:$BW$52, F26) &gt; 0, ""GOALS: "" &amp; TEXTJOIN(""; "", TRUE, IFERROR(FILTER(WEEKLY_TEAMS!B3:B52 &amp; "" [ "" &amp; WEEKLY_TEAMS!$CD$3:$CD$52 &amp; "" ]"", WEEKLY_TEAMS!$BW$3:$BW$52 = F26, WEEKLY_TEAMS!$CD$3:$CD$52 &gt; 0), """")) &amp; CHAR(10) &amp; CH"&amp;"AR(10) &amp;
""CLEAN SHEETS: "" &amp; TEXTJOIN(""; "", TRUE, IFERROR(FILTER(WEEKLY_TEAMS!$B$3:$B$52 &amp; "" [ "" &amp; WEEKLY_TEAMS!$CF$3:$CF$52 &amp; "" ]"", WEEKLY_TEAMS!$BW$3:$BW$52 = F26, WEEKLY_TEAMS!$CF$3:$CF$52 &gt; 0), """")), """")
"),"GOALS: Fabián 👬 Asdruval [  ]; Gerardo [ 1 ]; Jesús 👬 Rodrigo [ 6 ]; Jhony S [ 2 ]; Juan Pablo [ 1 ]; Osmin [  ]; Ruben [  ]
CLEAN SHEETS: Chavito 👬 Coti [ 1 ]; Fabián 👬 Asdruval [  ]; Osmin [  ]; Ruben [  ]")</f>
        <v>GOALS: Fabián 👬 Asdruval [  ]; Gerardo [ 1 ]; Jesús 👬 Rodrigo [ 6 ]; Jhony S [ 2 ]; Juan Pablo [ 1 ]; Osmin [  ]; Ruben [  ]
CLEAN SHEETS: Chavito 👬 Coti [ 1 ]; Fabián 👬 Asdruval [  ]; Osmin [  ]; Ruben [  ]</v>
      </c>
      <c r="F26" s="54" t="s">
        <v>213</v>
      </c>
      <c r="G26" s="80">
        <v>3.0</v>
      </c>
      <c r="H26" s="56" t="s">
        <v>266</v>
      </c>
      <c r="I26" s="80">
        <v>0.0</v>
      </c>
      <c r="J26" s="54" t="s">
        <v>214</v>
      </c>
      <c r="K26" s="57" t="str">
        <f t="shared" si="1"/>
        <v>BLUE</v>
      </c>
      <c r="L26" s="57">
        <f t="shared" si="2"/>
        <v>2</v>
      </c>
      <c r="M26" s="59" t="str">
        <f>IFERROR(__xludf.DUMMYFUNCTION("IF(COUNTIF(WEEKLY_TEAMS!$BW$3:$BW$52, J26) &gt; 0, ""GOALS: "" &amp; TEXTJOIN(""; "", TRUE, IFERROR(FILTER(WEEKLY_TEAMS!B3:B52 &amp; "" [ "" &amp; WEEKLY_TEAMS!$CD$3:$CD$52 &amp; "" ]"", WEEKLY_TEAMS!$BW$3:$BW$52 = J26, WEEKLY_TEAMS!$CD$3:$CD$52 &gt; 0), """")) &amp; CHAR(10) &amp; CH"&amp;"AR(10) &amp;
""CLEAN SHEETS: "" &amp; TEXTJOIN(""; "", TRUE, IFERROR(FILTER(WEEKLY_TEAMS!$B$3:$B$52 &amp; "" [ "" &amp; WEEKLY_TEAMS!$CF$3:$CF$52 &amp; "" ]"", WEEKLY_TEAMS!$BW$3:$BW$52 = J26, WEEKLY_TEAMS!$CF$3:$CF$52 &gt; 0), """")), """")
"),"GOALS: Alex 👬 Gus  [  ]; Chato [  ]; Fer 👬 Guille [  ]; Javier [  ]; José Sarza [  ]; Nicky [  ]; Nicolás [ 1 ]; Rodolfo 👬 Víctor S [  ]; (Sub) Emilio [  ]
CLEAN SHEETS: Alex 👬 Gus  [  ]; Chato [  ]; Fer 👬 Guille [  ]; Javier [  ]; José Sarza [  ]; "&amp;"Nicky [  ]; Rodolfo 👬 Víctor S [  ]; (Sub) Emilio [  ]")</f>
        <v>GOALS: Alex 👬 Gus  [  ]; Chato [  ]; Fer 👬 Guille [  ]; Javier [  ]; José Sarza [  ]; Nicky [  ]; Nicolás [ 1 ]; Rodolfo 👬 Víctor S [  ]; (Sub) Emilio [  ]
CLEAN SHEETS: Alex 👬 Gus  [  ]; Chato [  ]; Fer 👬 Guille [  ]; Javier [  ]; José Sarza [  ]; Nicky [  ]; Rodolfo 👬 Víctor S [  ]; (Sub) Emilio [  ]</v>
      </c>
      <c r="N26" s="60" t="s">
        <v>281</v>
      </c>
      <c r="O26" s="60">
        <v>7.0</v>
      </c>
      <c r="P26" s="49"/>
    </row>
    <row r="27" ht="37.5" customHeight="1">
      <c r="A27" s="50"/>
      <c r="B27" s="51" t="s">
        <v>7</v>
      </c>
      <c r="C27" s="51">
        <v>2.0</v>
      </c>
      <c r="D27" s="61" t="s">
        <v>268</v>
      </c>
      <c r="E27" s="62" t="str">
        <f>IFERROR(__xludf.DUMMYFUNCTION("IF(COUNTIF(WEEKLY_TEAMS!$BW$3:$BW$52, F27) &gt; 0, ""GOALS: "" &amp; TEXTJOIN(""; "", TRUE, IFERROR(FILTER(WEEKLY_TEAMS!B3:B52 &amp; "" [ "" &amp; WEEKLY_TEAMS!$CD$3:$CD$52 &amp; "" ]"", WEEKLY_TEAMS!$BW$3:$BW$52 = F27, WEEKLY_TEAMS!$CD$3:$CD$52 &gt; 0), """")) &amp; CHAR(10) &amp; CH"&amp;"AR(10) &amp;
""CLEAN SHEETS: "" &amp; TEXTJOIN(""; "", TRUE, IFERROR(FILTER(WEEKLY_TEAMS!$B$3:$B$52 &amp; "" [ "" &amp; WEEKLY_TEAMS!$CF$3:$CF$52 &amp; "" ]"", WEEKLY_TEAMS!$BW$3:$BW$52 = F27, WEEKLY_TEAMS!$CF$3:$CF$52 &gt; 0), """")), """")
"),"GOALS: Chilas 👬 Calin [  ]; David [  ]; Eder 👬 Honorio [ 1 ]; Enerson [  ]; Joseph 👬 Da Silva [ 1 ]; Rudy [  ]; (Sub) Jose Núñez [  ]
CLEAN SHEETS: Chilas 👬 Calin [  ]; David [  ]; Enerson [  ]; Rudy [  ]; (Sub) Jose Núñez [  ]")</f>
        <v>GOALS: Chilas 👬 Calin [  ]; David [  ]; Eder 👬 Honorio [ 1 ]; Enerson [  ]; Joseph 👬 Da Silva [ 1 ]; Rudy [  ]; (Sub) Jose Núñez [  ]
CLEAN SHEETS: Chilas 👬 Calin [  ]; David [  ]; Enerson [  ]; Rudy [  ]; (Sub) Jose Núñez [  ]</v>
      </c>
      <c r="F27" s="63" t="s">
        <v>212</v>
      </c>
      <c r="G27" s="81">
        <v>1.0</v>
      </c>
      <c r="H27" s="56" t="s">
        <v>266</v>
      </c>
      <c r="I27" s="81">
        <v>1.0</v>
      </c>
      <c r="J27" s="63" t="s">
        <v>215</v>
      </c>
      <c r="K27" s="66" t="str">
        <f t="shared" si="1"/>
        <v>Draw</v>
      </c>
      <c r="L27" s="66">
        <f t="shared" si="2"/>
        <v>1</v>
      </c>
      <c r="M27" s="68" t="str">
        <f>IFERROR(__xludf.DUMMYFUNCTION("IF(COUNTIF(WEEKLY_TEAMS!$BW$3:$BW$52, J27) &gt; 0, ""GOALS: "" &amp; TEXTJOIN(""; "", TRUE, IFERROR(FILTER(WEEKLY_TEAMS!B3:B52 &amp; "" [ "" &amp; WEEKLY_TEAMS!$CD$3:$CD$52 &amp; "" ]"", WEEKLY_TEAMS!$BW$3:$BW$52 = J27, WEEKLY_TEAMS!$CD$3:$CD$52 &gt; 0), """")) &amp; CHAR(10) &amp; CH"&amp;"AR(10) &amp;
""CLEAN SHEETS: "" &amp; TEXTJOIN(""; "", TRUE, IFERROR(FILTER(WEEKLY_TEAMS!$B$3:$B$52 &amp; "" [ "" &amp; WEEKLY_TEAMS!$CF$3:$CF$52 &amp; "" ]"", WEEKLY_TEAMS!$BW$3:$BW$52 = J27, WEEKLY_TEAMS!$CF$3:$CF$52 &gt; 0), """")), """")
"),"GOALS: Carlos S [  ]; José Blanco [ 1 ]; Kevin 👬 Mike [  ]; Mikey  [  ]; Valencia [ 2 ]; Valverde [  ]; (Sub) Walter Acero [  ]; (Sub) Sergio [  ]
CLEAN SHEETS: Carlos S [  ]; Kevin 👬 Mike [  ]; Mikey  [  ]; Valverde [  ]; (Sub) Walter Acero [  ]; (Sub"&amp;") Sergio [  ]")</f>
        <v>GOALS: Carlos S [  ]; José Blanco [ 1 ]; Kevin 👬 Mike [  ]; Mikey  [  ]; Valencia [ 2 ]; Valverde [  ]; (Sub) Walter Acero [  ]; (Sub) Sergio [  ]
CLEAN SHEETS: Carlos S [  ]; Kevin 👬 Mike [  ]; Mikey  [  ]; Valverde [  ]; (Sub) Walter Acero [  ]; (Sub) Sergio [  ]</v>
      </c>
      <c r="N27" s="69"/>
      <c r="P27" s="49"/>
    </row>
    <row r="28" ht="37.5" customHeight="1">
      <c r="A28" s="50"/>
      <c r="B28" s="51" t="s">
        <v>7</v>
      </c>
      <c r="C28" s="51">
        <v>3.0</v>
      </c>
      <c r="D28" s="52" t="s">
        <v>265</v>
      </c>
      <c r="E28" s="53" t="str">
        <f>IFERROR(__xludf.DUMMYFUNCTION("IF(COUNTIF(WEEKLY_TEAMS!$BW$3:$BW$52, F28) &gt; 0, ""GOALS: "" &amp; TEXTJOIN(""; "", TRUE, IFERROR(FILTER(WEEKLY_TEAMS!B3:B52 &amp; "" [ "" &amp; #REF! &amp; "" ]"", WEEKLY_TEAMS!$BW$3:$BW$52 = F28, #REF! &gt; 0), """")) &amp; CHAR(10) &amp; CHAR(10) &amp;
""CLEAN SHEETS: "" &amp; TEXTJOIN("&amp;"""; "", TRUE, IFERROR(FILTER(WEEKLY_TEAMS!$B$3:$B$52 &amp; "" [ "" &amp; #REF! &amp; "" ]"", WEEKLY_TEAMS!$BW$3:$BW$52 = F28, #REF! &gt; 0), """")), """")
"),"GOALS: 
CLEAN SHEETS: ")</f>
        <v>GOALS: 
CLEAN SHEETS: </v>
      </c>
      <c r="F28" s="54" t="s">
        <v>215</v>
      </c>
      <c r="G28" s="80">
        <v>3.0</v>
      </c>
      <c r="H28" s="56" t="s">
        <v>266</v>
      </c>
      <c r="I28" s="80">
        <v>7.0</v>
      </c>
      <c r="J28" s="54" t="s">
        <v>213</v>
      </c>
      <c r="K28" s="57" t="str">
        <f t="shared" si="1"/>
        <v>BLUE</v>
      </c>
      <c r="L28" s="57">
        <f t="shared" si="2"/>
        <v>2</v>
      </c>
      <c r="M28" s="59" t="str">
        <f>IFERROR(__xludf.DUMMYFUNCTION("IF(COUNTIF(WEEKLY_TEAMS!$BW$3:$BW$52, J28) &gt; 0, ""GOALS: "" &amp; TEXTJOIN(""; "", TRUE, IFERROR(FILTER(WEEKLY_TEAMS!B3:B52 &amp; "" [ "" &amp; #REF! &amp; "" ]"", WEEKLY_TEAMS!$BW$3:$BW$52 = J28, #REF! &gt; 0), """")) &amp; CHAR(10) &amp; CHAR(10) &amp;
""CLEAN SHEETS: "" &amp; TEXTJOIN("&amp;"""; "", TRUE, IFERROR(FILTER(WEEKLY_TEAMS!$B$3:$B$52 &amp; "" [ "" &amp; #REF! &amp; "" ]"", WEEKLY_TEAMS!$BW$3:$BW$52 = J28, #REF! &gt; 0), """")), """")
"),"GOALS: 
CLEAN SHEETS: ")</f>
        <v>GOALS: 
CLEAN SHEETS: </v>
      </c>
      <c r="N28" s="60" t="s">
        <v>282</v>
      </c>
      <c r="P28" s="49"/>
    </row>
    <row r="29" ht="37.5" customHeight="1">
      <c r="A29" s="70"/>
      <c r="B29" s="51" t="s">
        <v>7</v>
      </c>
      <c r="C29" s="51">
        <v>4.0</v>
      </c>
      <c r="D29" s="61" t="s">
        <v>268</v>
      </c>
      <c r="E29" s="62" t="str">
        <f>IFERROR(__xludf.DUMMYFUNCTION("IF(COUNTIF(WEEKLY_TEAMS!$BW$3:$BW$52, F29) &gt; 0, ""GOALS: "" &amp; TEXTJOIN(""; "", TRUE, IFERROR(FILTER(WEEKLY_TEAMS!B3:B52 &amp; "" [ "" &amp; #REF! &amp; "" ]"", WEEKLY_TEAMS!$BW$3:$BW$52 = F29, #REF! &gt; 0), """")) &amp; CHAR(10) &amp; CHAR(10) &amp;
""CLEAN SHEETS: "" &amp; TEXTJOIN("&amp;"""; "", TRUE, IFERROR(FILTER(WEEKLY_TEAMS!$B$3:$B$52 &amp; "" [ "" &amp; #REF! &amp; "" ]"", WEEKLY_TEAMS!$BW$3:$BW$52 = F29, #REF! &gt; 0), """")), """")
"),"GOALS: 
CLEAN SHEETS: ")</f>
        <v>GOALS: 
CLEAN SHEETS: </v>
      </c>
      <c r="F29" s="63" t="s">
        <v>212</v>
      </c>
      <c r="G29" s="81">
        <v>2.0</v>
      </c>
      <c r="H29" s="56" t="s">
        <v>266</v>
      </c>
      <c r="I29" s="81">
        <v>1.0</v>
      </c>
      <c r="J29" s="63" t="s">
        <v>214</v>
      </c>
      <c r="K29" s="66" t="str">
        <f t="shared" si="1"/>
        <v>GREEN</v>
      </c>
      <c r="L29" s="66">
        <f t="shared" si="2"/>
        <v>2</v>
      </c>
      <c r="M29" s="68" t="str">
        <f>IFERROR(__xludf.DUMMYFUNCTION("IF(COUNTIF(WEEKLY_TEAMS!$BW$3:$BW$52, J29) &gt; 0, ""GOALS: "" &amp; TEXTJOIN(""; "", TRUE, IFERROR(FILTER(WEEKLY_TEAMS!B3:B52 &amp; "" [ "" &amp; #REF! &amp; "" ]"", WEEKLY_TEAMS!$BW$3:$BW$52 = J29, #REF! &gt; 0), """")) &amp; CHAR(10) &amp; CHAR(10) &amp;
""CLEAN SHEETS: "" &amp; TEXTJOIN("&amp;"""; "", TRUE, IFERROR(FILTER(WEEKLY_TEAMS!$B$3:$B$52 &amp; "" [ "" &amp; #REF! &amp; "" ]"", WEEKLY_TEAMS!$BW$3:$BW$52 = J29, #REF! &gt; 0), """")), """")
"),"GOALS: 
CLEAN SHEETS: ")</f>
        <v>GOALS: 
CLEAN SHEETS: </v>
      </c>
      <c r="N29" s="69"/>
      <c r="O29" s="69"/>
      <c r="P29" s="49"/>
    </row>
    <row r="30" ht="37.5" customHeight="1">
      <c r="A30" s="50"/>
      <c r="B30" s="82" t="s">
        <v>8</v>
      </c>
      <c r="C30" s="51">
        <v>1.0</v>
      </c>
      <c r="D30" s="71" t="s">
        <v>265</v>
      </c>
      <c r="E30" s="53" t="str">
        <f>IFERROR(__xludf.DUMMYFUNCTION("IF(COUNTIF(WEEKLY_TEAMS!$CI$3:$CI$52, F30) &gt; 0, ""GOALS: "" &amp; TEXTJOIN(""; "", TRUE, IFERROR(FILTER(WEEKLY_TEAMS!B3:B52 &amp; "" [ "" &amp; WEEKLY_TEAMS!$CP$3:$CP$52 &amp; "" ]"", WEEKLY_TEAMS!$CI$3:$CI$52 = F30, WEEKLY_TEAMS!$CP$3:$CP$52 &gt; 0), """")) &amp; CHAR(10) &amp; CH"&amp;"AR(10) &amp;
""CLEAN SHEETS: "" &amp; TEXTJOIN(""; "", TRUE, IFERROR(FILTER(WEEKLY_TEAMS!$B$3:$B$52 &amp; "" [ "" &amp; WEEKLY_TEAMS!$CR$3:$CR$52 &amp; "" ]"", WEEKLY_TEAMS!$CI$3:$CI$52 = F30, WEEKLY_TEAMS!$CR$3:$CR$52 &gt; 0), """")), """")
"),"GOALS: Chavito 👬 Coti [  ]; Eder 👬 Honorio [  ]; Efraín [  ]; Fabián 👬 Asdruval [ 1 ]; Fer 👬 Guille [  ]; Rob [  ]; Rodolfo 👬 Víctor S [  ]; Valverde [  ]; Víctor N [  ]
CLEAN SHEETS: Chavito 👬 Coti [  ]; Eder 👬 Honorio [  ]; Efraín [  ]; Fer 👬 G"&amp;"uille [  ]; Rob [  ]; Rodolfo 👬 Víctor S [  ]; Valverde [  ]; Víctor N [  ]")</f>
        <v>GOALS: Chavito 👬 Coti [  ]; Eder 👬 Honorio [  ]; Efraín [  ]; Fabián 👬 Asdruval [ 1 ]; Fer 👬 Guille [  ]; Rob [  ]; Rodolfo 👬 Víctor S [  ]; Valverde [  ]; Víctor N [  ]
CLEAN SHEETS: Chavito 👬 Coti [  ]; Eder 👬 Honorio [  ]; Efraín [  ]; Fer 👬 Guille [  ]; Rob [  ]; Rodolfo 👬 Víctor S [  ]; Valverde [  ]; Víctor N [  ]</v>
      </c>
      <c r="F30" s="72" t="s">
        <v>215</v>
      </c>
      <c r="G30" s="83">
        <v>1.0</v>
      </c>
      <c r="H30" s="56" t="s">
        <v>266</v>
      </c>
      <c r="I30" s="83">
        <v>5.0</v>
      </c>
      <c r="J30" s="72" t="s">
        <v>212</v>
      </c>
      <c r="K30" s="74" t="str">
        <f t="shared" si="1"/>
        <v>GREEN</v>
      </c>
      <c r="L30" s="74">
        <f t="shared" si="2"/>
        <v>2</v>
      </c>
      <c r="M30" s="59" t="str">
        <f>IFERROR(__xludf.DUMMYFUNCTION("IF(COUNTIF(WEEKLY_TEAMS!$CI$3:$CI$52, J30) &gt; 0, ""GOALS: "" &amp; TEXTJOIN(""; "", TRUE, IFERROR(FILTER(WEEKLY_TEAMS!B3:B52 &amp; "" [ "" &amp; WEEKLY_TEAMS!$CP$3:$CP$52 &amp; "" ]"", WEEKLY_TEAMS!$CI$3:$CI$52 = J30, WEEKLY_TEAMS!$CP$3:$CP$52 &gt; 0), """")) &amp; CHAR(10) &amp; CH"&amp;"AR(10) &amp;
""CLEAN SHEETS: "" &amp; TEXTJOIN(""; "", TRUE, IFERROR(FILTER(WEEKLY_TEAMS!$B$3:$B$52 &amp; "" [ "" &amp; WEEKLY_TEAMS!$CR$3:$CR$52 &amp; "" ]"", WEEKLY_TEAMS!$CI$3:$CI$52 = J30, WEEKLY_TEAMS!$CR$3:$CR$52 &gt; 0), """")), """")
"),"GOALS: Andrés 👬 López [  ]; Chilas 👬 Calin [  ]; Enerson [  ]; Jhony S [  ]; Jordan [  ]; José Blanco [  ]; Mikey  [  ]; (Sub)  👬 Jesús [  ]
CLEAN SHEETS: Andrés 👬 López [  ]; Chilas 👬 Calin [  ]; Enerson [  ]; Jhony S [  ]; Jordan [  ]; José Blanco"&amp;" [  ]; Mikey  [  ]; (Sub)  👬 Jesús [  ]")</f>
        <v>GOALS: Andrés 👬 López [  ]; Chilas 👬 Calin [  ]; Enerson [  ]; Jhony S [  ]; Jordan [  ]; José Blanco [  ]; Mikey  [  ]; (Sub)  👬 Jesús [  ]
CLEAN SHEETS: Andrés 👬 López [  ]; Chilas 👬 Calin [  ]; Enerson [  ]; Jhony S [  ]; Jordan [  ]; José Blanco [  ]; Mikey  [  ]; (Sub)  👬 Jesús [  ]</v>
      </c>
      <c r="N30" s="60" t="s">
        <v>283</v>
      </c>
      <c r="O30" s="84">
        <v>8.0</v>
      </c>
      <c r="P30" s="49"/>
    </row>
    <row r="31" ht="37.5" customHeight="1">
      <c r="A31" s="50"/>
      <c r="B31" s="82" t="s">
        <v>8</v>
      </c>
      <c r="C31" s="51">
        <v>2.0</v>
      </c>
      <c r="D31" s="75" t="s">
        <v>268</v>
      </c>
      <c r="E31" s="62" t="str">
        <f>IFERROR(__xludf.DUMMYFUNCTION("IF(COUNTIF(WEEKLY_TEAMS!$CI$3:$CI$52, F31) &gt; 0, ""GOALS: "" &amp; TEXTJOIN(""; "", TRUE, IFERROR(FILTER(WEEKLY_TEAMS!B3:B52 &amp; "" [ "" &amp; WEEKLY_TEAMS!$CP$3:$CP$52 &amp; "" ]"", WEEKLY_TEAMS!$CI$3:$CI$52 = F31, WEEKLY_TEAMS!$CP$3:$CP$52 &gt; 0), """")) &amp; CHAR(10) &amp; CH"&amp;"AR(10) &amp;
""CLEAN SHEETS: "" &amp; TEXTJOIN(""; "", TRUE, IFERROR(FILTER(WEEKLY_TEAMS!$B$3:$B$52 &amp; "" [ "" &amp; WEEKLY_TEAMS!$CR$3:$CR$52 &amp; "" ]"", WEEKLY_TEAMS!$CI$3:$CI$52 = F31, WEEKLY_TEAMS!$CR$3:$CR$52 &gt; 0), """")), """")
"),"GOALS: Alex 👬 Gus  [  ]; Carlos S [  ]; Cuñis [  ]; David [  ]; Gabo [  ]; José Sarza [  ]; Juan Pablo [  ]; Rudy [  ]; Valencia [  ]
CLEAN SHEETS: Alex 👬 Gus  [  ]; Carlos S [  ]; Cuñis [  ]; David [  ]; Gabo [  ]; José Sarza [  ]; Juan Pablo [  ]; Ru"&amp;"dy [  ]; Valencia [  ]")</f>
        <v>GOALS: Alex 👬 Gus  [  ]; Carlos S [  ]; Cuñis [  ]; David [  ]; Gabo [  ]; José Sarza [  ]; Juan Pablo [  ]; Rudy [  ]; Valencia [  ]
CLEAN SHEETS: Alex 👬 Gus  [  ]; Carlos S [  ]; Cuñis [  ]; David [  ]; Gabo [  ]; José Sarza [  ]; Juan Pablo [  ]; Rudy [  ]; Valencia [  ]</v>
      </c>
      <c r="F31" s="76" t="s">
        <v>214</v>
      </c>
      <c r="G31" s="85">
        <v>3.0</v>
      </c>
      <c r="H31" s="56" t="s">
        <v>266</v>
      </c>
      <c r="I31" s="85">
        <v>1.0</v>
      </c>
      <c r="J31" s="76" t="s">
        <v>213</v>
      </c>
      <c r="K31" s="78" t="str">
        <f t="shared" si="1"/>
        <v>MAGENTA</v>
      </c>
      <c r="L31" s="78">
        <f t="shared" si="2"/>
        <v>2</v>
      </c>
      <c r="M31" s="68" t="str">
        <f>IFERROR(__xludf.DUMMYFUNCTION("IF(COUNTIF(WEEKLY_TEAMS!$CI$3:$CI$52, J31) &gt; 0, ""GOALS: "" &amp; TEXTJOIN(""; "", TRUE, IFERROR(FILTER(WEEKLY_TEAMS!B3:B52 &amp; "" [ "" &amp; WEEKLY_TEAMS!$CP$3:$CP$52 &amp; "" ]"", WEEKLY_TEAMS!$CI$3:$CI$52 = J31, WEEKLY_TEAMS!$CP$3:$CP$52 &gt; 0), """")) &amp; CHAR(10) &amp; CH"&amp;"AR(10) &amp;
""CLEAN SHEETS: "" &amp; TEXTJOIN(""; "", TRUE, IFERROR(FILTER(WEEKLY_TEAMS!$B$3:$B$52 &amp; "" [ "" &amp; WEEKLY_TEAMS!$CR$3:$CR$52 &amp; "" ]"", WEEKLY_TEAMS!$CI$3:$CI$52 = J31, WEEKLY_TEAMS!$CR$3:$CR$52 &gt; 0), """")), """")
"),"GOALS: Chato [  ]; Gerardo [  ]; Javier [  ]; Jesús 👬 Rodrigo [  ]; Joseph 👬 Da Silva [  ]; Kevin 👬 Mike [  ]; Nicky [  ]; Pirlo [  ]; Ruben [  ]
CLEAN SHEETS: Chato [  ]; Gerardo [  ]; Javier [  ]; Jesús 👬 Rodrigo [  ]; Joseph 👬 Da Silva [  ]; Kevi"&amp;"n 👬 Mike [  ]; Nicky [  ]; Pirlo [  ]; Ruben [  ]")</f>
        <v>GOALS: Chato [  ]; Gerardo [  ]; Javier [  ]; Jesús 👬 Rodrigo [  ]; Joseph 👬 Da Silva [  ]; Kevin 👬 Mike [  ]; Nicky [  ]; Pirlo [  ]; Ruben [  ]
CLEAN SHEETS: Chato [  ]; Gerardo [  ]; Javier [  ]; Jesús 👬 Rodrigo [  ]; Joseph 👬 Da Silva [  ]; Kevin 👬 Mike [  ]; Nicky [  ]; Pirlo [  ]; Ruben [  ]</v>
      </c>
      <c r="N31" s="69"/>
      <c r="P31" s="49"/>
    </row>
    <row r="32" ht="37.5" customHeight="1">
      <c r="A32" s="50"/>
      <c r="B32" s="82" t="s">
        <v>8</v>
      </c>
      <c r="C32" s="51">
        <v>3.0</v>
      </c>
      <c r="D32" s="71" t="s">
        <v>265</v>
      </c>
      <c r="E32" s="53" t="str">
        <f>IFERROR(__xludf.DUMMYFUNCTION("IF(COUNTIF(WEEKLY_TEAMS!$CI$3:$CI$52, F32) &gt; 0, ""GOALS: "" &amp; TEXTJOIN(""; "", TRUE, IFERROR(FILTER(WEEKLY_TEAMS!B3:B52 &amp; "" [ "" &amp; #REF! &amp; "" ]"", WEEKLY_TEAMS!$CI$3:$CI$52 = F32, #REF! &gt; 0), """")) &amp; CHAR(10) &amp; CHAR(10) &amp;
""CLEAN SHEETS: "" &amp; TEXTJOIN("&amp;"""; "", TRUE, IFERROR(FILTER(WEEKLY_TEAMS!$B$3:$B$52 &amp; "" [ "" &amp; #REF! &amp; "" ]"", WEEKLY_TEAMS!$CI$3:$CI$52 = F32, #REF! &gt; 0), """")), """")
"),"GOALS: 
CLEAN SHEETS: ")</f>
        <v>GOALS: 
CLEAN SHEETS: </v>
      </c>
      <c r="F32" s="72" t="s">
        <v>212</v>
      </c>
      <c r="G32" s="83">
        <v>1.0</v>
      </c>
      <c r="H32" s="56" t="s">
        <v>266</v>
      </c>
      <c r="I32" s="83">
        <v>1.0</v>
      </c>
      <c r="J32" s="72" t="s">
        <v>214</v>
      </c>
      <c r="K32" s="74" t="str">
        <f t="shared" si="1"/>
        <v>Draw</v>
      </c>
      <c r="L32" s="74">
        <f t="shared" si="2"/>
        <v>1</v>
      </c>
      <c r="M32" s="59" t="str">
        <f>IFERROR(__xludf.DUMMYFUNCTION("IF(COUNTIF(WEEKLY_TEAMS!$CI$3:$CI$52, J32) &gt; 0, ""GOALS: "" &amp; TEXTJOIN(""; "", TRUE, IFERROR(FILTER(WEEKLY_TEAMS!B3:B52 &amp; "" [ "" &amp; #REF! &amp; "" ]"", WEEKLY_TEAMS!$CI$3:$CI$52 = J32, #REF! &gt; 0), """")) &amp; CHAR(10) &amp; CHAR(10) &amp;
""CLEAN SHEETS: "" &amp; TEXTJOIN("&amp;"""; "", TRUE, IFERROR(FILTER(WEEKLY_TEAMS!$B$3:$B$52 &amp; "" [ "" &amp; #REF! &amp; "" ]"", WEEKLY_TEAMS!$CI$3:$CI$52 = J32, #REF! &gt; 0), """")), """")
"),"GOALS: 
CLEAN SHEETS: ")</f>
        <v>GOALS: 
CLEAN SHEETS: </v>
      </c>
      <c r="N32" s="60" t="s">
        <v>284</v>
      </c>
      <c r="P32" s="49"/>
    </row>
    <row r="33" ht="37.5" customHeight="1">
      <c r="A33" s="70"/>
      <c r="B33" s="82" t="s">
        <v>8</v>
      </c>
      <c r="C33" s="51">
        <v>4.0</v>
      </c>
      <c r="D33" s="75" t="s">
        <v>268</v>
      </c>
      <c r="E33" s="62" t="str">
        <f>IFERROR(__xludf.DUMMYFUNCTION("IF(COUNTIF(WEEKLY_TEAMS!$CI$3:$CI$52, F33) &gt; 0, ""GOALS: "" &amp; TEXTJOIN(""; "", TRUE, IFERROR(FILTER(WEEKLY_TEAMS!B3:B52 &amp; "" [ "" &amp; #REF! &amp; "" ]"", WEEKLY_TEAMS!$CI$3:$CI$52 = F33, #REF! &gt; 0), """")) &amp; CHAR(10) &amp; CHAR(10) &amp;
""CLEAN SHEETS: "" &amp; TEXTJOIN("&amp;"""; "", TRUE, IFERROR(FILTER(WEEKLY_TEAMS!$B$3:$B$52 &amp; "" [ "" &amp; #REF! &amp; "" ]"", WEEKLY_TEAMS!$CI$3:$CI$52 = F33, #REF! &gt; 0), """")), """")
"),"GOALS: 
CLEAN SHEETS: ")</f>
        <v>GOALS: 
CLEAN SHEETS: </v>
      </c>
      <c r="F33" s="76" t="s">
        <v>213</v>
      </c>
      <c r="G33" s="85">
        <v>5.0</v>
      </c>
      <c r="H33" s="56" t="s">
        <v>266</v>
      </c>
      <c r="I33" s="85">
        <v>3.0</v>
      </c>
      <c r="J33" s="76" t="s">
        <v>215</v>
      </c>
      <c r="K33" s="78" t="str">
        <f t="shared" si="1"/>
        <v>BLUE</v>
      </c>
      <c r="L33" s="78">
        <f t="shared" si="2"/>
        <v>2</v>
      </c>
      <c r="M33" s="68" t="str">
        <f>IFERROR(__xludf.DUMMYFUNCTION("IF(COUNTIF(WEEKLY_TEAMS!$CI$3:$CI$52, J33) &gt; 0, ""GOALS: "" &amp; TEXTJOIN(""; "", TRUE, IFERROR(FILTER(WEEKLY_TEAMS!B3:B52 &amp; "" [ "" &amp; #REF! &amp; "" ]"", WEEKLY_TEAMS!$CI$3:$CI$52 = J33, #REF! &gt; 0), """")) &amp; CHAR(10) &amp; CHAR(10) &amp;
""CLEAN SHEETS: "" &amp; TEXTJOIN("&amp;"""; "", TRUE, IFERROR(FILTER(WEEKLY_TEAMS!$B$3:$B$52 &amp; "" [ "" &amp; #REF! &amp; "" ]"", WEEKLY_TEAMS!$CI$3:$CI$52 = J33, #REF! &gt; 0), """")), """")
"),"GOALS: 
CLEAN SHEETS: ")</f>
        <v>GOALS: 
CLEAN SHEETS: </v>
      </c>
      <c r="N33" s="69"/>
      <c r="O33" s="69"/>
      <c r="P33" s="49"/>
    </row>
  </sheetData>
  <mergeCells count="24">
    <mergeCell ref="N10:N11"/>
    <mergeCell ref="N12:N13"/>
    <mergeCell ref="N14:N15"/>
    <mergeCell ref="N2:N3"/>
    <mergeCell ref="O2:O5"/>
    <mergeCell ref="N4:N5"/>
    <mergeCell ref="N6:N7"/>
    <mergeCell ref="O6:O9"/>
    <mergeCell ref="N8:N9"/>
    <mergeCell ref="O10:O13"/>
    <mergeCell ref="N24:N25"/>
    <mergeCell ref="N26:N27"/>
    <mergeCell ref="O26:O29"/>
    <mergeCell ref="N28:N29"/>
    <mergeCell ref="N30:N31"/>
    <mergeCell ref="O30:O33"/>
    <mergeCell ref="N32:N33"/>
    <mergeCell ref="O14:O17"/>
    <mergeCell ref="N16:N17"/>
    <mergeCell ref="N18:N19"/>
    <mergeCell ref="O18:O21"/>
    <mergeCell ref="N20:N21"/>
    <mergeCell ref="N22:N23"/>
    <mergeCell ref="O22:O25"/>
  </mergeCells>
  <conditionalFormatting sqref="F2:F33 J2:J33">
    <cfRule type="cellIs" dxfId="6" priority="1" operator="equal">
      <formula>"BLUE"</formula>
    </cfRule>
  </conditionalFormatting>
  <conditionalFormatting sqref="F2:F33 J2:J33">
    <cfRule type="cellIs" dxfId="7" priority="2" stopIfTrue="1" operator="equal">
      <formula>"MAGENTA"</formula>
    </cfRule>
  </conditionalFormatting>
  <conditionalFormatting sqref="F2:F33 J2:J33">
    <cfRule type="cellIs" dxfId="8" priority="3" stopIfTrue="1" operator="equal">
      <formula>"GREEN"</formula>
    </cfRule>
  </conditionalFormatting>
  <conditionalFormatting sqref="F2:F33 J2:J33">
    <cfRule type="cellIs" dxfId="9" priority="4" operator="equal">
      <formula>"ORANGE"</formula>
    </cfRule>
  </conditionalFormatting>
  <conditionalFormatting sqref="G2:I33">
    <cfRule type="notContainsBlanks" dxfId="13" priority="5">
      <formula>LEN(TRIM(G2))&gt;0</formula>
    </cfRule>
  </conditionalFormatting>
  <conditionalFormatting sqref="E2:E33">
    <cfRule type="expression" dxfId="14" priority="6">
      <formula>F2="BLUE"</formula>
    </cfRule>
  </conditionalFormatting>
  <conditionalFormatting sqref="E2:E33">
    <cfRule type="expression" dxfId="15" priority="7">
      <formula>F2="GREEN"</formula>
    </cfRule>
  </conditionalFormatting>
  <conditionalFormatting sqref="E2:E33">
    <cfRule type="expression" dxfId="16" priority="8">
      <formula>F2="MAGENTA"</formula>
    </cfRule>
  </conditionalFormatting>
  <conditionalFormatting sqref="E2:E33">
    <cfRule type="expression" dxfId="17" priority="9">
      <formula>F2="ORANGE"</formula>
    </cfRule>
  </conditionalFormatting>
  <conditionalFormatting sqref="M2:M33">
    <cfRule type="expression" dxfId="18" priority="10">
      <formula>J2="BLUE"</formula>
    </cfRule>
  </conditionalFormatting>
  <conditionalFormatting sqref="M2:M33">
    <cfRule type="expression" dxfId="15" priority="11">
      <formula>J2="GREEN"</formula>
    </cfRule>
  </conditionalFormatting>
  <conditionalFormatting sqref="M2:M33">
    <cfRule type="expression" dxfId="19" priority="12">
      <formula>J2="MAGENTA"</formula>
    </cfRule>
  </conditionalFormatting>
  <conditionalFormatting sqref="M2:M33">
    <cfRule type="expression" dxfId="17" priority="13">
      <formula>J2="ORANGE"</formula>
    </cfRule>
  </conditionalFormatting>
  <dataValidations>
    <dataValidation type="list" allowBlank="1" showErrorMessage="1" sqref="F2:F33 J2:J33">
      <formula1>"BLUE,GREEN,MAGENTA,ORANGE,TBD"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0"/>
  </cols>
  <sheetData>
    <row r="1">
      <c r="A1" s="86" t="s">
        <v>256</v>
      </c>
      <c r="B1" s="86" t="s">
        <v>285</v>
      </c>
      <c r="C1" s="86" t="s">
        <v>286</v>
      </c>
      <c r="D1" s="86" t="s">
        <v>287</v>
      </c>
      <c r="E1" s="86" t="s">
        <v>288</v>
      </c>
      <c r="F1" s="86" t="s">
        <v>289</v>
      </c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87" t="str">
        <f>MATCH_INPUT!B2</f>
        <v>MATCH DAY 1</v>
      </c>
      <c r="B2" s="87" t="str">
        <f>MATCH_INPUT!D2</f>
        <v>A</v>
      </c>
      <c r="C2" s="87" t="str">
        <f>MATCH_INPUT!F2</f>
        <v>BLUE</v>
      </c>
      <c r="D2" s="87">
        <f>MATCH_INPUT!G2</f>
        <v>0</v>
      </c>
      <c r="E2" s="87" t="str">
        <f>MATCH_INPUT!J2</f>
        <v>MAGENTA</v>
      </c>
      <c r="F2" s="87">
        <f>MATCH_INPUT!I2</f>
        <v>1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>
      <c r="A3" s="87" t="str">
        <f>MATCH_INPUT!B3</f>
        <v>MATCH DAY 1</v>
      </c>
      <c r="B3" s="87" t="str">
        <f>MATCH_INPUT!D3</f>
        <v>B</v>
      </c>
      <c r="C3" s="87" t="str">
        <f>MATCH_INPUT!F3</f>
        <v>GREEN</v>
      </c>
      <c r="D3" s="87">
        <f>MATCH_INPUT!G3</f>
        <v>3</v>
      </c>
      <c r="E3" s="87" t="str">
        <f>MATCH_INPUT!J3</f>
        <v>ORANGE</v>
      </c>
      <c r="F3" s="87">
        <f>MATCH_INPUT!I3</f>
        <v>0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7" t="str">
        <f>MATCH_INPUT!B4</f>
        <v>MATCH DAY 1</v>
      </c>
      <c r="B4" s="87" t="str">
        <f>MATCH_INPUT!D4</f>
        <v>A</v>
      </c>
      <c r="C4" s="87" t="str">
        <f>MATCH_INPUT!F4</f>
        <v>ORANGE</v>
      </c>
      <c r="D4" s="87">
        <f>MATCH_INPUT!G4</f>
        <v>1</v>
      </c>
      <c r="E4" s="87" t="str">
        <f>MATCH_INPUT!J4</f>
        <v>BLUE</v>
      </c>
      <c r="F4" s="87">
        <f>MATCH_INPUT!I4</f>
        <v>4</v>
      </c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87" t="str">
        <f>MATCH_INPUT!B5</f>
        <v>MATCH DAY 1</v>
      </c>
      <c r="B5" s="87" t="str">
        <f>MATCH_INPUT!D5</f>
        <v>B</v>
      </c>
      <c r="C5" s="87" t="str">
        <f>MATCH_INPUT!F5</f>
        <v>MAGENTA</v>
      </c>
      <c r="D5" s="87">
        <f>MATCH_INPUT!G5</f>
        <v>2</v>
      </c>
      <c r="E5" s="87" t="str">
        <f>MATCH_INPUT!J5</f>
        <v>GREEN</v>
      </c>
      <c r="F5" s="87">
        <f>MATCH_INPUT!I5</f>
        <v>0</v>
      </c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87" t="str">
        <f>MATCH_INPUT!B6</f>
        <v>MATCH DAY 2</v>
      </c>
      <c r="B6" s="87" t="str">
        <f>MATCH_INPUT!D6</f>
        <v>A</v>
      </c>
      <c r="C6" s="87" t="str">
        <f>MATCH_INPUT!F6</f>
        <v>BLUE</v>
      </c>
      <c r="D6" s="87">
        <f>MATCH_INPUT!G6</f>
        <v>3</v>
      </c>
      <c r="E6" s="87" t="str">
        <f>MATCH_INPUT!J6</f>
        <v>MAGENTA</v>
      </c>
      <c r="F6" s="87">
        <f>MATCH_INPUT!I6</f>
        <v>3</v>
      </c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87" t="str">
        <f>MATCH_INPUT!B7</f>
        <v>MATCH DAY 2</v>
      </c>
      <c r="B7" s="87" t="str">
        <f>MATCH_INPUT!D7</f>
        <v>B</v>
      </c>
      <c r="C7" s="87" t="str">
        <f>MATCH_INPUT!F7</f>
        <v>GREEN</v>
      </c>
      <c r="D7" s="87">
        <f>MATCH_INPUT!G7</f>
        <v>0</v>
      </c>
      <c r="E7" s="87" t="str">
        <f>MATCH_INPUT!J7</f>
        <v>ORANGE</v>
      </c>
      <c r="F7" s="87">
        <f>MATCH_INPUT!I7</f>
        <v>2</v>
      </c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87" t="str">
        <f>MATCH_INPUT!B8</f>
        <v>MATCH DAY 2</v>
      </c>
      <c r="B8" s="87" t="str">
        <f>MATCH_INPUT!D8</f>
        <v>A</v>
      </c>
      <c r="C8" s="87" t="str">
        <f>MATCH_INPUT!F8</f>
        <v>BLUE</v>
      </c>
      <c r="D8" s="87">
        <f>MATCH_INPUT!G8</f>
        <v>1</v>
      </c>
      <c r="E8" s="87" t="str">
        <f>MATCH_INPUT!J8</f>
        <v>ORANGE</v>
      </c>
      <c r="F8" s="87">
        <f>MATCH_INPUT!I8</f>
        <v>0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87" t="str">
        <f>MATCH_INPUT!B9</f>
        <v>MATCH DAY 2</v>
      </c>
      <c r="B9" s="87" t="str">
        <f>MATCH_INPUT!D9</f>
        <v>B</v>
      </c>
      <c r="C9" s="87" t="str">
        <f>MATCH_INPUT!F9</f>
        <v>MAGENTA</v>
      </c>
      <c r="D9" s="87">
        <f>MATCH_INPUT!G9</f>
        <v>0</v>
      </c>
      <c r="E9" s="87" t="str">
        <f>MATCH_INPUT!J9</f>
        <v>GREEN</v>
      </c>
      <c r="F9" s="87">
        <f>MATCH_INPUT!I9</f>
        <v>0</v>
      </c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87" t="str">
        <f>MATCH_INPUT!B10</f>
        <v>MATCH DAY 3</v>
      </c>
      <c r="B10" s="87" t="str">
        <f>MATCH_INPUT!D10</f>
        <v>A</v>
      </c>
      <c r="C10" s="87" t="str">
        <f>MATCH_INPUT!F10</f>
        <v>BLUE</v>
      </c>
      <c r="D10" s="87">
        <f>MATCH_INPUT!G10</f>
        <v>3</v>
      </c>
      <c r="E10" s="87" t="str">
        <f>MATCH_INPUT!J10</f>
        <v>MAGENTA</v>
      </c>
      <c r="F10" s="87">
        <f>MATCH_INPUT!I10</f>
        <v>2</v>
      </c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7" t="str">
        <f>MATCH_INPUT!B11</f>
        <v>MATCH DAY 3</v>
      </c>
      <c r="B11" s="87" t="str">
        <f>MATCH_INPUT!D11</f>
        <v>B</v>
      </c>
      <c r="C11" s="87" t="str">
        <f>MATCH_INPUT!F11</f>
        <v>ORANGE</v>
      </c>
      <c r="D11" s="87">
        <f>MATCH_INPUT!G11</f>
        <v>0</v>
      </c>
      <c r="E11" s="87" t="str">
        <f>MATCH_INPUT!J11</f>
        <v>GREEN</v>
      </c>
      <c r="F11" s="87">
        <f>MATCH_INPUT!I11</f>
        <v>2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87" t="str">
        <f>MATCH_INPUT!B12</f>
        <v>MATCH DAY 3</v>
      </c>
      <c r="B12" s="87" t="str">
        <f>MATCH_INPUT!D12</f>
        <v>A</v>
      </c>
      <c r="C12" s="87" t="str">
        <f>MATCH_INPUT!F12</f>
        <v>BLUE</v>
      </c>
      <c r="D12" s="87">
        <f>MATCH_INPUT!G12</f>
        <v>2</v>
      </c>
      <c r="E12" s="87" t="str">
        <f>MATCH_INPUT!J12</f>
        <v>GREEN</v>
      </c>
      <c r="F12" s="87">
        <f>MATCH_INPUT!I12</f>
        <v>3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87" t="str">
        <f>MATCH_INPUT!B13</f>
        <v>MATCH DAY 3</v>
      </c>
      <c r="B13" s="87" t="str">
        <f>MATCH_INPUT!D13</f>
        <v>B</v>
      </c>
      <c r="C13" s="87" t="str">
        <f>MATCH_INPUT!F13</f>
        <v>MAGENTA</v>
      </c>
      <c r="D13" s="87">
        <f>MATCH_INPUT!G13</f>
        <v>2</v>
      </c>
      <c r="E13" s="87" t="str">
        <f>MATCH_INPUT!J13</f>
        <v>ORANGE</v>
      </c>
      <c r="F13" s="87">
        <f>MATCH_INPUT!I13</f>
        <v>1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87" t="str">
        <f>MATCH_INPUT!B14</f>
        <v>MATCH DAY 4
</v>
      </c>
      <c r="B14" s="87" t="str">
        <f>MATCH_INPUT!D14</f>
        <v>A</v>
      </c>
      <c r="C14" s="87" t="str">
        <f>MATCH_INPUT!F14</f>
        <v>BLUE</v>
      </c>
      <c r="D14" s="87">
        <f>MATCH_INPUT!G14</f>
        <v>2</v>
      </c>
      <c r="E14" s="87" t="str">
        <f>MATCH_INPUT!J14</f>
        <v>MAGENTA</v>
      </c>
      <c r="F14" s="87">
        <f>MATCH_INPUT!I14</f>
        <v>0</v>
      </c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87" t="str">
        <f>MATCH_INPUT!B15</f>
        <v>MATCH DAY 4
</v>
      </c>
      <c r="B15" s="87" t="str">
        <f>MATCH_INPUT!D15</f>
        <v>B</v>
      </c>
      <c r="C15" s="87" t="str">
        <f>MATCH_INPUT!F15</f>
        <v>GREEN</v>
      </c>
      <c r="D15" s="87">
        <f>MATCH_INPUT!G15</f>
        <v>2</v>
      </c>
      <c r="E15" s="87" t="str">
        <f>MATCH_INPUT!J15</f>
        <v>ORANGE</v>
      </c>
      <c r="F15" s="87">
        <f>MATCH_INPUT!I15</f>
        <v>0</v>
      </c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87" t="str">
        <f>MATCH_INPUT!B16</f>
        <v>MATCH DAY 4
</v>
      </c>
      <c r="B16" s="87" t="str">
        <f>MATCH_INPUT!D16</f>
        <v>A</v>
      </c>
      <c r="C16" s="87" t="str">
        <f>MATCH_INPUT!F16</f>
        <v>BLUE</v>
      </c>
      <c r="D16" s="87">
        <f>MATCH_INPUT!G16</f>
        <v>0</v>
      </c>
      <c r="E16" s="87" t="str">
        <f>MATCH_INPUT!J16</f>
        <v>GREEN</v>
      </c>
      <c r="F16" s="87">
        <f>MATCH_INPUT!I16</f>
        <v>1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87" t="str">
        <f>MATCH_INPUT!B17</f>
        <v>MATCH DAY 4
</v>
      </c>
      <c r="B17" s="87" t="str">
        <f>MATCH_INPUT!D17</f>
        <v>B</v>
      </c>
      <c r="C17" s="87" t="str">
        <f>MATCH_INPUT!F17</f>
        <v>ORANGE</v>
      </c>
      <c r="D17" s="87">
        <f>MATCH_INPUT!G17</f>
        <v>3</v>
      </c>
      <c r="E17" s="87" t="str">
        <f>MATCH_INPUT!J17</f>
        <v>MAGENTA</v>
      </c>
      <c r="F17" s="87">
        <f>MATCH_INPUT!I17</f>
        <v>2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87" t="str">
        <f>MATCH_INPUT!B18</f>
        <v>MATCH DAY 5</v>
      </c>
      <c r="B18" s="87" t="str">
        <f>MATCH_INPUT!D18</f>
        <v>A</v>
      </c>
      <c r="C18" s="87" t="str">
        <f>MATCH_INPUT!F18</f>
        <v>MAGENTA</v>
      </c>
      <c r="D18" s="87">
        <f>MATCH_INPUT!G18</f>
        <v>0</v>
      </c>
      <c r="E18" s="87" t="str">
        <f>MATCH_INPUT!J18</f>
        <v>BLUE</v>
      </c>
      <c r="F18" s="87">
        <f>MATCH_INPUT!I18</f>
        <v>0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87" t="str">
        <f>MATCH_INPUT!B19</f>
        <v>MATCH DAY 5</v>
      </c>
      <c r="B19" s="87" t="str">
        <f>MATCH_INPUT!D19</f>
        <v>B</v>
      </c>
      <c r="C19" s="87" t="str">
        <f>MATCH_INPUT!F19</f>
        <v>GREEN</v>
      </c>
      <c r="D19" s="87">
        <f>MATCH_INPUT!G19</f>
        <v>3</v>
      </c>
      <c r="E19" s="87" t="str">
        <f>MATCH_INPUT!J19</f>
        <v>ORANGE</v>
      </c>
      <c r="F19" s="87">
        <f>MATCH_INPUT!I19</f>
        <v>1</v>
      </c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87" t="str">
        <f>MATCH_INPUT!B20</f>
        <v>MATCH DAY 5</v>
      </c>
      <c r="B20" s="87" t="str">
        <f>MATCH_INPUT!D20</f>
        <v>A</v>
      </c>
      <c r="C20" s="87" t="str">
        <f>MATCH_INPUT!F20</f>
        <v>BLUE</v>
      </c>
      <c r="D20" s="87">
        <f>MATCH_INPUT!G20</f>
        <v>1</v>
      </c>
      <c r="E20" s="87" t="str">
        <f>MATCH_INPUT!J20</f>
        <v>GREEN</v>
      </c>
      <c r="F20" s="87">
        <f>MATCH_INPUT!I20</f>
        <v>4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87" t="str">
        <f>MATCH_INPUT!B21</f>
        <v>MATCH DAY 5</v>
      </c>
      <c r="B21" s="87" t="str">
        <f>MATCH_INPUT!D21</f>
        <v>B</v>
      </c>
      <c r="C21" s="87" t="str">
        <f>MATCH_INPUT!F21</f>
        <v>MAGENTA</v>
      </c>
      <c r="D21" s="87">
        <f>MATCH_INPUT!G21</f>
        <v>6</v>
      </c>
      <c r="E21" s="87" t="str">
        <f>MATCH_INPUT!J21</f>
        <v>ORANGE</v>
      </c>
      <c r="F21" s="87">
        <f>MATCH_INPUT!I21</f>
        <v>0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87" t="str">
        <f>MATCH_INPUT!B22</f>
        <v>MATCH DAY 6</v>
      </c>
      <c r="B22" s="87" t="str">
        <f>MATCH_INPUT!D22</f>
        <v>A</v>
      </c>
      <c r="C22" s="87" t="str">
        <f>MATCH_INPUT!F22</f>
        <v>BLUE</v>
      </c>
      <c r="D22" s="87">
        <f>MATCH_INPUT!G22</f>
        <v>1</v>
      </c>
      <c r="E22" s="87" t="str">
        <f>MATCH_INPUT!J22</f>
        <v>MAGENTA</v>
      </c>
      <c r="F22" s="87">
        <f>MATCH_INPUT!I22</f>
        <v>1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87" t="str">
        <f>MATCH_INPUT!B23</f>
        <v>MATCH DAY 6</v>
      </c>
      <c r="B23" s="87" t="str">
        <f>MATCH_INPUT!D23</f>
        <v>B</v>
      </c>
      <c r="C23" s="87" t="str">
        <f>MATCH_INPUT!F23</f>
        <v>GREEN</v>
      </c>
      <c r="D23" s="87">
        <f>MATCH_INPUT!G23</f>
        <v>0</v>
      </c>
      <c r="E23" s="87" t="str">
        <f>MATCH_INPUT!J23</f>
        <v>ORANGE</v>
      </c>
      <c r="F23" s="87">
        <f>MATCH_INPUT!I23</f>
        <v>2</v>
      </c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87" t="str">
        <f>MATCH_INPUT!B24</f>
        <v>MATCH DAY 6</v>
      </c>
      <c r="B24" s="87" t="str">
        <f>MATCH_INPUT!D24</f>
        <v>A</v>
      </c>
      <c r="C24" s="87" t="str">
        <f>MATCH_INPUT!F24</f>
        <v>ORANGE</v>
      </c>
      <c r="D24" s="87">
        <f>MATCH_INPUT!G24</f>
        <v>6</v>
      </c>
      <c r="E24" s="87" t="str">
        <f>MATCH_INPUT!J24</f>
        <v>BLUE</v>
      </c>
      <c r="F24" s="87">
        <f>MATCH_INPUT!I24</f>
        <v>0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87" t="str">
        <f>MATCH_INPUT!B25</f>
        <v>MATCH DAY 6</v>
      </c>
      <c r="B25" s="87" t="str">
        <f>MATCH_INPUT!D25</f>
        <v>B</v>
      </c>
      <c r="C25" s="87" t="str">
        <f>MATCH_INPUT!F25</f>
        <v>GREEN</v>
      </c>
      <c r="D25" s="87">
        <f>MATCH_INPUT!G25</f>
        <v>0</v>
      </c>
      <c r="E25" s="87" t="str">
        <f>MATCH_INPUT!J25</f>
        <v>MAGENTA</v>
      </c>
      <c r="F25" s="87">
        <f>MATCH_INPUT!I25</f>
        <v>3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87" t="str">
        <f>MATCH_INPUT!B26</f>
        <v>MATCH DAY 7</v>
      </c>
      <c r="B26" s="87" t="str">
        <f>MATCH_INPUT!D26</f>
        <v>A</v>
      </c>
      <c r="C26" s="87" t="str">
        <f>MATCH_INPUT!F26</f>
        <v>BLUE</v>
      </c>
      <c r="D26" s="87">
        <f>MATCH_INPUT!G26</f>
        <v>3</v>
      </c>
      <c r="E26" s="87" t="str">
        <f>MATCH_INPUT!J26</f>
        <v>MAGENTA</v>
      </c>
      <c r="F26" s="87">
        <f>MATCH_INPUT!I26</f>
        <v>0</v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87" t="str">
        <f>MATCH_INPUT!B27</f>
        <v>MATCH DAY 7</v>
      </c>
      <c r="B27" s="87" t="str">
        <f>MATCH_INPUT!D27</f>
        <v>B</v>
      </c>
      <c r="C27" s="87" t="str">
        <f>MATCH_INPUT!F27</f>
        <v>GREEN</v>
      </c>
      <c r="D27" s="87">
        <f>MATCH_INPUT!G27</f>
        <v>1</v>
      </c>
      <c r="E27" s="87" t="str">
        <f>MATCH_INPUT!J27</f>
        <v>ORANGE</v>
      </c>
      <c r="F27" s="87">
        <f>MATCH_INPUT!I27</f>
        <v>1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87" t="str">
        <f>MATCH_INPUT!B28</f>
        <v>MATCH DAY 7</v>
      </c>
      <c r="B28" s="87" t="str">
        <f>MATCH_INPUT!D28</f>
        <v>A</v>
      </c>
      <c r="C28" s="87" t="str">
        <f>MATCH_INPUT!F28</f>
        <v>ORANGE</v>
      </c>
      <c r="D28" s="87">
        <f>MATCH_INPUT!G28</f>
        <v>3</v>
      </c>
      <c r="E28" s="87" t="str">
        <f>MATCH_INPUT!J28</f>
        <v>BLUE</v>
      </c>
      <c r="F28" s="87">
        <f>MATCH_INPUT!I28</f>
        <v>7</v>
      </c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87" t="str">
        <f>MATCH_INPUT!B29</f>
        <v>MATCH DAY 7</v>
      </c>
      <c r="B29" s="87" t="str">
        <f>MATCH_INPUT!D29</f>
        <v>B</v>
      </c>
      <c r="C29" s="87" t="str">
        <f>MATCH_INPUT!F29</f>
        <v>GREEN</v>
      </c>
      <c r="D29" s="87">
        <f>MATCH_INPUT!G29</f>
        <v>2</v>
      </c>
      <c r="E29" s="87" t="str">
        <f>MATCH_INPUT!J29</f>
        <v>MAGENTA</v>
      </c>
      <c r="F29" s="87">
        <f>MATCH_INPUT!I29</f>
        <v>1</v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87" t="str">
        <f>MATCH_INPUT!B30</f>
        <v>MATCH DAY 8</v>
      </c>
      <c r="B30" s="87" t="str">
        <f>MATCH_INPUT!D30</f>
        <v>A</v>
      </c>
      <c r="C30" s="87" t="str">
        <f>MATCH_INPUT!F30</f>
        <v>ORANGE</v>
      </c>
      <c r="D30" s="87">
        <f>MATCH_INPUT!G30</f>
        <v>1</v>
      </c>
      <c r="E30" s="87" t="str">
        <f>MATCH_INPUT!J30</f>
        <v>GREEN</v>
      </c>
      <c r="F30" s="87">
        <f>MATCH_INPUT!I30</f>
        <v>5</v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87" t="str">
        <f>MATCH_INPUT!B31</f>
        <v>MATCH DAY 8</v>
      </c>
      <c r="B31" s="87" t="str">
        <f>MATCH_INPUT!D31</f>
        <v>B</v>
      </c>
      <c r="C31" s="87" t="str">
        <f>MATCH_INPUT!F31</f>
        <v>MAGENTA</v>
      </c>
      <c r="D31" s="87">
        <f>MATCH_INPUT!G31</f>
        <v>3</v>
      </c>
      <c r="E31" s="87" t="str">
        <f>MATCH_INPUT!J31</f>
        <v>BLUE</v>
      </c>
      <c r="F31" s="87">
        <f>MATCH_INPUT!I31</f>
        <v>1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87" t="str">
        <f>MATCH_INPUT!B32</f>
        <v>MATCH DAY 8</v>
      </c>
      <c r="B32" s="87" t="str">
        <f>MATCH_INPUT!D32</f>
        <v>A</v>
      </c>
      <c r="C32" s="87" t="str">
        <f>MATCH_INPUT!F32</f>
        <v>GREEN</v>
      </c>
      <c r="D32" s="87">
        <f>MATCH_INPUT!G32</f>
        <v>1</v>
      </c>
      <c r="E32" s="87" t="str">
        <f>MATCH_INPUT!J32</f>
        <v>MAGENTA</v>
      </c>
      <c r="F32" s="87">
        <f>MATCH_INPUT!I32</f>
        <v>1</v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87" t="str">
        <f>MATCH_INPUT!B33</f>
        <v>MATCH DAY 8</v>
      </c>
      <c r="B33" s="87" t="str">
        <f>MATCH_INPUT!D33</f>
        <v>B</v>
      </c>
      <c r="C33" s="87" t="str">
        <f>MATCH_INPUT!F33</f>
        <v>BLUE</v>
      </c>
      <c r="D33" s="87">
        <f>MATCH_INPUT!G33</f>
        <v>5</v>
      </c>
      <c r="E33" s="87" t="str">
        <f>MATCH_INPUT!J33</f>
        <v>ORANGE</v>
      </c>
      <c r="F33" s="87">
        <f>MATCH_INPUT!I33</f>
        <v>3</v>
      </c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87" t="str">
        <f>MATCH_INPUT!B34</f>
        <v/>
      </c>
      <c r="B34" s="87" t="str">
        <f>MATCH_INPUT!D34</f>
        <v/>
      </c>
      <c r="C34" s="87" t="str">
        <f>MATCH_INPUT!F34</f>
        <v/>
      </c>
      <c r="D34" s="87" t="str">
        <f>MATCH_INPUT!G34</f>
        <v/>
      </c>
      <c r="E34" s="87" t="str">
        <f>MATCH_INPUT!J34</f>
        <v/>
      </c>
      <c r="F34" s="87" t="str">
        <f>MATCH_INPUT!I34</f>
        <v/>
      </c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87" t="str">
        <f>MATCH_INPUT!B35</f>
        <v/>
      </c>
      <c r="B35" s="87" t="str">
        <f>MATCH_INPUT!D35</f>
        <v/>
      </c>
      <c r="C35" s="87" t="str">
        <f>MATCH_INPUT!F35</f>
        <v/>
      </c>
      <c r="D35" s="87" t="str">
        <f>MATCH_INPUT!G35</f>
        <v/>
      </c>
      <c r="E35" s="87" t="str">
        <f>MATCH_INPUT!J35</f>
        <v/>
      </c>
      <c r="F35" s="87" t="str">
        <f>MATCH_INPUT!I35</f>
        <v/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33"/>
    <col customWidth="1" min="2" max="2" width="18.0"/>
    <col customWidth="1" min="3" max="3" width="16.89"/>
    <col customWidth="1" min="4" max="4" width="14.44"/>
    <col customWidth="1" min="5" max="5" width="13.89"/>
    <col customWidth="1" min="6" max="6" width="14.44"/>
    <col customWidth="1" min="7" max="7" width="21.33"/>
  </cols>
  <sheetData>
    <row r="1">
      <c r="A1" s="88" t="s">
        <v>290</v>
      </c>
      <c r="B1" s="88" t="s">
        <v>256</v>
      </c>
      <c r="C1" s="88" t="s">
        <v>291</v>
      </c>
      <c r="D1" s="88" t="s">
        <v>292</v>
      </c>
      <c r="E1" s="88" t="s">
        <v>207</v>
      </c>
      <c r="F1" s="88" t="s">
        <v>293</v>
      </c>
      <c r="G1" s="88" t="s">
        <v>209</v>
      </c>
    </row>
    <row r="2">
      <c r="A2" s="89">
        <v>45904.0</v>
      </c>
      <c r="B2" s="90" t="s">
        <v>1</v>
      </c>
      <c r="C2" s="90" t="s">
        <v>213</v>
      </c>
      <c r="D2" s="91" t="s">
        <v>241</v>
      </c>
      <c r="E2" s="90">
        <v>0.0</v>
      </c>
      <c r="F2" s="90">
        <v>1.0</v>
      </c>
      <c r="G2" s="90">
        <v>0.0</v>
      </c>
    </row>
    <row r="3">
      <c r="A3" s="89">
        <v>45904.0</v>
      </c>
      <c r="B3" s="90" t="s">
        <v>1</v>
      </c>
      <c r="C3" s="90" t="s">
        <v>212</v>
      </c>
      <c r="D3" s="90" t="s">
        <v>231</v>
      </c>
      <c r="E3" s="92">
        <v>2.0</v>
      </c>
      <c r="F3" s="92">
        <v>0.0</v>
      </c>
      <c r="G3" s="92">
        <v>0.0</v>
      </c>
    </row>
    <row r="4">
      <c r="A4" s="89">
        <v>45904.0</v>
      </c>
      <c r="B4" s="90" t="s">
        <v>1</v>
      </c>
      <c r="C4" s="90" t="s">
        <v>212</v>
      </c>
      <c r="D4" s="90" t="s">
        <v>294</v>
      </c>
      <c r="E4" s="90">
        <v>1.0</v>
      </c>
      <c r="F4" s="90">
        <v>0.0</v>
      </c>
      <c r="G4" s="90">
        <v>0.0</v>
      </c>
    </row>
    <row r="5">
      <c r="A5" s="89">
        <v>45904.0</v>
      </c>
      <c r="B5" s="90" t="s">
        <v>1</v>
      </c>
      <c r="C5" s="90" t="s">
        <v>213</v>
      </c>
      <c r="D5" s="90" t="s">
        <v>84</v>
      </c>
      <c r="E5" s="92">
        <v>2.0</v>
      </c>
      <c r="F5" s="92">
        <v>0.0</v>
      </c>
      <c r="G5" s="92">
        <v>0.0</v>
      </c>
    </row>
    <row r="6">
      <c r="A6" s="89">
        <v>45904.0</v>
      </c>
      <c r="B6" s="90" t="s">
        <v>1</v>
      </c>
      <c r="C6" s="90" t="s">
        <v>214</v>
      </c>
      <c r="D6" s="90" t="s">
        <v>230</v>
      </c>
      <c r="E6" s="92">
        <v>1.0</v>
      </c>
      <c r="F6" s="92">
        <v>0.0</v>
      </c>
      <c r="G6" s="92">
        <v>0.0</v>
      </c>
    </row>
    <row r="7">
      <c r="A7" s="89">
        <v>45904.0</v>
      </c>
      <c r="B7" s="90" t="s">
        <v>1</v>
      </c>
      <c r="C7" s="90" t="s">
        <v>213</v>
      </c>
      <c r="D7" s="90" t="s">
        <v>80</v>
      </c>
      <c r="E7" s="92">
        <v>1.0</v>
      </c>
      <c r="F7" s="92">
        <v>0.0</v>
      </c>
      <c r="G7" s="92">
        <v>0.0</v>
      </c>
    </row>
    <row r="8">
      <c r="A8" s="89">
        <v>45904.0</v>
      </c>
      <c r="B8" s="90" t="s">
        <v>1</v>
      </c>
      <c r="C8" s="90" t="s">
        <v>212</v>
      </c>
      <c r="D8" s="90" t="s">
        <v>295</v>
      </c>
      <c r="E8" s="92">
        <v>0.0</v>
      </c>
      <c r="F8" s="92">
        <v>1.0</v>
      </c>
      <c r="G8" s="92">
        <v>1.0</v>
      </c>
    </row>
    <row r="9">
      <c r="A9" s="89">
        <v>45904.0</v>
      </c>
      <c r="B9" s="90" t="s">
        <v>1</v>
      </c>
      <c r="C9" s="90" t="s">
        <v>215</v>
      </c>
      <c r="D9" s="90" t="s">
        <v>72</v>
      </c>
      <c r="E9" s="92">
        <v>1.0</v>
      </c>
      <c r="F9" s="92">
        <v>0.0</v>
      </c>
      <c r="G9" s="92">
        <v>0.0</v>
      </c>
    </row>
    <row r="10">
      <c r="A10" s="89">
        <v>45904.0</v>
      </c>
      <c r="B10" s="90" t="s">
        <v>1</v>
      </c>
      <c r="C10" s="90" t="s">
        <v>214</v>
      </c>
      <c r="D10" s="90" t="s">
        <v>234</v>
      </c>
      <c r="E10" s="92">
        <v>1.0</v>
      </c>
      <c r="F10" s="92">
        <v>0.0</v>
      </c>
      <c r="G10" s="92">
        <v>0.0</v>
      </c>
    </row>
    <row r="11">
      <c r="A11" s="89">
        <v>45904.0</v>
      </c>
      <c r="B11" s="90" t="s">
        <v>1</v>
      </c>
      <c r="C11" s="90" t="s">
        <v>214</v>
      </c>
      <c r="D11" s="90" t="s">
        <v>58</v>
      </c>
      <c r="E11" s="92">
        <v>1.0</v>
      </c>
      <c r="F11" s="92">
        <v>0.0</v>
      </c>
      <c r="G11" s="92">
        <v>0.0</v>
      </c>
    </row>
    <row r="12">
      <c r="A12" s="89">
        <v>45904.0</v>
      </c>
      <c r="B12" s="90" t="s">
        <v>1</v>
      </c>
      <c r="C12" s="90" t="s">
        <v>213</v>
      </c>
      <c r="D12" s="90" t="s">
        <v>227</v>
      </c>
      <c r="E12" s="92">
        <v>1.0</v>
      </c>
      <c r="F12" s="92">
        <v>0.0</v>
      </c>
      <c r="G12" s="92">
        <v>0.0</v>
      </c>
    </row>
    <row r="13">
      <c r="A13" s="89">
        <v>45904.0</v>
      </c>
      <c r="B13" s="90" t="s">
        <v>1</v>
      </c>
      <c r="C13" s="90" t="s">
        <v>214</v>
      </c>
      <c r="D13" s="90" t="s">
        <v>223</v>
      </c>
      <c r="E13" s="90">
        <v>0.0</v>
      </c>
      <c r="F13" s="90">
        <v>1.0</v>
      </c>
      <c r="G13" s="90">
        <v>1.0</v>
      </c>
    </row>
    <row r="14">
      <c r="A14" s="89">
        <v>45911.0</v>
      </c>
      <c r="B14" s="90" t="s">
        <v>2</v>
      </c>
      <c r="C14" s="90" t="s">
        <v>213</v>
      </c>
      <c r="D14" s="90" t="s">
        <v>226</v>
      </c>
      <c r="E14" s="90">
        <v>1.0</v>
      </c>
      <c r="F14" s="90">
        <v>0.0</v>
      </c>
      <c r="G14" s="90">
        <v>0.0</v>
      </c>
    </row>
    <row r="15">
      <c r="A15" s="89">
        <v>45911.0</v>
      </c>
      <c r="B15" s="90" t="s">
        <v>2</v>
      </c>
      <c r="C15" s="90" t="s">
        <v>214</v>
      </c>
      <c r="D15" s="90" t="s">
        <v>230</v>
      </c>
      <c r="E15" s="90">
        <v>1.0</v>
      </c>
      <c r="F15" s="90">
        <v>0.0</v>
      </c>
      <c r="G15" s="90">
        <v>0.0</v>
      </c>
    </row>
    <row r="16">
      <c r="A16" s="89">
        <v>45911.0</v>
      </c>
      <c r="B16" s="90" t="s">
        <v>2</v>
      </c>
      <c r="C16" s="90" t="s">
        <v>215</v>
      </c>
      <c r="D16" s="90" t="s">
        <v>237</v>
      </c>
      <c r="E16" s="90">
        <v>0.0</v>
      </c>
      <c r="F16" s="90">
        <v>1.0</v>
      </c>
      <c r="G16" s="90">
        <v>1.0</v>
      </c>
    </row>
    <row r="17">
      <c r="A17" s="89">
        <v>45911.0</v>
      </c>
      <c r="B17" s="90" t="s">
        <v>2</v>
      </c>
      <c r="C17" s="90" t="s">
        <v>215</v>
      </c>
      <c r="D17" s="90" t="s">
        <v>84</v>
      </c>
      <c r="E17" s="90">
        <v>1.0</v>
      </c>
      <c r="F17" s="90">
        <v>0.0</v>
      </c>
      <c r="G17" s="90">
        <v>0.0</v>
      </c>
    </row>
    <row r="18">
      <c r="A18" s="89">
        <v>45911.0</v>
      </c>
      <c r="B18" s="90" t="s">
        <v>2</v>
      </c>
      <c r="C18" s="90" t="s">
        <v>215</v>
      </c>
      <c r="D18" s="90" t="s">
        <v>240</v>
      </c>
      <c r="E18" s="90">
        <v>1.0</v>
      </c>
      <c r="F18" s="90">
        <v>0.0</v>
      </c>
      <c r="G18" s="90">
        <v>0.0</v>
      </c>
    </row>
    <row r="19">
      <c r="A19" s="89">
        <v>45911.0</v>
      </c>
      <c r="B19" s="90" t="s">
        <v>2</v>
      </c>
      <c r="C19" s="90" t="s">
        <v>213</v>
      </c>
      <c r="D19" s="90" t="s">
        <v>217</v>
      </c>
      <c r="E19" s="90">
        <v>1.0</v>
      </c>
      <c r="F19" s="90">
        <v>0.0</v>
      </c>
      <c r="G19" s="90">
        <v>0.0</v>
      </c>
    </row>
    <row r="20">
      <c r="A20" s="89">
        <v>45911.0</v>
      </c>
      <c r="B20" s="90" t="s">
        <v>2</v>
      </c>
      <c r="C20" s="90" t="s">
        <v>213</v>
      </c>
      <c r="D20" s="90" t="s">
        <v>295</v>
      </c>
      <c r="E20" s="90">
        <v>0.0</v>
      </c>
      <c r="F20" s="90">
        <v>1.0</v>
      </c>
      <c r="G20" s="90">
        <v>1.0</v>
      </c>
    </row>
    <row r="21">
      <c r="A21" s="89">
        <v>45911.0</v>
      </c>
      <c r="B21" s="90" t="s">
        <v>2</v>
      </c>
      <c r="C21" s="90" t="s">
        <v>215</v>
      </c>
      <c r="D21" s="90" t="s">
        <v>241</v>
      </c>
      <c r="E21" s="90">
        <v>0.0</v>
      </c>
      <c r="F21" s="90">
        <v>1.0</v>
      </c>
      <c r="G21" s="90">
        <v>0.0</v>
      </c>
    </row>
    <row r="22">
      <c r="A22" s="89">
        <v>45911.0</v>
      </c>
      <c r="B22" s="90" t="s">
        <v>2</v>
      </c>
      <c r="C22" s="90" t="s">
        <v>213</v>
      </c>
      <c r="D22" s="90" t="s">
        <v>238</v>
      </c>
      <c r="E22" s="90">
        <v>1.0</v>
      </c>
      <c r="F22" s="90">
        <v>0.0</v>
      </c>
      <c r="G22" s="90">
        <v>0.0</v>
      </c>
    </row>
    <row r="23">
      <c r="A23" s="89">
        <v>45911.0</v>
      </c>
      <c r="B23" s="90" t="s">
        <v>2</v>
      </c>
      <c r="C23" s="90" t="s">
        <v>214</v>
      </c>
      <c r="D23" s="90" t="s">
        <v>58</v>
      </c>
      <c r="E23" s="92">
        <v>2.0</v>
      </c>
      <c r="F23" s="92">
        <v>0.0</v>
      </c>
      <c r="G23" s="92">
        <v>0.0</v>
      </c>
    </row>
    <row r="24">
      <c r="A24" s="89">
        <v>45911.0</v>
      </c>
      <c r="B24" s="90" t="s">
        <v>2</v>
      </c>
      <c r="C24" s="90" t="s">
        <v>213</v>
      </c>
      <c r="D24" s="90" t="s">
        <v>296</v>
      </c>
      <c r="E24" s="92">
        <v>1.0</v>
      </c>
      <c r="F24" s="92">
        <v>0.0</v>
      </c>
      <c r="G24" s="92">
        <v>0.0</v>
      </c>
    </row>
    <row r="25">
      <c r="A25" s="89">
        <v>45911.0</v>
      </c>
      <c r="B25" s="90" t="s">
        <v>2</v>
      </c>
      <c r="C25" s="90" t="s">
        <v>214</v>
      </c>
      <c r="D25" s="90" t="s">
        <v>232</v>
      </c>
      <c r="E25" s="92">
        <v>0.0</v>
      </c>
      <c r="F25" s="92">
        <v>1.0</v>
      </c>
      <c r="G25" s="92">
        <v>0.0</v>
      </c>
    </row>
    <row r="26">
      <c r="A26" s="89">
        <v>45911.0</v>
      </c>
      <c r="B26" s="90" t="s">
        <v>2</v>
      </c>
      <c r="C26" s="93" t="s">
        <v>212</v>
      </c>
      <c r="D26" s="90" t="s">
        <v>297</v>
      </c>
      <c r="E26" s="92">
        <v>0.0</v>
      </c>
      <c r="F26" s="92">
        <v>1.0</v>
      </c>
      <c r="G26" s="92">
        <v>1.0</v>
      </c>
    </row>
    <row r="27">
      <c r="A27" s="89">
        <v>45918.0</v>
      </c>
      <c r="B27" s="90" t="s">
        <v>3</v>
      </c>
      <c r="C27" s="93" t="s">
        <v>213</v>
      </c>
      <c r="D27" s="90" t="s">
        <v>32</v>
      </c>
      <c r="E27" s="92">
        <v>2.0</v>
      </c>
      <c r="F27" s="92">
        <v>0.0</v>
      </c>
      <c r="G27" s="92">
        <v>0.0</v>
      </c>
    </row>
    <row r="28">
      <c r="A28" s="89">
        <v>45918.0</v>
      </c>
      <c r="B28" s="90" t="s">
        <v>3</v>
      </c>
      <c r="C28" s="93" t="s">
        <v>213</v>
      </c>
      <c r="D28" s="93" t="s">
        <v>235</v>
      </c>
      <c r="E28" s="92">
        <v>2.0</v>
      </c>
      <c r="F28" s="92">
        <v>0.0</v>
      </c>
      <c r="G28" s="92">
        <v>0.0</v>
      </c>
    </row>
    <row r="29">
      <c r="A29" s="89">
        <v>45918.0</v>
      </c>
      <c r="B29" s="90" t="s">
        <v>3</v>
      </c>
      <c r="C29" s="90" t="s">
        <v>212</v>
      </c>
      <c r="D29" s="90" t="s">
        <v>295</v>
      </c>
      <c r="E29" s="92">
        <v>0.0</v>
      </c>
      <c r="F29" s="92">
        <v>1.0</v>
      </c>
      <c r="G29" s="92">
        <v>1.0</v>
      </c>
    </row>
    <row r="30">
      <c r="A30" s="89">
        <v>45918.0</v>
      </c>
      <c r="B30" s="90" t="s">
        <v>3</v>
      </c>
      <c r="C30" s="90" t="s">
        <v>214</v>
      </c>
      <c r="D30" s="90" t="s">
        <v>84</v>
      </c>
      <c r="E30" s="92">
        <v>1.0</v>
      </c>
      <c r="F30" s="92">
        <v>0.0</v>
      </c>
      <c r="G30" s="92">
        <v>0.0</v>
      </c>
    </row>
    <row r="31">
      <c r="A31" s="89">
        <v>45918.0</v>
      </c>
      <c r="B31" s="90" t="s">
        <v>3</v>
      </c>
      <c r="C31" s="90" t="s">
        <v>212</v>
      </c>
      <c r="D31" s="90" t="s">
        <v>80</v>
      </c>
      <c r="E31" s="92">
        <v>1.0</v>
      </c>
      <c r="F31" s="92">
        <v>0.0</v>
      </c>
      <c r="G31" s="92">
        <v>0.0</v>
      </c>
    </row>
    <row r="32">
      <c r="A32" s="89">
        <v>45918.0</v>
      </c>
      <c r="B32" s="90" t="s">
        <v>3</v>
      </c>
      <c r="C32" s="90" t="s">
        <v>213</v>
      </c>
      <c r="D32" s="90" t="s">
        <v>241</v>
      </c>
      <c r="E32" s="92">
        <v>0.0</v>
      </c>
      <c r="F32" s="92">
        <v>1.0</v>
      </c>
      <c r="G32" s="92">
        <v>0.0</v>
      </c>
    </row>
    <row r="33">
      <c r="A33" s="89">
        <v>45918.0</v>
      </c>
      <c r="B33" s="90" t="s">
        <v>3</v>
      </c>
      <c r="C33" s="90" t="s">
        <v>212</v>
      </c>
      <c r="D33" s="90" t="s">
        <v>72</v>
      </c>
      <c r="E33" s="92">
        <v>1.0</v>
      </c>
      <c r="F33" s="92">
        <v>0.0</v>
      </c>
      <c r="G33" s="92">
        <v>0.0</v>
      </c>
    </row>
    <row r="34">
      <c r="A34" s="89">
        <v>45918.0</v>
      </c>
      <c r="B34" s="90" t="s">
        <v>3</v>
      </c>
      <c r="C34" s="93" t="s">
        <v>214</v>
      </c>
      <c r="D34" s="90" t="s">
        <v>225</v>
      </c>
      <c r="E34" s="92">
        <v>0.0</v>
      </c>
      <c r="F34" s="92">
        <v>1.0</v>
      </c>
      <c r="G34" s="92">
        <v>0.0</v>
      </c>
    </row>
    <row r="35">
      <c r="A35" s="89">
        <v>45918.0</v>
      </c>
      <c r="B35" s="90" t="s">
        <v>3</v>
      </c>
      <c r="C35" s="90" t="s">
        <v>212</v>
      </c>
      <c r="D35" s="90" t="s">
        <v>217</v>
      </c>
      <c r="E35" s="92">
        <v>2.0</v>
      </c>
      <c r="F35" s="92">
        <v>0.0</v>
      </c>
      <c r="G35" s="92">
        <v>0.0</v>
      </c>
    </row>
    <row r="36">
      <c r="A36" s="89">
        <v>45918.0</v>
      </c>
      <c r="B36" s="90" t="s">
        <v>3</v>
      </c>
      <c r="C36" s="90" t="s">
        <v>215</v>
      </c>
      <c r="D36" s="90" t="s">
        <v>58</v>
      </c>
      <c r="E36" s="94">
        <v>1.0</v>
      </c>
      <c r="F36" s="90">
        <v>0.0</v>
      </c>
      <c r="G36" s="94">
        <v>0.0</v>
      </c>
    </row>
    <row r="37">
      <c r="A37" s="89">
        <v>45918.0</v>
      </c>
      <c r="B37" s="90" t="s">
        <v>3</v>
      </c>
      <c r="C37" s="90" t="s">
        <v>213</v>
      </c>
      <c r="D37" s="90" t="s">
        <v>237</v>
      </c>
      <c r="E37" s="94">
        <v>0.0</v>
      </c>
      <c r="F37" s="90">
        <v>1.0</v>
      </c>
      <c r="G37" s="94">
        <v>0.0</v>
      </c>
    </row>
    <row r="38">
      <c r="A38" s="89">
        <v>45918.0</v>
      </c>
      <c r="B38" s="90" t="s">
        <v>3</v>
      </c>
      <c r="C38" s="90" t="s">
        <v>212</v>
      </c>
      <c r="D38" s="90" t="s">
        <v>227</v>
      </c>
      <c r="E38" s="94">
        <v>1.0</v>
      </c>
      <c r="F38" s="90">
        <v>0.0</v>
      </c>
      <c r="G38" s="94">
        <v>0.0</v>
      </c>
    </row>
    <row r="39">
      <c r="A39" s="89">
        <v>45918.0</v>
      </c>
      <c r="B39" s="90" t="s">
        <v>3</v>
      </c>
      <c r="C39" s="90" t="s">
        <v>214</v>
      </c>
      <c r="D39" s="90" t="s">
        <v>231</v>
      </c>
      <c r="E39" s="94">
        <v>1.0</v>
      </c>
      <c r="F39" s="90">
        <v>0.0</v>
      </c>
      <c r="G39" s="94">
        <v>0.0</v>
      </c>
    </row>
    <row r="40">
      <c r="A40" s="89">
        <v>45918.0</v>
      </c>
      <c r="B40" s="90" t="s">
        <v>3</v>
      </c>
      <c r="C40" s="90" t="s">
        <v>213</v>
      </c>
      <c r="D40" s="90" t="s">
        <v>228</v>
      </c>
      <c r="E40" s="94">
        <v>1.0</v>
      </c>
      <c r="F40" s="90">
        <v>0.0</v>
      </c>
      <c r="G40" s="94">
        <v>0.0</v>
      </c>
    </row>
    <row r="41">
      <c r="A41" s="89">
        <v>45925.0</v>
      </c>
      <c r="B41" s="90" t="s">
        <v>4</v>
      </c>
      <c r="C41" s="90" t="s">
        <v>212</v>
      </c>
      <c r="D41" s="90" t="s">
        <v>232</v>
      </c>
      <c r="E41" s="94">
        <v>1.0</v>
      </c>
      <c r="F41" s="90">
        <v>0.0</v>
      </c>
      <c r="G41" s="94">
        <v>0.0</v>
      </c>
    </row>
    <row r="42">
      <c r="A42" s="89">
        <v>45925.0</v>
      </c>
      <c r="B42" s="90" t="s">
        <v>4</v>
      </c>
      <c r="C42" s="90" t="s">
        <v>212</v>
      </c>
      <c r="D42" s="90" t="s">
        <v>240</v>
      </c>
      <c r="E42" s="94">
        <v>2.0</v>
      </c>
      <c r="F42" s="90">
        <v>0.0</v>
      </c>
      <c r="G42" s="94">
        <v>0.0</v>
      </c>
    </row>
    <row r="43">
      <c r="A43" s="89">
        <v>45925.0</v>
      </c>
      <c r="B43" s="90" t="s">
        <v>4</v>
      </c>
      <c r="C43" s="90" t="s">
        <v>212</v>
      </c>
      <c r="D43" s="90" t="s">
        <v>295</v>
      </c>
      <c r="E43" s="94">
        <v>0.0</v>
      </c>
      <c r="F43" s="90">
        <v>1.0</v>
      </c>
      <c r="G43" s="94">
        <v>2.0</v>
      </c>
    </row>
    <row r="44">
      <c r="A44" s="89">
        <v>45925.0</v>
      </c>
      <c r="B44" s="90" t="s">
        <v>4</v>
      </c>
      <c r="C44" s="90" t="s">
        <v>213</v>
      </c>
      <c r="D44" s="90" t="s">
        <v>245</v>
      </c>
      <c r="E44" s="94">
        <v>0.0</v>
      </c>
      <c r="F44" s="90">
        <v>0.0</v>
      </c>
      <c r="G44" s="94">
        <v>1.0</v>
      </c>
    </row>
    <row r="45">
      <c r="A45" s="89">
        <v>45925.0</v>
      </c>
      <c r="B45" s="90" t="s">
        <v>4</v>
      </c>
      <c r="C45" s="90" t="s">
        <v>213</v>
      </c>
      <c r="D45" s="90" t="s">
        <v>239</v>
      </c>
      <c r="E45" s="94">
        <v>1.0</v>
      </c>
      <c r="F45" s="90">
        <v>0.0</v>
      </c>
      <c r="G45" s="94">
        <v>0.0</v>
      </c>
    </row>
    <row r="46">
      <c r="A46" s="89">
        <v>45925.0</v>
      </c>
      <c r="B46" s="90" t="s">
        <v>4</v>
      </c>
      <c r="C46" s="90" t="s">
        <v>215</v>
      </c>
      <c r="D46" s="90" t="s">
        <v>237</v>
      </c>
      <c r="E46" s="90">
        <v>0.0</v>
      </c>
      <c r="F46" s="90">
        <v>1.0</v>
      </c>
      <c r="G46" s="90">
        <v>0.0</v>
      </c>
    </row>
    <row r="47">
      <c r="A47" s="89">
        <v>45925.0</v>
      </c>
      <c r="B47" s="90" t="s">
        <v>4</v>
      </c>
      <c r="C47" s="90" t="s">
        <v>215</v>
      </c>
      <c r="D47" s="90" t="s">
        <v>72</v>
      </c>
      <c r="E47" s="90">
        <v>1.0</v>
      </c>
      <c r="F47" s="90">
        <v>0.0</v>
      </c>
      <c r="G47" s="90">
        <v>0.0</v>
      </c>
    </row>
    <row r="48">
      <c r="A48" s="89">
        <v>45925.0</v>
      </c>
      <c r="B48" s="90" t="s">
        <v>4</v>
      </c>
      <c r="C48" s="90" t="s">
        <v>213</v>
      </c>
      <c r="D48" s="90" t="s">
        <v>249</v>
      </c>
      <c r="E48" s="90">
        <v>1.0</v>
      </c>
      <c r="F48" s="90">
        <v>0.0</v>
      </c>
      <c r="G48" s="90">
        <v>0.0</v>
      </c>
    </row>
    <row r="49">
      <c r="A49" s="89">
        <v>45925.0</v>
      </c>
      <c r="B49" s="90" t="s">
        <v>4</v>
      </c>
      <c r="C49" s="90" t="s">
        <v>214</v>
      </c>
      <c r="D49" s="90" t="s">
        <v>80</v>
      </c>
      <c r="E49" s="90">
        <v>1.0</v>
      </c>
      <c r="F49" s="90">
        <v>0.0</v>
      </c>
      <c r="G49" s="90">
        <v>0.0</v>
      </c>
    </row>
    <row r="50">
      <c r="A50" s="89">
        <v>45925.0</v>
      </c>
      <c r="B50" s="90" t="s">
        <v>4</v>
      </c>
      <c r="C50" s="90" t="s">
        <v>214</v>
      </c>
      <c r="D50" s="90" t="s">
        <v>217</v>
      </c>
      <c r="E50" s="94">
        <v>1.0</v>
      </c>
      <c r="F50" s="94">
        <v>0.0</v>
      </c>
      <c r="G50" s="94">
        <v>0.0</v>
      </c>
    </row>
    <row r="51">
      <c r="A51" s="89">
        <v>45932.0</v>
      </c>
      <c r="B51" s="90" t="s">
        <v>5</v>
      </c>
      <c r="C51" s="90" t="s">
        <v>212</v>
      </c>
      <c r="D51" s="90" t="s">
        <v>235</v>
      </c>
      <c r="E51" s="94">
        <v>0.0</v>
      </c>
      <c r="F51" s="90">
        <v>1.0</v>
      </c>
      <c r="G51" s="94">
        <v>0.0</v>
      </c>
    </row>
    <row r="52">
      <c r="A52" s="89">
        <v>45932.0</v>
      </c>
      <c r="B52" s="90" t="s">
        <v>5</v>
      </c>
      <c r="C52" s="90" t="s">
        <v>214</v>
      </c>
      <c r="D52" s="90" t="s">
        <v>234</v>
      </c>
      <c r="E52" s="94">
        <v>1.0</v>
      </c>
      <c r="F52" s="90">
        <v>0.0</v>
      </c>
      <c r="G52" s="94">
        <v>0.0</v>
      </c>
    </row>
    <row r="53">
      <c r="A53" s="89">
        <v>45932.0</v>
      </c>
      <c r="B53" s="90" t="s">
        <v>5</v>
      </c>
      <c r="C53" s="90" t="s">
        <v>214</v>
      </c>
      <c r="D53" s="90" t="s">
        <v>72</v>
      </c>
      <c r="E53" s="90">
        <v>2.0</v>
      </c>
      <c r="F53" s="94">
        <v>0.0</v>
      </c>
      <c r="G53" s="94">
        <v>0.0</v>
      </c>
    </row>
    <row r="54">
      <c r="A54" s="89">
        <v>45932.0</v>
      </c>
      <c r="B54" s="90" t="s">
        <v>5</v>
      </c>
      <c r="C54" s="90" t="s">
        <v>214</v>
      </c>
      <c r="D54" s="90" t="s">
        <v>241</v>
      </c>
      <c r="E54" s="94">
        <v>0.0</v>
      </c>
      <c r="F54" s="94">
        <v>1.0</v>
      </c>
      <c r="G54" s="94">
        <v>1.0</v>
      </c>
    </row>
    <row r="55">
      <c r="A55" s="89">
        <v>45932.0</v>
      </c>
      <c r="B55" s="90" t="s">
        <v>5</v>
      </c>
      <c r="C55" s="90" t="s">
        <v>214</v>
      </c>
      <c r="D55" s="90" t="s">
        <v>231</v>
      </c>
      <c r="E55" s="94">
        <v>1.0</v>
      </c>
      <c r="F55" s="90">
        <v>0.0</v>
      </c>
      <c r="G55" s="94">
        <v>0.0</v>
      </c>
    </row>
    <row r="56">
      <c r="A56" s="89">
        <v>45932.0</v>
      </c>
      <c r="B56" s="90" t="s">
        <v>5</v>
      </c>
      <c r="C56" s="90" t="s">
        <v>214</v>
      </c>
      <c r="D56" s="90" t="s">
        <v>232</v>
      </c>
      <c r="E56" s="90">
        <v>0.0</v>
      </c>
      <c r="F56" s="90">
        <v>1.0</v>
      </c>
      <c r="G56" s="90">
        <v>1.0</v>
      </c>
    </row>
    <row r="57">
      <c r="A57" s="89">
        <v>45932.0</v>
      </c>
      <c r="B57" s="90" t="s">
        <v>5</v>
      </c>
      <c r="C57" s="90" t="s">
        <v>213</v>
      </c>
      <c r="D57" s="90" t="s">
        <v>216</v>
      </c>
      <c r="E57" s="90">
        <v>0.0</v>
      </c>
      <c r="F57" s="90">
        <v>1.0</v>
      </c>
      <c r="G57" s="90">
        <v>1.0</v>
      </c>
    </row>
    <row r="58">
      <c r="A58" s="89">
        <v>45932.0</v>
      </c>
      <c r="B58" s="90" t="s">
        <v>5</v>
      </c>
      <c r="C58" s="90" t="s">
        <v>215</v>
      </c>
      <c r="D58" s="90" t="s">
        <v>227</v>
      </c>
      <c r="E58" s="90">
        <v>1.0</v>
      </c>
      <c r="F58" s="90">
        <v>0.0</v>
      </c>
      <c r="G58" s="90">
        <v>0.0</v>
      </c>
    </row>
    <row r="59">
      <c r="A59" s="89">
        <v>45932.0</v>
      </c>
      <c r="B59" s="90" t="s">
        <v>5</v>
      </c>
      <c r="C59" s="90" t="s">
        <v>212</v>
      </c>
      <c r="D59" s="90" t="s">
        <v>84</v>
      </c>
      <c r="E59" s="90">
        <v>3.0</v>
      </c>
      <c r="F59" s="90">
        <v>0.0</v>
      </c>
      <c r="G59" s="90">
        <v>0.0</v>
      </c>
    </row>
    <row r="60">
      <c r="A60" s="89">
        <v>45932.0</v>
      </c>
      <c r="B60" s="90" t="s">
        <v>5</v>
      </c>
      <c r="C60" s="90" t="s">
        <v>214</v>
      </c>
      <c r="D60" s="90" t="s">
        <v>228</v>
      </c>
      <c r="E60" s="94">
        <v>1.0</v>
      </c>
      <c r="F60" s="94">
        <v>0.0</v>
      </c>
      <c r="G60" s="94">
        <v>0.0</v>
      </c>
    </row>
    <row r="61">
      <c r="A61" s="89">
        <v>45932.0</v>
      </c>
      <c r="B61" s="90" t="s">
        <v>5</v>
      </c>
      <c r="C61" s="90" t="s">
        <v>214</v>
      </c>
      <c r="D61" s="90" t="s">
        <v>230</v>
      </c>
      <c r="E61" s="90">
        <v>1.0</v>
      </c>
      <c r="F61" s="90">
        <v>0.0</v>
      </c>
      <c r="G61" s="90">
        <v>0.0</v>
      </c>
    </row>
    <row r="62">
      <c r="A62" s="89">
        <v>45932.0</v>
      </c>
      <c r="B62" s="90" t="s">
        <v>5</v>
      </c>
      <c r="C62" s="90" t="s">
        <v>212</v>
      </c>
      <c r="D62" s="90" t="s">
        <v>239</v>
      </c>
      <c r="E62" s="90">
        <v>1.0</v>
      </c>
      <c r="F62" s="90">
        <v>0.0</v>
      </c>
      <c r="G62" s="90">
        <v>0.0</v>
      </c>
    </row>
    <row r="63">
      <c r="A63" s="89">
        <v>45932.0</v>
      </c>
      <c r="B63" s="90" t="s">
        <v>5</v>
      </c>
      <c r="C63" s="90" t="s">
        <v>212</v>
      </c>
      <c r="D63" s="90" t="s">
        <v>253</v>
      </c>
      <c r="E63" s="90">
        <v>1.0</v>
      </c>
      <c r="F63" s="90">
        <v>0.0</v>
      </c>
      <c r="G63" s="90">
        <v>0.0</v>
      </c>
    </row>
    <row r="64">
      <c r="A64" s="89">
        <v>45932.0</v>
      </c>
      <c r="B64" s="90" t="s">
        <v>5</v>
      </c>
      <c r="C64" s="90" t="s">
        <v>213</v>
      </c>
      <c r="D64" s="90" t="s">
        <v>226</v>
      </c>
      <c r="E64" s="90">
        <v>0.0</v>
      </c>
      <c r="F64" s="90">
        <v>0.0</v>
      </c>
      <c r="G64" s="90">
        <v>0.0</v>
      </c>
    </row>
    <row r="65">
      <c r="A65" s="89">
        <v>45932.0</v>
      </c>
      <c r="B65" s="90" t="s">
        <v>5</v>
      </c>
      <c r="C65" s="90" t="s">
        <v>215</v>
      </c>
      <c r="D65" s="90" t="s">
        <v>218</v>
      </c>
      <c r="E65" s="90">
        <v>0.0</v>
      </c>
      <c r="F65" s="90">
        <v>1.0</v>
      </c>
      <c r="G65" s="90">
        <v>0.0</v>
      </c>
    </row>
    <row r="66">
      <c r="A66" s="89">
        <v>45939.0</v>
      </c>
      <c r="B66" s="90" t="s">
        <v>6</v>
      </c>
      <c r="C66" s="90" t="s">
        <v>215</v>
      </c>
      <c r="D66" s="90" t="s">
        <v>231</v>
      </c>
      <c r="E66" s="90">
        <v>1.0</v>
      </c>
      <c r="F66" s="90">
        <v>0.0</v>
      </c>
      <c r="G66" s="90">
        <v>0.0</v>
      </c>
    </row>
    <row r="67">
      <c r="A67" s="89">
        <v>45939.0</v>
      </c>
      <c r="B67" s="90" t="s">
        <v>6</v>
      </c>
      <c r="C67" s="90" t="s">
        <v>215</v>
      </c>
      <c r="D67" s="90" t="s">
        <v>84</v>
      </c>
      <c r="E67" s="90">
        <v>2.0</v>
      </c>
      <c r="F67" s="90">
        <v>0.0</v>
      </c>
      <c r="G67" s="90">
        <v>0.0</v>
      </c>
    </row>
    <row r="68">
      <c r="A68" s="89">
        <v>45939.0</v>
      </c>
      <c r="B68" s="90" t="s">
        <v>6</v>
      </c>
      <c r="C68" s="90" t="s">
        <v>212</v>
      </c>
      <c r="D68" s="90" t="s">
        <v>216</v>
      </c>
      <c r="E68" s="90">
        <v>0.0</v>
      </c>
      <c r="F68" s="90">
        <v>1.0</v>
      </c>
      <c r="G68" s="90">
        <v>0.0</v>
      </c>
    </row>
    <row r="69">
      <c r="A69" s="89">
        <v>45939.0</v>
      </c>
      <c r="B69" s="90" t="s">
        <v>6</v>
      </c>
      <c r="C69" s="90" t="s">
        <v>215</v>
      </c>
      <c r="D69" s="90" t="s">
        <v>237</v>
      </c>
      <c r="E69" s="90">
        <v>0.0</v>
      </c>
      <c r="F69" s="90">
        <v>0.0</v>
      </c>
      <c r="G69" s="90">
        <v>0.0</v>
      </c>
    </row>
    <row r="70">
      <c r="A70" s="89">
        <v>45939.0</v>
      </c>
      <c r="B70" s="90" t="s">
        <v>6</v>
      </c>
      <c r="C70" s="90" t="s">
        <v>213</v>
      </c>
      <c r="D70" s="90" t="s">
        <v>241</v>
      </c>
      <c r="E70" s="94">
        <v>0.0</v>
      </c>
      <c r="F70" s="94">
        <v>1.0</v>
      </c>
      <c r="G70" s="94">
        <v>0.0</v>
      </c>
    </row>
    <row r="71">
      <c r="A71" s="89">
        <v>45939.0</v>
      </c>
      <c r="B71" s="90" t="s">
        <v>6</v>
      </c>
      <c r="C71" s="90" t="s">
        <v>214</v>
      </c>
      <c r="D71" s="90" t="s">
        <v>42</v>
      </c>
      <c r="E71" s="94">
        <v>0.0</v>
      </c>
      <c r="F71" s="94">
        <v>1.0</v>
      </c>
      <c r="G71" s="94">
        <v>1.0</v>
      </c>
    </row>
    <row r="72">
      <c r="A72" s="89">
        <v>45939.0</v>
      </c>
      <c r="B72" s="90" t="s">
        <v>6</v>
      </c>
      <c r="C72" s="90" t="s">
        <v>215</v>
      </c>
      <c r="D72" s="90" t="s">
        <v>221</v>
      </c>
      <c r="E72" s="94">
        <v>4.0</v>
      </c>
      <c r="F72" s="94">
        <v>0.0</v>
      </c>
      <c r="G72" s="94">
        <v>0.0</v>
      </c>
    </row>
    <row r="73">
      <c r="A73" s="89">
        <v>45939.0</v>
      </c>
      <c r="B73" s="90" t="s">
        <v>6</v>
      </c>
      <c r="C73" s="90" t="s">
        <v>214</v>
      </c>
      <c r="D73" s="90" t="s">
        <v>228</v>
      </c>
      <c r="E73" s="94">
        <v>1.0</v>
      </c>
      <c r="F73" s="94">
        <v>0.0</v>
      </c>
      <c r="G73" s="94">
        <v>0.0</v>
      </c>
    </row>
    <row r="74">
      <c r="A74" s="89">
        <v>45939.0</v>
      </c>
      <c r="B74" s="90" t="s">
        <v>6</v>
      </c>
      <c r="C74" s="90" t="s">
        <v>212</v>
      </c>
      <c r="D74" s="90" t="s">
        <v>235</v>
      </c>
      <c r="E74" s="94">
        <v>0.0</v>
      </c>
      <c r="F74" s="94">
        <v>1.0</v>
      </c>
      <c r="G74" s="94">
        <v>0.0</v>
      </c>
    </row>
    <row r="75">
      <c r="A75" s="89">
        <v>45939.0</v>
      </c>
      <c r="B75" s="90" t="s">
        <v>6</v>
      </c>
      <c r="C75" s="90" t="s">
        <v>213</v>
      </c>
      <c r="D75" s="90" t="s">
        <v>77</v>
      </c>
      <c r="E75" s="94">
        <v>1.0</v>
      </c>
      <c r="F75" s="94">
        <v>0.0</v>
      </c>
      <c r="G75" s="94">
        <v>0.0</v>
      </c>
    </row>
    <row r="76">
      <c r="A76" s="89">
        <v>45939.0</v>
      </c>
      <c r="B76" s="90" t="s">
        <v>6</v>
      </c>
      <c r="C76" s="90" t="s">
        <v>298</v>
      </c>
      <c r="D76" s="90" t="s">
        <v>238</v>
      </c>
      <c r="E76" s="90">
        <v>0.0</v>
      </c>
      <c r="F76" s="90">
        <v>1.0</v>
      </c>
      <c r="G76" s="90">
        <v>2.0</v>
      </c>
    </row>
    <row r="77">
      <c r="A77" s="89">
        <v>45946.0</v>
      </c>
      <c r="B77" s="90" t="s">
        <v>7</v>
      </c>
      <c r="C77" s="90" t="s">
        <v>213</v>
      </c>
      <c r="D77" s="90" t="s">
        <v>218</v>
      </c>
      <c r="E77" s="94">
        <v>0.0</v>
      </c>
      <c r="F77" s="94">
        <v>1.0</v>
      </c>
      <c r="G77" s="94">
        <v>1.0</v>
      </c>
    </row>
    <row r="78">
      <c r="A78" s="89">
        <v>45946.0</v>
      </c>
      <c r="B78" s="90" t="s">
        <v>7</v>
      </c>
      <c r="C78" s="90" t="s">
        <v>213</v>
      </c>
      <c r="D78" s="90" t="s">
        <v>227</v>
      </c>
      <c r="E78" s="94">
        <v>6.0</v>
      </c>
      <c r="F78" s="94">
        <v>0.0</v>
      </c>
      <c r="G78" s="94">
        <v>0.0</v>
      </c>
    </row>
    <row r="79">
      <c r="A79" s="89">
        <v>45946.0</v>
      </c>
      <c r="B79" s="90" t="s">
        <v>7</v>
      </c>
      <c r="C79" s="90" t="s">
        <v>212</v>
      </c>
      <c r="D79" s="90" t="s">
        <v>221</v>
      </c>
      <c r="E79" s="90">
        <v>1.0</v>
      </c>
      <c r="F79" s="94">
        <v>0.0</v>
      </c>
      <c r="G79" s="94">
        <v>0.0</v>
      </c>
    </row>
    <row r="80">
      <c r="A80" s="89">
        <v>45946.0</v>
      </c>
      <c r="B80" s="90" t="s">
        <v>7</v>
      </c>
      <c r="C80" s="90" t="s">
        <v>213</v>
      </c>
      <c r="D80" s="90" t="s">
        <v>231</v>
      </c>
      <c r="E80" s="94">
        <v>1.0</v>
      </c>
      <c r="F80" s="94">
        <v>0.0</v>
      </c>
      <c r="G80" s="94">
        <v>0.0</v>
      </c>
    </row>
    <row r="81">
      <c r="A81" s="89">
        <v>45946.0</v>
      </c>
      <c r="B81" s="90" t="s">
        <v>7</v>
      </c>
      <c r="C81" s="90" t="s">
        <v>212</v>
      </c>
      <c r="D81" s="90" t="s">
        <v>230</v>
      </c>
      <c r="E81" s="94">
        <v>1.0</v>
      </c>
      <c r="F81" s="94">
        <v>0.0</v>
      </c>
      <c r="G81" s="94">
        <v>0.0</v>
      </c>
    </row>
    <row r="82">
      <c r="A82" s="89">
        <v>45946.0</v>
      </c>
      <c r="B82" s="90" t="s">
        <v>7</v>
      </c>
      <c r="C82" s="90" t="s">
        <v>215</v>
      </c>
      <c r="D82" s="90" t="s">
        <v>84</v>
      </c>
      <c r="E82" s="94">
        <v>2.0</v>
      </c>
      <c r="F82" s="94">
        <v>0.0</v>
      </c>
      <c r="G82" s="94">
        <v>0.0</v>
      </c>
    </row>
    <row r="83">
      <c r="A83" s="89">
        <v>45946.0</v>
      </c>
      <c r="B83" s="90" t="s">
        <v>7</v>
      </c>
      <c r="C83" s="90" t="s">
        <v>213</v>
      </c>
      <c r="D83" s="90" t="s">
        <v>49</v>
      </c>
      <c r="E83" s="94">
        <v>0.0</v>
      </c>
      <c r="F83" s="94">
        <v>0.0</v>
      </c>
      <c r="G83" s="94">
        <v>0.0</v>
      </c>
    </row>
    <row r="84">
      <c r="A84" s="89">
        <v>45946.0</v>
      </c>
      <c r="B84" s="90" t="s">
        <v>7</v>
      </c>
      <c r="C84" s="90" t="s">
        <v>214</v>
      </c>
      <c r="D84" s="90" t="s">
        <v>235</v>
      </c>
      <c r="E84" s="94">
        <v>1.0</v>
      </c>
      <c r="F84" s="94">
        <v>0.0</v>
      </c>
      <c r="G84" s="94">
        <v>0.0</v>
      </c>
    </row>
    <row r="85">
      <c r="A85" s="89">
        <v>45946.0</v>
      </c>
      <c r="B85" s="90" t="s">
        <v>7</v>
      </c>
      <c r="C85" s="90" t="s">
        <v>215</v>
      </c>
      <c r="D85" s="90" t="s">
        <v>32</v>
      </c>
      <c r="E85" s="94">
        <v>1.0</v>
      </c>
      <c r="F85" s="94">
        <v>0.0</v>
      </c>
      <c r="G85" s="94">
        <v>0.0</v>
      </c>
    </row>
    <row r="86">
      <c r="A86" s="89">
        <v>45946.0</v>
      </c>
      <c r="B86" s="90" t="s">
        <v>7</v>
      </c>
      <c r="C86" s="90" t="s">
        <v>215</v>
      </c>
      <c r="D86" s="90" t="s">
        <v>237</v>
      </c>
      <c r="E86" s="94">
        <v>0.0</v>
      </c>
      <c r="F86" s="94">
        <v>0.0</v>
      </c>
      <c r="G86" s="94">
        <v>0.0</v>
      </c>
    </row>
    <row r="87">
      <c r="A87" s="89">
        <v>45946.0</v>
      </c>
      <c r="B87" s="90" t="s">
        <v>7</v>
      </c>
      <c r="C87" s="90" t="s">
        <v>213</v>
      </c>
      <c r="D87" s="90" t="s">
        <v>226</v>
      </c>
      <c r="E87" s="94">
        <v>1.0</v>
      </c>
      <c r="F87" s="94">
        <v>0.0</v>
      </c>
      <c r="G87" s="94">
        <v>0.0</v>
      </c>
    </row>
    <row r="88">
      <c r="A88" s="89">
        <v>45946.0</v>
      </c>
      <c r="B88" s="90" t="s">
        <v>7</v>
      </c>
      <c r="C88" s="90" t="s">
        <v>212</v>
      </c>
      <c r="D88" s="90" t="s">
        <v>241</v>
      </c>
      <c r="E88" s="94">
        <v>0.0</v>
      </c>
      <c r="F88" s="94">
        <v>1.0</v>
      </c>
      <c r="G88" s="94">
        <v>0.0</v>
      </c>
    </row>
    <row r="89">
      <c r="A89" s="89">
        <v>45946.0</v>
      </c>
      <c r="B89" s="90" t="s">
        <v>7</v>
      </c>
      <c r="C89" s="90" t="s">
        <v>212</v>
      </c>
      <c r="D89" s="90" t="s">
        <v>42</v>
      </c>
      <c r="E89" s="94">
        <v>0.0</v>
      </c>
      <c r="F89" s="94">
        <v>1.0</v>
      </c>
      <c r="G89" s="94">
        <v>0.0</v>
      </c>
    </row>
    <row r="90">
      <c r="A90" s="89">
        <v>45946.0</v>
      </c>
      <c r="B90" s="90" t="s">
        <v>7</v>
      </c>
      <c r="C90" s="90" t="s">
        <v>213</v>
      </c>
      <c r="D90" s="90" t="s">
        <v>228</v>
      </c>
      <c r="E90" s="94">
        <v>2.0</v>
      </c>
      <c r="F90" s="94">
        <v>0.0</v>
      </c>
      <c r="G90" s="94">
        <v>0.0</v>
      </c>
    </row>
    <row r="91">
      <c r="A91" s="89">
        <v>45953.0</v>
      </c>
      <c r="B91" s="90" t="s">
        <v>8</v>
      </c>
      <c r="C91" s="90" t="s">
        <v>215</v>
      </c>
      <c r="D91" s="90" t="s">
        <v>224</v>
      </c>
      <c r="E91" s="94">
        <v>1.0</v>
      </c>
      <c r="F91" s="94">
        <v>0.0</v>
      </c>
      <c r="G91" s="94">
        <v>0.0</v>
      </c>
    </row>
    <row r="92">
      <c r="A92" s="89">
        <v>45953.0</v>
      </c>
      <c r="B92" s="90" t="s">
        <v>8</v>
      </c>
      <c r="C92" s="90" t="s">
        <v>212</v>
      </c>
      <c r="D92" s="90" t="s">
        <v>235</v>
      </c>
      <c r="E92" s="94">
        <v>0.0</v>
      </c>
      <c r="F92" s="94">
        <v>0.0</v>
      </c>
      <c r="G92" s="94">
        <v>0.0</v>
      </c>
    </row>
    <row r="93">
      <c r="A93" s="89">
        <v>45954.0</v>
      </c>
      <c r="B93" s="90" t="s">
        <v>8</v>
      </c>
      <c r="C93" s="90" t="s">
        <v>212</v>
      </c>
      <c r="D93" s="90" t="s">
        <v>228</v>
      </c>
      <c r="E93" s="94">
        <v>1.0</v>
      </c>
      <c r="F93" s="94">
        <v>0.0</v>
      </c>
      <c r="G93" s="94">
        <v>0.0</v>
      </c>
    </row>
    <row r="94">
      <c r="A94" s="95"/>
      <c r="B94" s="96"/>
      <c r="C94" s="96"/>
      <c r="D94" s="96"/>
      <c r="E94" s="96"/>
      <c r="F94" s="96"/>
      <c r="G94" s="96"/>
    </row>
    <row r="95">
      <c r="A95" s="95"/>
      <c r="B95" s="96"/>
      <c r="C95" s="96"/>
      <c r="D95" s="96"/>
      <c r="E95" s="96"/>
      <c r="F95" s="96"/>
      <c r="G95" s="96"/>
    </row>
    <row r="96">
      <c r="A96" s="95"/>
      <c r="B96" s="96"/>
      <c r="C96" s="96"/>
      <c r="D96" s="96"/>
      <c r="E96" s="96"/>
      <c r="F96" s="96"/>
      <c r="G96" s="96"/>
    </row>
    <row r="97">
      <c r="A97" s="95"/>
      <c r="B97" s="96"/>
      <c r="C97" s="96"/>
      <c r="D97" s="96"/>
      <c r="E97" s="96"/>
      <c r="F97" s="96"/>
      <c r="G97" s="96"/>
    </row>
    <row r="98">
      <c r="A98" s="95"/>
      <c r="B98" s="96"/>
      <c r="C98" s="96"/>
      <c r="D98" s="96"/>
      <c r="E98" s="96"/>
      <c r="F98" s="96"/>
      <c r="G98" s="96"/>
    </row>
    <row r="99">
      <c r="A99" s="95"/>
      <c r="B99" s="96"/>
      <c r="C99" s="96"/>
      <c r="D99" s="96"/>
      <c r="E99" s="96"/>
      <c r="F99" s="96"/>
      <c r="G99" s="96"/>
    </row>
    <row r="100">
      <c r="A100" s="95"/>
      <c r="B100" s="96"/>
      <c r="C100" s="96"/>
      <c r="D100" s="96"/>
      <c r="E100" s="96"/>
      <c r="F100" s="96"/>
      <c r="G100" s="96"/>
    </row>
    <row r="101">
      <c r="A101" s="95"/>
      <c r="B101" s="96"/>
      <c r="C101" s="96"/>
      <c r="D101" s="96"/>
      <c r="E101" s="96"/>
      <c r="F101" s="96"/>
      <c r="G101" s="96"/>
    </row>
    <row r="102">
      <c r="A102" s="95"/>
      <c r="B102" s="96"/>
      <c r="C102" s="96"/>
      <c r="D102" s="96"/>
      <c r="E102" s="96"/>
      <c r="F102" s="96"/>
      <c r="G102" s="96"/>
    </row>
    <row r="103">
      <c r="A103" s="95"/>
      <c r="B103" s="96"/>
      <c r="C103" s="96"/>
      <c r="D103" s="96"/>
      <c r="E103" s="96"/>
      <c r="F103" s="96"/>
      <c r="G103" s="96"/>
    </row>
    <row r="104">
      <c r="A104" s="95"/>
      <c r="B104" s="96"/>
      <c r="C104" s="96"/>
      <c r="D104" s="96"/>
      <c r="E104" s="96"/>
      <c r="F104" s="96"/>
      <c r="G104" s="96"/>
    </row>
    <row r="105">
      <c r="A105" s="95"/>
      <c r="B105" s="96"/>
      <c r="C105" s="96"/>
      <c r="D105" s="96"/>
      <c r="E105" s="96"/>
      <c r="F105" s="96"/>
      <c r="G105" s="96"/>
    </row>
    <row r="106">
      <c r="A106" s="95"/>
      <c r="B106" s="96"/>
      <c r="C106" s="96"/>
      <c r="D106" s="96"/>
      <c r="E106" s="96"/>
      <c r="F106" s="96"/>
      <c r="G106" s="96"/>
    </row>
    <row r="107">
      <c r="A107" s="95"/>
      <c r="B107" s="96"/>
      <c r="C107" s="96"/>
      <c r="D107" s="96"/>
      <c r="E107" s="96"/>
      <c r="F107" s="96"/>
      <c r="G107" s="96"/>
    </row>
    <row r="108">
      <c r="A108" s="95"/>
      <c r="B108" s="96"/>
      <c r="C108" s="96"/>
      <c r="D108" s="96"/>
      <c r="E108" s="96"/>
      <c r="F108" s="96"/>
      <c r="G108" s="96"/>
    </row>
    <row r="109">
      <c r="A109" s="95"/>
      <c r="B109" s="96"/>
      <c r="C109" s="96"/>
      <c r="D109" s="96"/>
      <c r="E109" s="96"/>
      <c r="F109" s="96"/>
      <c r="G109" s="96"/>
    </row>
    <row r="110">
      <c r="A110" s="95"/>
      <c r="B110" s="96"/>
      <c r="C110" s="96"/>
      <c r="D110" s="96"/>
      <c r="E110" s="96"/>
      <c r="F110" s="96"/>
      <c r="G110" s="96"/>
    </row>
    <row r="111">
      <c r="A111" s="95"/>
      <c r="B111" s="96"/>
      <c r="C111" s="96"/>
      <c r="D111" s="96"/>
      <c r="E111" s="96"/>
      <c r="F111" s="96"/>
      <c r="G111" s="96"/>
    </row>
    <row r="112">
      <c r="A112" s="95"/>
      <c r="B112" s="96"/>
      <c r="C112" s="96"/>
      <c r="D112" s="96"/>
      <c r="E112" s="96"/>
      <c r="F112" s="96"/>
      <c r="G112" s="96"/>
    </row>
    <row r="113">
      <c r="A113" s="95"/>
      <c r="B113" s="96"/>
      <c r="C113" s="96"/>
      <c r="D113" s="96"/>
      <c r="E113" s="96"/>
      <c r="F113" s="96"/>
      <c r="G113" s="96"/>
    </row>
    <row r="114">
      <c r="A114" s="95"/>
      <c r="B114" s="96"/>
      <c r="C114" s="96"/>
      <c r="D114" s="96"/>
      <c r="E114" s="96"/>
      <c r="F114" s="96"/>
      <c r="G114" s="96"/>
    </row>
    <row r="115">
      <c r="A115" s="95"/>
      <c r="B115" s="96"/>
      <c r="C115" s="96"/>
      <c r="D115" s="96"/>
      <c r="E115" s="96"/>
      <c r="F115" s="96"/>
      <c r="G115" s="96"/>
    </row>
    <row r="116">
      <c r="A116" s="95"/>
      <c r="B116" s="96"/>
      <c r="C116" s="96"/>
      <c r="D116" s="96"/>
      <c r="E116" s="96"/>
      <c r="F116" s="96"/>
      <c r="G116" s="96"/>
    </row>
    <row r="117">
      <c r="A117" s="95"/>
      <c r="B117" s="96"/>
      <c r="C117" s="96"/>
      <c r="D117" s="96"/>
      <c r="E117" s="96"/>
      <c r="F117" s="96"/>
      <c r="G117" s="96"/>
    </row>
    <row r="118">
      <c r="A118" s="95"/>
      <c r="B118" s="96"/>
      <c r="C118" s="96"/>
      <c r="D118" s="96"/>
      <c r="E118" s="96"/>
      <c r="F118" s="96"/>
      <c r="G118" s="96"/>
    </row>
    <row r="119">
      <c r="A119" s="95"/>
      <c r="B119" s="96"/>
      <c r="C119" s="96"/>
      <c r="D119" s="96"/>
      <c r="E119" s="96"/>
      <c r="F119" s="96"/>
      <c r="G119" s="96"/>
    </row>
    <row r="120">
      <c r="A120" s="95"/>
      <c r="B120" s="96"/>
      <c r="C120" s="96"/>
      <c r="D120" s="96"/>
      <c r="E120" s="96"/>
      <c r="F120" s="96"/>
      <c r="G120" s="96"/>
    </row>
    <row r="121">
      <c r="A121" s="95"/>
      <c r="B121" s="96"/>
      <c r="C121" s="96"/>
      <c r="D121" s="96"/>
      <c r="E121" s="96"/>
      <c r="F121" s="96"/>
      <c r="G121" s="96"/>
    </row>
    <row r="122">
      <c r="A122" s="95"/>
      <c r="B122" s="96"/>
      <c r="C122" s="96"/>
      <c r="D122" s="96"/>
      <c r="E122" s="96"/>
      <c r="F122" s="96"/>
      <c r="G122" s="96"/>
    </row>
    <row r="123">
      <c r="A123" s="95"/>
      <c r="B123" s="96"/>
      <c r="C123" s="96"/>
      <c r="D123" s="96"/>
      <c r="E123" s="96"/>
      <c r="F123" s="96"/>
      <c r="G123" s="96"/>
    </row>
    <row r="124">
      <c r="A124" s="95"/>
      <c r="B124" s="96"/>
      <c r="C124" s="96"/>
      <c r="D124" s="96"/>
      <c r="E124" s="96"/>
      <c r="F124" s="96"/>
      <c r="G124" s="96"/>
    </row>
    <row r="125">
      <c r="A125" s="95"/>
      <c r="B125" s="96"/>
      <c r="C125" s="96"/>
      <c r="D125" s="96"/>
      <c r="E125" s="96"/>
      <c r="F125" s="96"/>
      <c r="G125" s="96"/>
    </row>
    <row r="126">
      <c r="A126" s="95"/>
      <c r="B126" s="96"/>
      <c r="C126" s="96"/>
      <c r="D126" s="96"/>
      <c r="E126" s="96"/>
      <c r="F126" s="96"/>
      <c r="G126" s="96"/>
    </row>
    <row r="127">
      <c r="A127" s="95"/>
      <c r="B127" s="96"/>
      <c r="C127" s="96"/>
      <c r="D127" s="96"/>
      <c r="E127" s="96"/>
      <c r="F127" s="96"/>
      <c r="G127" s="96"/>
    </row>
    <row r="128">
      <c r="A128" s="95"/>
      <c r="B128" s="96"/>
      <c r="C128" s="96"/>
      <c r="D128" s="96"/>
      <c r="E128" s="96"/>
      <c r="F128" s="96"/>
      <c r="G128" s="96"/>
    </row>
    <row r="129">
      <c r="A129" s="95"/>
      <c r="B129" s="96"/>
      <c r="C129" s="96"/>
      <c r="D129" s="96"/>
      <c r="E129" s="96"/>
      <c r="F129" s="96"/>
      <c r="G129" s="96"/>
    </row>
    <row r="130">
      <c r="A130" s="95"/>
      <c r="B130" s="96"/>
      <c r="C130" s="96"/>
      <c r="D130" s="96"/>
      <c r="E130" s="96"/>
      <c r="F130" s="96"/>
      <c r="G130" s="96"/>
    </row>
    <row r="131">
      <c r="A131" s="95"/>
      <c r="B131" s="96"/>
      <c r="C131" s="96"/>
      <c r="D131" s="96"/>
      <c r="E131" s="96"/>
      <c r="F131" s="96"/>
      <c r="G131" s="96"/>
    </row>
    <row r="132">
      <c r="A132" s="95"/>
      <c r="B132" s="96"/>
      <c r="C132" s="96"/>
      <c r="D132" s="96"/>
      <c r="E132" s="96"/>
      <c r="F132" s="96"/>
      <c r="G132" s="96"/>
    </row>
    <row r="133">
      <c r="A133" s="95"/>
      <c r="B133" s="96"/>
      <c r="C133" s="96"/>
      <c r="D133" s="96"/>
      <c r="E133" s="96"/>
      <c r="F133" s="96"/>
      <c r="G133" s="96"/>
    </row>
    <row r="134">
      <c r="A134" s="95"/>
      <c r="B134" s="96"/>
      <c r="C134" s="96"/>
      <c r="D134" s="96"/>
      <c r="E134" s="96"/>
      <c r="F134" s="96"/>
      <c r="G134" s="96"/>
    </row>
    <row r="135">
      <c r="A135" s="95"/>
      <c r="B135" s="96"/>
      <c r="C135" s="96"/>
      <c r="D135" s="96"/>
      <c r="E135" s="96"/>
      <c r="F135" s="96"/>
      <c r="G135" s="96"/>
    </row>
    <row r="136">
      <c r="A136" s="95"/>
      <c r="B136" s="96"/>
      <c r="C136" s="96"/>
      <c r="D136" s="96"/>
      <c r="E136" s="96"/>
      <c r="F136" s="96"/>
      <c r="G136" s="96"/>
    </row>
    <row r="137">
      <c r="A137" s="95"/>
      <c r="B137" s="96"/>
      <c r="C137" s="96"/>
      <c r="D137" s="96"/>
      <c r="E137" s="96"/>
      <c r="F137" s="96"/>
      <c r="G137" s="96"/>
    </row>
    <row r="138">
      <c r="A138" s="95"/>
      <c r="B138" s="96"/>
      <c r="C138" s="96"/>
      <c r="D138" s="96"/>
      <c r="E138" s="96"/>
      <c r="F138" s="96"/>
      <c r="G138" s="96"/>
    </row>
    <row r="139">
      <c r="A139" s="95"/>
      <c r="B139" s="96"/>
      <c r="C139" s="96"/>
      <c r="D139" s="96"/>
      <c r="E139" s="96"/>
      <c r="F139" s="96"/>
      <c r="G139" s="96"/>
    </row>
    <row r="140">
      <c r="A140" s="95"/>
      <c r="B140" s="96"/>
      <c r="C140" s="96"/>
      <c r="D140" s="96"/>
      <c r="E140" s="96"/>
      <c r="F140" s="96"/>
      <c r="G140" s="96"/>
    </row>
    <row r="141">
      <c r="A141" s="95"/>
      <c r="B141" s="96"/>
      <c r="C141" s="96"/>
      <c r="D141" s="96"/>
      <c r="E141" s="96"/>
      <c r="F141" s="96"/>
      <c r="G141" s="96"/>
    </row>
    <row r="142">
      <c r="A142" s="95"/>
      <c r="B142" s="96"/>
      <c r="C142" s="96"/>
      <c r="D142" s="96"/>
      <c r="E142" s="96"/>
      <c r="F142" s="96"/>
      <c r="G142" s="96"/>
    </row>
    <row r="143">
      <c r="A143" s="95"/>
      <c r="B143" s="96"/>
      <c r="C143" s="96"/>
      <c r="D143" s="96"/>
      <c r="E143" s="96"/>
      <c r="F143" s="96"/>
      <c r="G143" s="96"/>
    </row>
    <row r="144">
      <c r="A144" s="95"/>
      <c r="B144" s="96"/>
      <c r="C144" s="96"/>
      <c r="D144" s="96"/>
      <c r="E144" s="96"/>
      <c r="F144" s="96"/>
      <c r="G144" s="96"/>
    </row>
    <row r="145">
      <c r="A145" s="95"/>
      <c r="B145" s="96"/>
      <c r="C145" s="96"/>
      <c r="D145" s="96"/>
      <c r="E145" s="96"/>
      <c r="F145" s="96"/>
      <c r="G145" s="96"/>
    </row>
    <row r="146">
      <c r="A146" s="95"/>
      <c r="B146" s="96"/>
      <c r="C146" s="96"/>
      <c r="D146" s="96"/>
      <c r="E146" s="96"/>
      <c r="F146" s="96"/>
      <c r="G146" s="96"/>
    </row>
    <row r="147">
      <c r="A147" s="95"/>
      <c r="B147" s="96"/>
      <c r="C147" s="96"/>
      <c r="D147" s="96"/>
      <c r="E147" s="96"/>
      <c r="F147" s="96"/>
      <c r="G147" s="96"/>
    </row>
    <row r="148">
      <c r="A148" s="95"/>
      <c r="B148" s="96"/>
      <c r="C148" s="96"/>
      <c r="D148" s="96"/>
      <c r="E148" s="96"/>
      <c r="F148" s="96"/>
      <c r="G148" s="96"/>
    </row>
    <row r="149">
      <c r="A149" s="95"/>
      <c r="B149" s="96"/>
      <c r="C149" s="96"/>
      <c r="D149" s="96"/>
      <c r="E149" s="96"/>
      <c r="F149" s="96"/>
      <c r="G149" s="96"/>
    </row>
    <row r="150">
      <c r="A150" s="95"/>
      <c r="B150" s="96"/>
      <c r="C150" s="96"/>
      <c r="D150" s="96"/>
      <c r="E150" s="96"/>
      <c r="F150" s="96"/>
      <c r="G150" s="96"/>
    </row>
    <row r="151">
      <c r="A151" s="95"/>
      <c r="B151" s="96"/>
      <c r="C151" s="96"/>
      <c r="D151" s="96"/>
      <c r="E151" s="96"/>
      <c r="F151" s="96"/>
      <c r="G151" s="96"/>
    </row>
    <row r="152">
      <c r="A152" s="95"/>
      <c r="B152" s="96"/>
      <c r="C152" s="96"/>
      <c r="D152" s="96"/>
      <c r="E152" s="96"/>
      <c r="F152" s="96"/>
      <c r="G152" s="96"/>
    </row>
    <row r="153">
      <c r="A153" s="95"/>
      <c r="B153" s="96"/>
      <c r="C153" s="96"/>
      <c r="D153" s="96"/>
      <c r="E153" s="96"/>
      <c r="F153" s="96"/>
      <c r="G153" s="96"/>
    </row>
    <row r="154">
      <c r="A154" s="95"/>
      <c r="B154" s="96"/>
      <c r="C154" s="96"/>
      <c r="D154" s="96"/>
      <c r="E154" s="96"/>
      <c r="F154" s="96"/>
      <c r="G154" s="96"/>
    </row>
    <row r="155">
      <c r="A155" s="95"/>
      <c r="B155" s="96"/>
      <c r="C155" s="96"/>
      <c r="D155" s="96"/>
      <c r="E155" s="96"/>
      <c r="F155" s="96"/>
      <c r="G155" s="96"/>
    </row>
    <row r="156">
      <c r="A156" s="95"/>
      <c r="B156" s="96"/>
      <c r="C156" s="96"/>
      <c r="D156" s="96"/>
      <c r="E156" s="96"/>
      <c r="F156" s="96"/>
      <c r="G156" s="96"/>
    </row>
    <row r="157">
      <c r="A157" s="95"/>
      <c r="B157" s="96"/>
      <c r="C157" s="96"/>
      <c r="D157" s="96"/>
      <c r="E157" s="96"/>
      <c r="F157" s="96"/>
      <c r="G157" s="96"/>
    </row>
    <row r="158">
      <c r="A158" s="95"/>
      <c r="B158" s="96"/>
      <c r="C158" s="96"/>
      <c r="D158" s="96"/>
      <c r="E158" s="96"/>
      <c r="F158" s="96"/>
      <c r="G158" s="96"/>
    </row>
    <row r="159">
      <c r="A159" s="95"/>
      <c r="B159" s="96"/>
      <c r="C159" s="96"/>
      <c r="D159" s="96"/>
      <c r="E159" s="96"/>
      <c r="F159" s="96"/>
      <c r="G159" s="96"/>
    </row>
    <row r="160">
      <c r="A160" s="95"/>
      <c r="B160" s="96"/>
      <c r="C160" s="96"/>
      <c r="D160" s="96"/>
      <c r="E160" s="96"/>
      <c r="F160" s="96"/>
      <c r="G160" s="96"/>
    </row>
    <row r="161">
      <c r="A161" s="95"/>
      <c r="B161" s="96"/>
      <c r="C161" s="96"/>
      <c r="D161" s="96"/>
      <c r="E161" s="96"/>
      <c r="F161" s="96"/>
      <c r="G161" s="96"/>
    </row>
    <row r="162">
      <c r="A162" s="95"/>
      <c r="B162" s="96"/>
      <c r="C162" s="96"/>
      <c r="D162" s="96"/>
      <c r="E162" s="96"/>
      <c r="F162" s="96"/>
      <c r="G162" s="96"/>
    </row>
    <row r="163">
      <c r="A163" s="95"/>
      <c r="B163" s="96"/>
      <c r="C163" s="96"/>
      <c r="D163" s="96"/>
      <c r="E163" s="96"/>
      <c r="F163" s="96"/>
      <c r="G163" s="96"/>
    </row>
    <row r="164">
      <c r="A164" s="95"/>
      <c r="B164" s="96"/>
      <c r="C164" s="96"/>
      <c r="D164" s="96"/>
      <c r="E164" s="96"/>
      <c r="F164" s="96"/>
      <c r="G164" s="96"/>
    </row>
    <row r="165">
      <c r="A165" s="95"/>
      <c r="B165" s="96"/>
      <c r="C165" s="96"/>
      <c r="D165" s="96"/>
      <c r="E165" s="96"/>
      <c r="F165" s="96"/>
      <c r="G165" s="96"/>
    </row>
    <row r="166">
      <c r="A166" s="95"/>
      <c r="B166" s="96"/>
      <c r="C166" s="96"/>
      <c r="D166" s="96"/>
      <c r="E166" s="96"/>
      <c r="F166" s="96"/>
      <c r="G166" s="96"/>
    </row>
    <row r="167">
      <c r="A167" s="95"/>
      <c r="B167" s="96"/>
      <c r="C167" s="96"/>
      <c r="D167" s="96"/>
      <c r="E167" s="96"/>
      <c r="F167" s="96"/>
      <c r="G167" s="96"/>
    </row>
    <row r="168">
      <c r="A168" s="95"/>
      <c r="B168" s="96"/>
      <c r="C168" s="96"/>
      <c r="D168" s="96"/>
      <c r="E168" s="96"/>
      <c r="F168" s="96"/>
      <c r="G168" s="96"/>
    </row>
    <row r="169">
      <c r="A169" s="95"/>
      <c r="B169" s="96"/>
      <c r="C169" s="96"/>
      <c r="D169" s="96"/>
      <c r="E169" s="96"/>
      <c r="F169" s="96"/>
      <c r="G169" s="96"/>
    </row>
    <row r="170">
      <c r="A170" s="95"/>
      <c r="B170" s="96"/>
      <c r="C170" s="96"/>
      <c r="D170" s="96"/>
      <c r="E170" s="96"/>
      <c r="F170" s="96"/>
      <c r="G170" s="96"/>
    </row>
    <row r="171">
      <c r="A171" s="95"/>
      <c r="B171" s="96"/>
      <c r="C171" s="96"/>
      <c r="D171" s="96"/>
      <c r="E171" s="96"/>
      <c r="F171" s="96"/>
      <c r="G171" s="96"/>
    </row>
    <row r="172">
      <c r="A172" s="95"/>
      <c r="B172" s="96"/>
      <c r="C172" s="96"/>
      <c r="D172" s="96"/>
      <c r="E172" s="96"/>
      <c r="F172" s="96"/>
      <c r="G172" s="96"/>
    </row>
    <row r="173">
      <c r="A173" s="95"/>
      <c r="B173" s="96"/>
      <c r="C173" s="96"/>
      <c r="D173" s="96"/>
      <c r="E173" s="96"/>
      <c r="F173" s="96"/>
      <c r="G173" s="96"/>
    </row>
    <row r="174">
      <c r="A174" s="95"/>
      <c r="B174" s="96"/>
      <c r="C174" s="96"/>
      <c r="D174" s="96"/>
      <c r="E174" s="96"/>
      <c r="F174" s="96"/>
      <c r="G174" s="96"/>
    </row>
    <row r="175">
      <c r="A175" s="95"/>
      <c r="B175" s="96"/>
      <c r="C175" s="96"/>
      <c r="D175" s="96"/>
      <c r="E175" s="96"/>
      <c r="F175" s="96"/>
      <c r="G175" s="96"/>
    </row>
    <row r="176">
      <c r="A176" s="95"/>
      <c r="B176" s="96"/>
      <c r="C176" s="96"/>
      <c r="D176" s="96"/>
      <c r="E176" s="96"/>
      <c r="F176" s="96"/>
      <c r="G176" s="96"/>
    </row>
    <row r="177">
      <c r="A177" s="95"/>
      <c r="B177" s="96"/>
      <c r="C177" s="96"/>
      <c r="D177" s="96"/>
      <c r="E177" s="96"/>
      <c r="F177" s="96"/>
      <c r="G177" s="96"/>
    </row>
    <row r="178">
      <c r="A178" s="95"/>
      <c r="B178" s="96"/>
      <c r="C178" s="96"/>
      <c r="D178" s="96"/>
      <c r="E178" s="96"/>
      <c r="F178" s="96"/>
      <c r="G178" s="96"/>
    </row>
    <row r="179">
      <c r="A179" s="95"/>
      <c r="B179" s="96"/>
      <c r="C179" s="96"/>
      <c r="D179" s="96"/>
      <c r="E179" s="96"/>
      <c r="F179" s="96"/>
      <c r="G179" s="96"/>
    </row>
    <row r="180">
      <c r="A180" s="95"/>
      <c r="B180" s="96"/>
      <c r="C180" s="96"/>
      <c r="D180" s="96"/>
      <c r="E180" s="96"/>
      <c r="F180" s="96"/>
      <c r="G180" s="96"/>
    </row>
    <row r="181">
      <c r="A181" s="95"/>
      <c r="B181" s="96"/>
      <c r="C181" s="96"/>
      <c r="D181" s="96"/>
      <c r="E181" s="96"/>
      <c r="F181" s="96"/>
      <c r="G181" s="96"/>
    </row>
    <row r="182">
      <c r="A182" s="95"/>
      <c r="B182" s="96"/>
      <c r="C182" s="96"/>
      <c r="D182" s="96"/>
      <c r="E182" s="96"/>
      <c r="F182" s="96"/>
      <c r="G182" s="96"/>
    </row>
    <row r="183">
      <c r="A183" s="95"/>
      <c r="B183" s="96"/>
      <c r="C183" s="96"/>
      <c r="D183" s="96"/>
      <c r="E183" s="96"/>
      <c r="F183" s="96"/>
      <c r="G183" s="96"/>
    </row>
    <row r="184">
      <c r="A184" s="95"/>
      <c r="B184" s="96"/>
      <c r="C184" s="96"/>
      <c r="D184" s="96"/>
      <c r="E184" s="96"/>
      <c r="F184" s="96"/>
      <c r="G184" s="96"/>
    </row>
    <row r="185">
      <c r="A185" s="95"/>
      <c r="B185" s="96"/>
      <c r="C185" s="96"/>
      <c r="D185" s="96"/>
      <c r="E185" s="96"/>
      <c r="F185" s="96"/>
      <c r="G185" s="96"/>
    </row>
    <row r="186">
      <c r="A186" s="95"/>
      <c r="B186" s="96"/>
      <c r="C186" s="96"/>
      <c r="D186" s="96"/>
      <c r="E186" s="96"/>
      <c r="F186" s="96"/>
      <c r="G186" s="96"/>
    </row>
    <row r="187">
      <c r="A187" s="95"/>
      <c r="B187" s="96"/>
      <c r="C187" s="96"/>
      <c r="D187" s="96"/>
      <c r="E187" s="96"/>
      <c r="F187" s="96"/>
      <c r="G187" s="96"/>
    </row>
    <row r="188">
      <c r="A188" s="95"/>
      <c r="B188" s="96"/>
      <c r="C188" s="96"/>
      <c r="D188" s="96"/>
      <c r="E188" s="96"/>
      <c r="F188" s="96"/>
      <c r="G188" s="96"/>
    </row>
    <row r="189">
      <c r="A189" s="95"/>
      <c r="B189" s="96"/>
      <c r="C189" s="96"/>
      <c r="D189" s="96"/>
      <c r="E189" s="96"/>
      <c r="F189" s="96"/>
      <c r="G189" s="96"/>
    </row>
    <row r="190">
      <c r="A190" s="95"/>
      <c r="B190" s="96"/>
      <c r="C190" s="96"/>
      <c r="D190" s="96"/>
      <c r="E190" s="96"/>
      <c r="F190" s="96"/>
      <c r="G190" s="96"/>
    </row>
    <row r="191">
      <c r="A191" s="95"/>
      <c r="B191" s="96"/>
      <c r="C191" s="96"/>
      <c r="D191" s="96"/>
      <c r="E191" s="96"/>
      <c r="F191" s="96"/>
      <c r="G191" s="96"/>
    </row>
    <row r="192">
      <c r="A192" s="95"/>
      <c r="B192" s="96"/>
      <c r="C192" s="96"/>
      <c r="D192" s="96"/>
      <c r="E192" s="96"/>
      <c r="F192" s="96"/>
      <c r="G192" s="96"/>
    </row>
    <row r="193">
      <c r="A193" s="95"/>
      <c r="B193" s="96"/>
      <c r="C193" s="96"/>
      <c r="D193" s="96"/>
      <c r="E193" s="96"/>
      <c r="F193" s="96"/>
      <c r="G193" s="96"/>
    </row>
    <row r="194">
      <c r="A194" s="95"/>
      <c r="B194" s="96"/>
      <c r="C194" s="96"/>
      <c r="D194" s="96"/>
      <c r="E194" s="96"/>
      <c r="F194" s="96"/>
      <c r="G194" s="96"/>
    </row>
    <row r="195">
      <c r="A195" s="95"/>
      <c r="B195" s="96"/>
      <c r="C195" s="96"/>
      <c r="D195" s="96"/>
      <c r="E195" s="96"/>
      <c r="F195" s="96"/>
      <c r="G195" s="96"/>
    </row>
    <row r="196">
      <c r="A196" s="95"/>
      <c r="B196" s="96"/>
      <c r="C196" s="96"/>
      <c r="D196" s="96"/>
      <c r="E196" s="96"/>
      <c r="F196" s="96"/>
      <c r="G196" s="96"/>
    </row>
    <row r="197">
      <c r="A197" s="95"/>
      <c r="B197" s="96"/>
      <c r="C197" s="96"/>
      <c r="D197" s="96"/>
      <c r="E197" s="96"/>
      <c r="F197" s="96"/>
      <c r="G197" s="96"/>
    </row>
    <row r="198">
      <c r="A198" s="95"/>
      <c r="B198" s="96"/>
      <c r="C198" s="96"/>
      <c r="D198" s="96"/>
      <c r="E198" s="96"/>
      <c r="F198" s="96"/>
      <c r="G198" s="96"/>
    </row>
    <row r="199">
      <c r="A199" s="95"/>
      <c r="B199" s="96"/>
      <c r="C199" s="96"/>
      <c r="D199" s="96"/>
      <c r="E199" s="96"/>
      <c r="F199" s="96"/>
      <c r="G199" s="96"/>
    </row>
    <row r="200">
      <c r="A200" s="95"/>
      <c r="B200" s="96"/>
      <c r="C200" s="96"/>
      <c r="D200" s="96"/>
      <c r="E200" s="96"/>
      <c r="F200" s="96"/>
      <c r="G200" s="96"/>
    </row>
    <row r="201">
      <c r="A201" s="95"/>
      <c r="B201" s="96"/>
      <c r="C201" s="96"/>
      <c r="D201" s="96"/>
      <c r="E201" s="96"/>
      <c r="F201" s="96"/>
      <c r="G201" s="96"/>
    </row>
    <row r="202">
      <c r="A202" s="95"/>
      <c r="B202" s="96"/>
      <c r="C202" s="96"/>
      <c r="D202" s="96"/>
      <c r="E202" s="96"/>
      <c r="F202" s="96"/>
      <c r="G202" s="96"/>
    </row>
    <row r="203">
      <c r="A203" s="95"/>
      <c r="B203" s="96"/>
      <c r="C203" s="96"/>
      <c r="D203" s="96"/>
      <c r="E203" s="96"/>
      <c r="F203" s="96"/>
      <c r="G203" s="96"/>
    </row>
    <row r="204">
      <c r="A204" s="95"/>
      <c r="B204" s="96"/>
      <c r="C204" s="96"/>
      <c r="D204" s="96"/>
      <c r="E204" s="96"/>
      <c r="F204" s="96"/>
      <c r="G204" s="96"/>
    </row>
    <row r="205">
      <c r="A205" s="95"/>
      <c r="B205" s="96"/>
      <c r="C205" s="96"/>
      <c r="D205" s="96"/>
      <c r="E205" s="96"/>
      <c r="F205" s="96"/>
      <c r="G205" s="96"/>
    </row>
    <row r="206">
      <c r="A206" s="95"/>
      <c r="B206" s="96"/>
      <c r="C206" s="96"/>
      <c r="D206" s="96"/>
      <c r="E206" s="96"/>
      <c r="F206" s="96"/>
      <c r="G206" s="96"/>
    </row>
    <row r="207">
      <c r="A207" s="95"/>
      <c r="B207" s="96"/>
      <c r="C207" s="96"/>
      <c r="D207" s="96"/>
      <c r="E207" s="96"/>
      <c r="F207" s="96"/>
      <c r="G207" s="96"/>
    </row>
    <row r="208">
      <c r="A208" s="95"/>
      <c r="B208" s="96"/>
      <c r="C208" s="96"/>
      <c r="D208" s="96"/>
      <c r="E208" s="96"/>
      <c r="F208" s="96"/>
      <c r="G208" s="96"/>
    </row>
    <row r="209">
      <c r="A209" s="95"/>
      <c r="B209" s="96"/>
      <c r="C209" s="96"/>
      <c r="D209" s="96"/>
      <c r="E209" s="96"/>
      <c r="F209" s="96"/>
      <c r="G209" s="96"/>
    </row>
    <row r="210">
      <c r="A210" s="95"/>
      <c r="B210" s="96"/>
      <c r="C210" s="96"/>
      <c r="D210" s="96"/>
      <c r="E210" s="96"/>
      <c r="F210" s="96"/>
      <c r="G210" s="96"/>
    </row>
    <row r="211">
      <c r="A211" s="95"/>
      <c r="B211" s="96"/>
      <c r="C211" s="96"/>
      <c r="D211" s="96"/>
      <c r="E211" s="96"/>
      <c r="F211" s="96"/>
      <c r="G211" s="96"/>
    </row>
    <row r="212">
      <c r="A212" s="95"/>
      <c r="B212" s="96"/>
      <c r="C212" s="96"/>
      <c r="D212" s="96"/>
      <c r="E212" s="96"/>
      <c r="F212" s="96"/>
      <c r="G212" s="96"/>
    </row>
    <row r="213">
      <c r="A213" s="95"/>
      <c r="B213" s="96"/>
      <c r="C213" s="96"/>
      <c r="D213" s="96"/>
      <c r="E213" s="96"/>
      <c r="F213" s="96"/>
      <c r="G213" s="96"/>
    </row>
    <row r="214">
      <c r="A214" s="95"/>
      <c r="B214" s="96"/>
      <c r="C214" s="96"/>
      <c r="D214" s="96"/>
      <c r="E214" s="96"/>
      <c r="F214" s="96"/>
      <c r="G214" s="96"/>
    </row>
    <row r="215">
      <c r="A215" s="95"/>
      <c r="B215" s="96"/>
      <c r="C215" s="96"/>
      <c r="D215" s="96"/>
      <c r="E215" s="96"/>
      <c r="F215" s="96"/>
      <c r="G215" s="96"/>
    </row>
    <row r="216">
      <c r="A216" s="95"/>
      <c r="B216" s="96"/>
      <c r="C216" s="96"/>
      <c r="D216" s="96"/>
      <c r="E216" s="96"/>
      <c r="F216" s="96"/>
      <c r="G216" s="96"/>
    </row>
    <row r="217">
      <c r="A217" s="95"/>
      <c r="B217" s="96"/>
      <c r="C217" s="96"/>
      <c r="D217" s="96"/>
      <c r="E217" s="96"/>
      <c r="F217" s="96"/>
      <c r="G217" s="96"/>
    </row>
    <row r="218">
      <c r="A218" s="95"/>
      <c r="B218" s="96"/>
      <c r="C218" s="96"/>
      <c r="D218" s="96"/>
      <c r="E218" s="96"/>
      <c r="F218" s="96"/>
      <c r="G218" s="96"/>
    </row>
    <row r="219">
      <c r="A219" s="95"/>
      <c r="B219" s="96"/>
      <c r="C219" s="96"/>
      <c r="D219" s="96"/>
      <c r="E219" s="96"/>
      <c r="F219" s="96"/>
      <c r="G219" s="96"/>
    </row>
    <row r="220">
      <c r="A220" s="95"/>
      <c r="B220" s="96"/>
      <c r="C220" s="96"/>
      <c r="D220" s="96"/>
      <c r="E220" s="96"/>
      <c r="F220" s="96"/>
      <c r="G220" s="96"/>
    </row>
    <row r="221">
      <c r="A221" s="95"/>
      <c r="B221" s="96"/>
      <c r="C221" s="96"/>
      <c r="D221" s="96"/>
      <c r="E221" s="96"/>
      <c r="F221" s="96"/>
      <c r="G221" s="96"/>
    </row>
    <row r="222">
      <c r="A222" s="95"/>
      <c r="B222" s="96"/>
      <c r="C222" s="96"/>
      <c r="D222" s="96"/>
      <c r="E222" s="96"/>
      <c r="F222" s="96"/>
      <c r="G222" s="96"/>
    </row>
    <row r="223">
      <c r="A223" s="95"/>
      <c r="B223" s="96"/>
      <c r="C223" s="96"/>
      <c r="D223" s="96"/>
      <c r="E223" s="96"/>
      <c r="F223" s="96"/>
      <c r="G223" s="96"/>
    </row>
    <row r="224">
      <c r="A224" s="95"/>
      <c r="B224" s="96"/>
      <c r="C224" s="96"/>
      <c r="D224" s="96"/>
      <c r="E224" s="96"/>
      <c r="F224" s="96"/>
      <c r="G224" s="96"/>
    </row>
    <row r="225">
      <c r="A225" s="95"/>
      <c r="B225" s="96"/>
      <c r="C225" s="96"/>
      <c r="D225" s="96"/>
      <c r="E225" s="96"/>
      <c r="F225" s="96"/>
      <c r="G225" s="96"/>
    </row>
    <row r="226">
      <c r="A226" s="95"/>
      <c r="B226" s="96"/>
      <c r="C226" s="96"/>
      <c r="D226" s="96"/>
      <c r="E226" s="96"/>
      <c r="F226" s="96"/>
      <c r="G226" s="96"/>
    </row>
    <row r="227">
      <c r="A227" s="95"/>
      <c r="B227" s="96"/>
      <c r="C227" s="96"/>
      <c r="D227" s="96"/>
      <c r="E227" s="96"/>
      <c r="F227" s="96"/>
      <c r="G227" s="96"/>
    </row>
    <row r="228">
      <c r="A228" s="95"/>
      <c r="B228" s="96"/>
      <c r="C228" s="96"/>
      <c r="D228" s="96"/>
      <c r="E228" s="96"/>
      <c r="F228" s="96"/>
      <c r="G228" s="96"/>
    </row>
    <row r="229">
      <c r="A229" s="95"/>
      <c r="B229" s="96"/>
      <c r="C229" s="96"/>
      <c r="D229" s="96"/>
      <c r="E229" s="96"/>
      <c r="F229" s="96"/>
      <c r="G229" s="96"/>
    </row>
    <row r="230">
      <c r="A230" s="95"/>
      <c r="B230" s="96"/>
      <c r="C230" s="96"/>
      <c r="D230" s="96"/>
      <c r="E230" s="96"/>
      <c r="F230" s="96"/>
      <c r="G230" s="96"/>
    </row>
    <row r="231">
      <c r="A231" s="95"/>
      <c r="B231" s="96"/>
      <c r="C231" s="96"/>
      <c r="D231" s="96"/>
      <c r="E231" s="96"/>
      <c r="F231" s="96"/>
      <c r="G231" s="96"/>
    </row>
    <row r="232">
      <c r="A232" s="95"/>
      <c r="B232" s="96"/>
      <c r="C232" s="96"/>
      <c r="D232" s="96"/>
      <c r="E232" s="96"/>
      <c r="F232" s="96"/>
      <c r="G232" s="96"/>
    </row>
    <row r="233">
      <c r="A233" s="95"/>
      <c r="B233" s="96"/>
      <c r="C233" s="96"/>
      <c r="D233" s="96"/>
      <c r="E233" s="96"/>
      <c r="F233" s="96"/>
      <c r="G233" s="96"/>
    </row>
    <row r="234">
      <c r="A234" s="95"/>
      <c r="B234" s="96"/>
      <c r="C234" s="96"/>
      <c r="D234" s="96"/>
      <c r="E234" s="96"/>
      <c r="F234" s="96"/>
      <c r="G234" s="96"/>
    </row>
    <row r="235">
      <c r="A235" s="95"/>
      <c r="B235" s="96"/>
      <c r="C235" s="96"/>
      <c r="D235" s="96"/>
      <c r="E235" s="96"/>
      <c r="F235" s="96"/>
      <c r="G235" s="96"/>
    </row>
    <row r="236">
      <c r="A236" s="95"/>
      <c r="B236" s="96"/>
      <c r="C236" s="96"/>
      <c r="D236" s="96"/>
      <c r="E236" s="96"/>
      <c r="F236" s="96"/>
      <c r="G236" s="96"/>
    </row>
    <row r="237">
      <c r="A237" s="95"/>
      <c r="B237" s="96"/>
      <c r="C237" s="96"/>
      <c r="D237" s="96"/>
      <c r="E237" s="96"/>
      <c r="F237" s="96"/>
      <c r="G237" s="96"/>
    </row>
    <row r="238">
      <c r="A238" s="95"/>
      <c r="B238" s="96"/>
      <c r="C238" s="96"/>
      <c r="D238" s="96"/>
      <c r="E238" s="96"/>
      <c r="F238" s="96"/>
      <c r="G238" s="96"/>
    </row>
    <row r="239">
      <c r="A239" s="95"/>
      <c r="B239" s="96"/>
      <c r="C239" s="96"/>
      <c r="D239" s="96"/>
      <c r="E239" s="96"/>
      <c r="F239" s="96"/>
      <c r="G239" s="96"/>
    </row>
    <row r="240">
      <c r="A240" s="95"/>
      <c r="B240" s="96"/>
      <c r="C240" s="96"/>
      <c r="D240" s="96"/>
      <c r="E240" s="96"/>
      <c r="F240" s="96"/>
      <c r="G240" s="96"/>
    </row>
    <row r="241">
      <c r="A241" s="95"/>
      <c r="B241" s="96"/>
      <c r="C241" s="96"/>
      <c r="D241" s="96"/>
      <c r="E241" s="96"/>
      <c r="F241" s="96"/>
      <c r="G241" s="96"/>
    </row>
    <row r="242">
      <c r="A242" s="95"/>
      <c r="B242" s="96"/>
      <c r="C242" s="96"/>
      <c r="D242" s="96"/>
      <c r="E242" s="96"/>
      <c r="F242" s="96"/>
      <c r="G242" s="96"/>
    </row>
    <row r="243">
      <c r="A243" s="95"/>
      <c r="B243" s="96"/>
      <c r="C243" s="96"/>
      <c r="D243" s="96"/>
      <c r="E243" s="96"/>
      <c r="F243" s="96"/>
      <c r="G243" s="96"/>
    </row>
    <row r="244">
      <c r="A244" s="95"/>
      <c r="B244" s="96"/>
      <c r="C244" s="96"/>
      <c r="D244" s="96"/>
      <c r="E244" s="96"/>
      <c r="F244" s="96"/>
      <c r="G244" s="96"/>
    </row>
    <row r="245">
      <c r="A245" s="95"/>
      <c r="B245" s="96"/>
      <c r="C245" s="96"/>
      <c r="D245" s="96"/>
      <c r="E245" s="96"/>
      <c r="F245" s="96"/>
      <c r="G245" s="96"/>
    </row>
    <row r="246">
      <c r="A246" s="95"/>
      <c r="B246" s="96"/>
      <c r="C246" s="96"/>
      <c r="D246" s="96"/>
      <c r="E246" s="96"/>
      <c r="F246" s="96"/>
      <c r="G246" s="96"/>
    </row>
    <row r="247">
      <c r="A247" s="95"/>
      <c r="B247" s="96"/>
      <c r="C247" s="96"/>
      <c r="D247" s="96"/>
      <c r="E247" s="96"/>
      <c r="F247" s="96"/>
      <c r="G247" s="96"/>
    </row>
    <row r="248">
      <c r="A248" s="95"/>
      <c r="B248" s="96"/>
      <c r="C248" s="96"/>
      <c r="D248" s="96"/>
      <c r="E248" s="96"/>
      <c r="F248" s="96"/>
      <c r="G248" s="96"/>
    </row>
    <row r="249">
      <c r="A249" s="95"/>
      <c r="B249" s="96"/>
      <c r="C249" s="96"/>
      <c r="D249" s="96"/>
      <c r="E249" s="96"/>
      <c r="F249" s="96"/>
      <c r="G249" s="96"/>
    </row>
    <row r="250">
      <c r="A250" s="95"/>
      <c r="B250" s="96"/>
      <c r="C250" s="96"/>
      <c r="D250" s="96"/>
      <c r="E250" s="96"/>
      <c r="F250" s="96"/>
      <c r="G250" s="96"/>
    </row>
    <row r="251">
      <c r="A251" s="95"/>
      <c r="B251" s="96"/>
      <c r="C251" s="96"/>
      <c r="D251" s="96"/>
      <c r="E251" s="96"/>
      <c r="F251" s="96"/>
      <c r="G251" s="96"/>
    </row>
    <row r="252">
      <c r="A252" s="95"/>
      <c r="B252" s="96"/>
      <c r="C252" s="96"/>
      <c r="D252" s="96"/>
      <c r="E252" s="96"/>
      <c r="F252" s="96"/>
      <c r="G252" s="96"/>
    </row>
    <row r="253">
      <c r="A253" s="95"/>
      <c r="B253" s="96"/>
      <c r="C253" s="96"/>
      <c r="D253" s="96"/>
      <c r="E253" s="96"/>
      <c r="F253" s="96"/>
      <c r="G253" s="96"/>
    </row>
    <row r="254">
      <c r="A254" s="95"/>
      <c r="B254" s="96"/>
      <c r="C254" s="96"/>
      <c r="D254" s="96"/>
      <c r="E254" s="96"/>
      <c r="F254" s="96"/>
      <c r="G254" s="96"/>
    </row>
    <row r="255">
      <c r="A255" s="95"/>
      <c r="B255" s="96"/>
      <c r="C255" s="96"/>
      <c r="D255" s="96"/>
      <c r="E255" s="96"/>
      <c r="F255" s="96"/>
      <c r="G255" s="96"/>
    </row>
    <row r="256">
      <c r="A256" s="95"/>
      <c r="B256" s="96"/>
      <c r="C256" s="96"/>
      <c r="D256" s="96"/>
      <c r="E256" s="96"/>
      <c r="F256" s="96"/>
      <c r="G256" s="96"/>
    </row>
    <row r="257">
      <c r="A257" s="95"/>
      <c r="B257" s="96"/>
      <c r="C257" s="96"/>
      <c r="D257" s="96"/>
      <c r="E257" s="96"/>
      <c r="F257" s="96"/>
      <c r="G257" s="96"/>
    </row>
    <row r="258">
      <c r="A258" s="95"/>
      <c r="B258" s="96"/>
      <c r="C258" s="96"/>
      <c r="D258" s="96"/>
      <c r="E258" s="96"/>
      <c r="F258" s="96"/>
      <c r="G258" s="96"/>
    </row>
    <row r="259">
      <c r="A259" s="95"/>
      <c r="B259" s="96"/>
      <c r="C259" s="96"/>
      <c r="D259" s="96"/>
      <c r="E259" s="96"/>
      <c r="F259" s="96"/>
      <c r="G259" s="96"/>
    </row>
    <row r="260">
      <c r="A260" s="95"/>
      <c r="B260" s="96"/>
      <c r="C260" s="96"/>
      <c r="D260" s="96"/>
      <c r="E260" s="96"/>
      <c r="F260" s="96"/>
      <c r="G260" s="96"/>
    </row>
    <row r="261">
      <c r="A261" s="95"/>
      <c r="B261" s="96"/>
      <c r="C261" s="96"/>
      <c r="D261" s="96"/>
      <c r="E261" s="96"/>
      <c r="F261" s="96"/>
      <c r="G261" s="96"/>
    </row>
    <row r="262">
      <c r="A262" s="95"/>
      <c r="B262" s="96"/>
      <c r="C262" s="96"/>
      <c r="D262" s="96"/>
      <c r="E262" s="96"/>
      <c r="F262" s="96"/>
      <c r="G262" s="96"/>
    </row>
    <row r="263">
      <c r="A263" s="95"/>
      <c r="B263" s="96"/>
      <c r="C263" s="96"/>
      <c r="D263" s="96"/>
      <c r="E263" s="96"/>
      <c r="F263" s="96"/>
      <c r="G263" s="96"/>
    </row>
    <row r="264">
      <c r="A264" s="95"/>
      <c r="B264" s="96"/>
      <c r="C264" s="96"/>
      <c r="D264" s="96"/>
      <c r="E264" s="96"/>
      <c r="F264" s="96"/>
      <c r="G264" s="96"/>
    </row>
    <row r="265">
      <c r="A265" s="95"/>
      <c r="B265" s="96"/>
      <c r="C265" s="96"/>
      <c r="D265" s="96"/>
      <c r="E265" s="96"/>
      <c r="F265" s="96"/>
      <c r="G265" s="96"/>
    </row>
    <row r="266">
      <c r="A266" s="95"/>
      <c r="B266" s="96"/>
      <c r="C266" s="96"/>
      <c r="D266" s="96"/>
      <c r="E266" s="96"/>
      <c r="F266" s="96"/>
      <c r="G266" s="96"/>
    </row>
    <row r="267">
      <c r="A267" s="95"/>
      <c r="B267" s="96"/>
      <c r="C267" s="96"/>
      <c r="D267" s="96"/>
      <c r="E267" s="96"/>
      <c r="F267" s="96"/>
      <c r="G267" s="96"/>
    </row>
    <row r="268">
      <c r="A268" s="95"/>
      <c r="B268" s="96"/>
      <c r="C268" s="96"/>
      <c r="D268" s="96"/>
      <c r="E268" s="96"/>
      <c r="F268" s="96"/>
      <c r="G268" s="96"/>
    </row>
    <row r="269">
      <c r="A269" s="95"/>
      <c r="B269" s="96"/>
      <c r="C269" s="96"/>
      <c r="D269" s="96"/>
      <c r="E269" s="96"/>
      <c r="F269" s="96"/>
      <c r="G269" s="96"/>
    </row>
    <row r="270">
      <c r="A270" s="95"/>
      <c r="B270" s="96"/>
      <c r="C270" s="96"/>
      <c r="D270" s="96"/>
      <c r="E270" s="96"/>
      <c r="F270" s="96"/>
      <c r="G270" s="96"/>
    </row>
    <row r="271">
      <c r="A271" s="95"/>
      <c r="B271" s="96"/>
      <c r="C271" s="96"/>
      <c r="D271" s="96"/>
      <c r="E271" s="96"/>
      <c r="F271" s="96"/>
      <c r="G271" s="96"/>
    </row>
    <row r="272">
      <c r="A272" s="95"/>
      <c r="B272" s="96"/>
      <c r="C272" s="96"/>
      <c r="D272" s="96"/>
      <c r="E272" s="96"/>
      <c r="F272" s="96"/>
      <c r="G272" s="96"/>
    </row>
    <row r="273">
      <c r="A273" s="95"/>
      <c r="B273" s="96"/>
      <c r="C273" s="96"/>
      <c r="D273" s="96"/>
      <c r="E273" s="96"/>
      <c r="F273" s="96"/>
      <c r="G273" s="96"/>
    </row>
    <row r="274">
      <c r="A274" s="95"/>
      <c r="B274" s="96"/>
      <c r="C274" s="96"/>
      <c r="D274" s="96"/>
      <c r="E274" s="96"/>
      <c r="F274" s="96"/>
      <c r="G274" s="96"/>
    </row>
    <row r="275">
      <c r="A275" s="95"/>
      <c r="B275" s="96"/>
      <c r="C275" s="96"/>
      <c r="D275" s="96"/>
      <c r="E275" s="96"/>
      <c r="F275" s="96"/>
      <c r="G275" s="96"/>
    </row>
    <row r="276">
      <c r="A276" s="95"/>
      <c r="B276" s="96"/>
      <c r="C276" s="96"/>
      <c r="D276" s="96"/>
      <c r="E276" s="96"/>
      <c r="F276" s="96"/>
      <c r="G276" s="96"/>
    </row>
    <row r="277">
      <c r="A277" s="95"/>
      <c r="B277" s="96"/>
      <c r="C277" s="96"/>
      <c r="D277" s="96"/>
      <c r="E277" s="96"/>
      <c r="F277" s="96"/>
      <c r="G277" s="96"/>
    </row>
    <row r="278">
      <c r="A278" s="95"/>
      <c r="B278" s="96"/>
      <c r="C278" s="96"/>
      <c r="D278" s="96"/>
      <c r="E278" s="96"/>
      <c r="F278" s="96"/>
      <c r="G278" s="96"/>
    </row>
    <row r="279">
      <c r="A279" s="95"/>
      <c r="B279" s="96"/>
      <c r="C279" s="96"/>
      <c r="D279" s="96"/>
      <c r="E279" s="96"/>
      <c r="F279" s="96"/>
      <c r="G279" s="96"/>
    </row>
    <row r="280">
      <c r="A280" s="95"/>
      <c r="B280" s="96"/>
      <c r="C280" s="96"/>
      <c r="D280" s="96"/>
      <c r="E280" s="96"/>
      <c r="F280" s="96"/>
      <c r="G280" s="96"/>
    </row>
    <row r="281">
      <c r="A281" s="95"/>
      <c r="B281" s="96"/>
      <c r="C281" s="96"/>
      <c r="D281" s="96"/>
      <c r="E281" s="96"/>
      <c r="F281" s="96"/>
      <c r="G281" s="96"/>
    </row>
    <row r="282">
      <c r="A282" s="95"/>
      <c r="B282" s="96"/>
      <c r="C282" s="96"/>
      <c r="D282" s="96"/>
      <c r="E282" s="96"/>
      <c r="F282" s="96"/>
      <c r="G282" s="96"/>
    </row>
    <row r="283">
      <c r="A283" s="95"/>
      <c r="B283" s="96"/>
      <c r="C283" s="96"/>
      <c r="D283" s="96"/>
      <c r="E283" s="96"/>
      <c r="F283" s="96"/>
      <c r="G283" s="96"/>
    </row>
    <row r="284">
      <c r="A284" s="95"/>
      <c r="B284" s="96"/>
      <c r="C284" s="96"/>
      <c r="D284" s="96"/>
      <c r="E284" s="96"/>
      <c r="F284" s="96"/>
      <c r="G284" s="96"/>
    </row>
    <row r="285">
      <c r="A285" s="95"/>
      <c r="B285" s="96"/>
      <c r="C285" s="96"/>
      <c r="D285" s="96"/>
      <c r="E285" s="96"/>
      <c r="F285" s="96"/>
      <c r="G285" s="96"/>
    </row>
    <row r="286">
      <c r="A286" s="95"/>
      <c r="B286" s="96"/>
      <c r="C286" s="96"/>
      <c r="D286" s="96"/>
      <c r="E286" s="96"/>
      <c r="F286" s="96"/>
      <c r="G286" s="96"/>
    </row>
    <row r="287">
      <c r="A287" s="95"/>
      <c r="B287" s="96"/>
      <c r="C287" s="96"/>
      <c r="D287" s="96"/>
      <c r="E287" s="96"/>
      <c r="F287" s="96"/>
      <c r="G287" s="96"/>
    </row>
    <row r="288">
      <c r="A288" s="95"/>
      <c r="B288" s="96"/>
      <c r="C288" s="96"/>
      <c r="D288" s="96"/>
      <c r="E288" s="96"/>
      <c r="F288" s="96"/>
      <c r="G288" s="96"/>
    </row>
    <row r="289">
      <c r="A289" s="95"/>
      <c r="B289" s="96"/>
      <c r="C289" s="96"/>
      <c r="D289" s="96"/>
      <c r="E289" s="96"/>
      <c r="F289" s="96"/>
      <c r="G289" s="96"/>
    </row>
    <row r="290">
      <c r="A290" s="95"/>
      <c r="B290" s="96"/>
      <c r="C290" s="96"/>
      <c r="D290" s="96"/>
      <c r="E290" s="96"/>
      <c r="F290" s="96"/>
      <c r="G290" s="96"/>
    </row>
    <row r="291">
      <c r="A291" s="95"/>
      <c r="B291" s="96"/>
      <c r="C291" s="96"/>
      <c r="D291" s="96"/>
      <c r="E291" s="96"/>
      <c r="F291" s="96"/>
      <c r="G291" s="96"/>
    </row>
    <row r="292">
      <c r="A292" s="95"/>
      <c r="B292" s="96"/>
      <c r="C292" s="96"/>
      <c r="D292" s="96"/>
      <c r="E292" s="96"/>
      <c r="F292" s="96"/>
      <c r="G292" s="96"/>
    </row>
    <row r="293">
      <c r="A293" s="95"/>
      <c r="B293" s="96"/>
      <c r="C293" s="96"/>
      <c r="D293" s="96"/>
      <c r="E293" s="96"/>
      <c r="F293" s="96"/>
      <c r="G293" s="96"/>
    </row>
    <row r="294">
      <c r="A294" s="95"/>
      <c r="B294" s="96"/>
      <c r="C294" s="96"/>
      <c r="D294" s="96"/>
      <c r="E294" s="96"/>
      <c r="F294" s="96"/>
      <c r="G294" s="96"/>
    </row>
    <row r="295">
      <c r="A295" s="95"/>
      <c r="B295" s="96"/>
      <c r="C295" s="96"/>
      <c r="D295" s="96"/>
      <c r="E295" s="96"/>
      <c r="F295" s="96"/>
      <c r="G295" s="96"/>
    </row>
    <row r="296">
      <c r="A296" s="95"/>
      <c r="B296" s="96"/>
      <c r="C296" s="96"/>
      <c r="D296" s="96"/>
      <c r="E296" s="96"/>
      <c r="F296" s="96"/>
      <c r="G296" s="96"/>
    </row>
    <row r="297">
      <c r="A297" s="95"/>
      <c r="B297" s="96"/>
      <c r="C297" s="96"/>
      <c r="D297" s="96"/>
      <c r="E297" s="96"/>
      <c r="F297" s="96"/>
      <c r="G297" s="96"/>
    </row>
    <row r="298">
      <c r="A298" s="95"/>
      <c r="B298" s="96"/>
      <c r="C298" s="96"/>
      <c r="D298" s="96"/>
      <c r="E298" s="96"/>
      <c r="F298" s="96"/>
      <c r="G298" s="96"/>
    </row>
    <row r="299">
      <c r="A299" s="95"/>
      <c r="B299" s="96"/>
      <c r="C299" s="96"/>
      <c r="D299" s="96"/>
      <c r="E299" s="96"/>
      <c r="F299" s="96"/>
      <c r="G299" s="96"/>
    </row>
    <row r="300">
      <c r="A300" s="95"/>
      <c r="B300" s="96"/>
      <c r="C300" s="96"/>
      <c r="D300" s="96"/>
      <c r="E300" s="96"/>
      <c r="F300" s="96"/>
      <c r="G300" s="96"/>
    </row>
    <row r="301">
      <c r="A301" s="95"/>
      <c r="B301" s="96"/>
      <c r="C301" s="96"/>
      <c r="D301" s="96"/>
      <c r="E301" s="96"/>
      <c r="F301" s="96"/>
      <c r="G301" s="96"/>
    </row>
    <row r="302">
      <c r="A302" s="95"/>
      <c r="B302" s="96"/>
      <c r="C302" s="96"/>
      <c r="D302" s="96"/>
      <c r="E302" s="96"/>
      <c r="F302" s="96"/>
      <c r="G302" s="96"/>
    </row>
    <row r="303">
      <c r="A303" s="95"/>
      <c r="B303" s="96"/>
      <c r="C303" s="96"/>
      <c r="D303" s="96"/>
      <c r="E303" s="96"/>
      <c r="F303" s="96"/>
      <c r="G303" s="96"/>
    </row>
    <row r="304">
      <c r="A304" s="95"/>
      <c r="B304" s="96"/>
      <c r="C304" s="96"/>
      <c r="D304" s="96"/>
      <c r="E304" s="96"/>
      <c r="F304" s="96"/>
      <c r="G304" s="96"/>
    </row>
    <row r="305">
      <c r="A305" s="95"/>
      <c r="B305" s="96"/>
      <c r="C305" s="96"/>
      <c r="D305" s="96"/>
      <c r="E305" s="96"/>
      <c r="F305" s="96"/>
      <c r="G305" s="96"/>
    </row>
    <row r="306">
      <c r="A306" s="95"/>
      <c r="B306" s="96"/>
      <c r="C306" s="96"/>
      <c r="D306" s="96"/>
      <c r="E306" s="96"/>
      <c r="F306" s="96"/>
      <c r="G306" s="96"/>
    </row>
    <row r="307">
      <c r="A307" s="95"/>
      <c r="B307" s="96"/>
      <c r="C307" s="96"/>
      <c r="D307" s="96"/>
      <c r="E307" s="96"/>
      <c r="F307" s="96"/>
      <c r="G307" s="96"/>
    </row>
    <row r="308">
      <c r="A308" s="95"/>
      <c r="B308" s="96"/>
      <c r="C308" s="96"/>
      <c r="D308" s="96"/>
      <c r="E308" s="96"/>
      <c r="F308" s="96"/>
      <c r="G308" s="96"/>
    </row>
    <row r="309">
      <c r="A309" s="95"/>
      <c r="B309" s="96"/>
      <c r="C309" s="96"/>
      <c r="D309" s="96"/>
      <c r="E309" s="96"/>
      <c r="F309" s="96"/>
      <c r="G309" s="96"/>
    </row>
    <row r="310">
      <c r="A310" s="95"/>
      <c r="B310" s="96"/>
      <c r="C310" s="96"/>
      <c r="D310" s="96"/>
      <c r="E310" s="96"/>
      <c r="F310" s="96"/>
      <c r="G310" s="96"/>
    </row>
    <row r="311">
      <c r="A311" s="95"/>
      <c r="B311" s="96"/>
      <c r="C311" s="96"/>
      <c r="D311" s="96"/>
      <c r="E311" s="96"/>
      <c r="F311" s="96"/>
      <c r="G311" s="96"/>
    </row>
    <row r="312">
      <c r="A312" s="95"/>
      <c r="B312" s="96"/>
      <c r="C312" s="96"/>
      <c r="D312" s="96"/>
      <c r="E312" s="96"/>
      <c r="F312" s="96"/>
      <c r="G312" s="96"/>
    </row>
    <row r="313">
      <c r="A313" s="95"/>
      <c r="B313" s="96"/>
      <c r="C313" s="96"/>
      <c r="D313" s="96"/>
      <c r="E313" s="96"/>
      <c r="F313" s="96"/>
      <c r="G313" s="96"/>
    </row>
    <row r="314">
      <c r="A314" s="95"/>
      <c r="B314" s="96"/>
      <c r="C314" s="96"/>
      <c r="D314" s="96"/>
      <c r="E314" s="96"/>
      <c r="F314" s="96"/>
      <c r="G314" s="96"/>
    </row>
    <row r="315">
      <c r="A315" s="95"/>
      <c r="B315" s="96"/>
      <c r="C315" s="96"/>
      <c r="D315" s="96"/>
      <c r="E315" s="96"/>
      <c r="F315" s="96"/>
      <c r="G315" s="96"/>
    </row>
    <row r="316">
      <c r="A316" s="95"/>
      <c r="B316" s="96"/>
      <c r="C316" s="96"/>
      <c r="D316" s="96"/>
      <c r="E316" s="96"/>
      <c r="F316" s="96"/>
      <c r="G316" s="96"/>
    </row>
    <row r="317">
      <c r="A317" s="95"/>
      <c r="B317" s="96"/>
      <c r="C317" s="96"/>
      <c r="D317" s="96"/>
      <c r="E317" s="96"/>
      <c r="F317" s="96"/>
      <c r="G317" s="96"/>
    </row>
    <row r="318">
      <c r="A318" s="95"/>
      <c r="B318" s="96"/>
      <c r="C318" s="96"/>
      <c r="D318" s="96"/>
      <c r="E318" s="96"/>
      <c r="F318" s="96"/>
      <c r="G318" s="96"/>
    </row>
    <row r="319">
      <c r="A319" s="95"/>
      <c r="B319" s="96"/>
      <c r="C319" s="96"/>
      <c r="D319" s="96"/>
      <c r="E319" s="96"/>
      <c r="F319" s="96"/>
      <c r="G319" s="96"/>
    </row>
    <row r="320">
      <c r="A320" s="95"/>
      <c r="B320" s="96"/>
      <c r="C320" s="96"/>
      <c r="D320" s="96"/>
      <c r="E320" s="96"/>
      <c r="F320" s="96"/>
      <c r="G320" s="96"/>
    </row>
    <row r="321">
      <c r="A321" s="95"/>
      <c r="B321" s="96"/>
      <c r="C321" s="96"/>
      <c r="D321" s="96"/>
      <c r="E321" s="96"/>
      <c r="F321" s="96"/>
      <c r="G321" s="96"/>
    </row>
    <row r="322">
      <c r="A322" s="95"/>
      <c r="B322" s="96"/>
      <c r="C322" s="96"/>
      <c r="D322" s="96"/>
      <c r="E322" s="96"/>
      <c r="F322" s="96"/>
      <c r="G322" s="96"/>
    </row>
    <row r="323">
      <c r="A323" s="95"/>
      <c r="B323" s="96"/>
      <c r="C323" s="96"/>
      <c r="D323" s="96"/>
      <c r="E323" s="96"/>
      <c r="F323" s="96"/>
      <c r="G323" s="96"/>
    </row>
    <row r="324">
      <c r="A324" s="95"/>
      <c r="B324" s="96"/>
      <c r="C324" s="96"/>
      <c r="D324" s="96"/>
      <c r="E324" s="96"/>
      <c r="F324" s="96"/>
      <c r="G324" s="96"/>
    </row>
    <row r="325">
      <c r="A325" s="95"/>
      <c r="B325" s="96"/>
      <c r="C325" s="96"/>
      <c r="D325" s="96"/>
      <c r="E325" s="96"/>
      <c r="F325" s="96"/>
      <c r="G325" s="96"/>
    </row>
    <row r="326">
      <c r="A326" s="95"/>
      <c r="B326" s="96"/>
      <c r="C326" s="96"/>
      <c r="D326" s="96"/>
      <c r="E326" s="96"/>
      <c r="F326" s="96"/>
      <c r="G326" s="96"/>
    </row>
    <row r="327">
      <c r="A327" s="95"/>
      <c r="B327" s="96"/>
      <c r="C327" s="96"/>
      <c r="D327" s="96"/>
      <c r="E327" s="96"/>
      <c r="F327" s="96"/>
      <c r="G327" s="96"/>
    </row>
    <row r="328">
      <c r="A328" s="95"/>
      <c r="B328" s="96"/>
      <c r="C328" s="96"/>
      <c r="D328" s="96"/>
      <c r="E328" s="96"/>
      <c r="F328" s="96"/>
      <c r="G328" s="96"/>
    </row>
    <row r="329">
      <c r="A329" s="95"/>
      <c r="B329" s="96"/>
      <c r="C329" s="96"/>
      <c r="D329" s="96"/>
      <c r="E329" s="96"/>
      <c r="F329" s="96"/>
      <c r="G329" s="96"/>
    </row>
    <row r="330">
      <c r="A330" s="95"/>
      <c r="B330" s="96"/>
      <c r="C330" s="96"/>
      <c r="D330" s="96"/>
      <c r="E330" s="96"/>
      <c r="F330" s="96"/>
      <c r="G330" s="96"/>
    </row>
    <row r="331">
      <c r="A331" s="95"/>
      <c r="B331" s="96"/>
      <c r="C331" s="96"/>
      <c r="D331" s="96"/>
      <c r="E331" s="96"/>
      <c r="F331" s="96"/>
      <c r="G331" s="96"/>
    </row>
    <row r="332">
      <c r="A332" s="95"/>
      <c r="B332" s="96"/>
      <c r="C332" s="96"/>
      <c r="D332" s="96"/>
      <c r="E332" s="96"/>
      <c r="F332" s="96"/>
      <c r="G332" s="96"/>
    </row>
    <row r="333">
      <c r="A333" s="95"/>
      <c r="B333" s="96"/>
      <c r="C333" s="96"/>
      <c r="D333" s="96"/>
      <c r="E333" s="96"/>
      <c r="F333" s="96"/>
      <c r="G333" s="96"/>
    </row>
    <row r="334">
      <c r="A334" s="95"/>
      <c r="B334" s="96"/>
      <c r="C334" s="96"/>
      <c r="D334" s="96"/>
      <c r="E334" s="96"/>
      <c r="F334" s="96"/>
      <c r="G334" s="96"/>
    </row>
    <row r="335">
      <c r="A335" s="95"/>
      <c r="B335" s="96"/>
      <c r="C335" s="96"/>
      <c r="D335" s="96"/>
      <c r="E335" s="96"/>
      <c r="F335" s="96"/>
      <c r="G335" s="96"/>
    </row>
    <row r="336">
      <c r="A336" s="95"/>
      <c r="B336" s="96"/>
      <c r="C336" s="96"/>
      <c r="D336" s="96"/>
      <c r="E336" s="96"/>
      <c r="F336" s="96"/>
      <c r="G336" s="96"/>
    </row>
    <row r="337">
      <c r="A337" s="95"/>
      <c r="B337" s="96"/>
      <c r="C337" s="96"/>
      <c r="D337" s="96"/>
      <c r="E337" s="96"/>
      <c r="F337" s="96"/>
      <c r="G337" s="96"/>
    </row>
    <row r="338">
      <c r="A338" s="95"/>
      <c r="B338" s="96"/>
      <c r="C338" s="96"/>
      <c r="D338" s="96"/>
      <c r="E338" s="96"/>
      <c r="F338" s="96"/>
      <c r="G338" s="96"/>
    </row>
    <row r="339">
      <c r="A339" s="95"/>
      <c r="B339" s="96"/>
      <c r="C339" s="96"/>
      <c r="D339" s="96"/>
      <c r="E339" s="96"/>
      <c r="F339" s="96"/>
      <c r="G339" s="96"/>
    </row>
    <row r="340">
      <c r="A340" s="95"/>
      <c r="B340" s="96"/>
      <c r="C340" s="96"/>
      <c r="D340" s="96"/>
      <c r="E340" s="96"/>
      <c r="F340" s="96"/>
      <c r="G340" s="96"/>
    </row>
    <row r="341">
      <c r="A341" s="95"/>
      <c r="B341" s="96"/>
      <c r="C341" s="96"/>
      <c r="D341" s="96"/>
      <c r="E341" s="96"/>
      <c r="F341" s="96"/>
      <c r="G341" s="96"/>
    </row>
    <row r="342">
      <c r="A342" s="95"/>
      <c r="B342" s="96"/>
      <c r="C342" s="96"/>
      <c r="D342" s="96"/>
      <c r="E342" s="96"/>
      <c r="F342" s="96"/>
      <c r="G342" s="96"/>
    </row>
    <row r="343">
      <c r="A343" s="95"/>
      <c r="B343" s="96"/>
      <c r="C343" s="96"/>
      <c r="D343" s="96"/>
      <c r="E343" s="96"/>
      <c r="F343" s="96"/>
      <c r="G343" s="96"/>
    </row>
    <row r="344">
      <c r="A344" s="95"/>
      <c r="B344" s="96"/>
      <c r="C344" s="96"/>
      <c r="D344" s="96"/>
      <c r="E344" s="96"/>
      <c r="F344" s="96"/>
      <c r="G344" s="96"/>
    </row>
    <row r="345">
      <c r="A345" s="95"/>
      <c r="B345" s="96"/>
      <c r="C345" s="96"/>
      <c r="D345" s="96"/>
      <c r="E345" s="96"/>
      <c r="F345" s="96"/>
      <c r="G345" s="96"/>
    </row>
    <row r="346">
      <c r="A346" s="95"/>
      <c r="B346" s="96"/>
      <c r="C346" s="96"/>
      <c r="D346" s="96"/>
      <c r="E346" s="96"/>
      <c r="F346" s="96"/>
      <c r="G346" s="96"/>
    </row>
    <row r="347">
      <c r="A347" s="95"/>
      <c r="B347" s="96"/>
      <c r="C347" s="96"/>
      <c r="D347" s="96"/>
      <c r="E347" s="96"/>
      <c r="F347" s="96"/>
      <c r="G347" s="96"/>
    </row>
    <row r="348">
      <c r="A348" s="95"/>
      <c r="B348" s="96"/>
      <c r="C348" s="96"/>
      <c r="D348" s="96"/>
      <c r="E348" s="96"/>
      <c r="F348" s="96"/>
      <c r="G348" s="96"/>
    </row>
    <row r="349">
      <c r="A349" s="95"/>
      <c r="B349" s="96"/>
      <c r="C349" s="96"/>
      <c r="D349" s="96"/>
      <c r="E349" s="96"/>
      <c r="F349" s="96"/>
      <c r="G349" s="96"/>
    </row>
    <row r="350">
      <c r="A350" s="95"/>
      <c r="B350" s="96"/>
      <c r="C350" s="96"/>
      <c r="D350" s="96"/>
      <c r="E350" s="96"/>
      <c r="F350" s="96"/>
      <c r="G350" s="96"/>
    </row>
    <row r="351">
      <c r="A351" s="95"/>
      <c r="B351" s="96"/>
      <c r="C351" s="96"/>
      <c r="D351" s="96"/>
      <c r="E351" s="96"/>
      <c r="F351" s="96"/>
      <c r="G351" s="96"/>
    </row>
    <row r="352">
      <c r="A352" s="95"/>
      <c r="B352" s="96"/>
      <c r="C352" s="96"/>
      <c r="D352" s="96"/>
      <c r="E352" s="96"/>
      <c r="F352" s="96"/>
      <c r="G352" s="96"/>
    </row>
    <row r="353">
      <c r="A353" s="95"/>
      <c r="B353" s="96"/>
      <c r="C353" s="96"/>
      <c r="D353" s="96"/>
      <c r="E353" s="96"/>
      <c r="F353" s="96"/>
      <c r="G353" s="96"/>
    </row>
    <row r="354">
      <c r="A354" s="95"/>
      <c r="B354" s="96"/>
      <c r="C354" s="96"/>
      <c r="D354" s="96"/>
      <c r="E354" s="96"/>
      <c r="F354" s="96"/>
      <c r="G354" s="96"/>
    </row>
    <row r="355">
      <c r="A355" s="95"/>
      <c r="B355" s="96"/>
      <c r="C355" s="96"/>
      <c r="D355" s="96"/>
      <c r="E355" s="96"/>
      <c r="F355" s="96"/>
      <c r="G355" s="96"/>
    </row>
    <row r="356">
      <c r="A356" s="95"/>
      <c r="B356" s="96"/>
      <c r="C356" s="96"/>
      <c r="D356" s="96"/>
      <c r="E356" s="96"/>
      <c r="F356" s="96"/>
      <c r="G356" s="96"/>
    </row>
    <row r="357">
      <c r="A357" s="95"/>
      <c r="B357" s="96"/>
      <c r="C357" s="96"/>
      <c r="D357" s="96"/>
      <c r="E357" s="96"/>
      <c r="F357" s="96"/>
      <c r="G357" s="96"/>
    </row>
    <row r="358">
      <c r="A358" s="95"/>
      <c r="B358" s="96"/>
      <c r="C358" s="96"/>
      <c r="D358" s="96"/>
      <c r="E358" s="96"/>
      <c r="F358" s="96"/>
      <c r="G358" s="96"/>
    </row>
    <row r="359">
      <c r="A359" s="95"/>
      <c r="B359" s="96"/>
      <c r="C359" s="96"/>
      <c r="D359" s="96"/>
      <c r="E359" s="96"/>
      <c r="F359" s="96"/>
      <c r="G359" s="96"/>
    </row>
    <row r="360">
      <c r="A360" s="95"/>
      <c r="B360" s="96"/>
      <c r="C360" s="96"/>
      <c r="D360" s="96"/>
      <c r="E360" s="96"/>
      <c r="F360" s="96"/>
      <c r="G360" s="96"/>
    </row>
    <row r="361">
      <c r="A361" s="95"/>
      <c r="B361" s="96"/>
      <c r="C361" s="96"/>
      <c r="D361" s="96"/>
      <c r="E361" s="96"/>
      <c r="F361" s="96"/>
      <c r="G361" s="96"/>
    </row>
    <row r="362">
      <c r="A362" s="95"/>
      <c r="B362" s="96"/>
      <c r="C362" s="96"/>
      <c r="D362" s="96"/>
      <c r="E362" s="96"/>
      <c r="F362" s="96"/>
      <c r="G362" s="96"/>
    </row>
    <row r="363">
      <c r="A363" s="95"/>
      <c r="B363" s="96"/>
      <c r="C363" s="96"/>
      <c r="D363" s="96"/>
      <c r="E363" s="96"/>
      <c r="F363" s="96"/>
      <c r="G363" s="96"/>
    </row>
    <row r="364">
      <c r="A364" s="95"/>
      <c r="B364" s="96"/>
      <c r="C364" s="96"/>
      <c r="D364" s="96"/>
      <c r="E364" s="96"/>
      <c r="F364" s="96"/>
      <c r="G364" s="96"/>
    </row>
    <row r="365">
      <c r="A365" s="95"/>
      <c r="B365" s="96"/>
      <c r="C365" s="96"/>
      <c r="D365" s="96"/>
      <c r="E365" s="96"/>
      <c r="F365" s="96"/>
      <c r="G365" s="96"/>
    </row>
    <row r="366">
      <c r="A366" s="95"/>
      <c r="B366" s="96"/>
      <c r="C366" s="96"/>
      <c r="D366" s="96"/>
      <c r="E366" s="96"/>
      <c r="F366" s="96"/>
      <c r="G366" s="96"/>
    </row>
    <row r="367">
      <c r="A367" s="95"/>
      <c r="B367" s="96"/>
      <c r="C367" s="96"/>
      <c r="D367" s="96"/>
      <c r="E367" s="96"/>
      <c r="F367" s="96"/>
      <c r="G367" s="96"/>
    </row>
    <row r="368">
      <c r="A368" s="95"/>
      <c r="B368" s="96"/>
      <c r="C368" s="96"/>
      <c r="D368" s="96"/>
      <c r="E368" s="96"/>
      <c r="F368" s="96"/>
      <c r="G368" s="96"/>
    </row>
    <row r="369">
      <c r="A369" s="95"/>
      <c r="B369" s="96"/>
      <c r="C369" s="96"/>
      <c r="D369" s="96"/>
      <c r="E369" s="96"/>
      <c r="F369" s="96"/>
      <c r="G369" s="96"/>
    </row>
    <row r="370">
      <c r="A370" s="95"/>
      <c r="B370" s="96"/>
      <c r="C370" s="96"/>
      <c r="D370" s="96"/>
      <c r="E370" s="96"/>
      <c r="F370" s="96"/>
      <c r="G370" s="96"/>
    </row>
    <row r="371">
      <c r="A371" s="95"/>
      <c r="B371" s="96"/>
      <c r="C371" s="96"/>
      <c r="D371" s="96"/>
      <c r="E371" s="96"/>
      <c r="F371" s="96"/>
      <c r="G371" s="96"/>
    </row>
    <row r="372">
      <c r="A372" s="95"/>
      <c r="B372" s="96"/>
      <c r="C372" s="96"/>
      <c r="D372" s="96"/>
      <c r="E372" s="96"/>
      <c r="F372" s="96"/>
      <c r="G372" s="96"/>
    </row>
    <row r="373">
      <c r="A373" s="95"/>
      <c r="B373" s="96"/>
      <c r="C373" s="96"/>
      <c r="D373" s="96"/>
      <c r="E373" s="96"/>
      <c r="F373" s="96"/>
      <c r="G373" s="96"/>
    </row>
    <row r="374">
      <c r="A374" s="95"/>
      <c r="B374" s="96"/>
      <c r="C374" s="96"/>
      <c r="D374" s="96"/>
      <c r="E374" s="96"/>
      <c r="F374" s="96"/>
      <c r="G374" s="96"/>
    </row>
    <row r="375">
      <c r="A375" s="95"/>
      <c r="B375" s="96"/>
      <c r="C375" s="96"/>
      <c r="D375" s="96"/>
      <c r="E375" s="96"/>
      <c r="F375" s="96"/>
      <c r="G375" s="96"/>
    </row>
    <row r="376">
      <c r="A376" s="95"/>
      <c r="B376" s="96"/>
      <c r="C376" s="96"/>
      <c r="D376" s="96"/>
      <c r="E376" s="96"/>
      <c r="F376" s="96"/>
      <c r="G376" s="96"/>
    </row>
    <row r="377">
      <c r="A377" s="95"/>
      <c r="B377" s="96"/>
      <c r="C377" s="96"/>
      <c r="D377" s="96"/>
      <c r="E377" s="96"/>
      <c r="F377" s="96"/>
      <c r="G377" s="96"/>
    </row>
    <row r="378">
      <c r="A378" s="95"/>
      <c r="B378" s="96"/>
      <c r="C378" s="96"/>
      <c r="D378" s="96"/>
      <c r="E378" s="96"/>
      <c r="F378" s="96"/>
      <c r="G378" s="96"/>
    </row>
    <row r="379">
      <c r="A379" s="95"/>
      <c r="B379" s="96"/>
      <c r="C379" s="96"/>
      <c r="D379" s="96"/>
      <c r="E379" s="96"/>
      <c r="F379" s="96"/>
      <c r="G379" s="96"/>
    </row>
    <row r="380">
      <c r="A380" s="95"/>
      <c r="B380" s="96"/>
      <c r="C380" s="96"/>
      <c r="D380" s="96"/>
      <c r="E380" s="96"/>
      <c r="F380" s="96"/>
      <c r="G380" s="96"/>
    </row>
    <row r="381">
      <c r="A381" s="95"/>
      <c r="B381" s="96"/>
      <c r="C381" s="96"/>
      <c r="D381" s="96"/>
      <c r="E381" s="96"/>
      <c r="F381" s="96"/>
      <c r="G381" s="96"/>
    </row>
    <row r="382">
      <c r="A382" s="95"/>
      <c r="B382" s="96"/>
      <c r="C382" s="96"/>
      <c r="D382" s="96"/>
      <c r="E382" s="96"/>
      <c r="F382" s="96"/>
      <c r="G382" s="96"/>
    </row>
    <row r="383">
      <c r="A383" s="95"/>
      <c r="B383" s="96"/>
      <c r="C383" s="96"/>
      <c r="D383" s="96"/>
      <c r="E383" s="96"/>
      <c r="F383" s="96"/>
      <c r="G383" s="96"/>
    </row>
    <row r="384">
      <c r="A384" s="95"/>
      <c r="B384" s="96"/>
      <c r="C384" s="96"/>
      <c r="D384" s="96"/>
      <c r="E384" s="96"/>
      <c r="F384" s="96"/>
      <c r="G384" s="96"/>
    </row>
    <row r="385">
      <c r="A385" s="95"/>
      <c r="B385" s="96"/>
      <c r="C385" s="96"/>
      <c r="D385" s="96"/>
      <c r="E385" s="96"/>
      <c r="F385" s="96"/>
      <c r="G385" s="96"/>
    </row>
    <row r="386">
      <c r="A386" s="95"/>
      <c r="B386" s="96"/>
      <c r="C386" s="96"/>
      <c r="D386" s="96"/>
      <c r="E386" s="96"/>
      <c r="F386" s="96"/>
      <c r="G386" s="96"/>
    </row>
    <row r="387">
      <c r="A387" s="95"/>
      <c r="B387" s="96"/>
      <c r="C387" s="96"/>
      <c r="D387" s="96"/>
      <c r="E387" s="96"/>
      <c r="F387" s="96"/>
      <c r="G387" s="96"/>
    </row>
    <row r="388">
      <c r="A388" s="95"/>
      <c r="B388" s="96"/>
      <c r="C388" s="96"/>
      <c r="D388" s="96"/>
      <c r="E388" s="96"/>
      <c r="F388" s="96"/>
      <c r="G388" s="96"/>
    </row>
    <row r="389">
      <c r="A389" s="95"/>
      <c r="B389" s="96"/>
      <c r="C389" s="96"/>
      <c r="D389" s="96"/>
      <c r="E389" s="96"/>
      <c r="F389" s="96"/>
      <c r="G389" s="96"/>
    </row>
    <row r="390">
      <c r="A390" s="95"/>
      <c r="B390" s="96"/>
      <c r="C390" s="96"/>
      <c r="D390" s="96"/>
      <c r="E390" s="96"/>
      <c r="F390" s="96"/>
      <c r="G390" s="96"/>
    </row>
    <row r="391">
      <c r="A391" s="95"/>
      <c r="B391" s="96"/>
      <c r="C391" s="96"/>
      <c r="D391" s="96"/>
      <c r="E391" s="96"/>
      <c r="F391" s="96"/>
      <c r="G391" s="96"/>
    </row>
    <row r="392">
      <c r="A392" s="95"/>
      <c r="B392" s="96"/>
      <c r="C392" s="96"/>
      <c r="D392" s="96"/>
      <c r="E392" s="96"/>
      <c r="F392" s="96"/>
      <c r="G392" s="96"/>
    </row>
    <row r="393">
      <c r="A393" s="95"/>
      <c r="B393" s="96"/>
      <c r="C393" s="96"/>
      <c r="D393" s="96"/>
      <c r="E393" s="96"/>
      <c r="F393" s="96"/>
      <c r="G393" s="96"/>
    </row>
    <row r="394">
      <c r="A394" s="95"/>
      <c r="B394" s="96"/>
      <c r="C394" s="96"/>
      <c r="D394" s="96"/>
      <c r="E394" s="96"/>
      <c r="F394" s="96"/>
      <c r="G394" s="96"/>
    </row>
    <row r="395">
      <c r="A395" s="95"/>
      <c r="B395" s="96"/>
      <c r="C395" s="96"/>
      <c r="D395" s="96"/>
      <c r="E395" s="96"/>
      <c r="F395" s="96"/>
      <c r="G395" s="96"/>
    </row>
    <row r="396">
      <c r="A396" s="95"/>
      <c r="B396" s="96"/>
      <c r="C396" s="96"/>
      <c r="D396" s="96"/>
      <c r="E396" s="96"/>
      <c r="F396" s="96"/>
      <c r="G396" s="96"/>
    </row>
    <row r="397">
      <c r="A397" s="95"/>
      <c r="B397" s="96"/>
      <c r="C397" s="96"/>
      <c r="D397" s="96"/>
      <c r="E397" s="96"/>
      <c r="F397" s="96"/>
      <c r="G397" s="96"/>
    </row>
    <row r="398">
      <c r="A398" s="95"/>
      <c r="B398" s="96"/>
      <c r="C398" s="96"/>
      <c r="D398" s="96"/>
      <c r="E398" s="96"/>
      <c r="F398" s="96"/>
      <c r="G398" s="96"/>
    </row>
    <row r="399">
      <c r="A399" s="95"/>
      <c r="B399" s="96"/>
      <c r="C399" s="96"/>
      <c r="D399" s="96"/>
      <c r="E399" s="96"/>
      <c r="F399" s="96"/>
      <c r="G399" s="96"/>
    </row>
    <row r="400">
      <c r="A400" s="95"/>
      <c r="B400" s="96"/>
      <c r="C400" s="96"/>
      <c r="D400" s="96"/>
      <c r="E400" s="96"/>
      <c r="F400" s="96"/>
      <c r="G400" s="96"/>
    </row>
    <row r="401">
      <c r="A401" s="95"/>
      <c r="B401" s="96"/>
      <c r="C401" s="96"/>
      <c r="D401" s="96"/>
      <c r="E401" s="96"/>
      <c r="F401" s="96"/>
      <c r="G401" s="96"/>
    </row>
    <row r="402">
      <c r="A402" s="95"/>
      <c r="B402" s="96"/>
      <c r="C402" s="96"/>
      <c r="D402" s="96"/>
      <c r="E402" s="96"/>
      <c r="F402" s="96"/>
      <c r="G402" s="96"/>
    </row>
    <row r="403">
      <c r="A403" s="95"/>
      <c r="B403" s="96"/>
      <c r="C403" s="96"/>
      <c r="D403" s="96"/>
      <c r="E403" s="96"/>
      <c r="F403" s="96"/>
      <c r="G403" s="96"/>
    </row>
    <row r="404">
      <c r="A404" s="95"/>
      <c r="B404" s="96"/>
      <c r="C404" s="96"/>
      <c r="D404" s="96"/>
      <c r="E404" s="96"/>
      <c r="F404" s="96"/>
      <c r="G404" s="96"/>
    </row>
    <row r="405">
      <c r="A405" s="95"/>
      <c r="B405" s="96"/>
      <c r="C405" s="96"/>
      <c r="D405" s="96"/>
      <c r="E405" s="96"/>
      <c r="F405" s="96"/>
      <c r="G405" s="96"/>
    </row>
    <row r="406">
      <c r="A406" s="95"/>
      <c r="B406" s="96"/>
      <c r="C406" s="96"/>
      <c r="D406" s="96"/>
      <c r="E406" s="96"/>
      <c r="F406" s="96"/>
      <c r="G406" s="96"/>
    </row>
    <row r="407">
      <c r="A407" s="95"/>
      <c r="B407" s="96"/>
      <c r="C407" s="96"/>
      <c r="D407" s="96"/>
      <c r="E407" s="96"/>
      <c r="F407" s="96"/>
      <c r="G407" s="96"/>
    </row>
    <row r="408">
      <c r="A408" s="95"/>
      <c r="B408" s="96"/>
      <c r="C408" s="96"/>
      <c r="D408" s="96"/>
      <c r="E408" s="96"/>
      <c r="F408" s="96"/>
      <c r="G408" s="96"/>
    </row>
    <row r="409">
      <c r="A409" s="95"/>
      <c r="B409" s="96"/>
      <c r="C409" s="96"/>
      <c r="D409" s="96"/>
      <c r="E409" s="96"/>
      <c r="F409" s="96"/>
      <c r="G409" s="96"/>
    </row>
    <row r="410">
      <c r="A410" s="95"/>
      <c r="B410" s="96"/>
      <c r="C410" s="96"/>
      <c r="D410" s="96"/>
      <c r="E410" s="96"/>
      <c r="F410" s="96"/>
      <c r="G410" s="96"/>
    </row>
    <row r="411">
      <c r="A411" s="95"/>
      <c r="B411" s="96"/>
      <c r="C411" s="96"/>
      <c r="D411" s="96"/>
      <c r="E411" s="96"/>
      <c r="F411" s="96"/>
      <c r="G411" s="96"/>
    </row>
    <row r="412">
      <c r="A412" s="95"/>
      <c r="B412" s="96"/>
      <c r="C412" s="96"/>
      <c r="D412" s="96"/>
      <c r="E412" s="96"/>
      <c r="F412" s="96"/>
      <c r="G412" s="96"/>
    </row>
    <row r="413">
      <c r="A413" s="95"/>
      <c r="B413" s="96"/>
      <c r="C413" s="96"/>
      <c r="D413" s="96"/>
      <c r="E413" s="96"/>
      <c r="F413" s="96"/>
      <c r="G413" s="96"/>
    </row>
    <row r="414">
      <c r="A414" s="95"/>
      <c r="B414" s="96"/>
      <c r="C414" s="96"/>
      <c r="D414" s="96"/>
      <c r="E414" s="96"/>
      <c r="F414" s="96"/>
      <c r="G414" s="96"/>
    </row>
    <row r="415">
      <c r="A415" s="95"/>
      <c r="B415" s="96"/>
      <c r="C415" s="96"/>
      <c r="D415" s="96"/>
      <c r="E415" s="96"/>
      <c r="F415" s="96"/>
      <c r="G415" s="96"/>
    </row>
    <row r="416">
      <c r="A416" s="95"/>
      <c r="B416" s="96"/>
      <c r="C416" s="96"/>
      <c r="D416" s="96"/>
      <c r="E416" s="96"/>
      <c r="F416" s="96"/>
      <c r="G416" s="96"/>
    </row>
    <row r="417">
      <c r="A417" s="95"/>
      <c r="B417" s="96"/>
      <c r="C417" s="96"/>
      <c r="D417" s="96"/>
      <c r="E417" s="96"/>
      <c r="F417" s="96"/>
      <c r="G417" s="96"/>
    </row>
    <row r="418">
      <c r="A418" s="95"/>
      <c r="B418" s="96"/>
      <c r="C418" s="96"/>
      <c r="D418" s="96"/>
      <c r="E418" s="96"/>
      <c r="F418" s="96"/>
      <c r="G418" s="96"/>
    </row>
    <row r="419">
      <c r="A419" s="95"/>
      <c r="B419" s="96"/>
      <c r="C419" s="96"/>
      <c r="D419" s="96"/>
      <c r="E419" s="96"/>
      <c r="F419" s="96"/>
      <c r="G419" s="96"/>
    </row>
    <row r="420">
      <c r="A420" s="95"/>
      <c r="B420" s="96"/>
      <c r="C420" s="96"/>
      <c r="D420" s="96"/>
      <c r="E420" s="96"/>
      <c r="F420" s="96"/>
      <c r="G420" s="96"/>
    </row>
    <row r="421">
      <c r="A421" s="95"/>
      <c r="B421" s="96"/>
      <c r="C421" s="96"/>
      <c r="D421" s="96"/>
      <c r="E421" s="96"/>
      <c r="F421" s="96"/>
      <c r="G421" s="96"/>
    </row>
    <row r="422">
      <c r="A422" s="95"/>
      <c r="B422" s="96"/>
      <c r="C422" s="96"/>
      <c r="D422" s="96"/>
      <c r="E422" s="96"/>
      <c r="F422" s="96"/>
      <c r="G422" s="96"/>
    </row>
    <row r="423">
      <c r="A423" s="95"/>
      <c r="B423" s="96"/>
      <c r="C423" s="96"/>
      <c r="D423" s="96"/>
      <c r="E423" s="96"/>
      <c r="F423" s="96"/>
      <c r="G423" s="96"/>
    </row>
    <row r="424">
      <c r="A424" s="95"/>
      <c r="B424" s="96"/>
      <c r="C424" s="96"/>
      <c r="D424" s="96"/>
      <c r="E424" s="96"/>
      <c r="F424" s="96"/>
      <c r="G424" s="96"/>
    </row>
    <row r="425">
      <c r="A425" s="95"/>
      <c r="B425" s="96"/>
      <c r="C425" s="96"/>
      <c r="D425" s="96"/>
      <c r="E425" s="96"/>
      <c r="F425" s="96"/>
      <c r="G425" s="96"/>
    </row>
    <row r="426">
      <c r="A426" s="95"/>
      <c r="B426" s="96"/>
      <c r="C426" s="96"/>
      <c r="D426" s="96"/>
      <c r="E426" s="96"/>
      <c r="F426" s="96"/>
      <c r="G426" s="96"/>
    </row>
    <row r="427">
      <c r="A427" s="95"/>
      <c r="B427" s="96"/>
      <c r="C427" s="96"/>
      <c r="D427" s="96"/>
      <c r="E427" s="96"/>
      <c r="F427" s="96"/>
      <c r="G427" s="96"/>
    </row>
    <row r="428">
      <c r="A428" s="95"/>
      <c r="B428" s="96"/>
      <c r="C428" s="96"/>
      <c r="D428" s="96"/>
      <c r="E428" s="96"/>
      <c r="F428" s="96"/>
      <c r="G428" s="96"/>
    </row>
    <row r="429">
      <c r="A429" s="95"/>
      <c r="B429" s="96"/>
      <c r="C429" s="96"/>
      <c r="D429" s="96"/>
      <c r="E429" s="96"/>
      <c r="F429" s="96"/>
      <c r="G429" s="96"/>
    </row>
    <row r="430">
      <c r="A430" s="95"/>
      <c r="B430" s="96"/>
      <c r="C430" s="96"/>
      <c r="D430" s="96"/>
      <c r="E430" s="96"/>
      <c r="F430" s="96"/>
      <c r="G430" s="96"/>
    </row>
    <row r="431">
      <c r="A431" s="95"/>
      <c r="B431" s="96"/>
      <c r="C431" s="96"/>
      <c r="D431" s="96"/>
      <c r="E431" s="96"/>
      <c r="F431" s="96"/>
      <c r="G431" s="96"/>
    </row>
    <row r="432">
      <c r="A432" s="95"/>
      <c r="B432" s="96"/>
      <c r="C432" s="96"/>
      <c r="D432" s="96"/>
      <c r="E432" s="96"/>
      <c r="F432" s="96"/>
      <c r="G432" s="96"/>
    </row>
    <row r="433">
      <c r="A433" s="95"/>
      <c r="B433" s="96"/>
      <c r="C433" s="96"/>
      <c r="D433" s="96"/>
      <c r="E433" s="96"/>
      <c r="F433" s="96"/>
      <c r="G433" s="96"/>
    </row>
    <row r="434">
      <c r="A434" s="95"/>
      <c r="B434" s="96"/>
      <c r="C434" s="96"/>
      <c r="D434" s="96"/>
      <c r="E434" s="96"/>
      <c r="F434" s="96"/>
      <c r="G434" s="96"/>
    </row>
    <row r="435">
      <c r="A435" s="95"/>
      <c r="B435" s="96"/>
      <c r="C435" s="96"/>
      <c r="D435" s="96"/>
      <c r="E435" s="96"/>
      <c r="F435" s="96"/>
      <c r="G435" s="96"/>
    </row>
    <row r="436">
      <c r="A436" s="95"/>
      <c r="B436" s="96"/>
      <c r="C436" s="96"/>
      <c r="D436" s="96"/>
      <c r="E436" s="96"/>
      <c r="F436" s="96"/>
      <c r="G436" s="96"/>
    </row>
    <row r="437">
      <c r="A437" s="95"/>
      <c r="B437" s="96"/>
      <c r="C437" s="96"/>
      <c r="D437" s="96"/>
      <c r="E437" s="96"/>
      <c r="F437" s="96"/>
      <c r="G437" s="96"/>
    </row>
    <row r="438">
      <c r="A438" s="95"/>
      <c r="B438" s="96"/>
      <c r="C438" s="96"/>
      <c r="D438" s="96"/>
      <c r="E438" s="96"/>
      <c r="F438" s="96"/>
      <c r="G438" s="96"/>
    </row>
    <row r="439">
      <c r="A439" s="95"/>
      <c r="B439" s="96"/>
      <c r="C439" s="96"/>
      <c r="D439" s="96"/>
      <c r="E439" s="96"/>
      <c r="F439" s="96"/>
      <c r="G439" s="96"/>
    </row>
    <row r="440">
      <c r="A440" s="95"/>
      <c r="B440" s="96"/>
      <c r="C440" s="96"/>
      <c r="D440" s="96"/>
      <c r="E440" s="96"/>
      <c r="F440" s="96"/>
      <c r="G440" s="96"/>
    </row>
    <row r="441">
      <c r="A441" s="95"/>
      <c r="B441" s="96"/>
      <c r="C441" s="96"/>
      <c r="D441" s="96"/>
      <c r="E441" s="96"/>
      <c r="F441" s="96"/>
      <c r="G441" s="96"/>
    </row>
    <row r="442">
      <c r="A442" s="95"/>
      <c r="B442" s="96"/>
      <c r="C442" s="96"/>
      <c r="D442" s="96"/>
      <c r="E442" s="96"/>
      <c r="F442" s="96"/>
      <c r="G442" s="96"/>
    </row>
    <row r="443">
      <c r="A443" s="95"/>
      <c r="B443" s="96"/>
      <c r="C443" s="96"/>
      <c r="D443" s="96"/>
      <c r="E443" s="96"/>
      <c r="F443" s="96"/>
      <c r="G443" s="96"/>
    </row>
    <row r="444">
      <c r="A444" s="95"/>
      <c r="B444" s="96"/>
      <c r="C444" s="96"/>
      <c r="D444" s="96"/>
      <c r="E444" s="96"/>
      <c r="F444" s="96"/>
      <c r="G444" s="96"/>
    </row>
    <row r="445">
      <c r="A445" s="95"/>
      <c r="B445" s="96"/>
      <c r="C445" s="96"/>
      <c r="D445" s="96"/>
      <c r="E445" s="96"/>
      <c r="F445" s="96"/>
      <c r="G445" s="96"/>
    </row>
    <row r="446">
      <c r="A446" s="95"/>
      <c r="B446" s="96"/>
      <c r="C446" s="96"/>
      <c r="D446" s="96"/>
      <c r="E446" s="96"/>
      <c r="F446" s="96"/>
      <c r="G446" s="96"/>
    </row>
    <row r="447">
      <c r="A447" s="95"/>
      <c r="B447" s="96"/>
      <c r="C447" s="96"/>
      <c r="D447" s="96"/>
      <c r="E447" s="96"/>
      <c r="F447" s="96"/>
      <c r="G447" s="96"/>
    </row>
    <row r="448">
      <c r="A448" s="95"/>
      <c r="B448" s="96"/>
      <c r="C448" s="96"/>
      <c r="D448" s="96"/>
      <c r="E448" s="96"/>
      <c r="F448" s="96"/>
      <c r="G448" s="96"/>
    </row>
    <row r="449">
      <c r="A449" s="95"/>
      <c r="B449" s="96"/>
      <c r="C449" s="96"/>
      <c r="D449" s="96"/>
      <c r="E449" s="96"/>
      <c r="F449" s="96"/>
      <c r="G449" s="96"/>
    </row>
    <row r="450">
      <c r="A450" s="95"/>
      <c r="B450" s="96"/>
      <c r="C450" s="96"/>
      <c r="D450" s="96"/>
      <c r="E450" s="96"/>
      <c r="F450" s="96"/>
      <c r="G450" s="96"/>
    </row>
    <row r="451">
      <c r="A451" s="95"/>
      <c r="B451" s="96"/>
      <c r="C451" s="96"/>
      <c r="D451" s="96"/>
      <c r="E451" s="96"/>
      <c r="F451" s="96"/>
      <c r="G451" s="96"/>
    </row>
    <row r="452">
      <c r="A452" s="95"/>
      <c r="B452" s="96"/>
      <c r="C452" s="96"/>
      <c r="D452" s="96"/>
      <c r="E452" s="96"/>
      <c r="F452" s="96"/>
      <c r="G452" s="96"/>
    </row>
    <row r="453">
      <c r="A453" s="95"/>
      <c r="B453" s="96"/>
      <c r="C453" s="96"/>
      <c r="D453" s="96"/>
      <c r="E453" s="96"/>
      <c r="F453" s="96"/>
      <c r="G453" s="96"/>
    </row>
    <row r="454">
      <c r="A454" s="95"/>
      <c r="B454" s="96"/>
      <c r="C454" s="96"/>
      <c r="D454" s="96"/>
      <c r="E454" s="96"/>
      <c r="F454" s="96"/>
      <c r="G454" s="96"/>
    </row>
    <row r="455">
      <c r="A455" s="95"/>
      <c r="B455" s="96"/>
      <c r="C455" s="96"/>
      <c r="D455" s="96"/>
      <c r="E455" s="96"/>
      <c r="F455" s="96"/>
      <c r="G455" s="96"/>
    </row>
    <row r="456">
      <c r="A456" s="95"/>
      <c r="B456" s="96"/>
      <c r="C456" s="96"/>
      <c r="D456" s="96"/>
      <c r="E456" s="96"/>
      <c r="F456" s="96"/>
      <c r="G456" s="96"/>
    </row>
    <row r="457">
      <c r="A457" s="95"/>
      <c r="B457" s="96"/>
      <c r="C457" s="96"/>
      <c r="D457" s="96"/>
      <c r="E457" s="96"/>
      <c r="F457" s="96"/>
      <c r="G457" s="96"/>
    </row>
    <row r="458">
      <c r="A458" s="95"/>
      <c r="B458" s="96"/>
      <c r="C458" s="96"/>
      <c r="D458" s="96"/>
      <c r="E458" s="96"/>
      <c r="F458" s="96"/>
      <c r="G458" s="96"/>
    </row>
    <row r="459">
      <c r="A459" s="95"/>
      <c r="B459" s="96"/>
      <c r="C459" s="96"/>
      <c r="D459" s="96"/>
      <c r="E459" s="96"/>
      <c r="F459" s="96"/>
      <c r="G459" s="96"/>
    </row>
    <row r="460">
      <c r="A460" s="95"/>
      <c r="B460" s="96"/>
      <c r="C460" s="96"/>
      <c r="D460" s="96"/>
      <c r="E460" s="96"/>
      <c r="F460" s="96"/>
      <c r="G460" s="96"/>
    </row>
    <row r="461">
      <c r="A461" s="95"/>
      <c r="B461" s="96"/>
      <c r="C461" s="96"/>
      <c r="D461" s="96"/>
      <c r="E461" s="96"/>
      <c r="F461" s="96"/>
      <c r="G461" s="96"/>
    </row>
    <row r="462">
      <c r="A462" s="95"/>
      <c r="B462" s="96"/>
      <c r="C462" s="96"/>
      <c r="D462" s="96"/>
      <c r="E462" s="96"/>
      <c r="F462" s="96"/>
      <c r="G462" s="96"/>
    </row>
    <row r="463">
      <c r="A463" s="95"/>
      <c r="B463" s="96"/>
      <c r="C463" s="96"/>
      <c r="D463" s="96"/>
      <c r="E463" s="96"/>
      <c r="F463" s="96"/>
      <c r="G463" s="96"/>
    </row>
    <row r="464">
      <c r="A464" s="95"/>
      <c r="B464" s="96"/>
      <c r="C464" s="96"/>
      <c r="D464" s="96"/>
      <c r="E464" s="96"/>
      <c r="F464" s="96"/>
      <c r="G464" s="96"/>
    </row>
    <row r="465">
      <c r="A465" s="95"/>
      <c r="B465" s="96"/>
      <c r="C465" s="96"/>
      <c r="D465" s="96"/>
      <c r="E465" s="96"/>
      <c r="F465" s="96"/>
      <c r="G465" s="96"/>
    </row>
    <row r="466">
      <c r="A466" s="95"/>
      <c r="B466" s="96"/>
      <c r="C466" s="96"/>
      <c r="D466" s="96"/>
      <c r="E466" s="96"/>
      <c r="F466" s="96"/>
      <c r="G466" s="96"/>
    </row>
    <row r="467">
      <c r="A467" s="95"/>
      <c r="B467" s="96"/>
      <c r="C467" s="96"/>
      <c r="D467" s="96"/>
      <c r="E467" s="96"/>
      <c r="F467" s="96"/>
      <c r="G467" s="96"/>
    </row>
    <row r="468">
      <c r="A468" s="95"/>
      <c r="B468" s="96"/>
      <c r="C468" s="96"/>
      <c r="D468" s="96"/>
      <c r="E468" s="96"/>
      <c r="F468" s="96"/>
      <c r="G468" s="96"/>
    </row>
    <row r="469">
      <c r="A469" s="95"/>
      <c r="B469" s="96"/>
      <c r="C469" s="96"/>
      <c r="D469" s="96"/>
      <c r="E469" s="96"/>
      <c r="F469" s="96"/>
      <c r="G469" s="96"/>
    </row>
    <row r="470">
      <c r="A470" s="95"/>
      <c r="B470" s="96"/>
      <c r="C470" s="96"/>
      <c r="D470" s="96"/>
      <c r="E470" s="96"/>
      <c r="F470" s="96"/>
      <c r="G470" s="96"/>
    </row>
    <row r="471">
      <c r="A471" s="95"/>
      <c r="B471" s="96"/>
      <c r="C471" s="96"/>
      <c r="D471" s="96"/>
      <c r="E471" s="96"/>
      <c r="F471" s="96"/>
      <c r="G471" s="96"/>
    </row>
    <row r="472">
      <c r="A472" s="95"/>
      <c r="B472" s="96"/>
      <c r="C472" s="96"/>
      <c r="D472" s="96"/>
      <c r="E472" s="96"/>
      <c r="F472" s="96"/>
      <c r="G472" s="96"/>
    </row>
    <row r="473">
      <c r="A473" s="95"/>
      <c r="B473" s="96"/>
      <c r="C473" s="96"/>
      <c r="D473" s="96"/>
      <c r="E473" s="96"/>
      <c r="F473" s="96"/>
      <c r="G473" s="96"/>
    </row>
    <row r="474">
      <c r="A474" s="95"/>
      <c r="B474" s="96"/>
      <c r="C474" s="96"/>
      <c r="D474" s="96"/>
      <c r="E474" s="96"/>
      <c r="F474" s="96"/>
      <c r="G474" s="96"/>
    </row>
    <row r="475">
      <c r="A475" s="95"/>
      <c r="B475" s="96"/>
      <c r="C475" s="96"/>
      <c r="D475" s="96"/>
      <c r="E475" s="96"/>
      <c r="F475" s="96"/>
      <c r="G475" s="96"/>
    </row>
    <row r="476">
      <c r="A476" s="95"/>
      <c r="B476" s="96"/>
      <c r="C476" s="96"/>
      <c r="D476" s="96"/>
      <c r="E476" s="96"/>
      <c r="F476" s="96"/>
      <c r="G476" s="96"/>
    </row>
    <row r="477">
      <c r="A477" s="95"/>
      <c r="B477" s="96"/>
      <c r="C477" s="96"/>
      <c r="D477" s="96"/>
      <c r="E477" s="96"/>
      <c r="F477" s="96"/>
      <c r="G477" s="96"/>
    </row>
    <row r="478">
      <c r="A478" s="95"/>
      <c r="B478" s="96"/>
      <c r="C478" s="96"/>
      <c r="D478" s="96"/>
      <c r="E478" s="96"/>
      <c r="F478" s="96"/>
      <c r="G478" s="96"/>
    </row>
    <row r="479">
      <c r="A479" s="95"/>
      <c r="B479" s="96"/>
      <c r="C479" s="96"/>
      <c r="D479" s="96"/>
      <c r="E479" s="96"/>
      <c r="F479" s="96"/>
      <c r="G479" s="96"/>
    </row>
    <row r="480">
      <c r="A480" s="95"/>
      <c r="B480" s="96"/>
      <c r="C480" s="96"/>
      <c r="D480" s="96"/>
      <c r="E480" s="96"/>
      <c r="F480" s="96"/>
      <c r="G480" s="96"/>
    </row>
    <row r="481">
      <c r="A481" s="95"/>
      <c r="B481" s="96"/>
      <c r="C481" s="96"/>
      <c r="D481" s="96"/>
      <c r="E481" s="96"/>
      <c r="F481" s="96"/>
      <c r="G481" s="96"/>
    </row>
    <row r="482">
      <c r="A482" s="95"/>
      <c r="B482" s="96"/>
      <c r="C482" s="96"/>
      <c r="D482" s="96"/>
      <c r="E482" s="96"/>
      <c r="F482" s="96"/>
      <c r="G482" s="96"/>
    </row>
    <row r="483">
      <c r="A483" s="95"/>
      <c r="B483" s="96"/>
      <c r="C483" s="96"/>
      <c r="D483" s="96"/>
      <c r="E483" s="96"/>
      <c r="F483" s="96"/>
      <c r="G483" s="96"/>
    </row>
    <row r="484">
      <c r="A484" s="95"/>
      <c r="B484" s="96"/>
      <c r="C484" s="96"/>
      <c r="D484" s="96"/>
      <c r="E484" s="96"/>
      <c r="F484" s="96"/>
      <c r="G484" s="96"/>
    </row>
    <row r="485">
      <c r="A485" s="95"/>
      <c r="B485" s="96"/>
      <c r="C485" s="96"/>
      <c r="D485" s="96"/>
      <c r="E485" s="96"/>
      <c r="F485" s="96"/>
      <c r="G485" s="96"/>
    </row>
    <row r="486">
      <c r="A486" s="95"/>
      <c r="B486" s="96"/>
      <c r="C486" s="96"/>
      <c r="D486" s="96"/>
      <c r="E486" s="96"/>
      <c r="F486" s="96"/>
      <c r="G486" s="96"/>
    </row>
    <row r="487">
      <c r="A487" s="95"/>
      <c r="B487" s="96"/>
      <c r="C487" s="96"/>
      <c r="D487" s="96"/>
      <c r="E487" s="96"/>
      <c r="F487" s="96"/>
      <c r="G487" s="96"/>
    </row>
    <row r="488">
      <c r="A488" s="95"/>
      <c r="B488" s="96"/>
      <c r="C488" s="96"/>
      <c r="D488" s="96"/>
      <c r="E488" s="96"/>
      <c r="F488" s="96"/>
      <c r="G488" s="96"/>
    </row>
    <row r="489">
      <c r="A489" s="95"/>
      <c r="B489" s="96"/>
      <c r="C489" s="96"/>
      <c r="D489" s="96"/>
      <c r="E489" s="96"/>
      <c r="F489" s="96"/>
      <c r="G489" s="96"/>
    </row>
    <row r="490">
      <c r="A490" s="95"/>
      <c r="B490" s="96"/>
      <c r="C490" s="96"/>
      <c r="D490" s="96"/>
      <c r="E490" s="96"/>
      <c r="F490" s="96"/>
      <c r="G490" s="96"/>
    </row>
    <row r="491">
      <c r="A491" s="95"/>
      <c r="B491" s="96"/>
      <c r="C491" s="96"/>
      <c r="D491" s="96"/>
      <c r="E491" s="96"/>
      <c r="F491" s="96"/>
      <c r="G491" s="96"/>
    </row>
    <row r="492">
      <c r="A492" s="95"/>
      <c r="B492" s="96"/>
      <c r="C492" s="96"/>
      <c r="D492" s="96"/>
      <c r="E492" s="96"/>
      <c r="F492" s="96"/>
      <c r="G492" s="96"/>
    </row>
    <row r="493">
      <c r="A493" s="95"/>
      <c r="B493" s="96"/>
      <c r="C493" s="96"/>
      <c r="D493" s="96"/>
      <c r="E493" s="96"/>
      <c r="F493" s="96"/>
      <c r="G493" s="96"/>
    </row>
    <row r="494">
      <c r="A494" s="95"/>
      <c r="B494" s="96"/>
      <c r="C494" s="96"/>
      <c r="D494" s="96"/>
      <c r="E494" s="96"/>
      <c r="F494" s="96"/>
      <c r="G494" s="96"/>
    </row>
    <row r="495">
      <c r="A495" s="95"/>
      <c r="B495" s="96"/>
      <c r="C495" s="96"/>
      <c r="D495" s="96"/>
      <c r="E495" s="96"/>
      <c r="F495" s="96"/>
      <c r="G495" s="96"/>
    </row>
    <row r="496">
      <c r="A496" s="95"/>
      <c r="B496" s="96"/>
      <c r="C496" s="96"/>
      <c r="D496" s="96"/>
      <c r="E496" s="96"/>
      <c r="F496" s="96"/>
      <c r="G496" s="96"/>
    </row>
    <row r="497">
      <c r="A497" s="95"/>
      <c r="B497" s="96"/>
      <c r="C497" s="96"/>
      <c r="D497" s="96"/>
      <c r="E497" s="96"/>
      <c r="F497" s="96"/>
      <c r="G497" s="96"/>
    </row>
    <row r="498">
      <c r="A498" s="95"/>
      <c r="B498" s="96"/>
      <c r="C498" s="96"/>
      <c r="D498" s="96"/>
      <c r="E498" s="96"/>
      <c r="F498" s="96"/>
      <c r="G498" s="96"/>
    </row>
    <row r="499">
      <c r="A499" s="95"/>
      <c r="B499" s="96"/>
      <c r="C499" s="96"/>
      <c r="D499" s="96"/>
      <c r="E499" s="96"/>
      <c r="F499" s="96"/>
      <c r="G499" s="96"/>
    </row>
    <row r="500">
      <c r="A500" s="95"/>
      <c r="B500" s="96"/>
      <c r="C500" s="96"/>
      <c r="D500" s="96"/>
      <c r="E500" s="96"/>
      <c r="F500" s="96"/>
      <c r="G500" s="96"/>
    </row>
    <row r="501">
      <c r="A501" s="95"/>
      <c r="B501" s="96"/>
      <c r="C501" s="96"/>
      <c r="D501" s="96"/>
      <c r="E501" s="96"/>
      <c r="F501" s="96"/>
      <c r="G501" s="96"/>
    </row>
    <row r="502">
      <c r="A502" s="95"/>
      <c r="B502" s="96"/>
      <c r="C502" s="96"/>
      <c r="D502" s="96"/>
      <c r="E502" s="96"/>
      <c r="F502" s="96"/>
      <c r="G502" s="96"/>
    </row>
    <row r="503">
      <c r="A503" s="95"/>
      <c r="B503" s="96"/>
      <c r="C503" s="96"/>
      <c r="D503" s="96"/>
      <c r="E503" s="96"/>
      <c r="F503" s="96"/>
      <c r="G503" s="96"/>
    </row>
    <row r="504">
      <c r="A504" s="95"/>
      <c r="B504" s="96"/>
      <c r="C504" s="96"/>
      <c r="D504" s="96"/>
      <c r="E504" s="96"/>
      <c r="F504" s="96"/>
      <c r="G504" s="96"/>
    </row>
    <row r="505">
      <c r="A505" s="95"/>
      <c r="B505" s="96"/>
      <c r="C505" s="96"/>
      <c r="D505" s="96"/>
      <c r="E505" s="96"/>
      <c r="F505" s="96"/>
      <c r="G505" s="96"/>
    </row>
    <row r="506">
      <c r="A506" s="95"/>
      <c r="B506" s="96"/>
      <c r="C506" s="96"/>
      <c r="D506" s="96"/>
      <c r="E506" s="96"/>
      <c r="F506" s="96"/>
      <c r="G506" s="96"/>
    </row>
    <row r="507">
      <c r="A507" s="95"/>
      <c r="B507" s="96"/>
      <c r="C507" s="96"/>
      <c r="D507" s="96"/>
      <c r="E507" s="96"/>
      <c r="F507" s="96"/>
      <c r="G507" s="96"/>
    </row>
    <row r="508">
      <c r="A508" s="95"/>
      <c r="B508" s="96"/>
      <c r="C508" s="96"/>
      <c r="D508" s="96"/>
      <c r="E508" s="96"/>
      <c r="F508" s="96"/>
      <c r="G508" s="96"/>
    </row>
    <row r="509">
      <c r="A509" s="95"/>
      <c r="B509" s="96"/>
      <c r="C509" s="96"/>
      <c r="D509" s="96"/>
      <c r="E509" s="96"/>
      <c r="F509" s="96"/>
      <c r="G509" s="96"/>
    </row>
    <row r="510">
      <c r="A510" s="95"/>
      <c r="B510" s="96"/>
      <c r="C510" s="96"/>
      <c r="D510" s="96"/>
      <c r="E510" s="96"/>
      <c r="F510" s="96"/>
      <c r="G510" s="96"/>
    </row>
    <row r="511">
      <c r="A511" s="95"/>
      <c r="B511" s="96"/>
      <c r="C511" s="96"/>
      <c r="D511" s="96"/>
      <c r="E511" s="96"/>
      <c r="F511" s="96"/>
      <c r="G511" s="96"/>
    </row>
    <row r="512">
      <c r="A512" s="95"/>
      <c r="B512" s="96"/>
      <c r="C512" s="96"/>
      <c r="D512" s="96"/>
      <c r="E512" s="96"/>
      <c r="F512" s="96"/>
      <c r="G512" s="96"/>
    </row>
    <row r="513">
      <c r="A513" s="95"/>
      <c r="B513" s="96"/>
      <c r="C513" s="96"/>
      <c r="D513" s="96"/>
      <c r="E513" s="96"/>
      <c r="F513" s="96"/>
      <c r="G513" s="96"/>
    </row>
    <row r="514">
      <c r="A514" s="95"/>
      <c r="B514" s="96"/>
      <c r="C514" s="96"/>
      <c r="D514" s="96"/>
      <c r="E514" s="96"/>
      <c r="F514" s="96"/>
      <c r="G514" s="96"/>
    </row>
    <row r="515">
      <c r="A515" s="95"/>
      <c r="B515" s="96"/>
      <c r="C515" s="96"/>
      <c r="D515" s="96"/>
      <c r="E515" s="96"/>
      <c r="F515" s="96"/>
      <c r="G515" s="96"/>
    </row>
    <row r="516">
      <c r="A516" s="95"/>
      <c r="B516" s="96"/>
      <c r="C516" s="96"/>
      <c r="D516" s="96"/>
      <c r="E516" s="96"/>
      <c r="F516" s="96"/>
      <c r="G516" s="96"/>
    </row>
    <row r="517">
      <c r="A517" s="95"/>
      <c r="B517" s="96"/>
      <c r="C517" s="96"/>
      <c r="D517" s="96"/>
      <c r="E517" s="96"/>
      <c r="F517" s="96"/>
      <c r="G517" s="96"/>
    </row>
    <row r="518">
      <c r="A518" s="95"/>
      <c r="B518" s="96"/>
      <c r="C518" s="96"/>
      <c r="D518" s="96"/>
      <c r="E518" s="96"/>
      <c r="F518" s="96"/>
      <c r="G518" s="96"/>
    </row>
    <row r="519">
      <c r="A519" s="95"/>
      <c r="B519" s="96"/>
      <c r="C519" s="96"/>
      <c r="D519" s="96"/>
      <c r="E519" s="96"/>
      <c r="F519" s="96"/>
      <c r="G519" s="96"/>
    </row>
    <row r="520">
      <c r="A520" s="95"/>
      <c r="B520" s="96"/>
      <c r="C520" s="96"/>
      <c r="D520" s="96"/>
      <c r="E520" s="96"/>
      <c r="F520" s="96"/>
      <c r="G520" s="96"/>
    </row>
    <row r="521">
      <c r="A521" s="95"/>
      <c r="B521" s="96"/>
      <c r="C521" s="96"/>
      <c r="D521" s="96"/>
      <c r="E521" s="96"/>
      <c r="F521" s="96"/>
      <c r="G521" s="96"/>
    </row>
    <row r="522">
      <c r="A522" s="95"/>
      <c r="B522" s="96"/>
      <c r="C522" s="96"/>
      <c r="D522" s="96"/>
      <c r="E522" s="96"/>
      <c r="F522" s="96"/>
      <c r="G522" s="96"/>
    </row>
    <row r="523">
      <c r="A523" s="95"/>
      <c r="B523" s="96"/>
      <c r="C523" s="96"/>
      <c r="D523" s="96"/>
      <c r="E523" s="96"/>
      <c r="F523" s="96"/>
      <c r="G523" s="96"/>
    </row>
    <row r="524">
      <c r="A524" s="95"/>
      <c r="B524" s="96"/>
      <c r="C524" s="96"/>
      <c r="D524" s="96"/>
      <c r="E524" s="96"/>
      <c r="F524" s="96"/>
      <c r="G524" s="96"/>
    </row>
    <row r="525">
      <c r="A525" s="95"/>
      <c r="B525" s="96"/>
      <c r="C525" s="96"/>
      <c r="D525" s="96"/>
      <c r="E525" s="96"/>
      <c r="F525" s="96"/>
      <c r="G525" s="96"/>
    </row>
    <row r="526">
      <c r="A526" s="95"/>
      <c r="B526" s="96"/>
      <c r="C526" s="96"/>
      <c r="D526" s="96"/>
      <c r="E526" s="96"/>
      <c r="F526" s="96"/>
      <c r="G526" s="96"/>
    </row>
    <row r="527">
      <c r="A527" s="95"/>
      <c r="B527" s="96"/>
      <c r="C527" s="96"/>
      <c r="D527" s="96"/>
      <c r="E527" s="96"/>
      <c r="F527" s="96"/>
      <c r="G527" s="96"/>
    </row>
    <row r="528">
      <c r="A528" s="95"/>
      <c r="B528" s="96"/>
      <c r="C528" s="96"/>
      <c r="D528" s="96"/>
      <c r="E528" s="96"/>
      <c r="F528" s="96"/>
      <c r="G528" s="96"/>
    </row>
    <row r="529">
      <c r="A529" s="95"/>
      <c r="B529" s="96"/>
      <c r="C529" s="96"/>
      <c r="D529" s="96"/>
      <c r="E529" s="96"/>
      <c r="F529" s="96"/>
      <c r="G529" s="96"/>
    </row>
    <row r="530">
      <c r="A530" s="95"/>
      <c r="B530" s="96"/>
      <c r="C530" s="96"/>
      <c r="D530" s="96"/>
      <c r="E530" s="96"/>
      <c r="F530" s="96"/>
      <c r="G530" s="96"/>
    </row>
    <row r="531">
      <c r="A531" s="95"/>
      <c r="B531" s="96"/>
      <c r="C531" s="96"/>
      <c r="D531" s="96"/>
      <c r="E531" s="96"/>
      <c r="F531" s="96"/>
      <c r="G531" s="96"/>
    </row>
    <row r="532">
      <c r="A532" s="95"/>
      <c r="B532" s="96"/>
      <c r="C532" s="96"/>
      <c r="D532" s="96"/>
      <c r="E532" s="96"/>
      <c r="F532" s="96"/>
      <c r="G532" s="96"/>
    </row>
    <row r="533">
      <c r="A533" s="95"/>
      <c r="B533" s="96"/>
      <c r="C533" s="96"/>
      <c r="D533" s="96"/>
      <c r="E533" s="96"/>
      <c r="F533" s="96"/>
      <c r="G533" s="96"/>
    </row>
    <row r="534">
      <c r="A534" s="95"/>
      <c r="B534" s="96"/>
      <c r="C534" s="96"/>
      <c r="D534" s="96"/>
      <c r="E534" s="96"/>
      <c r="F534" s="96"/>
      <c r="G534" s="96"/>
    </row>
    <row r="535">
      <c r="A535" s="95"/>
      <c r="B535" s="96"/>
      <c r="C535" s="96"/>
      <c r="D535" s="96"/>
      <c r="E535" s="96"/>
      <c r="F535" s="96"/>
      <c r="G535" s="96"/>
    </row>
    <row r="536">
      <c r="A536" s="95"/>
      <c r="B536" s="96"/>
      <c r="C536" s="96"/>
      <c r="D536" s="96"/>
      <c r="E536" s="96"/>
      <c r="F536" s="96"/>
      <c r="G536" s="96"/>
    </row>
    <row r="537">
      <c r="A537" s="95"/>
      <c r="B537" s="96"/>
      <c r="C537" s="96"/>
      <c r="D537" s="96"/>
      <c r="E537" s="96"/>
      <c r="F537" s="96"/>
      <c r="G537" s="96"/>
    </row>
    <row r="538">
      <c r="A538" s="95"/>
      <c r="B538" s="96"/>
      <c r="C538" s="96"/>
      <c r="D538" s="96"/>
      <c r="E538" s="96"/>
      <c r="F538" s="96"/>
      <c r="G538" s="96"/>
    </row>
    <row r="539">
      <c r="A539" s="95"/>
      <c r="B539" s="96"/>
      <c r="C539" s="96"/>
      <c r="D539" s="96"/>
      <c r="E539" s="96"/>
      <c r="F539" s="96"/>
      <c r="G539" s="96"/>
    </row>
    <row r="540">
      <c r="A540" s="95"/>
      <c r="B540" s="96"/>
      <c r="C540" s="96"/>
      <c r="D540" s="96"/>
      <c r="E540" s="96"/>
      <c r="F540" s="96"/>
      <c r="G540" s="96"/>
    </row>
    <row r="541">
      <c r="A541" s="95"/>
      <c r="B541" s="96"/>
      <c r="C541" s="96"/>
      <c r="D541" s="96"/>
      <c r="E541" s="96"/>
      <c r="F541" s="96"/>
      <c r="G541" s="96"/>
    </row>
    <row r="542">
      <c r="A542" s="95"/>
      <c r="B542" s="96"/>
      <c r="C542" s="96"/>
      <c r="D542" s="96"/>
      <c r="E542" s="96"/>
      <c r="F542" s="96"/>
      <c r="G542" s="96"/>
    </row>
    <row r="543">
      <c r="A543" s="95"/>
      <c r="B543" s="96"/>
      <c r="C543" s="96"/>
      <c r="D543" s="96"/>
      <c r="E543" s="96"/>
      <c r="F543" s="96"/>
      <c r="G543" s="96"/>
    </row>
    <row r="544">
      <c r="A544" s="95"/>
      <c r="B544" s="96"/>
      <c r="C544" s="96"/>
      <c r="D544" s="96"/>
      <c r="E544" s="96"/>
      <c r="F544" s="96"/>
      <c r="G544" s="96"/>
    </row>
    <row r="545">
      <c r="A545" s="95"/>
      <c r="B545" s="96"/>
      <c r="C545" s="96"/>
      <c r="D545" s="96"/>
      <c r="E545" s="96"/>
      <c r="F545" s="96"/>
      <c r="G545" s="96"/>
    </row>
    <row r="546">
      <c r="A546" s="95"/>
      <c r="B546" s="96"/>
      <c r="C546" s="96"/>
      <c r="D546" s="96"/>
      <c r="E546" s="96"/>
      <c r="F546" s="96"/>
      <c r="G546" s="96"/>
    </row>
    <row r="547">
      <c r="A547" s="95"/>
      <c r="B547" s="96"/>
      <c r="C547" s="96"/>
      <c r="D547" s="96"/>
      <c r="E547" s="96"/>
      <c r="F547" s="96"/>
      <c r="G547" s="96"/>
    </row>
    <row r="548">
      <c r="A548" s="95"/>
      <c r="B548" s="96"/>
      <c r="C548" s="96"/>
      <c r="D548" s="96"/>
      <c r="E548" s="96"/>
      <c r="F548" s="96"/>
      <c r="G548" s="96"/>
    </row>
    <row r="549">
      <c r="A549" s="95"/>
      <c r="B549" s="96"/>
      <c r="C549" s="96"/>
      <c r="D549" s="96"/>
      <c r="E549" s="96"/>
      <c r="F549" s="96"/>
      <c r="G549" s="96"/>
    </row>
    <row r="550">
      <c r="A550" s="95"/>
      <c r="B550" s="96"/>
      <c r="C550" s="96"/>
      <c r="D550" s="96"/>
      <c r="E550" s="96"/>
      <c r="F550" s="96"/>
      <c r="G550" s="96"/>
    </row>
    <row r="551">
      <c r="A551" s="95"/>
      <c r="B551" s="96"/>
      <c r="C551" s="96"/>
      <c r="D551" s="96"/>
      <c r="E551" s="96"/>
      <c r="F551" s="96"/>
      <c r="G551" s="96"/>
    </row>
    <row r="552">
      <c r="A552" s="95"/>
      <c r="B552" s="96"/>
      <c r="C552" s="96"/>
      <c r="D552" s="96"/>
      <c r="E552" s="96"/>
      <c r="F552" s="96"/>
      <c r="G552" s="96"/>
    </row>
    <row r="553">
      <c r="A553" s="95"/>
      <c r="B553" s="96"/>
      <c r="C553" s="96"/>
      <c r="D553" s="96"/>
      <c r="E553" s="96"/>
      <c r="F553" s="96"/>
      <c r="G553" s="96"/>
    </row>
    <row r="554">
      <c r="A554" s="95"/>
      <c r="B554" s="96"/>
      <c r="C554" s="96"/>
      <c r="D554" s="96"/>
      <c r="E554" s="96"/>
      <c r="F554" s="96"/>
      <c r="G554" s="96"/>
    </row>
    <row r="555">
      <c r="A555" s="95"/>
      <c r="B555" s="96"/>
      <c r="C555" s="96"/>
      <c r="D555" s="96"/>
      <c r="E555" s="96"/>
      <c r="F555" s="96"/>
      <c r="G555" s="96"/>
    </row>
    <row r="556">
      <c r="A556" s="95"/>
      <c r="B556" s="96"/>
      <c r="C556" s="96"/>
      <c r="D556" s="96"/>
      <c r="E556" s="96"/>
      <c r="F556" s="96"/>
      <c r="G556" s="96"/>
    </row>
    <row r="557">
      <c r="A557" s="95"/>
      <c r="B557" s="96"/>
      <c r="C557" s="96"/>
      <c r="D557" s="96"/>
      <c r="E557" s="96"/>
      <c r="F557" s="96"/>
      <c r="G557" s="96"/>
    </row>
    <row r="558">
      <c r="A558" s="95"/>
      <c r="B558" s="96"/>
      <c r="C558" s="96"/>
      <c r="D558" s="96"/>
      <c r="E558" s="96"/>
      <c r="F558" s="96"/>
      <c r="G558" s="96"/>
    </row>
    <row r="559">
      <c r="A559" s="95"/>
      <c r="B559" s="96"/>
      <c r="C559" s="96"/>
      <c r="D559" s="96"/>
      <c r="E559" s="96"/>
      <c r="F559" s="96"/>
      <c r="G559" s="96"/>
    </row>
    <row r="560">
      <c r="A560" s="95"/>
      <c r="B560" s="96"/>
      <c r="C560" s="96"/>
      <c r="D560" s="96"/>
      <c r="E560" s="96"/>
      <c r="F560" s="96"/>
      <c r="G560" s="96"/>
    </row>
    <row r="561">
      <c r="A561" s="95"/>
      <c r="B561" s="96"/>
      <c r="C561" s="96"/>
      <c r="D561" s="96"/>
      <c r="E561" s="96"/>
      <c r="F561" s="96"/>
      <c r="G561" s="96"/>
    </row>
    <row r="562">
      <c r="A562" s="95"/>
      <c r="B562" s="96"/>
      <c r="C562" s="96"/>
      <c r="D562" s="96"/>
      <c r="E562" s="96"/>
      <c r="F562" s="96"/>
      <c r="G562" s="96"/>
    </row>
    <row r="563">
      <c r="A563" s="95"/>
      <c r="B563" s="96"/>
      <c r="C563" s="96"/>
      <c r="D563" s="96"/>
      <c r="E563" s="96"/>
      <c r="F563" s="96"/>
      <c r="G563" s="96"/>
    </row>
    <row r="564">
      <c r="A564" s="95"/>
      <c r="B564" s="96"/>
      <c r="C564" s="96"/>
      <c r="D564" s="96"/>
      <c r="E564" s="96"/>
      <c r="F564" s="96"/>
      <c r="G564" s="96"/>
    </row>
    <row r="565">
      <c r="A565" s="95"/>
      <c r="B565" s="96"/>
      <c r="C565" s="96"/>
      <c r="D565" s="96"/>
      <c r="E565" s="96"/>
      <c r="F565" s="96"/>
      <c r="G565" s="96"/>
    </row>
    <row r="566">
      <c r="A566" s="95"/>
      <c r="B566" s="96"/>
      <c r="C566" s="96"/>
      <c r="D566" s="96"/>
      <c r="E566" s="96"/>
      <c r="F566" s="96"/>
      <c r="G566" s="96"/>
    </row>
    <row r="567">
      <c r="A567" s="95"/>
      <c r="B567" s="96"/>
      <c r="C567" s="96"/>
      <c r="D567" s="96"/>
      <c r="E567" s="96"/>
      <c r="F567" s="96"/>
      <c r="G567" s="96"/>
    </row>
    <row r="568">
      <c r="A568" s="95"/>
      <c r="B568" s="96"/>
      <c r="C568" s="96"/>
      <c r="D568" s="96"/>
      <c r="E568" s="96"/>
      <c r="F568" s="96"/>
      <c r="G568" s="96"/>
    </row>
    <row r="569">
      <c r="A569" s="95"/>
      <c r="B569" s="96"/>
      <c r="C569" s="96"/>
      <c r="D569" s="96"/>
      <c r="E569" s="96"/>
      <c r="F569" s="96"/>
      <c r="G569" s="96"/>
    </row>
    <row r="570">
      <c r="A570" s="95"/>
      <c r="B570" s="96"/>
      <c r="C570" s="96"/>
      <c r="D570" s="96"/>
      <c r="E570" s="96"/>
      <c r="F570" s="96"/>
      <c r="G570" s="96"/>
    </row>
    <row r="571">
      <c r="A571" s="95"/>
      <c r="B571" s="96"/>
      <c r="C571" s="96"/>
      <c r="D571" s="96"/>
      <c r="E571" s="96"/>
      <c r="F571" s="96"/>
      <c r="G571" s="96"/>
    </row>
    <row r="572">
      <c r="A572" s="95"/>
      <c r="B572" s="96"/>
      <c r="C572" s="96"/>
      <c r="D572" s="96"/>
      <c r="E572" s="96"/>
      <c r="F572" s="96"/>
      <c r="G572" s="96"/>
    </row>
    <row r="573">
      <c r="A573" s="95"/>
      <c r="B573" s="96"/>
      <c r="C573" s="96"/>
      <c r="D573" s="96"/>
      <c r="E573" s="96"/>
      <c r="F573" s="96"/>
      <c r="G573" s="96"/>
    </row>
    <row r="574">
      <c r="A574" s="95"/>
      <c r="B574" s="96"/>
      <c r="C574" s="96"/>
      <c r="D574" s="96"/>
      <c r="E574" s="96"/>
      <c r="F574" s="96"/>
      <c r="G574" s="96"/>
    </row>
    <row r="575">
      <c r="A575" s="95"/>
      <c r="B575" s="96"/>
      <c r="C575" s="96"/>
      <c r="D575" s="96"/>
      <c r="E575" s="96"/>
      <c r="F575" s="96"/>
      <c r="G575" s="96"/>
    </row>
    <row r="576">
      <c r="A576" s="95"/>
      <c r="B576" s="96"/>
      <c r="C576" s="96"/>
      <c r="D576" s="96"/>
      <c r="E576" s="96"/>
      <c r="F576" s="96"/>
      <c r="G576" s="96"/>
    </row>
    <row r="577">
      <c r="A577" s="95"/>
      <c r="B577" s="96"/>
      <c r="C577" s="96"/>
      <c r="D577" s="96"/>
      <c r="E577" s="96"/>
      <c r="F577" s="96"/>
      <c r="G577" s="96"/>
    </row>
    <row r="578">
      <c r="A578" s="95"/>
      <c r="B578" s="96"/>
      <c r="C578" s="96"/>
      <c r="D578" s="96"/>
      <c r="E578" s="96"/>
      <c r="F578" s="96"/>
      <c r="G578" s="96"/>
    </row>
    <row r="579">
      <c r="A579" s="95"/>
      <c r="B579" s="96"/>
      <c r="C579" s="96"/>
      <c r="D579" s="96"/>
      <c r="E579" s="96"/>
      <c r="F579" s="96"/>
      <c r="G579" s="96"/>
    </row>
    <row r="580">
      <c r="A580" s="95"/>
      <c r="B580" s="96"/>
      <c r="C580" s="96"/>
      <c r="D580" s="96"/>
      <c r="E580" s="96"/>
      <c r="F580" s="96"/>
      <c r="G580" s="96"/>
    </row>
    <row r="581">
      <c r="A581" s="95"/>
      <c r="B581" s="96"/>
      <c r="C581" s="96"/>
      <c r="D581" s="96"/>
      <c r="E581" s="96"/>
      <c r="F581" s="96"/>
      <c r="G581" s="96"/>
    </row>
    <row r="582">
      <c r="A582" s="95"/>
      <c r="B582" s="96"/>
      <c r="C582" s="96"/>
      <c r="D582" s="96"/>
      <c r="E582" s="96"/>
      <c r="F582" s="96"/>
      <c r="G582" s="96"/>
    </row>
    <row r="583">
      <c r="A583" s="95"/>
      <c r="B583" s="96"/>
      <c r="C583" s="96"/>
      <c r="D583" s="96"/>
      <c r="E583" s="96"/>
      <c r="F583" s="96"/>
      <c r="G583" s="96"/>
    </row>
    <row r="584">
      <c r="A584" s="95"/>
      <c r="B584" s="96"/>
      <c r="C584" s="96"/>
      <c r="D584" s="96"/>
      <c r="E584" s="96"/>
      <c r="F584" s="96"/>
      <c r="G584" s="96"/>
    </row>
    <row r="585">
      <c r="A585" s="95"/>
      <c r="B585" s="96"/>
      <c r="C585" s="96"/>
      <c r="D585" s="96"/>
      <c r="E585" s="96"/>
      <c r="F585" s="96"/>
      <c r="G585" s="96"/>
    </row>
    <row r="586">
      <c r="A586" s="95"/>
      <c r="B586" s="96"/>
      <c r="C586" s="96"/>
      <c r="D586" s="96"/>
      <c r="E586" s="96"/>
      <c r="F586" s="96"/>
      <c r="G586" s="96"/>
    </row>
    <row r="587">
      <c r="A587" s="95"/>
      <c r="B587" s="96"/>
      <c r="C587" s="96"/>
      <c r="D587" s="96"/>
      <c r="E587" s="96"/>
      <c r="F587" s="96"/>
      <c r="G587" s="96"/>
    </row>
    <row r="588">
      <c r="A588" s="95"/>
      <c r="B588" s="96"/>
      <c r="C588" s="96"/>
      <c r="D588" s="96"/>
      <c r="E588" s="96"/>
      <c r="F588" s="96"/>
      <c r="G588" s="96"/>
    </row>
    <row r="589">
      <c r="A589" s="95"/>
      <c r="B589" s="96"/>
      <c r="C589" s="96"/>
      <c r="D589" s="96"/>
      <c r="E589" s="96"/>
      <c r="F589" s="96"/>
      <c r="G589" s="96"/>
    </row>
    <row r="590">
      <c r="A590" s="95"/>
      <c r="B590" s="96"/>
      <c r="C590" s="96"/>
      <c r="D590" s="96"/>
      <c r="E590" s="96"/>
      <c r="F590" s="96"/>
      <c r="G590" s="96"/>
    </row>
    <row r="591">
      <c r="A591" s="95"/>
      <c r="B591" s="96"/>
      <c r="C591" s="96"/>
      <c r="D591" s="96"/>
      <c r="E591" s="96"/>
      <c r="F591" s="96"/>
      <c r="G591" s="96"/>
    </row>
    <row r="592">
      <c r="A592" s="95"/>
      <c r="B592" s="96"/>
      <c r="C592" s="96"/>
      <c r="D592" s="96"/>
      <c r="E592" s="96"/>
      <c r="F592" s="96"/>
      <c r="G592" s="96"/>
    </row>
    <row r="593">
      <c r="A593" s="95"/>
      <c r="B593" s="96"/>
      <c r="C593" s="96"/>
      <c r="D593" s="96"/>
      <c r="E593" s="96"/>
      <c r="F593" s="96"/>
      <c r="G593" s="96"/>
    </row>
    <row r="594">
      <c r="A594" s="95"/>
      <c r="B594" s="96"/>
      <c r="C594" s="96"/>
      <c r="D594" s="96"/>
      <c r="E594" s="96"/>
      <c r="F594" s="96"/>
      <c r="G594" s="96"/>
    </row>
    <row r="595">
      <c r="A595" s="95"/>
      <c r="B595" s="96"/>
      <c r="C595" s="96"/>
      <c r="D595" s="96"/>
      <c r="E595" s="96"/>
      <c r="F595" s="96"/>
      <c r="G595" s="96"/>
    </row>
    <row r="596">
      <c r="A596" s="95"/>
      <c r="B596" s="96"/>
      <c r="C596" s="96"/>
      <c r="D596" s="96"/>
      <c r="E596" s="96"/>
      <c r="F596" s="96"/>
      <c r="G596" s="96"/>
    </row>
    <row r="597">
      <c r="A597" s="95"/>
      <c r="B597" s="96"/>
      <c r="C597" s="96"/>
      <c r="D597" s="96"/>
      <c r="E597" s="96"/>
      <c r="F597" s="96"/>
      <c r="G597" s="96"/>
    </row>
    <row r="598">
      <c r="A598" s="95"/>
      <c r="B598" s="96"/>
      <c r="C598" s="96"/>
      <c r="D598" s="96"/>
      <c r="E598" s="96"/>
      <c r="F598" s="96"/>
      <c r="G598" s="96"/>
    </row>
    <row r="599">
      <c r="A599" s="95"/>
      <c r="B599" s="96"/>
      <c r="C599" s="96"/>
      <c r="D599" s="96"/>
      <c r="E599" s="96"/>
      <c r="F599" s="96"/>
      <c r="G599" s="96"/>
    </row>
    <row r="600">
      <c r="A600" s="95"/>
      <c r="B600" s="96"/>
      <c r="C600" s="96"/>
      <c r="D600" s="96"/>
      <c r="E600" s="96"/>
      <c r="F600" s="96"/>
      <c r="G600" s="96"/>
    </row>
    <row r="601">
      <c r="A601" s="95"/>
      <c r="B601" s="96"/>
      <c r="C601" s="96"/>
      <c r="D601" s="96"/>
      <c r="E601" s="96"/>
      <c r="F601" s="96"/>
      <c r="G601" s="96"/>
    </row>
    <row r="602">
      <c r="A602" s="95"/>
      <c r="B602" s="96"/>
      <c r="C602" s="96"/>
      <c r="D602" s="96"/>
      <c r="E602" s="96"/>
      <c r="F602" s="96"/>
      <c r="G602" s="96"/>
    </row>
    <row r="603">
      <c r="A603" s="95"/>
      <c r="B603" s="96"/>
      <c r="C603" s="96"/>
      <c r="D603" s="96"/>
      <c r="E603" s="96"/>
      <c r="F603" s="96"/>
      <c r="G603" s="96"/>
    </row>
    <row r="604">
      <c r="A604" s="95"/>
      <c r="B604" s="96"/>
      <c r="C604" s="96"/>
      <c r="D604" s="96"/>
      <c r="E604" s="96"/>
      <c r="F604" s="96"/>
      <c r="G604" s="96"/>
    </row>
    <row r="605">
      <c r="A605" s="95"/>
      <c r="B605" s="96"/>
      <c r="C605" s="96"/>
      <c r="D605" s="96"/>
      <c r="E605" s="96"/>
      <c r="F605" s="96"/>
      <c r="G605" s="96"/>
    </row>
    <row r="606">
      <c r="A606" s="95"/>
      <c r="B606" s="96"/>
      <c r="C606" s="96"/>
      <c r="D606" s="96"/>
      <c r="E606" s="96"/>
      <c r="F606" s="96"/>
      <c r="G606" s="96"/>
    </row>
    <row r="607">
      <c r="A607" s="95"/>
      <c r="B607" s="96"/>
      <c r="C607" s="96"/>
      <c r="D607" s="96"/>
      <c r="E607" s="96"/>
      <c r="F607" s="96"/>
      <c r="G607" s="96"/>
    </row>
    <row r="608">
      <c r="A608" s="95"/>
      <c r="B608" s="96"/>
      <c r="C608" s="96"/>
      <c r="D608" s="96"/>
      <c r="E608" s="96"/>
      <c r="F608" s="96"/>
      <c r="G608" s="96"/>
    </row>
    <row r="609">
      <c r="A609" s="95"/>
      <c r="B609" s="96"/>
      <c r="C609" s="96"/>
      <c r="D609" s="96"/>
      <c r="E609" s="96"/>
      <c r="F609" s="96"/>
      <c r="G609" s="96"/>
    </row>
    <row r="610">
      <c r="A610" s="95"/>
      <c r="B610" s="96"/>
      <c r="C610" s="96"/>
      <c r="D610" s="96"/>
      <c r="E610" s="96"/>
      <c r="F610" s="96"/>
      <c r="G610" s="96"/>
    </row>
    <row r="611">
      <c r="A611" s="95"/>
      <c r="B611" s="96"/>
      <c r="C611" s="96"/>
      <c r="D611" s="96"/>
      <c r="E611" s="96"/>
      <c r="F611" s="96"/>
      <c r="G611" s="96"/>
    </row>
    <row r="612">
      <c r="A612" s="95"/>
      <c r="B612" s="96"/>
      <c r="C612" s="96"/>
      <c r="D612" s="96"/>
      <c r="E612" s="96"/>
      <c r="F612" s="96"/>
      <c r="G612" s="96"/>
    </row>
    <row r="613">
      <c r="A613" s="95"/>
      <c r="B613" s="96"/>
      <c r="C613" s="96"/>
      <c r="D613" s="96"/>
      <c r="E613" s="96"/>
      <c r="F613" s="96"/>
      <c r="G613" s="96"/>
    </row>
    <row r="614">
      <c r="A614" s="95"/>
      <c r="B614" s="96"/>
      <c r="C614" s="96"/>
      <c r="D614" s="96"/>
      <c r="E614" s="96"/>
      <c r="F614" s="96"/>
      <c r="G614" s="96"/>
    </row>
    <row r="615">
      <c r="A615" s="95"/>
      <c r="B615" s="96"/>
      <c r="C615" s="96"/>
      <c r="D615" s="96"/>
      <c r="E615" s="96"/>
      <c r="F615" s="96"/>
      <c r="G615" s="96"/>
    </row>
    <row r="616">
      <c r="A616" s="95"/>
      <c r="B616" s="96"/>
      <c r="C616" s="96"/>
      <c r="D616" s="96"/>
      <c r="E616" s="96"/>
      <c r="F616" s="96"/>
      <c r="G616" s="96"/>
    </row>
    <row r="617">
      <c r="A617" s="95"/>
      <c r="B617" s="96"/>
      <c r="C617" s="96"/>
      <c r="D617" s="96"/>
      <c r="E617" s="96"/>
      <c r="F617" s="96"/>
      <c r="G617" s="96"/>
    </row>
    <row r="618">
      <c r="A618" s="95"/>
      <c r="B618" s="96"/>
      <c r="C618" s="96"/>
      <c r="D618" s="96"/>
      <c r="E618" s="96"/>
      <c r="F618" s="96"/>
      <c r="G618" s="96"/>
    </row>
    <row r="619">
      <c r="A619" s="95"/>
      <c r="B619" s="96"/>
      <c r="C619" s="96"/>
      <c r="D619" s="96"/>
      <c r="E619" s="96"/>
      <c r="F619" s="96"/>
      <c r="G619" s="96"/>
    </row>
    <row r="620">
      <c r="A620" s="95"/>
      <c r="B620" s="96"/>
      <c r="C620" s="96"/>
      <c r="D620" s="96"/>
      <c r="E620" s="96"/>
      <c r="F620" s="96"/>
      <c r="G620" s="96"/>
    </row>
    <row r="621">
      <c r="A621" s="95"/>
      <c r="B621" s="96"/>
      <c r="C621" s="96"/>
      <c r="D621" s="96"/>
      <c r="E621" s="96"/>
      <c r="F621" s="96"/>
      <c r="G621" s="96"/>
    </row>
    <row r="622">
      <c r="A622" s="95"/>
      <c r="B622" s="96"/>
      <c r="C622" s="96"/>
      <c r="D622" s="96"/>
      <c r="E622" s="96"/>
      <c r="F622" s="96"/>
      <c r="G622" s="96"/>
    </row>
    <row r="623">
      <c r="A623" s="95"/>
      <c r="B623" s="96"/>
      <c r="C623" s="96"/>
      <c r="D623" s="96"/>
      <c r="E623" s="96"/>
      <c r="F623" s="96"/>
      <c r="G623" s="96"/>
    </row>
    <row r="624">
      <c r="A624" s="95"/>
      <c r="B624" s="96"/>
      <c r="C624" s="96"/>
      <c r="D624" s="96"/>
      <c r="E624" s="96"/>
      <c r="F624" s="96"/>
      <c r="G624" s="96"/>
    </row>
    <row r="625">
      <c r="A625" s="95"/>
      <c r="B625" s="96"/>
      <c r="C625" s="96"/>
      <c r="D625" s="96"/>
      <c r="E625" s="96"/>
      <c r="F625" s="96"/>
      <c r="G625" s="96"/>
    </row>
    <row r="626">
      <c r="A626" s="95"/>
      <c r="B626" s="96"/>
      <c r="C626" s="96"/>
      <c r="D626" s="96"/>
      <c r="E626" s="96"/>
      <c r="F626" s="96"/>
      <c r="G626" s="96"/>
    </row>
    <row r="627">
      <c r="A627" s="95"/>
      <c r="B627" s="96"/>
      <c r="C627" s="96"/>
      <c r="D627" s="96"/>
      <c r="E627" s="96"/>
      <c r="F627" s="96"/>
      <c r="G627" s="96"/>
    </row>
    <row r="628">
      <c r="A628" s="95"/>
      <c r="B628" s="96"/>
      <c r="C628" s="96"/>
      <c r="D628" s="96"/>
      <c r="E628" s="96"/>
      <c r="F628" s="96"/>
      <c r="G628" s="96"/>
    </row>
    <row r="629">
      <c r="A629" s="95"/>
      <c r="B629" s="96"/>
      <c r="C629" s="96"/>
      <c r="D629" s="96"/>
      <c r="E629" s="96"/>
      <c r="F629" s="96"/>
      <c r="G629" s="96"/>
    </row>
    <row r="630">
      <c r="A630" s="95"/>
      <c r="B630" s="96"/>
      <c r="C630" s="96"/>
      <c r="D630" s="96"/>
      <c r="E630" s="96"/>
      <c r="F630" s="96"/>
      <c r="G630" s="96"/>
    </row>
    <row r="631">
      <c r="A631" s="95"/>
      <c r="B631" s="96"/>
      <c r="C631" s="96"/>
      <c r="D631" s="96"/>
      <c r="E631" s="96"/>
      <c r="F631" s="96"/>
      <c r="G631" s="96"/>
    </row>
    <row r="632">
      <c r="A632" s="95"/>
      <c r="B632" s="96"/>
      <c r="C632" s="96"/>
      <c r="D632" s="96"/>
      <c r="E632" s="96"/>
      <c r="F632" s="96"/>
      <c r="G632" s="96"/>
    </row>
    <row r="633">
      <c r="A633" s="95"/>
      <c r="B633" s="96"/>
      <c r="C633" s="96"/>
      <c r="D633" s="96"/>
      <c r="E633" s="96"/>
      <c r="F633" s="96"/>
      <c r="G633" s="96"/>
    </row>
    <row r="634">
      <c r="A634" s="95"/>
      <c r="B634" s="96"/>
      <c r="C634" s="96"/>
      <c r="D634" s="96"/>
      <c r="E634" s="96"/>
      <c r="F634" s="96"/>
      <c r="G634" s="96"/>
    </row>
    <row r="635">
      <c r="A635" s="95"/>
      <c r="B635" s="96"/>
      <c r="C635" s="96"/>
      <c r="D635" s="96"/>
      <c r="E635" s="96"/>
      <c r="F635" s="96"/>
      <c r="G635" s="96"/>
    </row>
    <row r="636">
      <c r="A636" s="95"/>
      <c r="B636" s="96"/>
      <c r="C636" s="96"/>
      <c r="D636" s="96"/>
      <c r="E636" s="96"/>
      <c r="F636" s="96"/>
      <c r="G636" s="96"/>
    </row>
    <row r="637">
      <c r="A637" s="95"/>
      <c r="B637" s="96"/>
      <c r="C637" s="96"/>
      <c r="D637" s="96"/>
      <c r="E637" s="96"/>
      <c r="F637" s="96"/>
      <c r="G637" s="96"/>
    </row>
    <row r="638">
      <c r="A638" s="95"/>
      <c r="B638" s="96"/>
      <c r="C638" s="96"/>
      <c r="D638" s="96"/>
      <c r="E638" s="96"/>
      <c r="F638" s="96"/>
      <c r="G638" s="96"/>
    </row>
    <row r="639">
      <c r="A639" s="95"/>
      <c r="B639" s="96"/>
      <c r="C639" s="96"/>
      <c r="D639" s="96"/>
      <c r="E639" s="96"/>
      <c r="F639" s="96"/>
      <c r="G639" s="96"/>
    </row>
    <row r="640">
      <c r="A640" s="95"/>
      <c r="B640" s="96"/>
      <c r="C640" s="96"/>
      <c r="D640" s="96"/>
      <c r="E640" s="96"/>
      <c r="F640" s="96"/>
      <c r="G640" s="96"/>
    </row>
    <row r="641">
      <c r="A641" s="95"/>
      <c r="B641" s="96"/>
      <c r="C641" s="96"/>
      <c r="D641" s="96"/>
      <c r="E641" s="96"/>
      <c r="F641" s="96"/>
      <c r="G641" s="96"/>
    </row>
    <row r="642">
      <c r="A642" s="95"/>
      <c r="B642" s="96"/>
      <c r="C642" s="96"/>
      <c r="D642" s="96"/>
      <c r="E642" s="96"/>
      <c r="F642" s="96"/>
      <c r="G642" s="96"/>
    </row>
    <row r="643">
      <c r="A643" s="95"/>
      <c r="B643" s="96"/>
      <c r="C643" s="96"/>
      <c r="D643" s="96"/>
      <c r="E643" s="96"/>
      <c r="F643" s="96"/>
      <c r="G643" s="96"/>
    </row>
    <row r="644">
      <c r="A644" s="95"/>
      <c r="B644" s="96"/>
      <c r="C644" s="96"/>
      <c r="D644" s="96"/>
      <c r="E644" s="96"/>
      <c r="F644" s="96"/>
      <c r="G644" s="96"/>
    </row>
    <row r="645">
      <c r="A645" s="95"/>
      <c r="B645" s="96"/>
      <c r="C645" s="96"/>
      <c r="D645" s="96"/>
      <c r="E645" s="96"/>
      <c r="F645" s="96"/>
      <c r="G645" s="96"/>
    </row>
    <row r="646">
      <c r="A646" s="95"/>
      <c r="B646" s="96"/>
      <c r="C646" s="96"/>
      <c r="D646" s="96"/>
      <c r="E646" s="96"/>
      <c r="F646" s="96"/>
      <c r="G646" s="96"/>
    </row>
    <row r="647">
      <c r="A647" s="95"/>
      <c r="B647" s="96"/>
      <c r="C647" s="96"/>
      <c r="D647" s="96"/>
      <c r="E647" s="96"/>
      <c r="F647" s="96"/>
      <c r="G647" s="96"/>
    </row>
    <row r="648">
      <c r="A648" s="95"/>
      <c r="B648" s="96"/>
      <c r="C648" s="96"/>
      <c r="D648" s="96"/>
      <c r="E648" s="96"/>
      <c r="F648" s="96"/>
      <c r="G648" s="96"/>
    </row>
    <row r="649">
      <c r="A649" s="95"/>
      <c r="B649" s="96"/>
      <c r="C649" s="96"/>
      <c r="D649" s="96"/>
      <c r="E649" s="96"/>
      <c r="F649" s="96"/>
      <c r="G649" s="96"/>
    </row>
    <row r="650">
      <c r="A650" s="95"/>
      <c r="B650" s="96"/>
      <c r="C650" s="96"/>
      <c r="D650" s="96"/>
      <c r="E650" s="96"/>
      <c r="F650" s="96"/>
      <c r="G650" s="96"/>
    </row>
    <row r="651">
      <c r="A651" s="95"/>
      <c r="B651" s="96"/>
      <c r="C651" s="96"/>
      <c r="D651" s="96"/>
      <c r="E651" s="96"/>
      <c r="F651" s="96"/>
      <c r="G651" s="96"/>
    </row>
    <row r="652">
      <c r="A652" s="95"/>
      <c r="B652" s="96"/>
      <c r="C652" s="96"/>
      <c r="D652" s="96"/>
      <c r="E652" s="96"/>
      <c r="F652" s="96"/>
      <c r="G652" s="96"/>
    </row>
    <row r="653">
      <c r="A653" s="95"/>
      <c r="B653" s="96"/>
      <c r="C653" s="96"/>
      <c r="D653" s="96"/>
      <c r="E653" s="96"/>
      <c r="F653" s="96"/>
      <c r="G653" s="96"/>
    </row>
    <row r="654">
      <c r="A654" s="95"/>
      <c r="B654" s="96"/>
      <c r="C654" s="96"/>
      <c r="D654" s="96"/>
      <c r="E654" s="96"/>
      <c r="F654" s="96"/>
      <c r="G654" s="96"/>
    </row>
    <row r="655">
      <c r="A655" s="95"/>
      <c r="B655" s="96"/>
      <c r="C655" s="96"/>
      <c r="D655" s="96"/>
      <c r="E655" s="96"/>
      <c r="F655" s="96"/>
      <c r="G655" s="96"/>
    </row>
    <row r="656">
      <c r="A656" s="95"/>
      <c r="B656" s="96"/>
      <c r="C656" s="96"/>
      <c r="D656" s="96"/>
      <c r="E656" s="96"/>
      <c r="F656" s="96"/>
      <c r="G656" s="96"/>
    </row>
    <row r="657">
      <c r="A657" s="95"/>
      <c r="B657" s="96"/>
      <c r="C657" s="96"/>
      <c r="D657" s="96"/>
      <c r="E657" s="96"/>
      <c r="F657" s="96"/>
      <c r="G657" s="96"/>
    </row>
    <row r="658">
      <c r="A658" s="95"/>
      <c r="B658" s="96"/>
      <c r="C658" s="96"/>
      <c r="D658" s="96"/>
      <c r="E658" s="96"/>
      <c r="F658" s="96"/>
      <c r="G658" s="96"/>
    </row>
    <row r="659">
      <c r="A659" s="95"/>
      <c r="B659" s="96"/>
      <c r="C659" s="96"/>
      <c r="D659" s="96"/>
      <c r="E659" s="96"/>
      <c r="F659" s="96"/>
      <c r="G659" s="96"/>
    </row>
    <row r="660">
      <c r="A660" s="95"/>
      <c r="B660" s="96"/>
      <c r="C660" s="96"/>
      <c r="D660" s="96"/>
      <c r="E660" s="96"/>
      <c r="F660" s="96"/>
      <c r="G660" s="96"/>
    </row>
    <row r="661">
      <c r="A661" s="95"/>
      <c r="B661" s="96"/>
      <c r="C661" s="96"/>
      <c r="D661" s="96"/>
      <c r="E661" s="96"/>
      <c r="F661" s="96"/>
      <c r="G661" s="96"/>
    </row>
    <row r="662">
      <c r="A662" s="95"/>
      <c r="B662" s="96"/>
      <c r="C662" s="96"/>
      <c r="D662" s="96"/>
      <c r="E662" s="96"/>
      <c r="F662" s="96"/>
      <c r="G662" s="96"/>
    </row>
    <row r="663">
      <c r="A663" s="95"/>
      <c r="B663" s="96"/>
      <c r="C663" s="96"/>
      <c r="D663" s="96"/>
      <c r="E663" s="96"/>
      <c r="F663" s="96"/>
      <c r="G663" s="96"/>
    </row>
    <row r="664">
      <c r="A664" s="95"/>
      <c r="B664" s="96"/>
      <c r="C664" s="96"/>
      <c r="D664" s="96"/>
      <c r="E664" s="96"/>
      <c r="F664" s="96"/>
      <c r="G664" s="96"/>
    </row>
    <row r="665">
      <c r="A665" s="95"/>
      <c r="B665" s="96"/>
      <c r="C665" s="96"/>
      <c r="D665" s="96"/>
      <c r="E665" s="96"/>
      <c r="F665" s="96"/>
      <c r="G665" s="96"/>
    </row>
    <row r="666">
      <c r="A666" s="95"/>
      <c r="B666" s="96"/>
      <c r="C666" s="96"/>
      <c r="D666" s="96"/>
      <c r="E666" s="96"/>
      <c r="F666" s="96"/>
      <c r="G666" s="96"/>
    </row>
    <row r="667">
      <c r="A667" s="95"/>
      <c r="B667" s="96"/>
      <c r="C667" s="96"/>
      <c r="D667" s="96"/>
      <c r="E667" s="96"/>
      <c r="F667" s="96"/>
      <c r="G667" s="96"/>
    </row>
    <row r="668">
      <c r="A668" s="95"/>
      <c r="B668" s="96"/>
      <c r="C668" s="96"/>
      <c r="D668" s="96"/>
      <c r="E668" s="96"/>
      <c r="F668" s="96"/>
      <c r="G668" s="96"/>
    </row>
    <row r="669">
      <c r="A669" s="95"/>
      <c r="B669" s="96"/>
      <c r="C669" s="96"/>
      <c r="D669" s="96"/>
      <c r="E669" s="96"/>
      <c r="F669" s="96"/>
      <c r="G669" s="96"/>
    </row>
    <row r="670">
      <c r="A670" s="95"/>
      <c r="B670" s="96"/>
      <c r="C670" s="96"/>
      <c r="D670" s="96"/>
      <c r="E670" s="96"/>
      <c r="F670" s="96"/>
      <c r="G670" s="96"/>
    </row>
    <row r="671">
      <c r="A671" s="95"/>
      <c r="B671" s="96"/>
      <c r="C671" s="96"/>
      <c r="D671" s="96"/>
      <c r="E671" s="96"/>
      <c r="F671" s="96"/>
      <c r="G671" s="96"/>
    </row>
    <row r="672">
      <c r="A672" s="95"/>
      <c r="B672" s="96"/>
      <c r="C672" s="96"/>
      <c r="D672" s="96"/>
      <c r="E672" s="96"/>
      <c r="F672" s="96"/>
      <c r="G672" s="96"/>
    </row>
    <row r="673">
      <c r="A673" s="95"/>
      <c r="B673" s="96"/>
      <c r="C673" s="96"/>
      <c r="D673" s="96"/>
      <c r="E673" s="96"/>
      <c r="F673" s="96"/>
      <c r="G673" s="96"/>
    </row>
    <row r="674">
      <c r="A674" s="95"/>
      <c r="B674" s="96"/>
      <c r="C674" s="96"/>
      <c r="D674" s="96"/>
      <c r="E674" s="96"/>
      <c r="F674" s="96"/>
      <c r="G674" s="96"/>
    </row>
    <row r="675">
      <c r="A675" s="95"/>
      <c r="B675" s="96"/>
      <c r="C675" s="96"/>
      <c r="D675" s="96"/>
      <c r="E675" s="96"/>
      <c r="F675" s="96"/>
      <c r="G675" s="96"/>
    </row>
    <row r="676">
      <c r="A676" s="95"/>
      <c r="B676" s="96"/>
      <c r="C676" s="96"/>
      <c r="D676" s="96"/>
      <c r="E676" s="96"/>
      <c r="F676" s="96"/>
      <c r="G676" s="96"/>
    </row>
    <row r="677">
      <c r="A677" s="95"/>
      <c r="B677" s="96"/>
      <c r="C677" s="96"/>
      <c r="D677" s="96"/>
      <c r="E677" s="96"/>
      <c r="F677" s="96"/>
      <c r="G677" s="96"/>
    </row>
    <row r="678">
      <c r="A678" s="95"/>
      <c r="B678" s="96"/>
      <c r="C678" s="96"/>
      <c r="D678" s="96"/>
      <c r="E678" s="96"/>
      <c r="F678" s="96"/>
      <c r="G678" s="96"/>
    </row>
    <row r="679">
      <c r="A679" s="95"/>
      <c r="B679" s="96"/>
      <c r="C679" s="96"/>
      <c r="D679" s="96"/>
      <c r="E679" s="96"/>
      <c r="F679" s="96"/>
      <c r="G679" s="96"/>
    </row>
    <row r="680">
      <c r="A680" s="95"/>
      <c r="B680" s="96"/>
      <c r="C680" s="96"/>
      <c r="D680" s="96"/>
      <c r="E680" s="96"/>
      <c r="F680" s="96"/>
      <c r="G680" s="96"/>
    </row>
    <row r="681">
      <c r="A681" s="95"/>
      <c r="B681" s="96"/>
      <c r="C681" s="96"/>
      <c r="D681" s="96"/>
      <c r="E681" s="96"/>
      <c r="F681" s="96"/>
      <c r="G681" s="96"/>
    </row>
    <row r="682">
      <c r="A682" s="95"/>
      <c r="B682" s="96"/>
      <c r="C682" s="96"/>
      <c r="D682" s="96"/>
      <c r="E682" s="96"/>
      <c r="F682" s="96"/>
      <c r="G682" s="96"/>
    </row>
    <row r="683">
      <c r="A683" s="95"/>
      <c r="B683" s="96"/>
      <c r="C683" s="96"/>
      <c r="D683" s="96"/>
      <c r="E683" s="96"/>
      <c r="F683" s="96"/>
      <c r="G683" s="96"/>
    </row>
    <row r="684">
      <c r="A684" s="95"/>
      <c r="B684" s="96"/>
      <c r="C684" s="96"/>
      <c r="D684" s="96"/>
      <c r="E684" s="96"/>
      <c r="F684" s="96"/>
      <c r="G684" s="96"/>
    </row>
    <row r="685">
      <c r="A685" s="95"/>
      <c r="B685" s="96"/>
      <c r="C685" s="96"/>
      <c r="D685" s="96"/>
      <c r="E685" s="96"/>
      <c r="F685" s="96"/>
      <c r="G685" s="96"/>
    </row>
    <row r="686">
      <c r="A686" s="95"/>
      <c r="B686" s="96"/>
      <c r="C686" s="96"/>
      <c r="D686" s="96"/>
      <c r="E686" s="96"/>
      <c r="F686" s="96"/>
      <c r="G686" s="96"/>
    </row>
    <row r="687">
      <c r="A687" s="95"/>
      <c r="B687" s="96"/>
      <c r="C687" s="96"/>
      <c r="D687" s="96"/>
      <c r="E687" s="96"/>
      <c r="F687" s="96"/>
      <c r="G687" s="96"/>
    </row>
    <row r="688">
      <c r="A688" s="95"/>
      <c r="B688" s="96"/>
      <c r="C688" s="96"/>
      <c r="D688" s="96"/>
      <c r="E688" s="96"/>
      <c r="F688" s="96"/>
      <c r="G688" s="96"/>
    </row>
    <row r="689">
      <c r="A689" s="95"/>
      <c r="B689" s="96"/>
      <c r="C689" s="96"/>
      <c r="D689" s="96"/>
      <c r="E689" s="96"/>
      <c r="F689" s="96"/>
      <c r="G689" s="96"/>
    </row>
    <row r="690">
      <c r="A690" s="95"/>
      <c r="B690" s="96"/>
      <c r="C690" s="96"/>
      <c r="D690" s="96"/>
      <c r="E690" s="96"/>
      <c r="F690" s="96"/>
      <c r="G690" s="96"/>
    </row>
    <row r="691">
      <c r="A691" s="95"/>
      <c r="B691" s="96"/>
      <c r="C691" s="96"/>
      <c r="D691" s="96"/>
      <c r="E691" s="96"/>
      <c r="F691" s="96"/>
      <c r="G691" s="96"/>
    </row>
    <row r="692">
      <c r="A692" s="95"/>
      <c r="B692" s="96"/>
      <c r="C692" s="96"/>
      <c r="D692" s="96"/>
      <c r="E692" s="96"/>
      <c r="F692" s="96"/>
      <c r="G692" s="96"/>
    </row>
    <row r="693">
      <c r="A693" s="95"/>
      <c r="B693" s="96"/>
      <c r="C693" s="96"/>
      <c r="D693" s="96"/>
      <c r="E693" s="96"/>
      <c r="F693" s="96"/>
      <c r="G693" s="96"/>
    </row>
    <row r="694">
      <c r="A694" s="95"/>
      <c r="B694" s="96"/>
      <c r="C694" s="96"/>
      <c r="D694" s="96"/>
      <c r="E694" s="96"/>
      <c r="F694" s="96"/>
      <c r="G694" s="96"/>
    </row>
    <row r="695">
      <c r="A695" s="95"/>
      <c r="B695" s="96"/>
      <c r="C695" s="96"/>
      <c r="D695" s="96"/>
      <c r="E695" s="96"/>
      <c r="F695" s="96"/>
      <c r="G695" s="96"/>
    </row>
    <row r="696">
      <c r="A696" s="95"/>
      <c r="B696" s="96"/>
      <c r="C696" s="96"/>
      <c r="D696" s="96"/>
      <c r="E696" s="96"/>
      <c r="F696" s="96"/>
      <c r="G696" s="96"/>
    </row>
    <row r="697">
      <c r="A697" s="95"/>
      <c r="B697" s="96"/>
      <c r="C697" s="96"/>
      <c r="D697" s="96"/>
      <c r="E697" s="96"/>
      <c r="F697" s="96"/>
      <c r="G697" s="96"/>
    </row>
    <row r="698">
      <c r="A698" s="95"/>
      <c r="B698" s="96"/>
      <c r="C698" s="96"/>
      <c r="D698" s="96"/>
      <c r="E698" s="96"/>
      <c r="F698" s="96"/>
      <c r="G698" s="96"/>
    </row>
    <row r="699">
      <c r="A699" s="95"/>
      <c r="B699" s="96"/>
      <c r="C699" s="96"/>
      <c r="D699" s="96"/>
      <c r="E699" s="96"/>
      <c r="F699" s="96"/>
      <c r="G699" s="96"/>
    </row>
    <row r="700">
      <c r="A700" s="95"/>
      <c r="B700" s="96"/>
      <c r="C700" s="96"/>
      <c r="D700" s="96"/>
      <c r="E700" s="96"/>
      <c r="F700" s="96"/>
      <c r="G700" s="96"/>
    </row>
    <row r="701">
      <c r="A701" s="95"/>
      <c r="B701" s="96"/>
      <c r="C701" s="96"/>
      <c r="D701" s="96"/>
      <c r="E701" s="96"/>
      <c r="F701" s="96"/>
      <c r="G701" s="96"/>
    </row>
    <row r="702">
      <c r="A702" s="95"/>
      <c r="B702" s="96"/>
      <c r="C702" s="96"/>
      <c r="D702" s="96"/>
      <c r="E702" s="96"/>
      <c r="F702" s="96"/>
      <c r="G702" s="96"/>
    </row>
    <row r="703">
      <c r="A703" s="95"/>
      <c r="B703" s="96"/>
      <c r="C703" s="96"/>
      <c r="D703" s="96"/>
      <c r="E703" s="96"/>
      <c r="F703" s="96"/>
      <c r="G703" s="96"/>
    </row>
    <row r="704">
      <c r="A704" s="95"/>
      <c r="B704" s="96"/>
      <c r="C704" s="96"/>
      <c r="D704" s="96"/>
      <c r="E704" s="96"/>
      <c r="F704" s="96"/>
      <c r="G704" s="96"/>
    </row>
    <row r="705">
      <c r="A705" s="95"/>
      <c r="B705" s="96"/>
      <c r="C705" s="96"/>
      <c r="D705" s="96"/>
      <c r="E705" s="96"/>
      <c r="F705" s="96"/>
      <c r="G705" s="96"/>
    </row>
    <row r="706">
      <c r="A706" s="95"/>
      <c r="B706" s="96"/>
      <c r="C706" s="96"/>
      <c r="D706" s="96"/>
      <c r="E706" s="96"/>
      <c r="F706" s="96"/>
      <c r="G706" s="96"/>
    </row>
    <row r="707">
      <c r="A707" s="95"/>
      <c r="B707" s="96"/>
      <c r="C707" s="96"/>
      <c r="D707" s="96"/>
      <c r="E707" s="96"/>
      <c r="F707" s="96"/>
      <c r="G707" s="96"/>
    </row>
    <row r="708">
      <c r="A708" s="95"/>
      <c r="B708" s="96"/>
      <c r="C708" s="96"/>
      <c r="D708" s="96"/>
      <c r="E708" s="96"/>
      <c r="F708" s="96"/>
      <c r="G708" s="96"/>
    </row>
    <row r="709">
      <c r="A709" s="95"/>
      <c r="B709" s="96"/>
      <c r="C709" s="96"/>
      <c r="D709" s="96"/>
      <c r="E709" s="96"/>
      <c r="F709" s="96"/>
      <c r="G709" s="96"/>
    </row>
    <row r="710">
      <c r="A710" s="95"/>
      <c r="B710" s="96"/>
      <c r="C710" s="96"/>
      <c r="D710" s="96"/>
      <c r="E710" s="96"/>
      <c r="F710" s="96"/>
      <c r="G710" s="96"/>
    </row>
    <row r="711">
      <c r="A711" s="95"/>
      <c r="B711" s="96"/>
      <c r="C711" s="96"/>
      <c r="D711" s="96"/>
      <c r="E711" s="96"/>
      <c r="F711" s="96"/>
      <c r="G711" s="96"/>
    </row>
    <row r="712">
      <c r="A712" s="95"/>
      <c r="B712" s="96"/>
      <c r="C712" s="96"/>
      <c r="D712" s="96"/>
      <c r="E712" s="96"/>
      <c r="F712" s="96"/>
      <c r="G712" s="96"/>
    </row>
    <row r="713">
      <c r="A713" s="95"/>
      <c r="B713" s="96"/>
      <c r="C713" s="96"/>
      <c r="D713" s="96"/>
      <c r="E713" s="96"/>
      <c r="F713" s="96"/>
      <c r="G713" s="96"/>
    </row>
    <row r="714">
      <c r="A714" s="95"/>
      <c r="B714" s="96"/>
      <c r="C714" s="96"/>
      <c r="D714" s="96"/>
      <c r="E714" s="96"/>
      <c r="F714" s="96"/>
      <c r="G714" s="96"/>
    </row>
    <row r="715">
      <c r="A715" s="95"/>
      <c r="B715" s="96"/>
      <c r="C715" s="96"/>
      <c r="D715" s="96"/>
      <c r="E715" s="96"/>
      <c r="F715" s="96"/>
      <c r="G715" s="96"/>
    </row>
    <row r="716">
      <c r="A716" s="95"/>
      <c r="B716" s="96"/>
      <c r="C716" s="96"/>
      <c r="D716" s="96"/>
      <c r="E716" s="96"/>
      <c r="F716" s="96"/>
      <c r="G716" s="96"/>
    </row>
    <row r="717">
      <c r="A717" s="95"/>
      <c r="B717" s="96"/>
      <c r="C717" s="96"/>
      <c r="D717" s="96"/>
      <c r="E717" s="96"/>
      <c r="F717" s="96"/>
      <c r="G717" s="96"/>
    </row>
    <row r="718">
      <c r="A718" s="95"/>
      <c r="B718" s="96"/>
      <c r="C718" s="96"/>
      <c r="D718" s="96"/>
      <c r="E718" s="96"/>
      <c r="F718" s="96"/>
      <c r="G718" s="96"/>
    </row>
    <row r="719">
      <c r="A719" s="95"/>
      <c r="B719" s="96"/>
      <c r="C719" s="96"/>
      <c r="D719" s="96"/>
      <c r="E719" s="96"/>
      <c r="F719" s="96"/>
      <c r="G719" s="96"/>
    </row>
    <row r="720">
      <c r="A720" s="95"/>
      <c r="B720" s="96"/>
      <c r="C720" s="96"/>
      <c r="D720" s="96"/>
      <c r="E720" s="96"/>
      <c r="F720" s="96"/>
      <c r="G720" s="96"/>
    </row>
    <row r="721">
      <c r="A721" s="95"/>
      <c r="B721" s="96"/>
      <c r="C721" s="96"/>
      <c r="D721" s="96"/>
      <c r="E721" s="96"/>
      <c r="F721" s="96"/>
      <c r="G721" s="96"/>
    </row>
    <row r="722">
      <c r="A722" s="95"/>
      <c r="B722" s="96"/>
      <c r="C722" s="96"/>
      <c r="D722" s="96"/>
      <c r="E722" s="96"/>
      <c r="F722" s="96"/>
      <c r="G722" s="96"/>
    </row>
    <row r="723">
      <c r="A723" s="95"/>
      <c r="B723" s="96"/>
      <c r="C723" s="96"/>
      <c r="D723" s="96"/>
      <c r="E723" s="96"/>
      <c r="F723" s="96"/>
      <c r="G723" s="96"/>
    </row>
    <row r="724">
      <c r="A724" s="95"/>
      <c r="B724" s="96"/>
      <c r="C724" s="96"/>
      <c r="D724" s="96"/>
      <c r="E724" s="96"/>
      <c r="F724" s="96"/>
      <c r="G724" s="96"/>
    </row>
    <row r="725">
      <c r="A725" s="95"/>
      <c r="B725" s="96"/>
      <c r="C725" s="96"/>
      <c r="D725" s="96"/>
      <c r="E725" s="96"/>
      <c r="F725" s="96"/>
      <c r="G725" s="96"/>
    </row>
    <row r="726">
      <c r="A726" s="95"/>
      <c r="B726" s="96"/>
      <c r="C726" s="96"/>
      <c r="D726" s="96"/>
      <c r="E726" s="96"/>
      <c r="F726" s="96"/>
      <c r="G726" s="96"/>
    </row>
    <row r="727">
      <c r="A727" s="95"/>
      <c r="B727" s="96"/>
      <c r="C727" s="96"/>
      <c r="D727" s="96"/>
      <c r="E727" s="96"/>
      <c r="F727" s="96"/>
      <c r="G727" s="96"/>
    </row>
    <row r="728">
      <c r="A728" s="95"/>
      <c r="B728" s="96"/>
      <c r="C728" s="96"/>
      <c r="D728" s="96"/>
      <c r="E728" s="96"/>
      <c r="F728" s="96"/>
      <c r="G728" s="96"/>
    </row>
    <row r="729">
      <c r="A729" s="95"/>
      <c r="B729" s="96"/>
      <c r="C729" s="96"/>
      <c r="D729" s="96"/>
      <c r="E729" s="96"/>
      <c r="F729" s="96"/>
      <c r="G729" s="96"/>
    </row>
    <row r="730">
      <c r="A730" s="95"/>
      <c r="B730" s="96"/>
      <c r="C730" s="96"/>
      <c r="D730" s="96"/>
      <c r="E730" s="96"/>
      <c r="F730" s="96"/>
      <c r="G730" s="96"/>
    </row>
    <row r="731">
      <c r="A731" s="95"/>
      <c r="B731" s="96"/>
      <c r="C731" s="96"/>
      <c r="D731" s="96"/>
      <c r="E731" s="96"/>
      <c r="F731" s="96"/>
      <c r="G731" s="96"/>
    </row>
    <row r="732">
      <c r="A732" s="95"/>
      <c r="B732" s="96"/>
      <c r="C732" s="96"/>
      <c r="D732" s="96"/>
      <c r="E732" s="96"/>
      <c r="F732" s="96"/>
      <c r="G732" s="96"/>
    </row>
    <row r="733">
      <c r="A733" s="95"/>
      <c r="B733" s="96"/>
      <c r="C733" s="96"/>
      <c r="D733" s="96"/>
      <c r="E733" s="96"/>
      <c r="F733" s="96"/>
      <c r="G733" s="96"/>
    </row>
    <row r="734">
      <c r="A734" s="95"/>
      <c r="B734" s="96"/>
      <c r="C734" s="96"/>
      <c r="D734" s="96"/>
      <c r="E734" s="96"/>
      <c r="F734" s="96"/>
      <c r="G734" s="96"/>
    </row>
    <row r="735">
      <c r="A735" s="95"/>
      <c r="B735" s="96"/>
      <c r="C735" s="96"/>
      <c r="D735" s="96"/>
      <c r="E735" s="96"/>
      <c r="F735" s="96"/>
      <c r="G735" s="96"/>
    </row>
    <row r="736">
      <c r="A736" s="95"/>
      <c r="B736" s="96"/>
      <c r="C736" s="96"/>
      <c r="D736" s="96"/>
      <c r="E736" s="96"/>
      <c r="F736" s="96"/>
      <c r="G736" s="96"/>
    </row>
    <row r="737">
      <c r="A737" s="95"/>
      <c r="B737" s="96"/>
      <c r="C737" s="96"/>
      <c r="D737" s="96"/>
      <c r="E737" s="96"/>
      <c r="F737" s="96"/>
      <c r="G737" s="96"/>
    </row>
    <row r="738">
      <c r="A738" s="95"/>
      <c r="B738" s="96"/>
      <c r="C738" s="96"/>
      <c r="D738" s="96"/>
      <c r="E738" s="96"/>
      <c r="F738" s="96"/>
      <c r="G738" s="96"/>
    </row>
    <row r="739">
      <c r="A739" s="95"/>
      <c r="B739" s="96"/>
      <c r="C739" s="96"/>
      <c r="D739" s="96"/>
      <c r="E739" s="96"/>
      <c r="F739" s="96"/>
      <c r="G739" s="96"/>
    </row>
    <row r="740">
      <c r="A740" s="95"/>
      <c r="B740" s="96"/>
      <c r="C740" s="96"/>
      <c r="D740" s="96"/>
      <c r="E740" s="96"/>
      <c r="F740" s="96"/>
      <c r="G740" s="96"/>
    </row>
    <row r="741">
      <c r="A741" s="95"/>
      <c r="B741" s="96"/>
      <c r="C741" s="96"/>
      <c r="D741" s="96"/>
      <c r="E741" s="96"/>
      <c r="F741" s="96"/>
      <c r="G741" s="96"/>
    </row>
    <row r="742">
      <c r="A742" s="95"/>
      <c r="B742" s="96"/>
      <c r="C742" s="96"/>
      <c r="D742" s="96"/>
      <c r="E742" s="96"/>
      <c r="F742" s="96"/>
      <c r="G742" s="96"/>
    </row>
    <row r="743">
      <c r="A743" s="95"/>
      <c r="B743" s="96"/>
      <c r="C743" s="96"/>
      <c r="D743" s="96"/>
      <c r="E743" s="96"/>
      <c r="F743" s="96"/>
      <c r="G743" s="96"/>
    </row>
    <row r="744">
      <c r="A744" s="95"/>
      <c r="B744" s="96"/>
      <c r="C744" s="96"/>
      <c r="D744" s="96"/>
      <c r="E744" s="96"/>
      <c r="F744" s="96"/>
      <c r="G744" s="96"/>
    </row>
    <row r="745">
      <c r="A745" s="95"/>
      <c r="B745" s="96"/>
      <c r="C745" s="96"/>
      <c r="D745" s="96"/>
      <c r="E745" s="96"/>
      <c r="F745" s="96"/>
      <c r="G745" s="96"/>
    </row>
    <row r="746">
      <c r="A746" s="95"/>
      <c r="B746" s="96"/>
      <c r="C746" s="96"/>
      <c r="D746" s="96"/>
      <c r="E746" s="96"/>
      <c r="F746" s="96"/>
      <c r="G746" s="96"/>
    </row>
    <row r="747">
      <c r="A747" s="95"/>
      <c r="B747" s="96"/>
      <c r="C747" s="96"/>
      <c r="D747" s="96"/>
      <c r="E747" s="96"/>
      <c r="F747" s="96"/>
      <c r="G747" s="96"/>
    </row>
    <row r="748">
      <c r="A748" s="95"/>
      <c r="B748" s="96"/>
      <c r="C748" s="96"/>
      <c r="D748" s="96"/>
      <c r="E748" s="96"/>
      <c r="F748" s="96"/>
      <c r="G748" s="96"/>
    </row>
    <row r="749">
      <c r="A749" s="95"/>
      <c r="B749" s="96"/>
      <c r="C749" s="96"/>
      <c r="D749" s="96"/>
      <c r="E749" s="96"/>
      <c r="F749" s="96"/>
      <c r="G749" s="96"/>
    </row>
    <row r="750">
      <c r="A750" s="95"/>
      <c r="B750" s="96"/>
      <c r="C750" s="96"/>
      <c r="D750" s="96"/>
      <c r="E750" s="96"/>
      <c r="F750" s="96"/>
      <c r="G750" s="96"/>
    </row>
    <row r="751">
      <c r="A751" s="95"/>
      <c r="B751" s="96"/>
      <c r="C751" s="96"/>
      <c r="D751" s="96"/>
      <c r="E751" s="96"/>
      <c r="F751" s="96"/>
      <c r="G751" s="96"/>
    </row>
    <row r="752">
      <c r="A752" s="95"/>
      <c r="B752" s="96"/>
      <c r="C752" s="96"/>
      <c r="D752" s="96"/>
      <c r="E752" s="96"/>
      <c r="F752" s="96"/>
      <c r="G752" s="96"/>
    </row>
    <row r="753">
      <c r="A753" s="95"/>
      <c r="B753" s="96"/>
      <c r="C753" s="96"/>
      <c r="D753" s="96"/>
      <c r="E753" s="96"/>
      <c r="F753" s="96"/>
      <c r="G753" s="96"/>
    </row>
    <row r="754">
      <c r="A754" s="95"/>
      <c r="B754" s="96"/>
      <c r="C754" s="96"/>
      <c r="D754" s="96"/>
      <c r="E754" s="96"/>
      <c r="F754" s="96"/>
      <c r="G754" s="96"/>
    </row>
    <row r="755">
      <c r="A755" s="95"/>
      <c r="B755" s="96"/>
      <c r="C755" s="96"/>
      <c r="D755" s="96"/>
      <c r="E755" s="96"/>
      <c r="F755" s="96"/>
      <c r="G755" s="96"/>
    </row>
    <row r="756">
      <c r="A756" s="95"/>
      <c r="B756" s="96"/>
      <c r="C756" s="96"/>
      <c r="D756" s="96"/>
      <c r="E756" s="96"/>
      <c r="F756" s="96"/>
      <c r="G756" s="96"/>
    </row>
    <row r="757">
      <c r="A757" s="95"/>
      <c r="B757" s="96"/>
      <c r="C757" s="96"/>
      <c r="D757" s="96"/>
      <c r="E757" s="96"/>
      <c r="F757" s="96"/>
      <c r="G757" s="96"/>
    </row>
    <row r="758">
      <c r="A758" s="95"/>
      <c r="B758" s="96"/>
      <c r="C758" s="96"/>
      <c r="D758" s="96"/>
      <c r="E758" s="96"/>
      <c r="F758" s="96"/>
      <c r="G758" s="96"/>
    </row>
    <row r="759">
      <c r="A759" s="95"/>
      <c r="B759" s="96"/>
      <c r="C759" s="96"/>
      <c r="D759" s="96"/>
      <c r="E759" s="96"/>
      <c r="F759" s="96"/>
      <c r="G759" s="96"/>
    </row>
    <row r="760">
      <c r="A760" s="95"/>
      <c r="B760" s="96"/>
      <c r="C760" s="96"/>
      <c r="D760" s="96"/>
      <c r="E760" s="96"/>
      <c r="F760" s="96"/>
      <c r="G760" s="96"/>
    </row>
    <row r="761">
      <c r="A761" s="95"/>
      <c r="B761" s="96"/>
      <c r="C761" s="96"/>
      <c r="D761" s="96"/>
      <c r="E761" s="96"/>
      <c r="F761" s="96"/>
      <c r="G761" s="96"/>
    </row>
    <row r="762">
      <c r="A762" s="95"/>
      <c r="B762" s="96"/>
      <c r="C762" s="96"/>
      <c r="D762" s="96"/>
      <c r="E762" s="96"/>
      <c r="F762" s="96"/>
      <c r="G762" s="96"/>
    </row>
    <row r="763">
      <c r="A763" s="95"/>
      <c r="B763" s="96"/>
      <c r="C763" s="96"/>
      <c r="D763" s="96"/>
      <c r="E763" s="96"/>
      <c r="F763" s="96"/>
      <c r="G763" s="96"/>
    </row>
    <row r="764">
      <c r="A764" s="95"/>
      <c r="B764" s="96"/>
      <c r="C764" s="96"/>
      <c r="D764" s="96"/>
      <c r="E764" s="96"/>
      <c r="F764" s="96"/>
      <c r="G764" s="96"/>
    </row>
    <row r="765">
      <c r="A765" s="95"/>
      <c r="B765" s="96"/>
      <c r="C765" s="96"/>
      <c r="D765" s="96"/>
      <c r="E765" s="96"/>
      <c r="F765" s="96"/>
      <c r="G765" s="96"/>
    </row>
    <row r="766">
      <c r="A766" s="95"/>
      <c r="B766" s="96"/>
      <c r="C766" s="96"/>
      <c r="D766" s="96"/>
      <c r="E766" s="96"/>
      <c r="F766" s="96"/>
      <c r="G766" s="96"/>
    </row>
    <row r="767">
      <c r="A767" s="95"/>
      <c r="B767" s="96"/>
      <c r="C767" s="96"/>
      <c r="D767" s="96"/>
      <c r="E767" s="96"/>
      <c r="F767" s="96"/>
      <c r="G767" s="96"/>
    </row>
    <row r="768">
      <c r="A768" s="95"/>
      <c r="B768" s="96"/>
      <c r="C768" s="96"/>
      <c r="D768" s="96"/>
      <c r="E768" s="96"/>
      <c r="F768" s="96"/>
      <c r="G768" s="96"/>
    </row>
    <row r="769">
      <c r="A769" s="95"/>
      <c r="B769" s="96"/>
      <c r="C769" s="96"/>
      <c r="D769" s="96"/>
      <c r="E769" s="96"/>
      <c r="F769" s="96"/>
      <c r="G769" s="96"/>
    </row>
    <row r="770">
      <c r="A770" s="95"/>
      <c r="B770" s="96"/>
      <c r="C770" s="96"/>
      <c r="D770" s="96"/>
      <c r="E770" s="96"/>
      <c r="F770" s="96"/>
      <c r="G770" s="96"/>
    </row>
    <row r="771">
      <c r="A771" s="95"/>
      <c r="B771" s="96"/>
      <c r="C771" s="96"/>
      <c r="D771" s="96"/>
      <c r="E771" s="96"/>
      <c r="F771" s="96"/>
      <c r="G771" s="96"/>
    </row>
    <row r="772">
      <c r="A772" s="95"/>
      <c r="B772" s="96"/>
      <c r="C772" s="96"/>
      <c r="D772" s="96"/>
      <c r="E772" s="96"/>
      <c r="F772" s="96"/>
      <c r="G772" s="96"/>
    </row>
    <row r="773">
      <c r="A773" s="95"/>
      <c r="B773" s="96"/>
      <c r="C773" s="96"/>
      <c r="D773" s="96"/>
      <c r="E773" s="96"/>
      <c r="F773" s="96"/>
      <c r="G773" s="96"/>
    </row>
    <row r="774">
      <c r="A774" s="95"/>
      <c r="B774" s="96"/>
      <c r="C774" s="96"/>
      <c r="D774" s="96"/>
      <c r="E774" s="96"/>
      <c r="F774" s="96"/>
      <c r="G774" s="96"/>
    </row>
    <row r="775">
      <c r="A775" s="95"/>
      <c r="B775" s="96"/>
      <c r="C775" s="96"/>
      <c r="D775" s="96"/>
      <c r="E775" s="96"/>
      <c r="F775" s="96"/>
      <c r="G775" s="96"/>
    </row>
    <row r="776">
      <c r="A776" s="95"/>
      <c r="B776" s="96"/>
      <c r="C776" s="96"/>
      <c r="D776" s="96"/>
      <c r="E776" s="96"/>
      <c r="F776" s="96"/>
      <c r="G776" s="96"/>
    </row>
    <row r="777">
      <c r="A777" s="95"/>
      <c r="B777" s="96"/>
      <c r="C777" s="96"/>
      <c r="D777" s="96"/>
      <c r="E777" s="96"/>
      <c r="F777" s="96"/>
      <c r="G777" s="96"/>
    </row>
    <row r="778">
      <c r="A778" s="95"/>
      <c r="B778" s="96"/>
      <c r="C778" s="96"/>
      <c r="D778" s="96"/>
      <c r="E778" s="96"/>
      <c r="F778" s="96"/>
      <c r="G778" s="96"/>
    </row>
    <row r="779">
      <c r="A779" s="95"/>
      <c r="B779" s="96"/>
      <c r="C779" s="96"/>
      <c r="D779" s="96"/>
      <c r="E779" s="96"/>
      <c r="F779" s="96"/>
      <c r="G779" s="96"/>
    </row>
    <row r="780">
      <c r="A780" s="95"/>
      <c r="B780" s="96"/>
      <c r="C780" s="96"/>
      <c r="D780" s="96"/>
      <c r="E780" s="96"/>
      <c r="F780" s="96"/>
      <c r="G780" s="96"/>
    </row>
    <row r="781">
      <c r="A781" s="95"/>
      <c r="B781" s="96"/>
      <c r="C781" s="96"/>
      <c r="D781" s="96"/>
      <c r="E781" s="96"/>
      <c r="F781" s="96"/>
      <c r="G781" s="96"/>
    </row>
    <row r="782">
      <c r="A782" s="95"/>
      <c r="B782" s="96"/>
      <c r="C782" s="96"/>
      <c r="D782" s="96"/>
      <c r="E782" s="96"/>
      <c r="F782" s="96"/>
      <c r="G782" s="96"/>
    </row>
    <row r="783">
      <c r="A783" s="95"/>
      <c r="B783" s="96"/>
      <c r="C783" s="96"/>
      <c r="D783" s="96"/>
      <c r="E783" s="96"/>
      <c r="F783" s="96"/>
      <c r="G783" s="96"/>
    </row>
    <row r="784">
      <c r="A784" s="95"/>
      <c r="B784" s="96"/>
      <c r="C784" s="96"/>
      <c r="D784" s="96"/>
      <c r="E784" s="96"/>
      <c r="F784" s="96"/>
      <c r="G784" s="96"/>
    </row>
    <row r="785">
      <c r="A785" s="95"/>
      <c r="B785" s="96"/>
      <c r="C785" s="96"/>
      <c r="D785" s="96"/>
      <c r="E785" s="96"/>
      <c r="F785" s="96"/>
      <c r="G785" s="96"/>
    </row>
    <row r="786">
      <c r="A786" s="95"/>
      <c r="B786" s="96"/>
      <c r="C786" s="96"/>
      <c r="D786" s="96"/>
      <c r="E786" s="96"/>
      <c r="F786" s="96"/>
      <c r="G786" s="96"/>
    </row>
    <row r="787">
      <c r="A787" s="95"/>
      <c r="B787" s="96"/>
      <c r="C787" s="96"/>
      <c r="D787" s="96"/>
      <c r="E787" s="96"/>
      <c r="F787" s="96"/>
      <c r="G787" s="96"/>
    </row>
    <row r="788">
      <c r="A788" s="95"/>
      <c r="B788" s="96"/>
      <c r="C788" s="96"/>
      <c r="D788" s="96"/>
      <c r="E788" s="96"/>
      <c r="F788" s="96"/>
      <c r="G788" s="96"/>
    </row>
    <row r="789">
      <c r="A789" s="95"/>
      <c r="B789" s="96"/>
      <c r="C789" s="96"/>
      <c r="D789" s="96"/>
      <c r="E789" s="96"/>
      <c r="F789" s="96"/>
      <c r="G789" s="96"/>
    </row>
    <row r="790">
      <c r="A790" s="95"/>
      <c r="B790" s="96"/>
      <c r="C790" s="96"/>
      <c r="D790" s="96"/>
      <c r="E790" s="96"/>
      <c r="F790" s="96"/>
      <c r="G790" s="96"/>
    </row>
    <row r="791">
      <c r="A791" s="95"/>
      <c r="B791" s="96"/>
      <c r="C791" s="96"/>
      <c r="D791" s="96"/>
      <c r="E791" s="96"/>
      <c r="F791" s="96"/>
      <c r="G791" s="96"/>
    </row>
    <row r="792">
      <c r="A792" s="95"/>
      <c r="B792" s="96"/>
      <c r="C792" s="96"/>
      <c r="D792" s="96"/>
      <c r="E792" s="96"/>
      <c r="F792" s="96"/>
      <c r="G792" s="96"/>
    </row>
    <row r="793">
      <c r="A793" s="95"/>
      <c r="B793" s="96"/>
      <c r="C793" s="96"/>
      <c r="D793" s="96"/>
      <c r="E793" s="96"/>
      <c r="F793" s="96"/>
      <c r="G793" s="96"/>
    </row>
    <row r="794">
      <c r="A794" s="95"/>
      <c r="B794" s="96"/>
      <c r="C794" s="96"/>
      <c r="D794" s="96"/>
      <c r="E794" s="96"/>
      <c r="F794" s="96"/>
      <c r="G794" s="96"/>
    </row>
    <row r="795">
      <c r="A795" s="95"/>
      <c r="B795" s="96"/>
      <c r="C795" s="96"/>
      <c r="D795" s="96"/>
      <c r="E795" s="96"/>
      <c r="F795" s="96"/>
      <c r="G795" s="96"/>
    </row>
    <row r="796">
      <c r="A796" s="95"/>
      <c r="B796" s="96"/>
      <c r="C796" s="96"/>
      <c r="D796" s="96"/>
      <c r="E796" s="96"/>
      <c r="F796" s="96"/>
      <c r="G796" s="96"/>
    </row>
    <row r="797">
      <c r="A797" s="95"/>
      <c r="B797" s="96"/>
      <c r="C797" s="96"/>
      <c r="D797" s="96"/>
      <c r="E797" s="96"/>
      <c r="F797" s="96"/>
      <c r="G797" s="96"/>
    </row>
    <row r="798">
      <c r="A798" s="95"/>
      <c r="B798" s="96"/>
      <c r="C798" s="96"/>
      <c r="D798" s="96"/>
      <c r="E798" s="96"/>
      <c r="F798" s="96"/>
      <c r="G798" s="96"/>
    </row>
    <row r="799">
      <c r="A799" s="95"/>
      <c r="B799" s="96"/>
      <c r="C799" s="96"/>
      <c r="D799" s="96"/>
      <c r="E799" s="96"/>
      <c r="F799" s="96"/>
      <c r="G799" s="96"/>
    </row>
    <row r="800">
      <c r="A800" s="95"/>
      <c r="B800" s="96"/>
      <c r="C800" s="96"/>
      <c r="D800" s="96"/>
      <c r="E800" s="96"/>
      <c r="F800" s="96"/>
      <c r="G800" s="96"/>
    </row>
    <row r="801">
      <c r="A801" s="95"/>
      <c r="B801" s="96"/>
      <c r="C801" s="96"/>
      <c r="D801" s="96"/>
      <c r="E801" s="96"/>
      <c r="F801" s="96"/>
      <c r="G801" s="96"/>
    </row>
    <row r="802">
      <c r="A802" s="95"/>
      <c r="B802" s="96"/>
      <c r="C802" s="96"/>
      <c r="D802" s="96"/>
      <c r="E802" s="96"/>
      <c r="F802" s="96"/>
      <c r="G802" s="96"/>
    </row>
    <row r="803">
      <c r="A803" s="95"/>
      <c r="B803" s="96"/>
      <c r="C803" s="96"/>
      <c r="D803" s="96"/>
      <c r="E803" s="96"/>
      <c r="F803" s="96"/>
      <c r="G803" s="96"/>
    </row>
    <row r="804">
      <c r="A804" s="95"/>
      <c r="B804" s="96"/>
      <c r="C804" s="96"/>
      <c r="D804" s="96"/>
      <c r="E804" s="96"/>
      <c r="F804" s="96"/>
      <c r="G804" s="96"/>
    </row>
    <row r="805">
      <c r="A805" s="95"/>
      <c r="B805" s="96"/>
      <c r="C805" s="96"/>
      <c r="D805" s="96"/>
      <c r="E805" s="96"/>
      <c r="F805" s="96"/>
      <c r="G805" s="96"/>
    </row>
    <row r="806">
      <c r="A806" s="95"/>
      <c r="B806" s="96"/>
      <c r="C806" s="96"/>
      <c r="D806" s="96"/>
      <c r="E806" s="96"/>
      <c r="F806" s="96"/>
      <c r="G806" s="96"/>
    </row>
    <row r="807">
      <c r="A807" s="95"/>
      <c r="B807" s="96"/>
      <c r="C807" s="96"/>
      <c r="D807" s="96"/>
      <c r="E807" s="96"/>
      <c r="F807" s="96"/>
      <c r="G807" s="96"/>
    </row>
    <row r="808">
      <c r="A808" s="95"/>
      <c r="B808" s="96"/>
      <c r="C808" s="96"/>
      <c r="D808" s="96"/>
      <c r="E808" s="96"/>
      <c r="F808" s="96"/>
      <c r="G808" s="96"/>
    </row>
    <row r="809">
      <c r="A809" s="95"/>
      <c r="B809" s="96"/>
      <c r="C809" s="96"/>
      <c r="D809" s="96"/>
      <c r="E809" s="96"/>
      <c r="F809" s="96"/>
      <c r="G809" s="96"/>
    </row>
    <row r="810">
      <c r="A810" s="95"/>
      <c r="B810" s="96"/>
      <c r="C810" s="96"/>
      <c r="D810" s="96"/>
      <c r="E810" s="96"/>
      <c r="F810" s="96"/>
      <c r="G810" s="96"/>
    </row>
    <row r="811">
      <c r="A811" s="95"/>
      <c r="B811" s="96"/>
      <c r="C811" s="96"/>
      <c r="D811" s="96"/>
      <c r="E811" s="96"/>
      <c r="F811" s="96"/>
      <c r="G811" s="96"/>
    </row>
    <row r="812">
      <c r="A812" s="95"/>
      <c r="B812" s="96"/>
      <c r="C812" s="96"/>
      <c r="D812" s="96"/>
      <c r="E812" s="96"/>
      <c r="F812" s="96"/>
      <c r="G812" s="96"/>
    </row>
    <row r="813">
      <c r="A813" s="95"/>
      <c r="B813" s="96"/>
      <c r="C813" s="96"/>
      <c r="D813" s="96"/>
      <c r="E813" s="96"/>
      <c r="F813" s="96"/>
      <c r="G813" s="96"/>
    </row>
    <row r="814">
      <c r="A814" s="95"/>
      <c r="B814" s="96"/>
      <c r="C814" s="96"/>
      <c r="D814" s="96"/>
      <c r="E814" s="96"/>
      <c r="F814" s="96"/>
      <c r="G814" s="96"/>
    </row>
    <row r="815">
      <c r="A815" s="95"/>
      <c r="B815" s="96"/>
      <c r="C815" s="96"/>
      <c r="D815" s="96"/>
      <c r="E815" s="96"/>
      <c r="F815" s="96"/>
      <c r="G815" s="96"/>
    </row>
    <row r="816">
      <c r="A816" s="95"/>
      <c r="B816" s="96"/>
      <c r="C816" s="96"/>
      <c r="D816" s="96"/>
      <c r="E816" s="96"/>
      <c r="F816" s="96"/>
      <c r="G816" s="96"/>
    </row>
    <row r="817">
      <c r="A817" s="95"/>
      <c r="B817" s="96"/>
      <c r="C817" s="96"/>
      <c r="D817" s="96"/>
      <c r="E817" s="96"/>
      <c r="F817" s="96"/>
      <c r="G817" s="96"/>
    </row>
    <row r="818">
      <c r="A818" s="95"/>
      <c r="B818" s="96"/>
      <c r="C818" s="96"/>
      <c r="D818" s="96"/>
      <c r="E818" s="96"/>
      <c r="F818" s="96"/>
      <c r="G818" s="96"/>
    </row>
    <row r="819">
      <c r="A819" s="95"/>
      <c r="B819" s="96"/>
      <c r="C819" s="96"/>
      <c r="D819" s="96"/>
      <c r="E819" s="96"/>
      <c r="F819" s="96"/>
      <c r="G819" s="96"/>
    </row>
    <row r="820">
      <c r="A820" s="95"/>
      <c r="B820" s="96"/>
      <c r="C820" s="96"/>
      <c r="D820" s="96"/>
      <c r="E820" s="96"/>
      <c r="F820" s="96"/>
      <c r="G820" s="96"/>
    </row>
    <row r="821">
      <c r="A821" s="95"/>
      <c r="B821" s="96"/>
      <c r="C821" s="96"/>
      <c r="D821" s="96"/>
      <c r="E821" s="96"/>
      <c r="F821" s="96"/>
      <c r="G821" s="96"/>
    </row>
    <row r="822">
      <c r="A822" s="95"/>
      <c r="B822" s="96"/>
      <c r="C822" s="96"/>
      <c r="D822" s="96"/>
      <c r="E822" s="96"/>
      <c r="F822" s="96"/>
      <c r="G822" s="96"/>
    </row>
    <row r="823">
      <c r="A823" s="95"/>
      <c r="B823" s="96"/>
      <c r="C823" s="96"/>
      <c r="D823" s="96"/>
      <c r="E823" s="96"/>
      <c r="F823" s="96"/>
      <c r="G823" s="96"/>
    </row>
    <row r="824">
      <c r="A824" s="95"/>
      <c r="B824" s="96"/>
      <c r="C824" s="96"/>
      <c r="D824" s="96"/>
      <c r="E824" s="96"/>
      <c r="F824" s="96"/>
      <c r="G824" s="96"/>
    </row>
    <row r="825">
      <c r="A825" s="95"/>
      <c r="B825" s="96"/>
      <c r="C825" s="96"/>
      <c r="D825" s="96"/>
      <c r="E825" s="96"/>
      <c r="F825" s="96"/>
      <c r="G825" s="96"/>
    </row>
    <row r="826">
      <c r="A826" s="95"/>
      <c r="B826" s="96"/>
      <c r="C826" s="96"/>
      <c r="D826" s="96"/>
      <c r="E826" s="96"/>
      <c r="F826" s="96"/>
      <c r="G826" s="96"/>
    </row>
    <row r="827">
      <c r="A827" s="95"/>
      <c r="B827" s="96"/>
      <c r="C827" s="96"/>
      <c r="D827" s="96"/>
      <c r="E827" s="96"/>
      <c r="F827" s="96"/>
      <c r="G827" s="96"/>
    </row>
    <row r="828">
      <c r="A828" s="95"/>
      <c r="B828" s="96"/>
      <c r="C828" s="96"/>
      <c r="D828" s="96"/>
      <c r="E828" s="96"/>
      <c r="F828" s="96"/>
      <c r="G828" s="96"/>
    </row>
    <row r="829">
      <c r="A829" s="95"/>
      <c r="B829" s="96"/>
      <c r="C829" s="96"/>
      <c r="D829" s="96"/>
      <c r="E829" s="96"/>
      <c r="F829" s="96"/>
      <c r="G829" s="96"/>
    </row>
    <row r="830">
      <c r="A830" s="95"/>
      <c r="B830" s="96"/>
      <c r="C830" s="96"/>
      <c r="D830" s="96"/>
      <c r="E830" s="96"/>
      <c r="F830" s="96"/>
      <c r="G830" s="96"/>
    </row>
    <row r="831">
      <c r="A831" s="95"/>
      <c r="B831" s="96"/>
      <c r="C831" s="96"/>
      <c r="D831" s="96"/>
      <c r="E831" s="96"/>
      <c r="F831" s="96"/>
      <c r="G831" s="96"/>
    </row>
    <row r="832">
      <c r="A832" s="95"/>
      <c r="B832" s="96"/>
      <c r="C832" s="96"/>
      <c r="D832" s="96"/>
      <c r="E832" s="96"/>
      <c r="F832" s="96"/>
      <c r="G832" s="96"/>
    </row>
    <row r="833">
      <c r="A833" s="95"/>
      <c r="B833" s="96"/>
      <c r="C833" s="96"/>
      <c r="D833" s="96"/>
      <c r="E833" s="96"/>
      <c r="F833" s="96"/>
      <c r="G833" s="96"/>
    </row>
    <row r="834">
      <c r="A834" s="95"/>
      <c r="B834" s="96"/>
      <c r="C834" s="96"/>
      <c r="D834" s="96"/>
      <c r="E834" s="96"/>
      <c r="F834" s="96"/>
      <c r="G834" s="96"/>
    </row>
    <row r="835">
      <c r="A835" s="95"/>
      <c r="B835" s="96"/>
      <c r="C835" s="96"/>
      <c r="D835" s="96"/>
      <c r="E835" s="96"/>
      <c r="F835" s="96"/>
      <c r="G835" s="96"/>
    </row>
    <row r="836">
      <c r="A836" s="95"/>
      <c r="B836" s="96"/>
      <c r="C836" s="96"/>
      <c r="D836" s="96"/>
      <c r="E836" s="96"/>
      <c r="F836" s="96"/>
      <c r="G836" s="96"/>
    </row>
    <row r="837">
      <c r="A837" s="95"/>
      <c r="B837" s="96"/>
      <c r="C837" s="96"/>
      <c r="D837" s="96"/>
      <c r="E837" s="96"/>
      <c r="F837" s="96"/>
      <c r="G837" s="96"/>
    </row>
    <row r="838">
      <c r="A838" s="95"/>
      <c r="B838" s="96"/>
      <c r="C838" s="96"/>
      <c r="D838" s="96"/>
      <c r="E838" s="96"/>
      <c r="F838" s="96"/>
      <c r="G838" s="96"/>
    </row>
    <row r="839">
      <c r="A839" s="95"/>
      <c r="B839" s="96"/>
      <c r="C839" s="96"/>
      <c r="D839" s="96"/>
      <c r="E839" s="96"/>
      <c r="F839" s="96"/>
      <c r="G839" s="96"/>
    </row>
    <row r="840">
      <c r="A840" s="95"/>
      <c r="B840" s="96"/>
      <c r="C840" s="96"/>
      <c r="D840" s="96"/>
      <c r="E840" s="96"/>
      <c r="F840" s="96"/>
      <c r="G840" s="96"/>
    </row>
    <row r="841">
      <c r="A841" s="95"/>
      <c r="B841" s="96"/>
      <c r="C841" s="96"/>
      <c r="D841" s="96"/>
      <c r="E841" s="96"/>
      <c r="F841" s="96"/>
      <c r="G841" s="96"/>
    </row>
    <row r="842">
      <c r="A842" s="95"/>
      <c r="B842" s="96"/>
      <c r="C842" s="96"/>
      <c r="D842" s="96"/>
      <c r="E842" s="96"/>
      <c r="F842" s="96"/>
      <c r="G842" s="96"/>
    </row>
    <row r="843">
      <c r="A843" s="95"/>
      <c r="B843" s="96"/>
      <c r="C843" s="96"/>
      <c r="D843" s="96"/>
      <c r="E843" s="96"/>
      <c r="F843" s="96"/>
      <c r="G843" s="96"/>
    </row>
    <row r="844">
      <c r="A844" s="95"/>
      <c r="B844" s="96"/>
      <c r="C844" s="96"/>
      <c r="D844" s="96"/>
      <c r="E844" s="96"/>
      <c r="F844" s="96"/>
      <c r="G844" s="96"/>
    </row>
    <row r="845">
      <c r="A845" s="95"/>
      <c r="B845" s="96"/>
      <c r="C845" s="96"/>
      <c r="D845" s="96"/>
      <c r="E845" s="96"/>
      <c r="F845" s="96"/>
      <c r="G845" s="96"/>
    </row>
    <row r="846">
      <c r="A846" s="95"/>
      <c r="B846" s="96"/>
      <c r="C846" s="96"/>
      <c r="D846" s="96"/>
      <c r="E846" s="96"/>
      <c r="F846" s="96"/>
      <c r="G846" s="96"/>
    </row>
    <row r="847">
      <c r="A847" s="95"/>
      <c r="B847" s="96"/>
      <c r="C847" s="96"/>
      <c r="D847" s="96"/>
      <c r="E847" s="96"/>
      <c r="F847" s="96"/>
      <c r="G847" s="96"/>
    </row>
    <row r="848">
      <c r="A848" s="95"/>
      <c r="B848" s="96"/>
      <c r="C848" s="96"/>
      <c r="D848" s="96"/>
      <c r="E848" s="96"/>
      <c r="F848" s="96"/>
      <c r="G848" s="96"/>
    </row>
    <row r="849">
      <c r="A849" s="95"/>
      <c r="B849" s="96"/>
      <c r="C849" s="96"/>
      <c r="D849" s="96"/>
      <c r="E849" s="96"/>
      <c r="F849" s="96"/>
      <c r="G849" s="96"/>
    </row>
    <row r="850">
      <c r="A850" s="95"/>
      <c r="B850" s="96"/>
      <c r="C850" s="96"/>
      <c r="D850" s="96"/>
      <c r="E850" s="96"/>
      <c r="F850" s="96"/>
      <c r="G850" s="96"/>
    </row>
    <row r="851">
      <c r="A851" s="95"/>
      <c r="B851" s="96"/>
      <c r="C851" s="96"/>
      <c r="D851" s="96"/>
      <c r="E851" s="96"/>
      <c r="F851" s="96"/>
      <c r="G851" s="96"/>
    </row>
    <row r="852">
      <c r="A852" s="95"/>
      <c r="B852" s="96"/>
      <c r="C852" s="96"/>
      <c r="D852" s="96"/>
      <c r="E852" s="96"/>
      <c r="F852" s="96"/>
      <c r="G852" s="96"/>
    </row>
    <row r="853">
      <c r="A853" s="95"/>
      <c r="B853" s="96"/>
      <c r="C853" s="96"/>
      <c r="D853" s="96"/>
      <c r="E853" s="96"/>
      <c r="F853" s="96"/>
      <c r="G853" s="96"/>
    </row>
    <row r="854">
      <c r="A854" s="95"/>
      <c r="B854" s="96"/>
      <c r="C854" s="96"/>
      <c r="D854" s="96"/>
      <c r="E854" s="96"/>
      <c r="F854" s="96"/>
      <c r="G854" s="96"/>
    </row>
    <row r="855">
      <c r="A855" s="95"/>
      <c r="B855" s="96"/>
      <c r="C855" s="96"/>
      <c r="D855" s="96"/>
      <c r="E855" s="96"/>
      <c r="F855" s="96"/>
      <c r="G855" s="96"/>
    </row>
    <row r="856">
      <c r="A856" s="95"/>
      <c r="B856" s="96"/>
      <c r="C856" s="96"/>
      <c r="D856" s="96"/>
      <c r="E856" s="96"/>
      <c r="F856" s="96"/>
      <c r="G856" s="96"/>
    </row>
    <row r="857">
      <c r="A857" s="95"/>
      <c r="B857" s="96"/>
      <c r="C857" s="96"/>
      <c r="D857" s="96"/>
      <c r="E857" s="96"/>
      <c r="F857" s="96"/>
      <c r="G857" s="96"/>
    </row>
    <row r="858">
      <c r="A858" s="95"/>
      <c r="B858" s="96"/>
      <c r="C858" s="96"/>
      <c r="D858" s="96"/>
      <c r="E858" s="96"/>
      <c r="F858" s="96"/>
      <c r="G858" s="96"/>
    </row>
    <row r="859">
      <c r="A859" s="95"/>
      <c r="B859" s="96"/>
      <c r="C859" s="96"/>
      <c r="D859" s="96"/>
      <c r="E859" s="96"/>
      <c r="F859" s="96"/>
      <c r="G859" s="96"/>
    </row>
    <row r="860">
      <c r="A860" s="95"/>
      <c r="B860" s="96"/>
      <c r="C860" s="96"/>
      <c r="D860" s="96"/>
      <c r="E860" s="96"/>
      <c r="F860" s="96"/>
      <c r="G860" s="96"/>
    </row>
    <row r="861">
      <c r="A861" s="95"/>
      <c r="B861" s="96"/>
      <c r="C861" s="96"/>
      <c r="D861" s="96"/>
      <c r="E861" s="96"/>
      <c r="F861" s="96"/>
      <c r="G861" s="96"/>
    </row>
    <row r="862">
      <c r="A862" s="95"/>
      <c r="B862" s="96"/>
      <c r="C862" s="96"/>
      <c r="D862" s="96"/>
      <c r="E862" s="96"/>
      <c r="F862" s="96"/>
      <c r="G862" s="96"/>
    </row>
    <row r="863">
      <c r="A863" s="95"/>
      <c r="B863" s="96"/>
      <c r="C863" s="96"/>
      <c r="D863" s="96"/>
      <c r="E863" s="96"/>
      <c r="F863" s="96"/>
      <c r="G863" s="96"/>
    </row>
    <row r="864">
      <c r="A864" s="95"/>
      <c r="B864" s="96"/>
      <c r="C864" s="96"/>
      <c r="D864" s="96"/>
      <c r="E864" s="96"/>
      <c r="F864" s="96"/>
      <c r="G864" s="96"/>
    </row>
    <row r="865">
      <c r="A865" s="95"/>
      <c r="B865" s="96"/>
      <c r="C865" s="96"/>
      <c r="D865" s="96"/>
      <c r="E865" s="96"/>
      <c r="F865" s="96"/>
      <c r="G865" s="96"/>
    </row>
    <row r="866">
      <c r="A866" s="95"/>
      <c r="B866" s="96"/>
      <c r="C866" s="96"/>
      <c r="D866" s="96"/>
      <c r="E866" s="96"/>
      <c r="F866" s="96"/>
      <c r="G866" s="96"/>
    </row>
    <row r="867">
      <c r="A867" s="95"/>
      <c r="B867" s="96"/>
      <c r="C867" s="96"/>
      <c r="D867" s="96"/>
      <c r="E867" s="96"/>
      <c r="F867" s="96"/>
      <c r="G867" s="96"/>
    </row>
    <row r="868">
      <c r="A868" s="95"/>
      <c r="B868" s="96"/>
      <c r="C868" s="96"/>
      <c r="D868" s="96"/>
      <c r="E868" s="96"/>
      <c r="F868" s="96"/>
      <c r="G868" s="96"/>
    </row>
    <row r="869">
      <c r="A869" s="95"/>
      <c r="B869" s="96"/>
      <c r="C869" s="96"/>
      <c r="D869" s="96"/>
      <c r="E869" s="96"/>
      <c r="F869" s="96"/>
      <c r="G869" s="96"/>
    </row>
    <row r="870">
      <c r="A870" s="95"/>
      <c r="B870" s="96"/>
      <c r="C870" s="96"/>
      <c r="D870" s="96"/>
      <c r="E870" s="96"/>
      <c r="F870" s="96"/>
      <c r="G870" s="96"/>
    </row>
    <row r="871">
      <c r="A871" s="95"/>
      <c r="B871" s="96"/>
      <c r="C871" s="96"/>
      <c r="D871" s="96"/>
      <c r="E871" s="96"/>
      <c r="F871" s="96"/>
      <c r="G871" s="96"/>
    </row>
    <row r="872">
      <c r="A872" s="95"/>
      <c r="B872" s="96"/>
      <c r="C872" s="96"/>
      <c r="D872" s="96"/>
      <c r="E872" s="96"/>
      <c r="F872" s="96"/>
      <c r="G872" s="96"/>
    </row>
    <row r="873">
      <c r="A873" s="95"/>
      <c r="B873" s="96"/>
      <c r="C873" s="96"/>
      <c r="D873" s="96"/>
      <c r="E873" s="96"/>
      <c r="F873" s="96"/>
      <c r="G873" s="96"/>
    </row>
    <row r="874">
      <c r="A874" s="95"/>
      <c r="B874" s="96"/>
      <c r="C874" s="96"/>
      <c r="D874" s="96"/>
      <c r="E874" s="96"/>
      <c r="F874" s="96"/>
      <c r="G874" s="96"/>
    </row>
    <row r="875">
      <c r="A875" s="95"/>
      <c r="B875" s="96"/>
      <c r="C875" s="96"/>
      <c r="D875" s="96"/>
      <c r="E875" s="96"/>
      <c r="F875" s="96"/>
      <c r="G875" s="96"/>
    </row>
    <row r="876">
      <c r="A876" s="95"/>
      <c r="B876" s="96"/>
      <c r="C876" s="96"/>
      <c r="D876" s="96"/>
      <c r="E876" s="96"/>
      <c r="F876" s="96"/>
      <c r="G876" s="96"/>
    </row>
    <row r="877">
      <c r="A877" s="95"/>
      <c r="B877" s="96"/>
      <c r="C877" s="96"/>
      <c r="D877" s="96"/>
      <c r="E877" s="96"/>
      <c r="F877" s="96"/>
      <c r="G877" s="96"/>
    </row>
    <row r="878">
      <c r="A878" s="95"/>
      <c r="B878" s="96"/>
      <c r="C878" s="96"/>
      <c r="D878" s="96"/>
      <c r="E878" s="96"/>
      <c r="F878" s="96"/>
      <c r="G878" s="96"/>
    </row>
    <row r="879">
      <c r="A879" s="95"/>
      <c r="B879" s="96"/>
      <c r="C879" s="96"/>
      <c r="D879" s="96"/>
      <c r="E879" s="96"/>
      <c r="F879" s="96"/>
      <c r="G879" s="96"/>
    </row>
    <row r="880">
      <c r="A880" s="95"/>
      <c r="B880" s="96"/>
      <c r="C880" s="96"/>
      <c r="D880" s="96"/>
      <c r="E880" s="96"/>
      <c r="F880" s="96"/>
      <c r="G880" s="96"/>
    </row>
    <row r="881">
      <c r="A881" s="95"/>
      <c r="B881" s="96"/>
      <c r="C881" s="96"/>
      <c r="D881" s="96"/>
      <c r="E881" s="96"/>
      <c r="F881" s="96"/>
      <c r="G881" s="96"/>
    </row>
    <row r="882">
      <c r="A882" s="95"/>
      <c r="B882" s="96"/>
      <c r="C882" s="96"/>
      <c r="D882" s="96"/>
      <c r="E882" s="96"/>
      <c r="F882" s="96"/>
      <c r="G882" s="96"/>
    </row>
    <row r="883">
      <c r="A883" s="95"/>
      <c r="B883" s="96"/>
      <c r="C883" s="96"/>
      <c r="D883" s="96"/>
      <c r="E883" s="96"/>
      <c r="F883" s="96"/>
      <c r="G883" s="96"/>
    </row>
    <row r="884">
      <c r="A884" s="95"/>
      <c r="B884" s="96"/>
      <c r="C884" s="96"/>
      <c r="D884" s="96"/>
      <c r="E884" s="96"/>
      <c r="F884" s="96"/>
      <c r="G884" s="96"/>
    </row>
    <row r="885">
      <c r="A885" s="95"/>
      <c r="B885" s="96"/>
      <c r="C885" s="96"/>
      <c r="D885" s="96"/>
      <c r="E885" s="96"/>
      <c r="F885" s="96"/>
      <c r="G885" s="96"/>
    </row>
    <row r="886">
      <c r="A886" s="95"/>
      <c r="B886" s="96"/>
      <c r="C886" s="96"/>
      <c r="D886" s="96"/>
      <c r="E886" s="96"/>
      <c r="F886" s="96"/>
      <c r="G886" s="96"/>
    </row>
    <row r="887">
      <c r="A887" s="95"/>
      <c r="B887" s="96"/>
      <c r="C887" s="96"/>
      <c r="D887" s="96"/>
      <c r="E887" s="96"/>
      <c r="F887" s="96"/>
      <c r="G887" s="96"/>
    </row>
    <row r="888">
      <c r="A888" s="95"/>
      <c r="B888" s="96"/>
      <c r="C888" s="96"/>
      <c r="D888" s="96"/>
      <c r="E888" s="96"/>
      <c r="F888" s="96"/>
      <c r="G888" s="96"/>
    </row>
    <row r="889">
      <c r="A889" s="95"/>
      <c r="B889" s="96"/>
      <c r="C889" s="96"/>
      <c r="D889" s="96"/>
      <c r="E889" s="96"/>
      <c r="F889" s="96"/>
      <c r="G889" s="96"/>
    </row>
    <row r="890">
      <c r="A890" s="95"/>
      <c r="B890" s="96"/>
      <c r="C890" s="96"/>
      <c r="D890" s="96"/>
      <c r="E890" s="96"/>
      <c r="F890" s="96"/>
      <c r="G890" s="96"/>
    </row>
    <row r="891">
      <c r="A891" s="95"/>
      <c r="B891" s="96"/>
      <c r="C891" s="96"/>
      <c r="D891" s="96"/>
      <c r="E891" s="96"/>
      <c r="F891" s="96"/>
      <c r="G891" s="96"/>
    </row>
    <row r="892">
      <c r="A892" s="95"/>
      <c r="B892" s="96"/>
      <c r="C892" s="96"/>
      <c r="D892" s="96"/>
      <c r="E892" s="96"/>
      <c r="F892" s="96"/>
      <c r="G892" s="96"/>
    </row>
    <row r="893">
      <c r="A893" s="95"/>
      <c r="B893" s="96"/>
      <c r="C893" s="96"/>
      <c r="D893" s="96"/>
      <c r="E893" s="96"/>
      <c r="F893" s="96"/>
      <c r="G893" s="96"/>
    </row>
    <row r="894">
      <c r="A894" s="95"/>
      <c r="B894" s="96"/>
      <c r="C894" s="96"/>
      <c r="D894" s="96"/>
      <c r="E894" s="96"/>
      <c r="F894" s="96"/>
      <c r="G894" s="96"/>
    </row>
    <row r="895">
      <c r="A895" s="95"/>
      <c r="B895" s="96"/>
      <c r="C895" s="96"/>
      <c r="D895" s="96"/>
      <c r="E895" s="96"/>
      <c r="F895" s="96"/>
      <c r="G895" s="96"/>
    </row>
    <row r="896">
      <c r="A896" s="95"/>
      <c r="B896" s="96"/>
      <c r="C896" s="96"/>
      <c r="D896" s="96"/>
      <c r="E896" s="96"/>
      <c r="F896" s="96"/>
      <c r="G896" s="96"/>
    </row>
    <row r="897">
      <c r="A897" s="95"/>
      <c r="B897" s="96"/>
      <c r="C897" s="96"/>
      <c r="D897" s="96"/>
      <c r="E897" s="96"/>
      <c r="F897" s="96"/>
      <c r="G897" s="96"/>
    </row>
    <row r="898">
      <c r="A898" s="95"/>
      <c r="B898" s="96"/>
      <c r="C898" s="96"/>
      <c r="D898" s="96"/>
      <c r="E898" s="96"/>
      <c r="F898" s="96"/>
      <c r="G898" s="96"/>
    </row>
    <row r="899">
      <c r="A899" s="95"/>
      <c r="B899" s="96"/>
      <c r="C899" s="96"/>
      <c r="D899" s="96"/>
      <c r="E899" s="96"/>
      <c r="F899" s="96"/>
      <c r="G899" s="96"/>
    </row>
    <row r="900">
      <c r="A900" s="95"/>
      <c r="B900" s="96"/>
      <c r="C900" s="96"/>
      <c r="D900" s="96"/>
      <c r="E900" s="96"/>
      <c r="F900" s="96"/>
      <c r="G900" s="96"/>
    </row>
    <row r="901">
      <c r="A901" s="95"/>
      <c r="B901" s="96"/>
      <c r="C901" s="96"/>
      <c r="D901" s="96"/>
      <c r="E901" s="96"/>
      <c r="F901" s="96"/>
      <c r="G901" s="96"/>
    </row>
    <row r="902">
      <c r="A902" s="95"/>
      <c r="B902" s="96"/>
      <c r="C902" s="96"/>
      <c r="D902" s="96"/>
      <c r="E902" s="96"/>
      <c r="F902" s="96"/>
      <c r="G902" s="96"/>
    </row>
    <row r="903">
      <c r="A903" s="95"/>
      <c r="B903" s="96"/>
      <c r="C903" s="96"/>
      <c r="D903" s="96"/>
      <c r="E903" s="96"/>
      <c r="F903" s="96"/>
      <c r="G903" s="96"/>
    </row>
    <row r="904">
      <c r="A904" s="95"/>
      <c r="B904" s="96"/>
      <c r="C904" s="96"/>
      <c r="D904" s="96"/>
      <c r="E904" s="96"/>
      <c r="F904" s="96"/>
      <c r="G904" s="96"/>
    </row>
    <row r="905">
      <c r="A905" s="95"/>
      <c r="B905" s="96"/>
      <c r="C905" s="96"/>
      <c r="D905" s="96"/>
      <c r="E905" s="96"/>
      <c r="F905" s="96"/>
      <c r="G905" s="96"/>
    </row>
    <row r="906">
      <c r="A906" s="95"/>
      <c r="B906" s="96"/>
      <c r="C906" s="96"/>
      <c r="D906" s="96"/>
      <c r="E906" s="96"/>
      <c r="F906" s="96"/>
      <c r="G906" s="96"/>
    </row>
    <row r="907">
      <c r="A907" s="95"/>
      <c r="B907" s="96"/>
      <c r="C907" s="96"/>
      <c r="D907" s="96"/>
      <c r="E907" s="96"/>
      <c r="F907" s="96"/>
      <c r="G907" s="96"/>
    </row>
    <row r="908">
      <c r="A908" s="95"/>
      <c r="B908" s="96"/>
      <c r="C908" s="96"/>
      <c r="D908" s="96"/>
      <c r="E908" s="96"/>
      <c r="F908" s="96"/>
      <c r="G908" s="96"/>
    </row>
    <row r="909">
      <c r="A909" s="95"/>
      <c r="B909" s="96"/>
      <c r="C909" s="96"/>
      <c r="D909" s="96"/>
      <c r="E909" s="96"/>
      <c r="F909" s="96"/>
      <c r="G909" s="96"/>
    </row>
    <row r="910">
      <c r="A910" s="95"/>
      <c r="B910" s="96"/>
      <c r="C910" s="96"/>
      <c r="D910" s="96"/>
      <c r="E910" s="96"/>
      <c r="F910" s="96"/>
      <c r="G910" s="96"/>
    </row>
    <row r="911">
      <c r="A911" s="95"/>
      <c r="B911" s="96"/>
      <c r="C911" s="96"/>
      <c r="D911" s="96"/>
      <c r="E911" s="96"/>
      <c r="F911" s="96"/>
      <c r="G911" s="96"/>
    </row>
    <row r="912">
      <c r="A912" s="95"/>
      <c r="B912" s="96"/>
      <c r="C912" s="96"/>
      <c r="D912" s="96"/>
      <c r="E912" s="96"/>
      <c r="F912" s="96"/>
      <c r="G912" s="96"/>
    </row>
    <row r="913">
      <c r="A913" s="95"/>
      <c r="B913" s="96"/>
      <c r="C913" s="96"/>
      <c r="D913" s="96"/>
      <c r="E913" s="96"/>
      <c r="F913" s="96"/>
      <c r="G913" s="96"/>
    </row>
    <row r="914">
      <c r="A914" s="95"/>
      <c r="B914" s="96"/>
      <c r="C914" s="96"/>
      <c r="D914" s="96"/>
      <c r="E914" s="96"/>
      <c r="F914" s="96"/>
      <c r="G914" s="96"/>
    </row>
    <row r="915">
      <c r="A915" s="95"/>
      <c r="B915" s="96"/>
      <c r="C915" s="96"/>
      <c r="D915" s="96"/>
      <c r="E915" s="96"/>
      <c r="F915" s="96"/>
      <c r="G915" s="96"/>
    </row>
    <row r="916">
      <c r="A916" s="95"/>
      <c r="B916" s="96"/>
      <c r="C916" s="96"/>
      <c r="D916" s="96"/>
      <c r="E916" s="96"/>
      <c r="F916" s="96"/>
      <c r="G916" s="96"/>
    </row>
    <row r="917">
      <c r="A917" s="95"/>
      <c r="B917" s="96"/>
      <c r="C917" s="96"/>
      <c r="D917" s="96"/>
      <c r="E917" s="96"/>
      <c r="F917" s="96"/>
      <c r="G917" s="96"/>
    </row>
    <row r="918">
      <c r="A918" s="95"/>
      <c r="B918" s="96"/>
      <c r="C918" s="96"/>
      <c r="D918" s="96"/>
      <c r="E918" s="96"/>
      <c r="F918" s="96"/>
      <c r="G918" s="96"/>
    </row>
    <row r="919">
      <c r="A919" s="95"/>
      <c r="B919" s="96"/>
      <c r="C919" s="96"/>
      <c r="D919" s="96"/>
      <c r="E919" s="96"/>
      <c r="F919" s="96"/>
      <c r="G919" s="96"/>
    </row>
    <row r="920">
      <c r="A920" s="95"/>
      <c r="B920" s="96"/>
      <c r="C920" s="96"/>
      <c r="D920" s="96"/>
      <c r="E920" s="96"/>
      <c r="F920" s="96"/>
      <c r="G920" s="96"/>
    </row>
    <row r="921">
      <c r="A921" s="95"/>
      <c r="B921" s="96"/>
      <c r="C921" s="96"/>
      <c r="D921" s="96"/>
      <c r="E921" s="96"/>
      <c r="F921" s="96"/>
      <c r="G921" s="96"/>
    </row>
    <row r="922">
      <c r="A922" s="95"/>
      <c r="B922" s="96"/>
      <c r="C922" s="96"/>
      <c r="D922" s="96"/>
      <c r="E922" s="96"/>
      <c r="F922" s="96"/>
      <c r="G922" s="96"/>
    </row>
    <row r="923">
      <c r="A923" s="95"/>
      <c r="B923" s="96"/>
      <c r="C923" s="96"/>
      <c r="D923" s="96"/>
      <c r="E923" s="96"/>
      <c r="F923" s="96"/>
      <c r="G923" s="96"/>
    </row>
    <row r="924">
      <c r="A924" s="95"/>
      <c r="B924" s="96"/>
      <c r="C924" s="96"/>
      <c r="D924" s="96"/>
      <c r="E924" s="96"/>
      <c r="F924" s="96"/>
      <c r="G924" s="96"/>
    </row>
    <row r="925">
      <c r="A925" s="95"/>
      <c r="B925" s="96"/>
      <c r="C925" s="96"/>
      <c r="D925" s="96"/>
      <c r="E925" s="96"/>
      <c r="F925" s="96"/>
      <c r="G925" s="96"/>
    </row>
    <row r="926">
      <c r="A926" s="95"/>
      <c r="B926" s="96"/>
      <c r="C926" s="96"/>
      <c r="D926" s="96"/>
      <c r="E926" s="96"/>
      <c r="F926" s="96"/>
      <c r="G926" s="96"/>
    </row>
    <row r="927">
      <c r="A927" s="95"/>
      <c r="B927" s="96"/>
      <c r="C927" s="96"/>
      <c r="D927" s="96"/>
      <c r="E927" s="96"/>
      <c r="F927" s="96"/>
      <c r="G927" s="96"/>
    </row>
    <row r="928">
      <c r="A928" s="95"/>
      <c r="B928" s="96"/>
      <c r="C928" s="96"/>
      <c r="D928" s="96"/>
      <c r="E928" s="96"/>
      <c r="F928" s="96"/>
      <c r="G928" s="96"/>
    </row>
    <row r="929">
      <c r="A929" s="95"/>
      <c r="B929" s="96"/>
      <c r="C929" s="96"/>
      <c r="D929" s="96"/>
      <c r="E929" s="96"/>
      <c r="F929" s="96"/>
      <c r="G929" s="96"/>
    </row>
    <row r="930">
      <c r="A930" s="95"/>
      <c r="B930" s="96"/>
      <c r="C930" s="96"/>
      <c r="D930" s="96"/>
      <c r="E930" s="96"/>
      <c r="F930" s="96"/>
      <c r="G930" s="96"/>
    </row>
    <row r="931">
      <c r="A931" s="95"/>
      <c r="B931" s="96"/>
      <c r="C931" s="96"/>
      <c r="D931" s="96"/>
      <c r="E931" s="96"/>
      <c r="F931" s="96"/>
      <c r="G931" s="96"/>
    </row>
    <row r="932">
      <c r="A932" s="95"/>
      <c r="B932" s="96"/>
      <c r="C932" s="96"/>
      <c r="D932" s="96"/>
      <c r="E932" s="96"/>
      <c r="F932" s="96"/>
      <c r="G932" s="96"/>
    </row>
    <row r="933">
      <c r="A933" s="95"/>
      <c r="B933" s="96"/>
      <c r="C933" s="96"/>
      <c r="D933" s="96"/>
      <c r="E933" s="96"/>
      <c r="F933" s="96"/>
      <c r="G933" s="96"/>
    </row>
    <row r="934">
      <c r="A934" s="95"/>
      <c r="B934" s="96"/>
      <c r="C934" s="96"/>
      <c r="D934" s="96"/>
      <c r="E934" s="96"/>
      <c r="F934" s="96"/>
      <c r="G934" s="96"/>
    </row>
    <row r="935">
      <c r="A935" s="95"/>
      <c r="B935" s="96"/>
      <c r="C935" s="96"/>
      <c r="D935" s="96"/>
      <c r="E935" s="96"/>
      <c r="F935" s="96"/>
      <c r="G935" s="96"/>
    </row>
    <row r="936">
      <c r="A936" s="95"/>
      <c r="B936" s="96"/>
      <c r="C936" s="96"/>
      <c r="D936" s="96"/>
      <c r="E936" s="96"/>
      <c r="F936" s="96"/>
      <c r="G936" s="96"/>
    </row>
    <row r="937">
      <c r="A937" s="95"/>
      <c r="B937" s="96"/>
      <c r="C937" s="96"/>
      <c r="D937" s="96"/>
      <c r="E937" s="96"/>
      <c r="F937" s="96"/>
      <c r="G937" s="96"/>
    </row>
    <row r="938">
      <c r="A938" s="95"/>
      <c r="B938" s="96"/>
      <c r="C938" s="96"/>
      <c r="D938" s="96"/>
      <c r="E938" s="96"/>
      <c r="F938" s="96"/>
      <c r="G938" s="96"/>
    </row>
    <row r="939">
      <c r="A939" s="95"/>
      <c r="B939" s="96"/>
      <c r="C939" s="96"/>
      <c r="D939" s="96"/>
      <c r="E939" s="96"/>
      <c r="F939" s="96"/>
      <c r="G939" s="96"/>
    </row>
    <row r="940">
      <c r="A940" s="95"/>
      <c r="B940" s="96"/>
      <c r="C940" s="96"/>
      <c r="D940" s="96"/>
      <c r="E940" s="96"/>
      <c r="F940" s="96"/>
      <c r="G940" s="96"/>
    </row>
    <row r="941">
      <c r="A941" s="95"/>
      <c r="B941" s="96"/>
      <c r="C941" s="96"/>
      <c r="D941" s="96"/>
      <c r="E941" s="96"/>
      <c r="F941" s="96"/>
      <c r="G941" s="96"/>
    </row>
    <row r="942">
      <c r="A942" s="95"/>
      <c r="B942" s="96"/>
      <c r="C942" s="96"/>
      <c r="D942" s="96"/>
      <c r="E942" s="96"/>
      <c r="F942" s="96"/>
      <c r="G942" s="96"/>
    </row>
    <row r="943">
      <c r="A943" s="95"/>
      <c r="B943" s="96"/>
      <c r="C943" s="96"/>
      <c r="D943" s="96"/>
      <c r="E943" s="96"/>
      <c r="F943" s="96"/>
      <c r="G943" s="96"/>
    </row>
    <row r="944">
      <c r="A944" s="95"/>
      <c r="B944" s="96"/>
      <c r="C944" s="96"/>
      <c r="D944" s="96"/>
      <c r="E944" s="96"/>
      <c r="F944" s="96"/>
      <c r="G944" s="96"/>
    </row>
    <row r="945">
      <c r="A945" s="95"/>
      <c r="B945" s="96"/>
      <c r="C945" s="96"/>
      <c r="D945" s="96"/>
      <c r="E945" s="96"/>
      <c r="F945" s="96"/>
      <c r="G945" s="96"/>
    </row>
    <row r="946">
      <c r="A946" s="95"/>
      <c r="B946" s="96"/>
      <c r="C946" s="96"/>
      <c r="D946" s="96"/>
      <c r="E946" s="96"/>
      <c r="F946" s="96"/>
      <c r="G946" s="96"/>
    </row>
    <row r="947">
      <c r="A947" s="95"/>
      <c r="B947" s="96"/>
      <c r="C947" s="96"/>
      <c r="D947" s="96"/>
      <c r="E947" s="96"/>
      <c r="F947" s="96"/>
      <c r="G947" s="96"/>
    </row>
    <row r="948">
      <c r="A948" s="95"/>
      <c r="B948" s="96"/>
      <c r="C948" s="96"/>
      <c r="D948" s="96"/>
      <c r="E948" s="96"/>
      <c r="F948" s="96"/>
      <c r="G948" s="96"/>
    </row>
    <row r="949">
      <c r="A949" s="95"/>
      <c r="B949" s="96"/>
      <c r="C949" s="96"/>
      <c r="D949" s="96"/>
      <c r="E949" s="96"/>
      <c r="F949" s="96"/>
      <c r="G949" s="96"/>
    </row>
    <row r="950">
      <c r="A950" s="95"/>
      <c r="B950" s="96"/>
      <c r="C950" s="96"/>
      <c r="D950" s="96"/>
      <c r="E950" s="96"/>
      <c r="F950" s="96"/>
      <c r="G950" s="96"/>
    </row>
    <row r="951">
      <c r="A951" s="95"/>
      <c r="B951" s="96"/>
      <c r="C951" s="96"/>
      <c r="D951" s="96"/>
      <c r="E951" s="96"/>
      <c r="F951" s="96"/>
      <c r="G951" s="96"/>
    </row>
    <row r="952">
      <c r="A952" s="95"/>
      <c r="B952" s="96"/>
      <c r="C952" s="96"/>
      <c r="D952" s="96"/>
      <c r="E952" s="96"/>
      <c r="F952" s="96"/>
      <c r="G952" s="96"/>
    </row>
    <row r="953">
      <c r="A953" s="95"/>
      <c r="B953" s="96"/>
      <c r="C953" s="96"/>
      <c r="D953" s="96"/>
      <c r="E953" s="96"/>
      <c r="F953" s="96"/>
      <c r="G953" s="96"/>
    </row>
    <row r="954">
      <c r="A954" s="95"/>
      <c r="B954" s="96"/>
      <c r="C954" s="96"/>
      <c r="D954" s="96"/>
      <c r="E954" s="96"/>
      <c r="F954" s="96"/>
      <c r="G954" s="96"/>
    </row>
    <row r="955">
      <c r="A955" s="95"/>
      <c r="B955" s="96"/>
      <c r="C955" s="96"/>
      <c r="D955" s="96"/>
      <c r="E955" s="96"/>
      <c r="F955" s="96"/>
      <c r="G955" s="96"/>
    </row>
    <row r="956">
      <c r="A956" s="95"/>
      <c r="B956" s="96"/>
      <c r="C956" s="96"/>
      <c r="D956" s="96"/>
      <c r="E956" s="96"/>
      <c r="F956" s="96"/>
      <c r="G956" s="96"/>
    </row>
    <row r="957">
      <c r="A957" s="95"/>
      <c r="B957" s="96"/>
      <c r="C957" s="96"/>
      <c r="D957" s="96"/>
      <c r="E957" s="96"/>
      <c r="F957" s="96"/>
      <c r="G957" s="96"/>
    </row>
    <row r="958">
      <c r="A958" s="95"/>
      <c r="B958" s="96"/>
      <c r="C958" s="96"/>
      <c r="D958" s="96"/>
      <c r="E958" s="96"/>
      <c r="F958" s="96"/>
      <c r="G958" s="96"/>
    </row>
    <row r="959">
      <c r="A959" s="95"/>
      <c r="B959" s="96"/>
      <c r="C959" s="96"/>
      <c r="D959" s="96"/>
      <c r="E959" s="96"/>
      <c r="F959" s="96"/>
      <c r="G959" s="96"/>
    </row>
    <row r="960">
      <c r="A960" s="95"/>
      <c r="B960" s="96"/>
      <c r="C960" s="96"/>
      <c r="D960" s="96"/>
      <c r="E960" s="96"/>
      <c r="F960" s="96"/>
      <c r="G960" s="96"/>
    </row>
    <row r="961">
      <c r="A961" s="95"/>
      <c r="B961" s="96"/>
      <c r="C961" s="96"/>
      <c r="D961" s="96"/>
      <c r="E961" s="96"/>
      <c r="F961" s="96"/>
      <c r="G961" s="96"/>
    </row>
    <row r="962">
      <c r="A962" s="95"/>
      <c r="B962" s="96"/>
      <c r="C962" s="96"/>
      <c r="D962" s="96"/>
      <c r="E962" s="96"/>
      <c r="F962" s="96"/>
      <c r="G962" s="96"/>
    </row>
    <row r="963">
      <c r="A963" s="95"/>
      <c r="B963" s="96"/>
      <c r="C963" s="96"/>
      <c r="D963" s="96"/>
      <c r="E963" s="96"/>
      <c r="F963" s="96"/>
      <c r="G963" s="96"/>
    </row>
    <row r="964">
      <c r="A964" s="95"/>
      <c r="B964" s="96"/>
      <c r="C964" s="96"/>
      <c r="D964" s="96"/>
      <c r="E964" s="96"/>
      <c r="F964" s="96"/>
      <c r="G964" s="96"/>
    </row>
    <row r="965">
      <c r="A965" s="95"/>
      <c r="B965" s="96"/>
      <c r="C965" s="96"/>
      <c r="D965" s="96"/>
      <c r="E965" s="96"/>
      <c r="F965" s="96"/>
      <c r="G965" s="96"/>
    </row>
    <row r="966">
      <c r="A966" s="95"/>
      <c r="B966" s="96"/>
      <c r="C966" s="96"/>
      <c r="D966" s="96"/>
      <c r="E966" s="96"/>
      <c r="F966" s="96"/>
      <c r="G966" s="96"/>
    </row>
    <row r="967">
      <c r="A967" s="95"/>
      <c r="B967" s="96"/>
      <c r="C967" s="96"/>
      <c r="D967" s="96"/>
      <c r="E967" s="96"/>
      <c r="F967" s="96"/>
      <c r="G967" s="96"/>
    </row>
    <row r="968">
      <c r="A968" s="95"/>
      <c r="B968" s="96"/>
      <c r="C968" s="96"/>
      <c r="D968" s="96"/>
      <c r="E968" s="96"/>
      <c r="F968" s="96"/>
      <c r="G968" s="96"/>
    </row>
    <row r="969">
      <c r="A969" s="95"/>
      <c r="B969" s="96"/>
      <c r="C969" s="96"/>
      <c r="D969" s="96"/>
      <c r="E969" s="96"/>
      <c r="F969" s="96"/>
      <c r="G969" s="96"/>
    </row>
    <row r="970">
      <c r="A970" s="95"/>
      <c r="B970" s="96"/>
      <c r="C970" s="96"/>
      <c r="D970" s="96"/>
      <c r="E970" s="96"/>
      <c r="F970" s="96"/>
      <c r="G970" s="96"/>
    </row>
    <row r="971">
      <c r="A971" s="95"/>
      <c r="B971" s="96"/>
      <c r="C971" s="96"/>
      <c r="D971" s="96"/>
      <c r="E971" s="96"/>
      <c r="F971" s="96"/>
      <c r="G971" s="96"/>
    </row>
    <row r="972">
      <c r="A972" s="95"/>
      <c r="B972" s="96"/>
      <c r="C972" s="96"/>
      <c r="D972" s="96"/>
      <c r="E972" s="96"/>
      <c r="F972" s="96"/>
      <c r="G972" s="96"/>
    </row>
    <row r="973">
      <c r="A973" s="95"/>
      <c r="B973" s="96"/>
      <c r="C973" s="96"/>
      <c r="D973" s="96"/>
      <c r="E973" s="96"/>
      <c r="F973" s="96"/>
      <c r="G973" s="96"/>
    </row>
    <row r="974">
      <c r="A974" s="95"/>
      <c r="B974" s="96"/>
      <c r="C974" s="96"/>
      <c r="D974" s="96"/>
      <c r="E974" s="96"/>
      <c r="F974" s="96"/>
      <c r="G974" s="96"/>
    </row>
    <row r="975">
      <c r="A975" s="95"/>
      <c r="B975" s="96"/>
      <c r="C975" s="96"/>
      <c r="D975" s="96"/>
      <c r="E975" s="96"/>
      <c r="F975" s="96"/>
      <c r="G975" s="96"/>
    </row>
    <row r="976">
      <c r="A976" s="95"/>
      <c r="B976" s="96"/>
      <c r="C976" s="96"/>
      <c r="D976" s="96"/>
      <c r="E976" s="96"/>
      <c r="F976" s="96"/>
      <c r="G976" s="96"/>
    </row>
    <row r="977">
      <c r="A977" s="95"/>
      <c r="B977" s="96"/>
      <c r="C977" s="96"/>
      <c r="D977" s="96"/>
      <c r="E977" s="96"/>
      <c r="F977" s="96"/>
      <c r="G977" s="96"/>
    </row>
    <row r="978">
      <c r="A978" s="95"/>
      <c r="B978" s="96"/>
      <c r="C978" s="96"/>
      <c r="D978" s="96"/>
      <c r="E978" s="96"/>
      <c r="F978" s="96"/>
      <c r="G978" s="96"/>
    </row>
    <row r="979">
      <c r="A979" s="95"/>
      <c r="B979" s="96"/>
      <c r="C979" s="96"/>
      <c r="D979" s="96"/>
      <c r="E979" s="96"/>
      <c r="F979" s="96"/>
      <c r="G979" s="96"/>
    </row>
    <row r="980">
      <c r="A980" s="95"/>
      <c r="B980" s="96"/>
      <c r="C980" s="96"/>
      <c r="D980" s="96"/>
      <c r="E980" s="96"/>
      <c r="F980" s="96"/>
      <c r="G980" s="96"/>
    </row>
    <row r="981">
      <c r="A981" s="95"/>
      <c r="B981" s="96"/>
      <c r="C981" s="96"/>
      <c r="D981" s="96"/>
      <c r="E981" s="96"/>
      <c r="F981" s="96"/>
      <c r="G981" s="96"/>
    </row>
    <row r="982">
      <c r="A982" s="95"/>
      <c r="B982" s="96"/>
      <c r="C982" s="96"/>
      <c r="D982" s="96"/>
      <c r="E982" s="96"/>
      <c r="F982" s="96"/>
      <c r="G982" s="96"/>
    </row>
    <row r="983">
      <c r="A983" s="95"/>
      <c r="B983" s="96"/>
      <c r="C983" s="96"/>
      <c r="D983" s="96"/>
      <c r="E983" s="96"/>
      <c r="F983" s="96"/>
      <c r="G983" s="96"/>
    </row>
    <row r="984">
      <c r="A984" s="95"/>
      <c r="B984" s="96"/>
      <c r="C984" s="96"/>
      <c r="D984" s="96"/>
      <c r="E984" s="96"/>
      <c r="F984" s="96"/>
      <c r="G984" s="9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0" width="14.33"/>
  </cols>
  <sheetData>
    <row r="1">
      <c r="A1" s="2" t="s">
        <v>256</v>
      </c>
      <c r="B1" s="2" t="s">
        <v>285</v>
      </c>
      <c r="C1" s="2" t="s">
        <v>286</v>
      </c>
      <c r="D1" s="2" t="s">
        <v>287</v>
      </c>
      <c r="E1" s="2" t="s">
        <v>299</v>
      </c>
      <c r="F1" s="2" t="s">
        <v>300</v>
      </c>
      <c r="G1" s="2" t="s">
        <v>288</v>
      </c>
      <c r="H1" s="2" t="s">
        <v>289</v>
      </c>
      <c r="I1" s="2" t="s">
        <v>301</v>
      </c>
      <c r="J1" s="2" t="s">
        <v>302</v>
      </c>
    </row>
    <row r="2">
      <c r="A2" s="2" t="s">
        <v>1</v>
      </c>
      <c r="B2" s="97" t="str">
        <f>VIEW_MATCH_INPUT!B2</f>
        <v>A</v>
      </c>
      <c r="C2" s="97" t="str">
        <f>VIEW_MATCH_INPUT!C2</f>
        <v>BLUE</v>
      </c>
      <c r="D2" s="97">
        <f>VIEW_MATCH_INPUT!D2</f>
        <v>0</v>
      </c>
      <c r="E2" s="97">
        <f>SUMIFS(PLAYER_STAT!E:E, PLAYER_STAT!B:B, A2, PLAYER_STAT!C:C, C2)</f>
        <v>4</v>
      </c>
      <c r="F2" s="97" t="str">
        <f t="shared" ref="F2:F33" si="1">IF(E2=D2, "✅", IF(E2&gt;D2, "❌ Overclaimed", "⚠️ Underclaimed"))</f>
        <v>❌ Overclaimed</v>
      </c>
      <c r="G2" s="97" t="str">
        <f>VIEW_MATCH_INPUT!E2</f>
        <v>MAGENTA</v>
      </c>
      <c r="H2" s="97">
        <f>VIEW_MATCH_INPUT!F2</f>
        <v>1</v>
      </c>
      <c r="I2" s="97">
        <f>SUMIFS(PLAYER_STAT!E:E, PLAYER_STAT!B:B, A2, PLAYER_STAT!C:C, G2)</f>
        <v>3</v>
      </c>
      <c r="J2" s="97" t="str">
        <f t="shared" ref="J2:J33" si="2">IF(I2=H2, "✅", IF(I2&gt;H2, "❌ Overclaimed", "⚠️ Underclaimed"))</f>
        <v>❌ Overclaimed</v>
      </c>
    </row>
    <row r="3">
      <c r="A3" s="2" t="s">
        <v>1</v>
      </c>
      <c r="B3" s="97" t="str">
        <f>VIEW_MATCH_INPUT!B3</f>
        <v>B</v>
      </c>
      <c r="C3" s="97" t="str">
        <f>VIEW_MATCH_INPUT!C3</f>
        <v>GREEN</v>
      </c>
      <c r="D3" s="97">
        <f>VIEW_MATCH_INPUT!D3</f>
        <v>3</v>
      </c>
      <c r="E3" s="97">
        <f>SUMIFS(PLAYER_STAT!E:E, PLAYER_STAT!B:B, A3, PLAYER_STAT!C:C, C3)</f>
        <v>3</v>
      </c>
      <c r="F3" s="97" t="str">
        <f t="shared" si="1"/>
        <v>✅</v>
      </c>
      <c r="G3" s="97" t="str">
        <f>VIEW_MATCH_INPUT!E3</f>
        <v>ORANGE</v>
      </c>
      <c r="H3" s="97">
        <f>VIEW_MATCH_INPUT!F3</f>
        <v>0</v>
      </c>
      <c r="I3" s="97">
        <f>SUMIFS(PLAYER_STAT!E:E, PLAYER_STAT!B:B, A3, PLAYER_STAT!C:C, G3)</f>
        <v>1</v>
      </c>
      <c r="J3" s="97" t="str">
        <f t="shared" si="2"/>
        <v>❌ Overclaimed</v>
      </c>
    </row>
    <row r="4">
      <c r="A4" s="2" t="s">
        <v>1</v>
      </c>
      <c r="B4" s="97" t="str">
        <f>VIEW_MATCH_INPUT!B4</f>
        <v>A</v>
      </c>
      <c r="C4" s="97" t="str">
        <f>VIEW_MATCH_INPUT!C4</f>
        <v>ORANGE</v>
      </c>
      <c r="D4" s="97">
        <f>VIEW_MATCH_INPUT!D4</f>
        <v>1</v>
      </c>
      <c r="E4" s="97">
        <f>SUMIFS(PLAYER_STAT!E:E, PLAYER_STAT!B:B, A4, PLAYER_STAT!C:C, C4)</f>
        <v>1</v>
      </c>
      <c r="F4" s="97" t="str">
        <f t="shared" si="1"/>
        <v>✅</v>
      </c>
      <c r="G4" s="97" t="str">
        <f>VIEW_MATCH_INPUT!E4</f>
        <v>BLUE</v>
      </c>
      <c r="H4" s="97">
        <f>VIEW_MATCH_INPUT!F4</f>
        <v>4</v>
      </c>
      <c r="I4" s="97">
        <f>SUMIFS(PLAYER_STAT!E:E, PLAYER_STAT!B:B, A4, PLAYER_STAT!C:C, G4)</f>
        <v>4</v>
      </c>
      <c r="J4" s="97" t="str">
        <f t="shared" si="2"/>
        <v>✅</v>
      </c>
    </row>
    <row r="5">
      <c r="A5" s="2" t="s">
        <v>1</v>
      </c>
      <c r="B5" s="97" t="str">
        <f>VIEW_MATCH_INPUT!B5</f>
        <v>B</v>
      </c>
      <c r="C5" s="97" t="str">
        <f>VIEW_MATCH_INPUT!C5</f>
        <v>MAGENTA</v>
      </c>
      <c r="D5" s="97">
        <f>VIEW_MATCH_INPUT!D5</f>
        <v>2</v>
      </c>
      <c r="E5" s="97">
        <f>SUMIFS(PLAYER_STAT!E:E, PLAYER_STAT!B:B, A5, PLAYER_STAT!C:C, C5)</f>
        <v>3</v>
      </c>
      <c r="F5" s="97" t="str">
        <f t="shared" si="1"/>
        <v>❌ Overclaimed</v>
      </c>
      <c r="G5" s="97" t="str">
        <f>VIEW_MATCH_INPUT!E5</f>
        <v>GREEN</v>
      </c>
      <c r="H5" s="97">
        <f>VIEW_MATCH_INPUT!F5</f>
        <v>0</v>
      </c>
      <c r="I5" s="97">
        <f>SUMIFS(PLAYER_STAT!E:E, PLAYER_STAT!B:B, A5, PLAYER_STAT!C:C, G5)</f>
        <v>3</v>
      </c>
      <c r="J5" s="97" t="str">
        <f t="shared" si="2"/>
        <v>❌ Overclaimed</v>
      </c>
    </row>
    <row r="6">
      <c r="A6" s="2" t="s">
        <v>2</v>
      </c>
      <c r="B6" s="97" t="str">
        <f>VIEW_MATCH_INPUT!B6</f>
        <v>A</v>
      </c>
      <c r="C6" s="97" t="str">
        <f>VIEW_MATCH_INPUT!C6</f>
        <v>BLUE</v>
      </c>
      <c r="D6" s="97">
        <f>VIEW_MATCH_INPUT!D6</f>
        <v>3</v>
      </c>
      <c r="E6" s="97">
        <f>SUMIFS(PLAYER_STAT!E:E, PLAYER_STAT!B:B, A6, PLAYER_STAT!C:C, C6)</f>
        <v>4</v>
      </c>
      <c r="F6" s="97" t="str">
        <f t="shared" si="1"/>
        <v>❌ Overclaimed</v>
      </c>
      <c r="G6" s="97" t="str">
        <f>VIEW_MATCH_INPUT!E6</f>
        <v>MAGENTA</v>
      </c>
      <c r="H6" s="97">
        <f>VIEW_MATCH_INPUT!F6</f>
        <v>3</v>
      </c>
      <c r="I6" s="97">
        <f>SUMIFS(PLAYER_STAT!E:E, PLAYER_STAT!B:B, A6, PLAYER_STAT!C:C, G6)</f>
        <v>3</v>
      </c>
      <c r="J6" s="97" t="str">
        <f t="shared" si="2"/>
        <v>✅</v>
      </c>
    </row>
    <row r="7">
      <c r="A7" s="2" t="s">
        <v>2</v>
      </c>
      <c r="B7" s="97" t="str">
        <f>VIEW_MATCH_INPUT!B7</f>
        <v>B</v>
      </c>
      <c r="C7" s="97" t="str">
        <f>VIEW_MATCH_INPUT!C7</f>
        <v>GREEN</v>
      </c>
      <c r="D7" s="97">
        <f>VIEW_MATCH_INPUT!D7</f>
        <v>0</v>
      </c>
      <c r="E7" s="97">
        <f>SUMIFS(PLAYER_STAT!E:E, PLAYER_STAT!B:B, A7, PLAYER_STAT!C:C, C7)</f>
        <v>0</v>
      </c>
      <c r="F7" s="97" t="str">
        <f t="shared" si="1"/>
        <v>✅</v>
      </c>
      <c r="G7" s="97" t="str">
        <f>VIEW_MATCH_INPUT!E7</f>
        <v>ORANGE</v>
      </c>
      <c r="H7" s="97">
        <f>VIEW_MATCH_INPUT!F7</f>
        <v>2</v>
      </c>
      <c r="I7" s="97">
        <f>SUMIFS(PLAYER_STAT!E:E, PLAYER_STAT!B:B, A7, PLAYER_STAT!C:C, G7)</f>
        <v>2</v>
      </c>
      <c r="J7" s="97" t="str">
        <f t="shared" si="2"/>
        <v>✅</v>
      </c>
    </row>
    <row r="8">
      <c r="A8" s="2" t="s">
        <v>2</v>
      </c>
      <c r="B8" s="97" t="str">
        <f>VIEW_MATCH_INPUT!B8</f>
        <v>A</v>
      </c>
      <c r="C8" s="97" t="str">
        <f>VIEW_MATCH_INPUT!C8</f>
        <v>BLUE</v>
      </c>
      <c r="D8" s="97">
        <f>VIEW_MATCH_INPUT!D8</f>
        <v>1</v>
      </c>
      <c r="E8" s="97">
        <f>SUMIFS(PLAYER_STAT!E:E, PLAYER_STAT!B:B, A8, PLAYER_STAT!C:C, C8)</f>
        <v>4</v>
      </c>
      <c r="F8" s="97" t="str">
        <f t="shared" si="1"/>
        <v>❌ Overclaimed</v>
      </c>
      <c r="G8" s="97" t="str">
        <f>VIEW_MATCH_INPUT!E8</f>
        <v>ORANGE</v>
      </c>
      <c r="H8" s="97">
        <f>VIEW_MATCH_INPUT!F8</f>
        <v>0</v>
      </c>
      <c r="I8" s="97">
        <f>SUMIFS(PLAYER_STAT!E:E, PLAYER_STAT!B:B, A8, PLAYER_STAT!C:C, G8)</f>
        <v>2</v>
      </c>
      <c r="J8" s="97" t="str">
        <f t="shared" si="2"/>
        <v>❌ Overclaimed</v>
      </c>
    </row>
    <row r="9">
      <c r="A9" s="2" t="s">
        <v>2</v>
      </c>
      <c r="B9" s="97" t="str">
        <f>VIEW_MATCH_INPUT!B9</f>
        <v>B</v>
      </c>
      <c r="C9" s="97" t="str">
        <f>VIEW_MATCH_INPUT!C9</f>
        <v>MAGENTA</v>
      </c>
      <c r="D9" s="97">
        <f>VIEW_MATCH_INPUT!D9</f>
        <v>0</v>
      </c>
      <c r="E9" s="97">
        <f>SUMIFS(PLAYER_STAT!E:E, PLAYER_STAT!B:B, A9, PLAYER_STAT!C:C, C9)</f>
        <v>3</v>
      </c>
      <c r="F9" s="97" t="str">
        <f t="shared" si="1"/>
        <v>❌ Overclaimed</v>
      </c>
      <c r="G9" s="97" t="str">
        <f>VIEW_MATCH_INPUT!E9</f>
        <v>GREEN</v>
      </c>
      <c r="H9" s="97">
        <f>VIEW_MATCH_INPUT!F9</f>
        <v>0</v>
      </c>
      <c r="I9" s="97">
        <f>SUMIFS(PLAYER_STAT!E:E, PLAYER_STAT!B:B, A9, PLAYER_STAT!C:C, G9)</f>
        <v>0</v>
      </c>
      <c r="J9" s="97" t="str">
        <f t="shared" si="2"/>
        <v>✅</v>
      </c>
    </row>
    <row r="10">
      <c r="A10" s="2" t="s">
        <v>3</v>
      </c>
      <c r="B10" s="97" t="str">
        <f>VIEW_MATCH_INPUT!B10</f>
        <v>A</v>
      </c>
      <c r="C10" s="97" t="str">
        <f>VIEW_MATCH_INPUT!C10</f>
        <v>BLUE</v>
      </c>
      <c r="D10" s="97">
        <f>VIEW_MATCH_INPUT!D10</f>
        <v>3</v>
      </c>
      <c r="E10" s="97">
        <f>SUMIFS(PLAYER_STAT!E:E, PLAYER_STAT!B:B, A10, PLAYER_STAT!C:C, C10)</f>
        <v>5</v>
      </c>
      <c r="F10" s="97" t="str">
        <f t="shared" si="1"/>
        <v>❌ Overclaimed</v>
      </c>
      <c r="G10" s="97" t="str">
        <f>VIEW_MATCH_INPUT!E10</f>
        <v>MAGENTA</v>
      </c>
      <c r="H10" s="97">
        <f>VIEW_MATCH_INPUT!F10</f>
        <v>2</v>
      </c>
      <c r="I10" s="97">
        <f>SUMIFS(PLAYER_STAT!E:E, PLAYER_STAT!B:B, A10, PLAYER_STAT!C:C, G10)</f>
        <v>2</v>
      </c>
      <c r="J10" s="97" t="str">
        <f t="shared" si="2"/>
        <v>✅</v>
      </c>
    </row>
    <row r="11">
      <c r="A11" s="2" t="s">
        <v>3</v>
      </c>
      <c r="B11" s="97" t="str">
        <f>VIEW_MATCH_INPUT!B11</f>
        <v>B</v>
      </c>
      <c r="C11" s="97" t="str">
        <f>VIEW_MATCH_INPUT!C11</f>
        <v>ORANGE</v>
      </c>
      <c r="D11" s="97">
        <f>VIEW_MATCH_INPUT!D11</f>
        <v>0</v>
      </c>
      <c r="E11" s="97">
        <f>SUMIFS(PLAYER_STAT!E:E, PLAYER_STAT!B:B, A11, PLAYER_STAT!C:C, C11)</f>
        <v>1</v>
      </c>
      <c r="F11" s="97" t="str">
        <f t="shared" si="1"/>
        <v>❌ Overclaimed</v>
      </c>
      <c r="G11" s="97" t="str">
        <f>VIEW_MATCH_INPUT!E11</f>
        <v>GREEN</v>
      </c>
      <c r="H11" s="97">
        <f>VIEW_MATCH_INPUT!F11</f>
        <v>2</v>
      </c>
      <c r="I11" s="97">
        <f>SUMIFS(PLAYER_STAT!E:E, PLAYER_STAT!B:B, A11, PLAYER_STAT!C:C, G11)</f>
        <v>5</v>
      </c>
      <c r="J11" s="97" t="str">
        <f t="shared" si="2"/>
        <v>❌ Overclaimed</v>
      </c>
    </row>
    <row r="12">
      <c r="A12" s="2" t="s">
        <v>3</v>
      </c>
      <c r="B12" s="97" t="str">
        <f>VIEW_MATCH_INPUT!B12</f>
        <v>A</v>
      </c>
      <c r="C12" s="97" t="str">
        <f>VIEW_MATCH_INPUT!C12</f>
        <v>BLUE</v>
      </c>
      <c r="D12" s="97">
        <f>VIEW_MATCH_INPUT!D12</f>
        <v>2</v>
      </c>
      <c r="E12" s="97">
        <f>SUMIFS(PLAYER_STAT!E:E, PLAYER_STAT!B:B, A12, PLAYER_STAT!C:C, C12)</f>
        <v>5</v>
      </c>
      <c r="F12" s="97" t="str">
        <f t="shared" si="1"/>
        <v>❌ Overclaimed</v>
      </c>
      <c r="G12" s="97" t="str">
        <f>VIEW_MATCH_INPUT!E12</f>
        <v>GREEN</v>
      </c>
      <c r="H12" s="97">
        <f>VIEW_MATCH_INPUT!F12</f>
        <v>3</v>
      </c>
      <c r="I12" s="97">
        <f>SUMIFS(PLAYER_STAT!E:E, PLAYER_STAT!B:B, A12, PLAYER_STAT!C:C, G12)</f>
        <v>5</v>
      </c>
      <c r="J12" s="97" t="str">
        <f t="shared" si="2"/>
        <v>❌ Overclaimed</v>
      </c>
    </row>
    <row r="13">
      <c r="A13" s="2" t="s">
        <v>3</v>
      </c>
      <c r="B13" s="97" t="str">
        <f>VIEW_MATCH_INPUT!B13</f>
        <v>B</v>
      </c>
      <c r="C13" s="97" t="str">
        <f>VIEW_MATCH_INPUT!C13</f>
        <v>MAGENTA</v>
      </c>
      <c r="D13" s="97">
        <f>VIEW_MATCH_INPUT!D13</f>
        <v>2</v>
      </c>
      <c r="E13" s="97">
        <f>SUMIFS(PLAYER_STAT!E:E, PLAYER_STAT!B:B, A13, PLAYER_STAT!C:C, C13)</f>
        <v>2</v>
      </c>
      <c r="F13" s="97" t="str">
        <f t="shared" si="1"/>
        <v>✅</v>
      </c>
      <c r="G13" s="97" t="str">
        <f>VIEW_MATCH_INPUT!E13</f>
        <v>ORANGE</v>
      </c>
      <c r="H13" s="97">
        <f>VIEW_MATCH_INPUT!F13</f>
        <v>1</v>
      </c>
      <c r="I13" s="97">
        <f>SUMIFS(PLAYER_STAT!E:E, PLAYER_STAT!B:B, A13, PLAYER_STAT!C:C, G13)</f>
        <v>1</v>
      </c>
      <c r="J13" s="97" t="str">
        <f t="shared" si="2"/>
        <v>✅</v>
      </c>
    </row>
    <row r="14">
      <c r="A14" s="2" t="s">
        <v>4</v>
      </c>
      <c r="B14" s="97" t="str">
        <f>VIEW_MATCH_INPUT!B14</f>
        <v>A</v>
      </c>
      <c r="C14" s="97" t="str">
        <f>VIEW_MATCH_INPUT!C14</f>
        <v>BLUE</v>
      </c>
      <c r="D14" s="97">
        <f>VIEW_MATCH_INPUT!D14</f>
        <v>2</v>
      </c>
      <c r="E14" s="97">
        <f>SUMIFS(PLAYER_STAT!E:E, PLAYER_STAT!B:B, A14, PLAYER_STAT!C:C, C14)</f>
        <v>2</v>
      </c>
      <c r="F14" s="97" t="str">
        <f t="shared" si="1"/>
        <v>✅</v>
      </c>
      <c r="G14" s="97" t="str">
        <f>VIEW_MATCH_INPUT!E14</f>
        <v>MAGENTA</v>
      </c>
      <c r="H14" s="97">
        <f>VIEW_MATCH_INPUT!F14</f>
        <v>0</v>
      </c>
      <c r="I14" s="97">
        <f>SUMIFS(PLAYER_STAT!E:E, PLAYER_STAT!B:B, A14, PLAYER_STAT!C:C, G14)</f>
        <v>2</v>
      </c>
      <c r="J14" s="97" t="str">
        <f t="shared" si="2"/>
        <v>❌ Overclaimed</v>
      </c>
    </row>
    <row r="15">
      <c r="A15" s="2" t="s">
        <v>4</v>
      </c>
      <c r="B15" s="97" t="str">
        <f>VIEW_MATCH_INPUT!B15</f>
        <v>B</v>
      </c>
      <c r="C15" s="97" t="str">
        <f>VIEW_MATCH_INPUT!C15</f>
        <v>GREEN</v>
      </c>
      <c r="D15" s="97">
        <f>VIEW_MATCH_INPUT!D15</f>
        <v>2</v>
      </c>
      <c r="E15" s="97">
        <f>SUMIFS(PLAYER_STAT!E:E, PLAYER_STAT!B:B, A15, PLAYER_STAT!C:C, C15)</f>
        <v>3</v>
      </c>
      <c r="F15" s="97" t="str">
        <f t="shared" si="1"/>
        <v>❌ Overclaimed</v>
      </c>
      <c r="G15" s="97" t="str">
        <f>VIEW_MATCH_INPUT!E15</f>
        <v>ORANGE</v>
      </c>
      <c r="H15" s="97">
        <f>VIEW_MATCH_INPUT!F15</f>
        <v>0</v>
      </c>
      <c r="I15" s="97">
        <f>SUMIFS(PLAYER_STAT!E:E, PLAYER_STAT!B:B, A15, PLAYER_STAT!C:C, G15)</f>
        <v>1</v>
      </c>
      <c r="J15" s="97" t="str">
        <f t="shared" si="2"/>
        <v>❌ Overclaimed</v>
      </c>
    </row>
    <row r="16">
      <c r="A16" s="2" t="s">
        <v>4</v>
      </c>
      <c r="B16" s="97" t="str">
        <f>VIEW_MATCH_INPUT!B16</f>
        <v>A</v>
      </c>
      <c r="C16" s="97" t="str">
        <f>VIEW_MATCH_INPUT!C16</f>
        <v>BLUE</v>
      </c>
      <c r="D16" s="97">
        <f>VIEW_MATCH_INPUT!D16</f>
        <v>0</v>
      </c>
      <c r="E16" s="97">
        <f>SUMIFS(PLAYER_STAT!E:E, PLAYER_STAT!B:B, A16, PLAYER_STAT!C:C, C16)</f>
        <v>2</v>
      </c>
      <c r="F16" s="97" t="str">
        <f t="shared" si="1"/>
        <v>❌ Overclaimed</v>
      </c>
      <c r="G16" s="97" t="str">
        <f>VIEW_MATCH_INPUT!E16</f>
        <v>GREEN</v>
      </c>
      <c r="H16" s="97">
        <f>VIEW_MATCH_INPUT!F16</f>
        <v>1</v>
      </c>
      <c r="I16" s="97">
        <f>SUMIFS(PLAYER_STAT!E:E, PLAYER_STAT!B:B, A16, PLAYER_STAT!C:C, G16)</f>
        <v>3</v>
      </c>
      <c r="J16" s="97" t="str">
        <f t="shared" si="2"/>
        <v>❌ Overclaimed</v>
      </c>
    </row>
    <row r="17">
      <c r="A17" s="2" t="s">
        <v>4</v>
      </c>
      <c r="B17" s="97" t="str">
        <f>VIEW_MATCH_INPUT!B17</f>
        <v>B</v>
      </c>
      <c r="C17" s="97" t="str">
        <f>VIEW_MATCH_INPUT!C17</f>
        <v>ORANGE</v>
      </c>
      <c r="D17" s="97">
        <f>VIEW_MATCH_INPUT!D17</f>
        <v>3</v>
      </c>
      <c r="E17" s="97">
        <f>SUMIFS(PLAYER_STAT!E:E, PLAYER_STAT!B:B, A17, PLAYER_STAT!C:C, C17)</f>
        <v>1</v>
      </c>
      <c r="F17" s="97" t="str">
        <f t="shared" si="1"/>
        <v>⚠️ Underclaimed</v>
      </c>
      <c r="G17" s="97" t="str">
        <f>VIEW_MATCH_INPUT!E17</f>
        <v>MAGENTA</v>
      </c>
      <c r="H17" s="97">
        <f>VIEW_MATCH_INPUT!F17</f>
        <v>2</v>
      </c>
      <c r="I17" s="97">
        <f>SUMIFS(PLAYER_STAT!E:E, PLAYER_STAT!B:B, A17, PLAYER_STAT!C:C, G17)</f>
        <v>2</v>
      </c>
      <c r="J17" s="97" t="str">
        <f t="shared" si="2"/>
        <v>✅</v>
      </c>
    </row>
    <row r="18">
      <c r="A18" s="97" t="str">
        <f>VIEW_MATCH_INPUT!A18</f>
        <v>MATCH DAY 5</v>
      </c>
      <c r="B18" s="97" t="str">
        <f>VIEW_MATCH_INPUT!B18</f>
        <v>A</v>
      </c>
      <c r="C18" s="97" t="str">
        <f>VIEW_MATCH_INPUT!C18</f>
        <v>MAGENTA</v>
      </c>
      <c r="D18" s="97">
        <f>VIEW_MATCH_INPUT!D18</f>
        <v>0</v>
      </c>
      <c r="E18" s="97">
        <f>SUMIFS(PLAYER_STAT!E:E, PLAYER_STAT!B:B, A18, PLAYER_STAT!C:C, C18)</f>
        <v>6</v>
      </c>
      <c r="F18" s="97" t="str">
        <f t="shared" si="1"/>
        <v>❌ Overclaimed</v>
      </c>
      <c r="G18" s="97" t="str">
        <f>VIEW_MATCH_INPUT!E18</f>
        <v>BLUE</v>
      </c>
      <c r="H18" s="97">
        <f>VIEW_MATCH_INPUT!F18</f>
        <v>0</v>
      </c>
      <c r="I18" s="97">
        <f>SUMIFS(PLAYER_STAT!E:E, PLAYER_STAT!B:B, A18, PLAYER_STAT!C:C, G18)</f>
        <v>0</v>
      </c>
      <c r="J18" s="97" t="str">
        <f t="shared" si="2"/>
        <v>✅</v>
      </c>
    </row>
    <row r="19">
      <c r="A19" s="97" t="str">
        <f>VIEW_MATCH_INPUT!A19</f>
        <v>MATCH DAY 5</v>
      </c>
      <c r="B19" s="97" t="str">
        <f>VIEW_MATCH_INPUT!B19</f>
        <v>B</v>
      </c>
      <c r="C19" s="97" t="str">
        <f>VIEW_MATCH_INPUT!C19</f>
        <v>GREEN</v>
      </c>
      <c r="D19" s="97">
        <f>VIEW_MATCH_INPUT!D19</f>
        <v>3</v>
      </c>
      <c r="E19" s="97">
        <f>SUMIFS(PLAYER_STAT!E:E, PLAYER_STAT!B:B, A19, PLAYER_STAT!C:C, C19)</f>
        <v>5</v>
      </c>
      <c r="F19" s="97" t="str">
        <f t="shared" si="1"/>
        <v>❌ Overclaimed</v>
      </c>
      <c r="G19" s="97" t="str">
        <f>VIEW_MATCH_INPUT!E19</f>
        <v>ORANGE</v>
      </c>
      <c r="H19" s="97">
        <f>VIEW_MATCH_INPUT!F19</f>
        <v>1</v>
      </c>
      <c r="I19" s="97">
        <f>SUMIFS(PLAYER_STAT!E:E, PLAYER_STAT!B:B, A19, PLAYER_STAT!C:C, G19)</f>
        <v>1</v>
      </c>
      <c r="J19" s="97" t="str">
        <f t="shared" si="2"/>
        <v>✅</v>
      </c>
    </row>
    <row r="20">
      <c r="A20" s="97" t="str">
        <f>VIEW_MATCH_INPUT!A20</f>
        <v>MATCH DAY 5</v>
      </c>
      <c r="B20" s="97" t="str">
        <f>VIEW_MATCH_INPUT!B20</f>
        <v>A</v>
      </c>
      <c r="C20" s="97" t="str">
        <f>VIEW_MATCH_INPUT!C20</f>
        <v>BLUE</v>
      </c>
      <c r="D20" s="97">
        <f>VIEW_MATCH_INPUT!D20</f>
        <v>1</v>
      </c>
      <c r="E20" s="97">
        <f>SUMIFS(PLAYER_STAT!E:E, PLAYER_STAT!B:B, A20, PLAYER_STAT!C:C, C20)</f>
        <v>0</v>
      </c>
      <c r="F20" s="97" t="str">
        <f t="shared" si="1"/>
        <v>⚠️ Underclaimed</v>
      </c>
      <c r="G20" s="97" t="str">
        <f>VIEW_MATCH_INPUT!E20</f>
        <v>GREEN</v>
      </c>
      <c r="H20" s="97">
        <f>VIEW_MATCH_INPUT!F20</f>
        <v>4</v>
      </c>
      <c r="I20" s="97">
        <f>SUMIFS(PLAYER_STAT!E:E, PLAYER_STAT!B:B, A20, PLAYER_STAT!C:C, G20)</f>
        <v>5</v>
      </c>
      <c r="J20" s="97" t="str">
        <f t="shared" si="2"/>
        <v>❌ Overclaimed</v>
      </c>
    </row>
    <row r="21">
      <c r="A21" s="97" t="str">
        <f>VIEW_MATCH_INPUT!A21</f>
        <v>MATCH DAY 5</v>
      </c>
      <c r="B21" s="97" t="str">
        <f>VIEW_MATCH_INPUT!B21</f>
        <v>B</v>
      </c>
      <c r="C21" s="97" t="str">
        <f>VIEW_MATCH_INPUT!C21</f>
        <v>MAGENTA</v>
      </c>
      <c r="D21" s="97">
        <f>VIEW_MATCH_INPUT!D21</f>
        <v>6</v>
      </c>
      <c r="E21" s="97">
        <f>SUMIFS(PLAYER_STAT!E:E, PLAYER_STAT!B:B, A21, PLAYER_STAT!C:C, C21)</f>
        <v>6</v>
      </c>
      <c r="F21" s="97" t="str">
        <f t="shared" si="1"/>
        <v>✅</v>
      </c>
      <c r="G21" s="97" t="str">
        <f>VIEW_MATCH_INPUT!E21</f>
        <v>ORANGE</v>
      </c>
      <c r="H21" s="97">
        <f>VIEW_MATCH_INPUT!F21</f>
        <v>0</v>
      </c>
      <c r="I21" s="97">
        <f>SUMIFS(PLAYER_STAT!E:E, PLAYER_STAT!B:B, A21, PLAYER_STAT!C:C, G21)</f>
        <v>1</v>
      </c>
      <c r="J21" s="97" t="str">
        <f t="shared" si="2"/>
        <v>❌ Overclaimed</v>
      </c>
    </row>
    <row r="22">
      <c r="A22" s="97" t="str">
        <f>VIEW_MATCH_INPUT!A22</f>
        <v>MATCH DAY 6</v>
      </c>
      <c r="B22" s="97" t="str">
        <f>VIEW_MATCH_INPUT!B22</f>
        <v>A</v>
      </c>
      <c r="C22" s="97" t="str">
        <f>VIEW_MATCH_INPUT!C22</f>
        <v>BLUE</v>
      </c>
      <c r="D22" s="97">
        <f>VIEW_MATCH_INPUT!D22</f>
        <v>1</v>
      </c>
      <c r="E22" s="97">
        <f>SUMIFS(PLAYER_STAT!E:E, PLAYER_STAT!B:B, A22, PLAYER_STAT!C:C, C22)</f>
        <v>1</v>
      </c>
      <c r="F22" s="97" t="str">
        <f t="shared" si="1"/>
        <v>✅</v>
      </c>
      <c r="G22" s="97" t="str">
        <f>VIEW_MATCH_INPUT!E22</f>
        <v>MAGENTA</v>
      </c>
      <c r="H22" s="97">
        <f>VIEW_MATCH_INPUT!F22</f>
        <v>1</v>
      </c>
      <c r="I22" s="97">
        <f>SUMIFS(PLAYER_STAT!E:E, PLAYER_STAT!B:B, A22, PLAYER_STAT!C:C, G22)</f>
        <v>1</v>
      </c>
      <c r="J22" s="97" t="str">
        <f t="shared" si="2"/>
        <v>✅</v>
      </c>
    </row>
    <row r="23">
      <c r="A23" s="97" t="str">
        <f>VIEW_MATCH_INPUT!A23</f>
        <v>MATCH DAY 6</v>
      </c>
      <c r="B23" s="97" t="str">
        <f>VIEW_MATCH_INPUT!B23</f>
        <v>B</v>
      </c>
      <c r="C23" s="97" t="str">
        <f>VIEW_MATCH_INPUT!C23</f>
        <v>GREEN</v>
      </c>
      <c r="D23" s="97">
        <f>VIEW_MATCH_INPUT!D23</f>
        <v>0</v>
      </c>
      <c r="E23" s="97">
        <f>SUMIFS(PLAYER_STAT!E:E, PLAYER_STAT!B:B, A23, PLAYER_STAT!C:C, C23)</f>
        <v>0</v>
      </c>
      <c r="F23" s="97" t="str">
        <f t="shared" si="1"/>
        <v>✅</v>
      </c>
      <c r="G23" s="97" t="str">
        <f>VIEW_MATCH_INPUT!E23</f>
        <v>ORANGE</v>
      </c>
      <c r="H23" s="97">
        <f>VIEW_MATCH_INPUT!F23</f>
        <v>2</v>
      </c>
      <c r="I23" s="97">
        <f>SUMIFS(PLAYER_STAT!E:E, PLAYER_STAT!B:B, A23, PLAYER_STAT!C:C, G23)</f>
        <v>7</v>
      </c>
      <c r="J23" s="97" t="str">
        <f t="shared" si="2"/>
        <v>❌ Overclaimed</v>
      </c>
    </row>
    <row r="24">
      <c r="A24" s="97" t="str">
        <f>VIEW_MATCH_INPUT!A24</f>
        <v>MATCH DAY 6</v>
      </c>
      <c r="B24" s="97" t="str">
        <f>VIEW_MATCH_INPUT!B24</f>
        <v>A</v>
      </c>
      <c r="C24" s="97" t="str">
        <f>VIEW_MATCH_INPUT!C24</f>
        <v>ORANGE</v>
      </c>
      <c r="D24" s="97">
        <f>VIEW_MATCH_INPUT!D24</f>
        <v>6</v>
      </c>
      <c r="E24" s="97">
        <f>SUMIFS(PLAYER_STAT!E:E, PLAYER_STAT!B:B, A24, PLAYER_STAT!C:C, C24)</f>
        <v>7</v>
      </c>
      <c r="F24" s="97" t="str">
        <f t="shared" si="1"/>
        <v>❌ Overclaimed</v>
      </c>
      <c r="G24" s="97" t="str">
        <f>VIEW_MATCH_INPUT!E24</f>
        <v>BLUE</v>
      </c>
      <c r="H24" s="97">
        <f>VIEW_MATCH_INPUT!F24</f>
        <v>0</v>
      </c>
      <c r="I24" s="97">
        <f>SUMIFS(PLAYER_STAT!E:E, PLAYER_STAT!B:B, A24, PLAYER_STAT!C:C, G24)</f>
        <v>1</v>
      </c>
      <c r="J24" s="97" t="str">
        <f t="shared" si="2"/>
        <v>❌ Overclaimed</v>
      </c>
    </row>
    <row r="25">
      <c r="A25" s="97" t="str">
        <f>VIEW_MATCH_INPUT!A25</f>
        <v>MATCH DAY 6</v>
      </c>
      <c r="B25" s="97" t="str">
        <f>VIEW_MATCH_INPUT!B25</f>
        <v>B</v>
      </c>
      <c r="C25" s="97" t="str">
        <f>VIEW_MATCH_INPUT!C25</f>
        <v>GREEN</v>
      </c>
      <c r="D25" s="97">
        <f>VIEW_MATCH_INPUT!D25</f>
        <v>0</v>
      </c>
      <c r="E25" s="97">
        <f>SUMIFS(PLAYER_STAT!E:E, PLAYER_STAT!B:B, A25, PLAYER_STAT!C:C, C25)</f>
        <v>0</v>
      </c>
      <c r="F25" s="97" t="str">
        <f t="shared" si="1"/>
        <v>✅</v>
      </c>
      <c r="G25" s="97" t="str">
        <f>VIEW_MATCH_INPUT!E25</f>
        <v>MAGENTA</v>
      </c>
      <c r="H25" s="97">
        <f>VIEW_MATCH_INPUT!F25</f>
        <v>3</v>
      </c>
      <c r="I25" s="97">
        <f>SUMIFS(PLAYER_STAT!E:E, PLAYER_STAT!B:B, A25, PLAYER_STAT!C:C, G25)</f>
        <v>1</v>
      </c>
      <c r="J25" s="97" t="str">
        <f t="shared" si="2"/>
        <v>⚠️ Underclaimed</v>
      </c>
    </row>
    <row r="26">
      <c r="A26" s="97" t="str">
        <f>VIEW_MATCH_INPUT!A26</f>
        <v>MATCH DAY 7</v>
      </c>
      <c r="B26" s="97" t="str">
        <f>VIEW_MATCH_INPUT!B26</f>
        <v>A</v>
      </c>
      <c r="C26" s="97" t="str">
        <f>VIEW_MATCH_INPUT!C26</f>
        <v>BLUE</v>
      </c>
      <c r="D26" s="97">
        <f>VIEW_MATCH_INPUT!D26</f>
        <v>3</v>
      </c>
      <c r="E26" s="97">
        <f>SUMIFS(PLAYER_STAT!E:E, PLAYER_STAT!B:B, A26, PLAYER_STAT!C:C, C26)</f>
        <v>10</v>
      </c>
      <c r="F26" s="97" t="str">
        <f t="shared" si="1"/>
        <v>❌ Overclaimed</v>
      </c>
      <c r="G26" s="97" t="str">
        <f>VIEW_MATCH_INPUT!E26</f>
        <v>MAGENTA</v>
      </c>
      <c r="H26" s="97">
        <f>VIEW_MATCH_INPUT!F26</f>
        <v>0</v>
      </c>
      <c r="I26" s="97">
        <f>SUMIFS(PLAYER_STAT!E:E, PLAYER_STAT!B:B, A26, PLAYER_STAT!C:C, G26)</f>
        <v>1</v>
      </c>
      <c r="J26" s="97" t="str">
        <f t="shared" si="2"/>
        <v>❌ Overclaimed</v>
      </c>
    </row>
    <row r="27">
      <c r="A27" s="97" t="str">
        <f>VIEW_MATCH_INPUT!A27</f>
        <v>MATCH DAY 7</v>
      </c>
      <c r="B27" s="97" t="str">
        <f>VIEW_MATCH_INPUT!B27</f>
        <v>B</v>
      </c>
      <c r="C27" s="97" t="str">
        <f>VIEW_MATCH_INPUT!C27</f>
        <v>GREEN</v>
      </c>
      <c r="D27" s="97">
        <f>VIEW_MATCH_INPUT!D27</f>
        <v>1</v>
      </c>
      <c r="E27" s="97">
        <f>SUMIFS(PLAYER_STAT!E:E, PLAYER_STAT!B:B, A27, PLAYER_STAT!C:C, C27)</f>
        <v>2</v>
      </c>
      <c r="F27" s="97" t="str">
        <f t="shared" si="1"/>
        <v>❌ Overclaimed</v>
      </c>
      <c r="G27" s="97" t="str">
        <f>VIEW_MATCH_INPUT!E27</f>
        <v>ORANGE</v>
      </c>
      <c r="H27" s="97">
        <f>VIEW_MATCH_INPUT!F27</f>
        <v>1</v>
      </c>
      <c r="I27" s="97">
        <f>SUMIFS(PLAYER_STAT!E:E, PLAYER_STAT!B:B, A27, PLAYER_STAT!C:C, G27)</f>
        <v>3</v>
      </c>
      <c r="J27" s="97" t="str">
        <f t="shared" si="2"/>
        <v>❌ Overclaimed</v>
      </c>
    </row>
    <row r="28">
      <c r="A28" s="97" t="str">
        <f>VIEW_MATCH_INPUT!A28</f>
        <v>MATCH DAY 7</v>
      </c>
      <c r="B28" s="97" t="str">
        <f>VIEW_MATCH_INPUT!B28</f>
        <v>A</v>
      </c>
      <c r="C28" s="97" t="str">
        <f>VIEW_MATCH_INPUT!C28</f>
        <v>ORANGE</v>
      </c>
      <c r="D28" s="97">
        <f>VIEW_MATCH_INPUT!D28</f>
        <v>3</v>
      </c>
      <c r="E28" s="97">
        <f>SUMIFS(PLAYER_STAT!E:E, PLAYER_STAT!B:B, A28, PLAYER_STAT!C:C, C28)</f>
        <v>3</v>
      </c>
      <c r="F28" s="97" t="str">
        <f t="shared" si="1"/>
        <v>✅</v>
      </c>
      <c r="G28" s="97" t="str">
        <f>VIEW_MATCH_INPUT!E28</f>
        <v>BLUE</v>
      </c>
      <c r="H28" s="97">
        <f>VIEW_MATCH_INPUT!F28</f>
        <v>7</v>
      </c>
      <c r="I28" s="97">
        <f>SUMIFS(PLAYER_STAT!E:E, PLAYER_STAT!B:B, A28, PLAYER_STAT!C:C, G28)</f>
        <v>10</v>
      </c>
      <c r="J28" s="97" t="str">
        <f t="shared" si="2"/>
        <v>❌ Overclaimed</v>
      </c>
    </row>
    <row r="29">
      <c r="A29" s="97" t="str">
        <f>VIEW_MATCH_INPUT!A29</f>
        <v>MATCH DAY 7</v>
      </c>
      <c r="B29" s="97" t="str">
        <f>VIEW_MATCH_INPUT!B29</f>
        <v>B</v>
      </c>
      <c r="C29" s="97" t="str">
        <f>VIEW_MATCH_INPUT!C29</f>
        <v>GREEN</v>
      </c>
      <c r="D29" s="97">
        <f>VIEW_MATCH_INPUT!D29</f>
        <v>2</v>
      </c>
      <c r="E29" s="97">
        <f>SUMIFS(PLAYER_STAT!E:E, PLAYER_STAT!B:B, A29, PLAYER_STAT!C:C, C29)</f>
        <v>2</v>
      </c>
      <c r="F29" s="97" t="str">
        <f t="shared" si="1"/>
        <v>✅</v>
      </c>
      <c r="G29" s="97" t="str">
        <f>VIEW_MATCH_INPUT!E29</f>
        <v>MAGENTA</v>
      </c>
      <c r="H29" s="97">
        <f>VIEW_MATCH_INPUT!F29</f>
        <v>1</v>
      </c>
      <c r="I29" s="97">
        <f>SUMIFS(PLAYER_STAT!E:E, PLAYER_STAT!B:B, A29, PLAYER_STAT!C:C, G29)</f>
        <v>1</v>
      </c>
      <c r="J29" s="97" t="str">
        <f t="shared" si="2"/>
        <v>✅</v>
      </c>
    </row>
    <row r="30">
      <c r="A30" s="97" t="str">
        <f>VIEW_MATCH_INPUT!A30</f>
        <v>MATCH DAY 8</v>
      </c>
      <c r="B30" s="97" t="str">
        <f>VIEW_MATCH_INPUT!B30</f>
        <v>A</v>
      </c>
      <c r="C30" s="97" t="str">
        <f>VIEW_MATCH_INPUT!C30</f>
        <v>ORANGE</v>
      </c>
      <c r="D30" s="97">
        <f>VIEW_MATCH_INPUT!D30</f>
        <v>1</v>
      </c>
      <c r="E30" s="97">
        <f>SUMIFS(PLAYER_STAT!E:E, PLAYER_STAT!B:B, A30, PLAYER_STAT!C:C, C30)</f>
        <v>1</v>
      </c>
      <c r="F30" s="97" t="str">
        <f t="shared" si="1"/>
        <v>✅</v>
      </c>
      <c r="G30" s="97" t="str">
        <f>VIEW_MATCH_INPUT!E30</f>
        <v>GREEN</v>
      </c>
      <c r="H30" s="97">
        <f>VIEW_MATCH_INPUT!F30</f>
        <v>5</v>
      </c>
      <c r="I30" s="97">
        <f>SUMIFS(PLAYER_STAT!E:E, PLAYER_STAT!B:B, A30, PLAYER_STAT!C:C, G30)</f>
        <v>1</v>
      </c>
      <c r="J30" s="97" t="str">
        <f t="shared" si="2"/>
        <v>⚠️ Underclaimed</v>
      </c>
    </row>
    <row r="31">
      <c r="A31" s="97" t="str">
        <f>VIEW_MATCH_INPUT!A31</f>
        <v>MATCH DAY 8</v>
      </c>
      <c r="B31" s="97" t="str">
        <f>VIEW_MATCH_INPUT!B31</f>
        <v>B</v>
      </c>
      <c r="C31" s="97" t="str">
        <f>VIEW_MATCH_INPUT!C31</f>
        <v>MAGENTA</v>
      </c>
      <c r="D31" s="97">
        <f>VIEW_MATCH_INPUT!D31</f>
        <v>3</v>
      </c>
      <c r="E31" s="97">
        <f>SUMIFS(PLAYER_STAT!E:E, PLAYER_STAT!B:B, A31, PLAYER_STAT!C:C, C31)</f>
        <v>0</v>
      </c>
      <c r="F31" s="97" t="str">
        <f t="shared" si="1"/>
        <v>⚠️ Underclaimed</v>
      </c>
      <c r="G31" s="97" t="str">
        <f>VIEW_MATCH_INPUT!E31</f>
        <v>BLUE</v>
      </c>
      <c r="H31" s="97">
        <f>VIEW_MATCH_INPUT!F31</f>
        <v>1</v>
      </c>
      <c r="I31" s="97">
        <f>SUMIFS(PLAYER_STAT!E:E, PLAYER_STAT!B:B, A31, PLAYER_STAT!C:C, G31)</f>
        <v>0</v>
      </c>
      <c r="J31" s="97" t="str">
        <f t="shared" si="2"/>
        <v>⚠️ Underclaimed</v>
      </c>
    </row>
    <row r="32">
      <c r="A32" s="97" t="str">
        <f>VIEW_MATCH_INPUT!A32</f>
        <v>MATCH DAY 8</v>
      </c>
      <c r="B32" s="97" t="str">
        <f>VIEW_MATCH_INPUT!B32</f>
        <v>A</v>
      </c>
      <c r="C32" s="97" t="str">
        <f>VIEW_MATCH_INPUT!C32</f>
        <v>GREEN</v>
      </c>
      <c r="D32" s="97">
        <f>VIEW_MATCH_INPUT!D32</f>
        <v>1</v>
      </c>
      <c r="E32" s="97">
        <f>SUMIFS(PLAYER_STAT!E:E, PLAYER_STAT!B:B, A32, PLAYER_STAT!C:C, C32)</f>
        <v>1</v>
      </c>
      <c r="F32" s="97" t="str">
        <f t="shared" si="1"/>
        <v>✅</v>
      </c>
      <c r="G32" s="97" t="str">
        <f>VIEW_MATCH_INPUT!E32</f>
        <v>MAGENTA</v>
      </c>
      <c r="H32" s="97">
        <f>VIEW_MATCH_INPUT!F32</f>
        <v>1</v>
      </c>
      <c r="I32" s="97">
        <f>SUMIFS(PLAYER_STAT!E:E, PLAYER_STAT!B:B, A32, PLAYER_STAT!C:C, G32)</f>
        <v>0</v>
      </c>
      <c r="J32" s="97" t="str">
        <f t="shared" si="2"/>
        <v>⚠️ Underclaimed</v>
      </c>
    </row>
    <row r="33">
      <c r="A33" s="97" t="str">
        <f>VIEW_MATCH_INPUT!A33</f>
        <v>MATCH DAY 8</v>
      </c>
      <c r="B33" s="97" t="str">
        <f>VIEW_MATCH_INPUT!B33</f>
        <v>B</v>
      </c>
      <c r="C33" s="97" t="str">
        <f>VIEW_MATCH_INPUT!C33</f>
        <v>BLUE</v>
      </c>
      <c r="D33" s="97">
        <f>VIEW_MATCH_INPUT!D33</f>
        <v>5</v>
      </c>
      <c r="E33" s="97">
        <f>SUMIFS(PLAYER_STAT!E:E, PLAYER_STAT!B:B, A33, PLAYER_STAT!C:C, C33)</f>
        <v>0</v>
      </c>
      <c r="F33" s="97" t="str">
        <f t="shared" si="1"/>
        <v>⚠️ Underclaimed</v>
      </c>
      <c r="G33" s="97" t="str">
        <f>VIEW_MATCH_INPUT!E33</f>
        <v>ORANGE</v>
      </c>
      <c r="H33" s="97">
        <f>VIEW_MATCH_INPUT!F33</f>
        <v>3</v>
      </c>
      <c r="I33" s="97">
        <f>SUMIFS(PLAYER_STAT!E:E, PLAYER_STAT!B:B, A33, PLAYER_STAT!C:C, G33)</f>
        <v>1</v>
      </c>
      <c r="J33" s="97" t="str">
        <f t="shared" si="2"/>
        <v>⚠️ Underclaimed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3" width="3.44"/>
    <col customWidth="1" min="4" max="4" width="9.33"/>
    <col customWidth="1" min="5" max="23" width="3.44"/>
  </cols>
  <sheetData>
    <row r="1" ht="7.5" customHeight="1">
      <c r="A1" s="98" t="s">
        <v>303</v>
      </c>
      <c r="B1" s="99" t="s">
        <v>304</v>
      </c>
      <c r="D1" s="100"/>
      <c r="I1" s="101"/>
      <c r="J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</row>
    <row r="2" ht="7.5" customHeight="1">
      <c r="A2" s="98" t="s">
        <v>305</v>
      </c>
      <c r="B2" s="103" t="s">
        <v>306</v>
      </c>
      <c r="I2" s="101" t="s">
        <v>307</v>
      </c>
      <c r="J2" s="104" t="s">
        <v>308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</row>
    <row r="3" ht="7.5" customHeight="1">
      <c r="A3" s="98" t="s">
        <v>309</v>
      </c>
      <c r="B3" s="103" t="s">
        <v>310</v>
      </c>
      <c r="I3" s="105" t="s">
        <v>311</v>
      </c>
      <c r="J3" s="104" t="s">
        <v>312</v>
      </c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</row>
    <row r="4" ht="7.5" customHeight="1">
      <c r="A4" s="98" t="s">
        <v>313</v>
      </c>
      <c r="B4" s="103" t="s">
        <v>314</v>
      </c>
      <c r="I4" s="106" t="str">
        <f>IFERROR(__xludf.DUMMYFUNCTION("IFERROR(
  INDEX(
    MATCH_DATES!B1:B9,
    MATCH(
      MAX(
        FILTER(
          MATCH_DATES!A1:A9 + TIME(22, 0, 0),
          (MATCH_DATES!A1:A9 + TIME(22, 0, 0)) &lt;= NOW()
        )
      ),
      MATCH_DATES!A1:A9 + TIME(22, 0, 0),
      0
    )"&amp;"
  ),
  """"
)
"),"MATCH DAY 8")</f>
        <v>MATCH DAY 8</v>
      </c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</row>
    <row r="5" ht="7.5" customHeight="1">
      <c r="A5" s="98" t="s">
        <v>315</v>
      </c>
      <c r="B5" s="103" t="s">
        <v>316</v>
      </c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</row>
    <row r="6" ht="7.5" customHeight="1">
      <c r="A6" s="98" t="s">
        <v>317</v>
      </c>
      <c r="B6" s="103" t="s">
        <v>318</v>
      </c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</row>
    <row r="7" ht="7.5" customHeight="1">
      <c r="A7" s="98" t="s">
        <v>319</v>
      </c>
      <c r="B7" s="103" t="s">
        <v>320</v>
      </c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</row>
    <row r="8" ht="7.5" customHeight="1">
      <c r="A8" s="98" t="s">
        <v>321</v>
      </c>
      <c r="B8" s="103" t="s">
        <v>322</v>
      </c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</row>
    <row r="9" ht="15.75" customHeight="1">
      <c r="A9" s="107"/>
      <c r="B9" s="108" t="s">
        <v>323</v>
      </c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</row>
    <row r="10" ht="15.75" customHeight="1">
      <c r="A10" s="110"/>
      <c r="B10" s="103" t="s">
        <v>324</v>
      </c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</row>
    <row r="11" ht="15.75" customHeight="1">
      <c r="A11" s="111"/>
      <c r="B11" s="103" t="s">
        <v>325</v>
      </c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</row>
    <row r="12" ht="15.75" customHeight="1">
      <c r="A12" s="113" t="s">
        <v>326</v>
      </c>
      <c r="B12" s="113" t="s">
        <v>327</v>
      </c>
      <c r="C12" s="114" t="s">
        <v>328</v>
      </c>
      <c r="D12" s="114" t="s">
        <v>102</v>
      </c>
      <c r="E12" s="114" t="s">
        <v>329</v>
      </c>
      <c r="F12" s="114" t="s">
        <v>330</v>
      </c>
      <c r="G12" s="114" t="s">
        <v>331</v>
      </c>
      <c r="H12" s="114" t="s">
        <v>332</v>
      </c>
      <c r="I12" s="114" t="s">
        <v>333</v>
      </c>
      <c r="J12" s="114" t="s">
        <v>334</v>
      </c>
      <c r="K12" s="114" t="s">
        <v>335</v>
      </c>
      <c r="L12" s="114" t="s">
        <v>336</v>
      </c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</row>
    <row r="13" ht="15.75" customHeight="1">
      <c r="A13" s="115" t="str">
        <f t="array" ref="A13">INDEX(FORM!$B$2:$J$65, MATCH(D13, FORM!$A$2:$A$65, 0), MATCH($I$4, FORM!$B$1:$J$1, 0))</f>
        <v>=</v>
      </c>
      <c r="B13" s="116">
        <v>1.0</v>
      </c>
      <c r="C13" s="116" t="str">
        <f t="array" ref="C13:L74">SORT(
  {
    WEEKLY_TEAMS!CV3:CV64,
    IF(WEEKLY_TEAMS!CW3:CW64="", 0, WEEKLY_TEAMS!CW3:CW64),
    IF(WEEKLY_TEAMS!CX3:CX64="", 0, WEEKLY_TEAMS!CX3:CX64),
    IF(WEEKLY_TEAMS!CY3:CY64="", 0, WEEKLY_TEAMS!CY3:CY64),
    IF(WEEKLY_TEAMS!CZ3:CZ64="", 0, WEEKLY_TEAMS!CZ3:CZ64),
    IF(WEEKLY_TEAMS!DA3:DA64="", 0, WEEKLY_TEAMS!DA3:DA64),
    IF(WEEKLY_TEAMS!DB3:DB64="", 0, WEEKLY_TEAMS!DB3:DB64),
    IF(WEEKLY_TEAMS!DD3:DD64="", 0, WEEKLY_TEAMS!DD3:DD64),
    IF(WEEKLY_TEAMS!DC3:DC64="", 0, WEEKLY_TEAMS!DC3:DC64),
    IF(WEEKLY_TEAMS!DE3:DE64="", 0, WEEKLY_TEAMS!DE3:DE64)
  },
  1, TRUE,
  3, FALSE,
  4, FALSE,
  5, FALSE,
  6, FALSE,
  9, FALSE,
  8, FALSE,
  10, FALSE
)
</f>
        <v>🍂🎃</v>
      </c>
      <c r="D13" s="117" t="s">
        <v>231</v>
      </c>
      <c r="E13" s="117">
        <v>68.0</v>
      </c>
      <c r="F13" s="117">
        <v>16.0</v>
      </c>
      <c r="G13" s="117">
        <v>10.0</v>
      </c>
      <c r="H13" s="117">
        <v>4.0</v>
      </c>
      <c r="I13" s="117">
        <v>2.0</v>
      </c>
      <c r="J13" s="117">
        <v>0.0</v>
      </c>
      <c r="K13" s="117">
        <v>6.0</v>
      </c>
      <c r="L13" s="117">
        <v>0.0</v>
      </c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</row>
    <row r="14" ht="15.75" customHeight="1">
      <c r="A14" s="115" t="str">
        <f t="array" ref="A14">INDEX(FORM!$B$2:$J$65, MATCH(D14, FORM!$A$2:$A$65, 0), MATCH($I$4, FORM!$B$1:$J$1, 0))</f>
        <v>=</v>
      </c>
      <c r="B14" s="117">
        <v>2.0</v>
      </c>
      <c r="C14" s="118" t="s">
        <v>210</v>
      </c>
      <c r="D14" s="117" t="s">
        <v>239</v>
      </c>
      <c r="E14" s="117">
        <v>64.0</v>
      </c>
      <c r="F14" s="117">
        <v>16.0</v>
      </c>
      <c r="G14" s="117">
        <v>10.0</v>
      </c>
      <c r="H14" s="117">
        <v>1.0</v>
      </c>
      <c r="I14" s="117">
        <v>5.0</v>
      </c>
      <c r="J14" s="117">
        <v>0.0</v>
      </c>
      <c r="K14" s="117">
        <v>2.0</v>
      </c>
      <c r="L14" s="117">
        <v>0.0</v>
      </c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</row>
    <row r="15" ht="15.75" customHeight="1">
      <c r="A15" s="115" t="str">
        <f t="array" ref="A15">INDEX(FORM!$B$2:$J$65, MATCH(D15, FORM!$A$2:$A$65, 0), MATCH($I$4, FORM!$B$1:$J$1, 0))</f>
        <v>↑</v>
      </c>
      <c r="B15" s="116">
        <v>3.0</v>
      </c>
      <c r="C15" s="118" t="s">
        <v>210</v>
      </c>
      <c r="D15" s="117" t="s">
        <v>228</v>
      </c>
      <c r="E15" s="117">
        <v>61.0</v>
      </c>
      <c r="F15" s="117">
        <v>16.0</v>
      </c>
      <c r="G15" s="117">
        <v>7.0</v>
      </c>
      <c r="H15" s="117">
        <v>5.0</v>
      </c>
      <c r="I15" s="117">
        <v>4.0</v>
      </c>
      <c r="J15" s="117">
        <v>0.0</v>
      </c>
      <c r="K15" s="117">
        <v>5.0</v>
      </c>
      <c r="L15" s="117">
        <v>0.0</v>
      </c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</row>
    <row r="16" ht="15.75" customHeight="1">
      <c r="A16" s="115" t="str">
        <f t="array" ref="A16">INDEX(FORM!$B$2:$J$65, MATCH(D16, FORM!$A$2:$A$65, 0), MATCH($I$4, FORM!$B$1:$J$1, 0))</f>
        <v>↑</v>
      </c>
      <c r="B16" s="117">
        <v>4.0</v>
      </c>
      <c r="C16" s="118" t="s">
        <v>210</v>
      </c>
      <c r="D16" s="117" t="s">
        <v>226</v>
      </c>
      <c r="E16" s="117">
        <v>58.0</v>
      </c>
      <c r="F16" s="117">
        <v>16.0</v>
      </c>
      <c r="G16" s="117">
        <v>9.0</v>
      </c>
      <c r="H16" s="117">
        <v>3.0</v>
      </c>
      <c r="I16" s="117">
        <v>4.0</v>
      </c>
      <c r="J16" s="117">
        <v>0.0</v>
      </c>
      <c r="K16" s="117">
        <v>2.0</v>
      </c>
      <c r="L16" s="117">
        <v>0.0</v>
      </c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</row>
    <row r="17" ht="15.75" customHeight="1">
      <c r="A17" s="115" t="str">
        <f t="array" ref="A17">INDEX(FORM!$B$2:$J$65, MATCH(D17, FORM!$A$2:$A$65, 0), MATCH($I$4, FORM!$B$1:$J$1, 0))</f>
        <v>↓</v>
      </c>
      <c r="B17" s="116">
        <v>5.0</v>
      </c>
      <c r="C17" s="118" t="s">
        <v>210</v>
      </c>
      <c r="D17" s="117" t="s">
        <v>224</v>
      </c>
      <c r="E17" s="117">
        <v>57.0</v>
      </c>
      <c r="F17" s="117">
        <v>14.0</v>
      </c>
      <c r="G17" s="117">
        <v>10.0</v>
      </c>
      <c r="H17" s="117">
        <v>1.0</v>
      </c>
      <c r="I17" s="117">
        <v>3.0</v>
      </c>
      <c r="J17" s="117">
        <v>0.0</v>
      </c>
      <c r="K17" s="117">
        <v>1.0</v>
      </c>
      <c r="L17" s="117">
        <v>0.0</v>
      </c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</row>
    <row r="18" ht="15.75" customHeight="1">
      <c r="A18" s="115" t="str">
        <f t="array" ref="A18">INDEX(FORM!$B$2:$J$65, MATCH(D18, FORM!$A$2:$A$65, 0), MATCH($I$4, FORM!$B$1:$J$1, 0))</f>
        <v>↓</v>
      </c>
      <c r="B18" s="117">
        <v>6.0</v>
      </c>
      <c r="C18" s="117" t="s">
        <v>210</v>
      </c>
      <c r="D18" s="117" t="s">
        <v>221</v>
      </c>
      <c r="E18" s="117">
        <v>56.0</v>
      </c>
      <c r="F18" s="117">
        <v>16.0</v>
      </c>
      <c r="G18" s="117">
        <v>8.0</v>
      </c>
      <c r="H18" s="117">
        <v>2.0</v>
      </c>
      <c r="I18" s="117">
        <v>6.0</v>
      </c>
      <c r="J18" s="117">
        <v>0.0</v>
      </c>
      <c r="K18" s="117">
        <v>5.0</v>
      </c>
      <c r="L18" s="117">
        <v>0.0</v>
      </c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</row>
    <row r="19" ht="15.75" customHeight="1">
      <c r="A19" s="115" t="str">
        <f t="array" ref="A19">INDEX(FORM!$B$2:$J$65, MATCH(D19, FORM!$A$2:$A$65, 0), MATCH($I$4, FORM!$B$1:$J$1, 0))</f>
        <v>↑</v>
      </c>
      <c r="B19" s="116">
        <v>7.0</v>
      </c>
      <c r="C19" s="117" t="s">
        <v>210</v>
      </c>
      <c r="D19" s="117" t="s">
        <v>84</v>
      </c>
      <c r="E19" s="117">
        <v>55.0</v>
      </c>
      <c r="F19" s="117">
        <v>14.0</v>
      </c>
      <c r="G19" s="117">
        <v>8.0</v>
      </c>
      <c r="H19" s="117">
        <v>2.0</v>
      </c>
      <c r="I19" s="117">
        <v>4.0</v>
      </c>
      <c r="J19" s="117">
        <v>0.0</v>
      </c>
      <c r="K19" s="117">
        <v>11.0</v>
      </c>
      <c r="L19" s="117">
        <v>0.0</v>
      </c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</row>
    <row r="20" ht="15.75" customHeight="1">
      <c r="A20" s="115" t="str">
        <f t="array" ref="A20">INDEX(FORM!$B$2:$J$65, MATCH(D20, FORM!$A$2:$A$65, 0), MATCH($I$4, FORM!$B$1:$J$1, 0))</f>
        <v>↑</v>
      </c>
      <c r="B20" s="117">
        <v>8.0</v>
      </c>
      <c r="C20" s="117" t="s">
        <v>210</v>
      </c>
      <c r="D20" s="117" t="s">
        <v>233</v>
      </c>
      <c r="E20" s="117">
        <v>54.0</v>
      </c>
      <c r="F20" s="117">
        <v>16.0</v>
      </c>
      <c r="G20" s="117">
        <v>8.0</v>
      </c>
      <c r="H20" s="117">
        <v>4.0</v>
      </c>
      <c r="I20" s="117">
        <v>4.0</v>
      </c>
      <c r="J20" s="117">
        <v>0.0</v>
      </c>
      <c r="K20" s="117">
        <v>0.0</v>
      </c>
      <c r="L20" s="117">
        <v>0.0</v>
      </c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</row>
    <row r="21" ht="15.75" customHeight="1">
      <c r="A21" s="115" t="str">
        <f t="array" ref="A21">INDEX(FORM!$B$2:$J$65, MATCH(D21, FORM!$A$2:$A$65, 0), MATCH($I$4, FORM!$B$1:$J$1, 0))</f>
        <v>↑</v>
      </c>
      <c r="B21" s="116">
        <v>9.0</v>
      </c>
      <c r="C21" s="117" t="s">
        <v>210</v>
      </c>
      <c r="D21" s="117" t="s">
        <v>227</v>
      </c>
      <c r="E21" s="117">
        <v>53.0</v>
      </c>
      <c r="F21" s="117">
        <v>16.0</v>
      </c>
      <c r="G21" s="117">
        <v>8.0</v>
      </c>
      <c r="H21" s="117">
        <v>3.0</v>
      </c>
      <c r="I21" s="117">
        <v>5.0</v>
      </c>
      <c r="J21" s="117">
        <v>0.0</v>
      </c>
      <c r="K21" s="117">
        <v>9.0</v>
      </c>
      <c r="L21" s="117">
        <v>0.0</v>
      </c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</row>
    <row r="22" ht="15.75" customHeight="1">
      <c r="A22" s="115" t="str">
        <f t="array" ref="A22">INDEX(FORM!$B$2:$J$65, MATCH(D22, FORM!$A$2:$A$65, 0), MATCH($I$4, FORM!$B$1:$J$1, 0))</f>
        <v>=</v>
      </c>
      <c r="B22" s="117">
        <v>10.0</v>
      </c>
      <c r="C22" s="117" t="s">
        <v>210</v>
      </c>
      <c r="D22" s="117" t="s">
        <v>49</v>
      </c>
      <c r="E22" s="117">
        <v>53.0</v>
      </c>
      <c r="F22" s="117">
        <v>14.0</v>
      </c>
      <c r="G22" s="117">
        <v>9.0</v>
      </c>
      <c r="H22" s="117">
        <v>3.0</v>
      </c>
      <c r="I22" s="117">
        <v>2.0</v>
      </c>
      <c r="J22" s="117">
        <v>0.0</v>
      </c>
      <c r="K22" s="117">
        <v>0.0</v>
      </c>
      <c r="L22" s="117">
        <v>0.0</v>
      </c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</row>
    <row r="23" ht="15.75" customHeight="1">
      <c r="A23" s="115" t="str">
        <f t="array" ref="A23">INDEX(FORM!$B$2:$J$65, MATCH(D23, FORM!$A$2:$A$65, 0), MATCH($I$4, FORM!$B$1:$J$1, 0))</f>
        <v>↑</v>
      </c>
      <c r="B23" s="116">
        <v>11.0</v>
      </c>
      <c r="C23" s="117" t="s">
        <v>210</v>
      </c>
      <c r="D23" s="117" t="s">
        <v>235</v>
      </c>
      <c r="E23" s="117">
        <v>52.0</v>
      </c>
      <c r="F23" s="117">
        <v>16.0</v>
      </c>
      <c r="G23" s="117">
        <v>9.0</v>
      </c>
      <c r="H23" s="117">
        <v>2.0</v>
      </c>
      <c r="I23" s="117">
        <v>5.0</v>
      </c>
      <c r="J23" s="117">
        <v>2.0</v>
      </c>
      <c r="K23" s="117">
        <v>3.0</v>
      </c>
      <c r="L23" s="117">
        <v>0.0</v>
      </c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</row>
    <row r="24" ht="15.75" customHeight="1">
      <c r="A24" s="115" t="str">
        <f t="array" ref="A24">INDEX(FORM!$B$2:$J$65, MATCH(D24, FORM!$A$2:$A$65, 0), MATCH($I$4, FORM!$B$1:$J$1, 0))</f>
        <v>↓</v>
      </c>
      <c r="B24" s="117">
        <v>12.0</v>
      </c>
      <c r="C24" s="117" t="s">
        <v>210</v>
      </c>
      <c r="D24" s="117" t="s">
        <v>236</v>
      </c>
      <c r="E24" s="117">
        <v>51.0</v>
      </c>
      <c r="F24" s="117">
        <v>14.0</v>
      </c>
      <c r="G24" s="117">
        <v>9.0</v>
      </c>
      <c r="H24" s="117">
        <v>1.0</v>
      </c>
      <c r="I24" s="117">
        <v>4.0</v>
      </c>
      <c r="J24" s="117">
        <v>0.0</v>
      </c>
      <c r="K24" s="117">
        <v>0.0</v>
      </c>
      <c r="L24" s="117">
        <v>0.0</v>
      </c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</row>
    <row r="25" ht="15.75" customHeight="1">
      <c r="A25" s="115" t="str">
        <f t="array" ref="A25">INDEX(FORM!$B$2:$J$65, MATCH(D25, FORM!$A$2:$A$65, 0), MATCH($I$4, FORM!$B$1:$J$1, 0))</f>
        <v>↑</v>
      </c>
      <c r="B25" s="116">
        <v>13.0</v>
      </c>
      <c r="C25" s="117" t="s">
        <v>210</v>
      </c>
      <c r="D25" s="117" t="s">
        <v>232</v>
      </c>
      <c r="E25" s="117">
        <v>51.0</v>
      </c>
      <c r="F25" s="117">
        <v>14.0</v>
      </c>
      <c r="G25" s="117">
        <v>5.0</v>
      </c>
      <c r="H25" s="117">
        <v>5.0</v>
      </c>
      <c r="I25" s="117">
        <v>4.0</v>
      </c>
      <c r="J25" s="117">
        <v>2.0</v>
      </c>
      <c r="K25" s="117">
        <v>1.0</v>
      </c>
      <c r="L25" s="117">
        <v>1.0</v>
      </c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</row>
    <row r="26" ht="15.75" customHeight="1">
      <c r="A26" s="115" t="str">
        <f t="array" ref="A26">INDEX(FORM!$B$2:$J$65, MATCH(D26, FORM!$A$2:$A$65, 0), MATCH($I$4, FORM!$B$1:$J$1, 0))</f>
        <v>↓</v>
      </c>
      <c r="B26" s="117">
        <v>14.0</v>
      </c>
      <c r="C26" s="117" t="s">
        <v>210</v>
      </c>
      <c r="D26" s="117" t="s">
        <v>237</v>
      </c>
      <c r="E26" s="117">
        <v>49.0</v>
      </c>
      <c r="F26" s="117">
        <v>16.0</v>
      </c>
      <c r="G26" s="117">
        <v>6.0</v>
      </c>
      <c r="H26" s="117">
        <v>1.0</v>
      </c>
      <c r="I26" s="117">
        <v>9.0</v>
      </c>
      <c r="J26" s="117">
        <v>3.0</v>
      </c>
      <c r="K26" s="117">
        <v>0.0</v>
      </c>
      <c r="L26" s="117">
        <v>1.0</v>
      </c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</row>
    <row r="27" ht="15.75" customHeight="1">
      <c r="A27" s="115" t="str">
        <f t="array" ref="A27">INDEX(FORM!$B$2:$J$65, MATCH(D27, FORM!$A$2:$A$65, 0), MATCH($I$4, FORM!$B$1:$J$1, 0))</f>
        <v>↓</v>
      </c>
      <c r="B27" s="116">
        <v>15.0</v>
      </c>
      <c r="C27" s="117" t="s">
        <v>210</v>
      </c>
      <c r="D27" s="117" t="s">
        <v>241</v>
      </c>
      <c r="E27" s="117">
        <v>49.0</v>
      </c>
      <c r="F27" s="117">
        <v>16.0</v>
      </c>
      <c r="G27" s="117">
        <v>5.0</v>
      </c>
      <c r="H27" s="117">
        <v>3.0</v>
      </c>
      <c r="I27" s="117">
        <v>8.0</v>
      </c>
      <c r="J27" s="117">
        <v>6.0</v>
      </c>
      <c r="K27" s="117">
        <v>0.0</v>
      </c>
      <c r="L27" s="117">
        <v>1.0</v>
      </c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</row>
    <row r="28" ht="15.75" customHeight="1">
      <c r="A28" s="115" t="str">
        <f t="array" ref="A28">INDEX(FORM!$B$2:$J$65, MATCH(D28, FORM!$A$2:$A$65, 0), MATCH($I$4, FORM!$B$1:$J$1, 0))</f>
        <v>↑</v>
      </c>
      <c r="B28" s="117">
        <v>16.0</v>
      </c>
      <c r="C28" s="117" t="s">
        <v>210</v>
      </c>
      <c r="D28" s="117" t="s">
        <v>42</v>
      </c>
      <c r="E28" s="117">
        <v>48.0</v>
      </c>
      <c r="F28" s="117">
        <v>16.0</v>
      </c>
      <c r="G28" s="117">
        <v>6.0</v>
      </c>
      <c r="H28" s="117">
        <v>4.0</v>
      </c>
      <c r="I28" s="117">
        <v>6.0</v>
      </c>
      <c r="J28" s="117">
        <v>2.0</v>
      </c>
      <c r="K28" s="117">
        <v>0.0</v>
      </c>
      <c r="L28" s="117">
        <v>1.0</v>
      </c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</row>
    <row r="29" ht="15.75" customHeight="1">
      <c r="A29" s="115" t="str">
        <f t="array" ref="A29">INDEX(FORM!$B$2:$J$65, MATCH(D29, FORM!$A$2:$A$65, 0), MATCH($I$4, FORM!$B$1:$J$1, 0))</f>
        <v>=</v>
      </c>
      <c r="B29" s="116">
        <v>17.0</v>
      </c>
      <c r="C29" s="117" t="s">
        <v>210</v>
      </c>
      <c r="D29" s="117" t="s">
        <v>217</v>
      </c>
      <c r="E29" s="117">
        <v>48.0</v>
      </c>
      <c r="F29" s="117">
        <v>16.0</v>
      </c>
      <c r="G29" s="117">
        <v>6.0</v>
      </c>
      <c r="H29" s="117">
        <v>3.0</v>
      </c>
      <c r="I29" s="117">
        <v>7.0</v>
      </c>
      <c r="J29" s="117">
        <v>0.0</v>
      </c>
      <c r="K29" s="117">
        <v>4.0</v>
      </c>
      <c r="L29" s="117">
        <v>0.0</v>
      </c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</row>
    <row r="30" ht="15.75" customHeight="1">
      <c r="A30" s="115" t="str">
        <f t="array" ref="A30">INDEX(FORM!$B$2:$J$65, MATCH(D30, FORM!$A$2:$A$65, 0), MATCH($I$4, FORM!$B$1:$J$1, 0))</f>
        <v>↓</v>
      </c>
      <c r="B30" s="117">
        <v>18.0</v>
      </c>
      <c r="C30" s="117" t="s">
        <v>210</v>
      </c>
      <c r="D30" s="117" t="s">
        <v>230</v>
      </c>
      <c r="E30" s="117">
        <v>47.0</v>
      </c>
      <c r="F30" s="117">
        <v>16.0</v>
      </c>
      <c r="G30" s="117">
        <v>6.0</v>
      </c>
      <c r="H30" s="117">
        <v>4.0</v>
      </c>
      <c r="I30" s="117">
        <v>6.0</v>
      </c>
      <c r="J30" s="117">
        <v>0.0</v>
      </c>
      <c r="K30" s="117">
        <v>4.0</v>
      </c>
      <c r="L30" s="117">
        <v>0.0</v>
      </c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</row>
    <row r="31" ht="15.75" customHeight="1">
      <c r="A31" s="115" t="str">
        <f t="array" ref="A31">INDEX(FORM!$B$2:$J$65, MATCH(D31, FORM!$A$2:$A$65, 0), MATCH($I$4, FORM!$B$1:$J$1, 0))</f>
        <v>↓</v>
      </c>
      <c r="B31" s="116">
        <v>19.0</v>
      </c>
      <c r="C31" s="117" t="s">
        <v>210</v>
      </c>
      <c r="D31" s="117" t="s">
        <v>240</v>
      </c>
      <c r="E31" s="117">
        <v>46.0</v>
      </c>
      <c r="F31" s="117">
        <v>16.0</v>
      </c>
      <c r="G31" s="117">
        <v>7.0</v>
      </c>
      <c r="H31" s="117">
        <v>4.0</v>
      </c>
      <c r="I31" s="117">
        <v>5.0</v>
      </c>
      <c r="J31" s="117">
        <v>0.0</v>
      </c>
      <c r="K31" s="117">
        <v>3.0</v>
      </c>
      <c r="L31" s="117">
        <v>0.0</v>
      </c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</row>
    <row r="32" ht="15.75" customHeight="1">
      <c r="A32" s="115" t="str">
        <f t="array" ref="A32">INDEX(FORM!$B$2:$J$65, MATCH(D32, FORM!$A$2:$A$65, 0), MATCH($I$4, FORM!$B$1:$J$1, 0))</f>
        <v>↑</v>
      </c>
      <c r="B32" s="117">
        <v>20.0</v>
      </c>
      <c r="C32" s="117" t="s">
        <v>210</v>
      </c>
      <c r="D32" s="117" t="s">
        <v>219</v>
      </c>
      <c r="E32" s="117">
        <v>45.0</v>
      </c>
      <c r="F32" s="117">
        <v>12.0</v>
      </c>
      <c r="G32" s="117">
        <v>6.0</v>
      </c>
      <c r="H32" s="117">
        <v>4.0</v>
      </c>
      <c r="I32" s="117">
        <v>2.0</v>
      </c>
      <c r="J32" s="117">
        <v>0.0</v>
      </c>
      <c r="K32" s="117">
        <v>0.0</v>
      </c>
      <c r="L32" s="117">
        <v>0.0</v>
      </c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</row>
    <row r="33" ht="15.75" customHeight="1">
      <c r="A33" s="115" t="str">
        <f t="array" ref="A33">INDEX(FORM!$B$2:$J$65, MATCH(D33, FORM!$A$2:$A$65, 0), MATCH($I$4, FORM!$B$1:$J$1, 0))</f>
        <v>↑</v>
      </c>
      <c r="B33" s="116">
        <v>21.0</v>
      </c>
      <c r="C33" s="117" t="s">
        <v>210</v>
      </c>
      <c r="D33" s="117" t="s">
        <v>72</v>
      </c>
      <c r="E33" s="117">
        <v>43.0</v>
      </c>
      <c r="F33" s="117">
        <v>16.0</v>
      </c>
      <c r="G33" s="117">
        <v>6.0</v>
      </c>
      <c r="H33" s="117">
        <v>2.0</v>
      </c>
      <c r="I33" s="117">
        <v>8.0</v>
      </c>
      <c r="J33" s="117">
        <v>0.0</v>
      </c>
      <c r="K33" s="117">
        <v>5.0</v>
      </c>
      <c r="L33" s="117">
        <v>0.0</v>
      </c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</row>
    <row r="34" ht="15.75" customHeight="1">
      <c r="A34" s="115" t="str">
        <f t="array" ref="A34">INDEX(FORM!$B$2:$J$65, MATCH(D34, FORM!$A$2:$A$65, 0), MATCH($I$4, FORM!$B$1:$J$1, 0))</f>
        <v>↓</v>
      </c>
      <c r="B34" s="117">
        <v>22.0</v>
      </c>
      <c r="C34" s="117" t="s">
        <v>210</v>
      </c>
      <c r="D34" s="117" t="s">
        <v>238</v>
      </c>
      <c r="E34" s="117">
        <v>43.0</v>
      </c>
      <c r="F34" s="117">
        <v>16.0</v>
      </c>
      <c r="G34" s="117">
        <v>5.0</v>
      </c>
      <c r="H34" s="117">
        <v>2.0</v>
      </c>
      <c r="I34" s="117">
        <v>9.0</v>
      </c>
      <c r="J34" s="117">
        <v>1.0</v>
      </c>
      <c r="K34" s="117">
        <v>1.0</v>
      </c>
      <c r="L34" s="117">
        <v>2.0</v>
      </c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</row>
    <row r="35" ht="15.75" customHeight="1">
      <c r="A35" s="115" t="str">
        <f t="array" ref="A35">INDEX(FORM!$B$2:$J$65, MATCH(D35, FORM!$A$2:$A$65, 0), MATCH($I$4, FORM!$B$1:$J$1, 0))</f>
        <v>↓</v>
      </c>
      <c r="B35" s="116">
        <v>23.0</v>
      </c>
      <c r="C35" s="117" t="s">
        <v>210</v>
      </c>
      <c r="D35" s="117" t="s">
        <v>225</v>
      </c>
      <c r="E35" s="117">
        <v>42.0</v>
      </c>
      <c r="F35" s="117">
        <v>14.0</v>
      </c>
      <c r="G35" s="117">
        <v>5.0</v>
      </c>
      <c r="H35" s="117">
        <v>1.0</v>
      </c>
      <c r="I35" s="117">
        <v>8.0</v>
      </c>
      <c r="J35" s="117">
        <v>1.0</v>
      </c>
      <c r="K35" s="117">
        <v>0.0</v>
      </c>
      <c r="L35" s="117">
        <v>0.0</v>
      </c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</row>
    <row r="36" ht="15.75" customHeight="1">
      <c r="A36" s="115" t="str">
        <f t="array" ref="A36">INDEX(FORM!$B$2:$J$65, MATCH(D36, FORM!$A$2:$A$65, 0), MATCH($I$4, FORM!$B$1:$J$1, 0))</f>
        <v>=</v>
      </c>
      <c r="B36" s="117">
        <v>24.0</v>
      </c>
      <c r="C36" s="117" t="s">
        <v>210</v>
      </c>
      <c r="D36" s="117" t="s">
        <v>229</v>
      </c>
      <c r="E36" s="117">
        <v>42.0</v>
      </c>
      <c r="F36" s="117">
        <v>12.0</v>
      </c>
      <c r="G36" s="117">
        <v>4.0</v>
      </c>
      <c r="H36" s="117">
        <v>3.0</v>
      </c>
      <c r="I36" s="117">
        <v>5.0</v>
      </c>
      <c r="J36" s="117">
        <v>0.0</v>
      </c>
      <c r="K36" s="117">
        <v>0.0</v>
      </c>
      <c r="L36" s="117">
        <v>0.0</v>
      </c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</row>
    <row r="37" ht="15.75" customHeight="1">
      <c r="A37" s="115" t="str">
        <f t="array" ref="A37">INDEX(FORM!$B$2:$J$65, MATCH(D37, FORM!$A$2:$A$65, 0), MATCH($I$4, FORM!$B$1:$J$1, 0))</f>
        <v>↑</v>
      </c>
      <c r="B37" s="116">
        <v>25.0</v>
      </c>
      <c r="C37" s="117" t="s">
        <v>210</v>
      </c>
      <c r="D37" s="117" t="s">
        <v>77</v>
      </c>
      <c r="E37" s="117">
        <v>39.0</v>
      </c>
      <c r="F37" s="117">
        <v>16.0</v>
      </c>
      <c r="G37" s="117">
        <v>5.0</v>
      </c>
      <c r="H37" s="117">
        <v>4.0</v>
      </c>
      <c r="I37" s="117">
        <v>7.0</v>
      </c>
      <c r="J37" s="117">
        <v>0.0</v>
      </c>
      <c r="K37" s="117">
        <v>1.0</v>
      </c>
      <c r="L37" s="117">
        <v>0.0</v>
      </c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</row>
    <row r="38" ht="15.75" customHeight="1">
      <c r="A38" s="115" t="str">
        <f t="array" ref="A38">INDEX(FORM!$B$2:$J$65, MATCH(D38, FORM!$A$2:$A$65, 0), MATCH($I$4, FORM!$B$1:$J$1, 0))</f>
        <v>=</v>
      </c>
      <c r="B38" s="117">
        <v>26.0</v>
      </c>
      <c r="C38" s="117" t="s">
        <v>210</v>
      </c>
      <c r="D38" s="117" t="s">
        <v>211</v>
      </c>
      <c r="E38" s="117">
        <v>39.0</v>
      </c>
      <c r="F38" s="117">
        <v>16.0</v>
      </c>
      <c r="G38" s="117">
        <v>5.0</v>
      </c>
      <c r="H38" s="117">
        <v>3.0</v>
      </c>
      <c r="I38" s="117">
        <v>8.0</v>
      </c>
      <c r="J38" s="117">
        <v>0.0</v>
      </c>
      <c r="K38" s="117">
        <v>0.0</v>
      </c>
      <c r="L38" s="117">
        <v>0.0</v>
      </c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</row>
    <row r="39" ht="15.75" customHeight="1">
      <c r="A39" s="115" t="str">
        <f t="array" ref="A39">INDEX(FORM!$B$2:$J$65, MATCH(D39, FORM!$A$2:$A$65, 0), MATCH($I$4, FORM!$B$1:$J$1, 0))</f>
        <v>↑</v>
      </c>
      <c r="B39" s="116">
        <v>27.0</v>
      </c>
      <c r="C39" s="117" t="s">
        <v>210</v>
      </c>
      <c r="D39" s="117" t="s">
        <v>32</v>
      </c>
      <c r="E39" s="117">
        <v>39.0</v>
      </c>
      <c r="F39" s="117">
        <v>14.0</v>
      </c>
      <c r="G39" s="117">
        <v>4.0</v>
      </c>
      <c r="H39" s="117">
        <v>5.0</v>
      </c>
      <c r="I39" s="117">
        <v>5.0</v>
      </c>
      <c r="J39" s="117">
        <v>0.0</v>
      </c>
      <c r="K39" s="117">
        <v>3.0</v>
      </c>
      <c r="L39" s="117">
        <v>0.0</v>
      </c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</row>
    <row r="40" ht="15.75" customHeight="1">
      <c r="A40" s="115" t="str">
        <f t="array" ref="A40">INDEX(FORM!$B$2:$J$65, MATCH(D40, FORM!$A$2:$A$65, 0), MATCH($I$4, FORM!$B$1:$J$1, 0))</f>
        <v>↑</v>
      </c>
      <c r="B40" s="117">
        <v>28.0</v>
      </c>
      <c r="C40" s="117" t="s">
        <v>210</v>
      </c>
      <c r="D40" s="117" t="s">
        <v>223</v>
      </c>
      <c r="E40" s="117">
        <v>37.0</v>
      </c>
      <c r="F40" s="117">
        <v>12.0</v>
      </c>
      <c r="G40" s="117">
        <v>6.0</v>
      </c>
      <c r="H40" s="117">
        <v>2.0</v>
      </c>
      <c r="I40" s="117">
        <v>4.0</v>
      </c>
      <c r="J40" s="117">
        <v>1.0</v>
      </c>
      <c r="K40" s="117">
        <v>0.0</v>
      </c>
      <c r="L40" s="117">
        <v>1.0</v>
      </c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</row>
    <row r="41" ht="15.75" customHeight="1">
      <c r="A41" s="115" t="str">
        <f t="array" ref="A41">INDEX(FORM!$B$2:$J$65, MATCH(D41, FORM!$A$2:$A$65, 0), MATCH($I$4, FORM!$B$1:$J$1, 0))</f>
        <v>=</v>
      </c>
      <c r="B41" s="116">
        <v>29.0</v>
      </c>
      <c r="C41" s="117" t="s">
        <v>210</v>
      </c>
      <c r="D41" s="117" t="s">
        <v>234</v>
      </c>
      <c r="E41" s="117">
        <v>36.0</v>
      </c>
      <c r="F41" s="117">
        <v>12.0</v>
      </c>
      <c r="G41" s="117">
        <v>5.0</v>
      </c>
      <c r="H41" s="117">
        <v>1.0</v>
      </c>
      <c r="I41" s="117">
        <v>6.0</v>
      </c>
      <c r="J41" s="117">
        <v>0.0</v>
      </c>
      <c r="K41" s="117">
        <v>2.0</v>
      </c>
      <c r="L41" s="117">
        <v>0.0</v>
      </c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</row>
    <row r="42" ht="15.75" customHeight="1">
      <c r="A42" s="115" t="str">
        <f t="array" ref="A42">INDEX(FORM!$B$2:$J$65, MATCH(D42, FORM!$A$2:$A$65, 0), MATCH($I$4, FORM!$B$1:$J$1, 0))</f>
        <v>↑</v>
      </c>
      <c r="B42" s="117">
        <v>30.0</v>
      </c>
      <c r="C42" s="117" t="s">
        <v>210</v>
      </c>
      <c r="D42" s="117" t="s">
        <v>220</v>
      </c>
      <c r="E42" s="117">
        <v>34.0</v>
      </c>
      <c r="F42" s="117">
        <v>14.0</v>
      </c>
      <c r="G42" s="117">
        <v>4.0</v>
      </c>
      <c r="H42" s="117">
        <v>4.0</v>
      </c>
      <c r="I42" s="117">
        <v>6.0</v>
      </c>
      <c r="J42" s="117">
        <v>0.0</v>
      </c>
      <c r="K42" s="117">
        <v>0.0</v>
      </c>
      <c r="L42" s="117">
        <v>0.0</v>
      </c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</row>
    <row r="43" ht="15.75" customHeight="1">
      <c r="A43" s="115" t="str">
        <f t="array" ref="A43">INDEX(FORM!$B$2:$J$65, MATCH(D43, FORM!$A$2:$A$65, 0), MATCH($I$4, FORM!$B$1:$J$1, 0))</f>
        <v>↓</v>
      </c>
      <c r="B43" s="116">
        <v>31.0</v>
      </c>
      <c r="C43" s="117" t="s">
        <v>210</v>
      </c>
      <c r="D43" s="117" t="s">
        <v>218</v>
      </c>
      <c r="E43" s="117">
        <v>34.0</v>
      </c>
      <c r="F43" s="117">
        <v>10.0</v>
      </c>
      <c r="G43" s="117">
        <v>2.0</v>
      </c>
      <c r="H43" s="117">
        <v>2.0</v>
      </c>
      <c r="I43" s="117">
        <v>6.0</v>
      </c>
      <c r="J43" s="117">
        <v>2.0</v>
      </c>
      <c r="K43" s="117">
        <v>0.0</v>
      </c>
      <c r="L43" s="117">
        <v>1.0</v>
      </c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</row>
    <row r="44" ht="15.75" customHeight="1">
      <c r="A44" s="115" t="str">
        <f t="array" ref="A44">INDEX(FORM!$B$2:$J$65, MATCH(D44, FORM!$A$2:$A$65, 0), MATCH($I$4, FORM!$B$1:$J$1, 0))</f>
        <v>↓</v>
      </c>
      <c r="B44" s="117">
        <v>32.0</v>
      </c>
      <c r="C44" s="117" t="s">
        <v>210</v>
      </c>
      <c r="D44" s="117" t="s">
        <v>58</v>
      </c>
      <c r="E44" s="117">
        <v>32.0</v>
      </c>
      <c r="F44" s="117">
        <v>16.0</v>
      </c>
      <c r="G44" s="117">
        <v>2.0</v>
      </c>
      <c r="H44" s="117">
        <v>3.0</v>
      </c>
      <c r="I44" s="117">
        <v>11.0</v>
      </c>
      <c r="J44" s="117">
        <v>0.0</v>
      </c>
      <c r="K44" s="117">
        <v>4.0</v>
      </c>
      <c r="L44" s="117">
        <v>0.0</v>
      </c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</row>
    <row r="45" ht="15.75" customHeight="1">
      <c r="A45" s="115" t="str">
        <f t="array" ref="A45">INDEX(FORM!$B$2:$J$65, MATCH(D45, FORM!$A$2:$A$65, 0), MATCH($I$4, FORM!$B$1:$J$1, 0))</f>
        <v>=</v>
      </c>
      <c r="B45" s="116">
        <v>33.0</v>
      </c>
      <c r="C45" s="117" t="s">
        <v>210</v>
      </c>
      <c r="D45" s="117" t="s">
        <v>80</v>
      </c>
      <c r="E45" s="117">
        <v>30.0</v>
      </c>
      <c r="F45" s="117">
        <v>14.0</v>
      </c>
      <c r="G45" s="117">
        <v>4.0</v>
      </c>
      <c r="H45" s="117">
        <v>3.0</v>
      </c>
      <c r="I45" s="117">
        <v>7.0</v>
      </c>
      <c r="J45" s="117">
        <v>0.0</v>
      </c>
      <c r="K45" s="117">
        <v>3.0</v>
      </c>
      <c r="L45" s="117">
        <v>0.0</v>
      </c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</row>
    <row r="46" ht="15.75" customHeight="1">
      <c r="A46" s="115" t="str">
        <f t="array" ref="A46">INDEX(FORM!$B$2:$J$65, MATCH(D46, FORM!$A$2:$A$65, 0), MATCH($I$4, FORM!$B$1:$J$1, 0))</f>
        <v>=</v>
      </c>
      <c r="B46" s="110">
        <v>34.0</v>
      </c>
      <c r="C46" s="110" t="s">
        <v>210</v>
      </c>
      <c r="D46" s="110" t="s">
        <v>88</v>
      </c>
      <c r="E46" s="110">
        <v>28.0</v>
      </c>
      <c r="F46" s="110">
        <v>12.0</v>
      </c>
      <c r="G46" s="110">
        <v>3.0</v>
      </c>
      <c r="H46" s="110">
        <v>2.0</v>
      </c>
      <c r="I46" s="110">
        <v>7.0</v>
      </c>
      <c r="J46" s="110">
        <v>0.0</v>
      </c>
      <c r="K46" s="110">
        <v>0.0</v>
      </c>
      <c r="L46" s="110">
        <v>0.0</v>
      </c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</row>
    <row r="47" ht="15.75" customHeight="1">
      <c r="A47" s="115" t="str">
        <f t="array" ref="A47">INDEX(FORM!$B$2:$J$65, MATCH(D47, FORM!$A$2:$A$65, 0), MATCH($I$4, FORM!$B$1:$J$1, 0))</f>
        <v>↑</v>
      </c>
      <c r="B47" s="116">
        <v>35.0</v>
      </c>
      <c r="C47" s="117" t="s">
        <v>210</v>
      </c>
      <c r="D47" s="117" t="s">
        <v>216</v>
      </c>
      <c r="E47" s="117">
        <v>28.0</v>
      </c>
      <c r="F47" s="117">
        <v>12.0</v>
      </c>
      <c r="G47" s="117">
        <v>2.0</v>
      </c>
      <c r="H47" s="117">
        <v>3.0</v>
      </c>
      <c r="I47" s="117">
        <v>7.0</v>
      </c>
      <c r="J47" s="117">
        <v>2.0</v>
      </c>
      <c r="K47" s="117">
        <v>0.0</v>
      </c>
      <c r="L47" s="117">
        <v>1.0</v>
      </c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</row>
    <row r="48" ht="15.75" customHeight="1">
      <c r="A48" s="115" t="str">
        <f t="array" ref="A48">INDEX(FORM!$B$2:$J$65, MATCH(D48, FORM!$A$2:$A$65, 0), MATCH($I$4, FORM!$B$1:$J$1, 0))</f>
        <v>=</v>
      </c>
      <c r="B48" s="117">
        <v>36.0</v>
      </c>
      <c r="C48" s="119" t="s">
        <v>210</v>
      </c>
      <c r="D48" s="119" t="s">
        <v>222</v>
      </c>
      <c r="E48" s="119">
        <v>21.0</v>
      </c>
      <c r="F48" s="119">
        <v>12.0</v>
      </c>
      <c r="G48" s="119">
        <v>1.0</v>
      </c>
      <c r="H48" s="119">
        <v>2.0</v>
      </c>
      <c r="I48" s="119">
        <v>9.0</v>
      </c>
      <c r="J48" s="119">
        <v>0.0</v>
      </c>
      <c r="K48" s="119">
        <v>0.0</v>
      </c>
      <c r="L48" s="119">
        <v>0.0</v>
      </c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</row>
    <row r="49" ht="15.75" customHeight="1">
      <c r="A49" s="115" t="str">
        <f t="array" ref="A49">INDEX(FORM!$B$2:$J$65, MATCH(D49, FORM!$A$2:$A$65, 0), MATCH($I$4, FORM!$B$1:$J$1, 0))</f>
        <v>=</v>
      </c>
      <c r="B49" s="116">
        <v>1.0</v>
      </c>
      <c r="C49" s="117" t="s">
        <v>242</v>
      </c>
      <c r="D49" s="117" t="s">
        <v>246</v>
      </c>
      <c r="E49" s="117">
        <v>18.0</v>
      </c>
      <c r="F49" s="117">
        <v>6.0</v>
      </c>
      <c r="G49" s="117">
        <v>2.0</v>
      </c>
      <c r="H49" s="117">
        <v>1.0</v>
      </c>
      <c r="I49" s="117">
        <v>3.0</v>
      </c>
      <c r="J49" s="117">
        <v>0.0</v>
      </c>
      <c r="K49" s="117">
        <v>0.0</v>
      </c>
      <c r="L49" s="117">
        <v>0.0</v>
      </c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</row>
    <row r="50" ht="15.75" customHeight="1">
      <c r="A50" s="115" t="str">
        <f t="array" ref="A50">INDEX(FORM!$B$2:$J$65, MATCH(D50, FORM!$A$2:$A$65, 0), MATCH($I$4, FORM!$B$1:$J$1, 0))</f>
        <v>=</v>
      </c>
      <c r="B50" s="116">
        <v>2.0</v>
      </c>
      <c r="C50" s="117" t="s">
        <v>242</v>
      </c>
      <c r="D50" s="117" t="s">
        <v>243</v>
      </c>
      <c r="E50" s="117">
        <v>16.0</v>
      </c>
      <c r="F50" s="117">
        <v>8.0</v>
      </c>
      <c r="G50" s="117">
        <v>4.0</v>
      </c>
      <c r="H50" s="117">
        <v>0.0</v>
      </c>
      <c r="I50" s="117">
        <v>4.0</v>
      </c>
      <c r="J50" s="117">
        <v>0.0</v>
      </c>
      <c r="K50" s="117">
        <v>0.0</v>
      </c>
      <c r="L50" s="117">
        <v>0.0</v>
      </c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</row>
    <row r="51" ht="15.75" customHeight="1">
      <c r="A51" s="115" t="str">
        <f t="array" ref="A51">INDEX(FORM!$B$2:$J$65, MATCH(D51, FORM!$A$2:$A$65, 0), MATCH($I$4, FORM!$B$1:$J$1, 0))</f>
        <v>=</v>
      </c>
      <c r="B51" s="120">
        <v>3.0</v>
      </c>
      <c r="C51" s="111" t="s">
        <v>242</v>
      </c>
      <c r="D51" s="111" t="s">
        <v>245</v>
      </c>
      <c r="E51" s="111">
        <v>15.0</v>
      </c>
      <c r="F51" s="111">
        <v>8.0</v>
      </c>
      <c r="G51" s="111">
        <v>1.0</v>
      </c>
      <c r="H51" s="111">
        <v>1.0</v>
      </c>
      <c r="I51" s="111">
        <v>6.0</v>
      </c>
      <c r="J51" s="111">
        <v>0.0</v>
      </c>
      <c r="K51" s="111">
        <v>0.0</v>
      </c>
      <c r="L51" s="111">
        <v>1.0</v>
      </c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</row>
    <row r="52" ht="15.75" customHeight="1">
      <c r="A52" s="115" t="str">
        <f t="array" ref="A52">INDEX(FORM!$B$2:$J$65, MATCH(D52, FORM!$A$2:$A$65, 0), MATCH($I$4, FORM!$B$1:$J$1, 0))</f>
        <v>↑</v>
      </c>
      <c r="B52" s="116">
        <v>4.0</v>
      </c>
      <c r="C52" s="117" t="s">
        <v>242</v>
      </c>
      <c r="D52" s="117" t="s">
        <v>249</v>
      </c>
      <c r="E52" s="117">
        <v>15.0</v>
      </c>
      <c r="F52" s="117">
        <v>4.0</v>
      </c>
      <c r="G52" s="117">
        <v>2.0</v>
      </c>
      <c r="H52" s="117">
        <v>1.0</v>
      </c>
      <c r="I52" s="117">
        <v>1.0</v>
      </c>
      <c r="J52" s="117">
        <v>0.0</v>
      </c>
      <c r="K52" s="117">
        <v>1.0</v>
      </c>
      <c r="L52" s="117">
        <v>0.0</v>
      </c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</row>
    <row r="53" ht="15.75" customHeight="1">
      <c r="A53" s="115" t="str">
        <f t="array" ref="A53">INDEX(FORM!$B$2:$J$65, MATCH(D53, FORM!$A$2:$A$65, 0), MATCH($I$4, FORM!$B$1:$J$1, 0))</f>
        <v>↓</v>
      </c>
      <c r="B53" s="116">
        <v>5.0</v>
      </c>
      <c r="C53" s="117" t="s">
        <v>242</v>
      </c>
      <c r="D53" s="117" t="s">
        <v>253</v>
      </c>
      <c r="E53" s="117">
        <v>13.0</v>
      </c>
      <c r="F53" s="117">
        <v>2.0</v>
      </c>
      <c r="G53" s="117">
        <v>2.0</v>
      </c>
      <c r="H53" s="117">
        <v>0.0</v>
      </c>
      <c r="I53" s="117">
        <v>0.0</v>
      </c>
      <c r="J53" s="117">
        <v>0.0</v>
      </c>
      <c r="K53" s="117">
        <v>1.0</v>
      </c>
      <c r="L53" s="117">
        <v>0.0</v>
      </c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</row>
    <row r="54" ht="15.75" customHeight="1">
      <c r="A54" s="115" t="str">
        <f t="array" ref="A54">INDEX(FORM!$B$2:$J$65, MATCH(D54, FORM!$A$2:$A$65, 0), MATCH($I$4, FORM!$B$1:$J$1, 0))</f>
        <v>↓</v>
      </c>
      <c r="B54" s="116">
        <v>6.0</v>
      </c>
      <c r="C54" s="117" t="s">
        <v>242</v>
      </c>
      <c r="D54" s="117" t="s">
        <v>252</v>
      </c>
      <c r="E54" s="117">
        <v>13.0</v>
      </c>
      <c r="F54" s="117">
        <v>2.0</v>
      </c>
      <c r="G54" s="117">
        <v>2.0</v>
      </c>
      <c r="H54" s="117">
        <v>0.0</v>
      </c>
      <c r="I54" s="117">
        <v>0.0</v>
      </c>
      <c r="J54" s="117">
        <v>0.0</v>
      </c>
      <c r="K54" s="117">
        <v>0.0</v>
      </c>
      <c r="L54" s="117">
        <v>0.0</v>
      </c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</row>
    <row r="55" ht="15.75" customHeight="1">
      <c r="A55" s="115" t="str">
        <f t="array" ref="A55">INDEX(FORM!$B$2:$J$65, MATCH(D55, FORM!$A$2:$A$65, 0), MATCH($I$4, FORM!$B$1:$J$1, 0))</f>
        <v>↓</v>
      </c>
      <c r="B55" s="116">
        <v>7.0</v>
      </c>
      <c r="C55" s="117" t="s">
        <v>242</v>
      </c>
      <c r="D55" s="117" t="s">
        <v>247</v>
      </c>
      <c r="E55" s="117">
        <v>8.0</v>
      </c>
      <c r="F55" s="117">
        <v>4.0</v>
      </c>
      <c r="G55" s="117">
        <v>1.0</v>
      </c>
      <c r="H55" s="117">
        <v>1.0</v>
      </c>
      <c r="I55" s="117">
        <v>2.0</v>
      </c>
      <c r="J55" s="117">
        <v>0.0</v>
      </c>
      <c r="K55" s="117">
        <v>0.0</v>
      </c>
      <c r="L55" s="117">
        <v>0.0</v>
      </c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</row>
    <row r="56" ht="15.75" customHeight="1">
      <c r="A56" s="115" t="str">
        <f t="array" ref="A56">INDEX(FORM!$B$2:$J$65, MATCH(D56, FORM!$A$2:$A$65, 0), MATCH($I$4, FORM!$B$1:$J$1, 0))</f>
        <v>↓</v>
      </c>
      <c r="B56" s="116">
        <v>8.0</v>
      </c>
      <c r="C56" s="117" t="s">
        <v>242</v>
      </c>
      <c r="D56" s="117" t="s">
        <v>255</v>
      </c>
      <c r="E56" s="117">
        <v>8.0</v>
      </c>
      <c r="F56" s="117">
        <v>2.0</v>
      </c>
      <c r="G56" s="117">
        <v>1.0</v>
      </c>
      <c r="H56" s="117">
        <v>1.0</v>
      </c>
      <c r="I56" s="117">
        <v>0.0</v>
      </c>
      <c r="J56" s="117">
        <v>0.0</v>
      </c>
      <c r="K56" s="117">
        <v>0.0</v>
      </c>
      <c r="L56" s="117">
        <v>0.0</v>
      </c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</row>
    <row r="57" ht="15.75" customHeight="1">
      <c r="A57" s="115" t="str">
        <f t="array" ref="A57">INDEX(FORM!$B$2:$J$65, MATCH(D57, FORM!$A$2:$A$65, 0), MATCH($I$4, FORM!$B$1:$J$1, 0))</f>
        <v>↓</v>
      </c>
      <c r="B57" s="116">
        <v>9.0</v>
      </c>
      <c r="C57" s="117" t="s">
        <v>242</v>
      </c>
      <c r="D57" s="117" t="s">
        <v>254</v>
      </c>
      <c r="E57" s="117">
        <v>7.0</v>
      </c>
      <c r="F57" s="117">
        <v>2.0</v>
      </c>
      <c r="G57" s="117">
        <v>0.0</v>
      </c>
      <c r="H57" s="117">
        <v>1.0</v>
      </c>
      <c r="I57" s="117">
        <v>1.0</v>
      </c>
      <c r="J57" s="117">
        <v>0.0</v>
      </c>
      <c r="K57" s="117">
        <v>0.0</v>
      </c>
      <c r="L57" s="117">
        <v>0.0</v>
      </c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</row>
    <row r="58" ht="15.75" customHeight="1">
      <c r="A58" s="115" t="str">
        <f t="array" ref="A58">INDEX(FORM!$B$2:$J$65, MATCH(D58, FORM!$A$2:$A$65, 0), MATCH($I$4, FORM!$B$1:$J$1, 0))</f>
        <v>↓</v>
      </c>
      <c r="B58" s="116">
        <v>10.0</v>
      </c>
      <c r="C58" s="117" t="s">
        <v>242</v>
      </c>
      <c r="D58" s="117" t="s">
        <v>244</v>
      </c>
      <c r="E58" s="117">
        <v>6.0</v>
      </c>
      <c r="F58" s="117">
        <v>4.0</v>
      </c>
      <c r="G58" s="117">
        <v>1.0</v>
      </c>
      <c r="H58" s="117">
        <v>0.0</v>
      </c>
      <c r="I58" s="117">
        <v>3.0</v>
      </c>
      <c r="J58" s="117">
        <v>0.0</v>
      </c>
      <c r="K58" s="117">
        <v>0.0</v>
      </c>
      <c r="L58" s="117">
        <v>0.0</v>
      </c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</row>
    <row r="59" ht="15.75" customHeight="1">
      <c r="A59" s="115" t="str">
        <f t="array" ref="A59">INDEX(FORM!$B$2:$J$65, MATCH(D59, FORM!$A$2:$A$65, 0), MATCH($I$4, FORM!$B$1:$J$1, 0))</f>
        <v>↓</v>
      </c>
      <c r="B59" s="116">
        <v>11.0</v>
      </c>
      <c r="C59" s="117" t="s">
        <v>242</v>
      </c>
      <c r="D59" s="117" t="s">
        <v>248</v>
      </c>
      <c r="E59" s="117">
        <v>6.0</v>
      </c>
      <c r="F59" s="117">
        <v>4.0</v>
      </c>
      <c r="G59" s="117">
        <v>1.0</v>
      </c>
      <c r="H59" s="117">
        <v>0.0</v>
      </c>
      <c r="I59" s="117">
        <v>3.0</v>
      </c>
      <c r="J59" s="117">
        <v>0.0</v>
      </c>
      <c r="K59" s="117">
        <v>0.0</v>
      </c>
      <c r="L59" s="117">
        <v>0.0</v>
      </c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</row>
    <row r="60" ht="15.75" customHeight="1">
      <c r="A60" s="115" t="str">
        <f t="array" ref="A60">INDEX(FORM!$B$2:$J$65, MATCH(D60, FORM!$A$2:$A$65, 0), MATCH($I$4, FORM!$B$1:$J$1, 0))</f>
        <v>↓</v>
      </c>
      <c r="B60" s="116">
        <v>12.0</v>
      </c>
      <c r="C60" s="117" t="s">
        <v>242</v>
      </c>
      <c r="D60" s="117" t="s">
        <v>250</v>
      </c>
      <c r="E60" s="117">
        <v>4.0</v>
      </c>
      <c r="F60" s="117">
        <v>2.0</v>
      </c>
      <c r="G60" s="117">
        <v>1.0</v>
      </c>
      <c r="H60" s="117">
        <v>0.0</v>
      </c>
      <c r="I60" s="117">
        <v>1.0</v>
      </c>
      <c r="J60" s="117">
        <v>0.0</v>
      </c>
      <c r="K60" s="117">
        <v>0.0</v>
      </c>
      <c r="L60" s="117">
        <v>0.0</v>
      </c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</row>
    <row r="61" ht="15.75" customHeight="1">
      <c r="A61" s="115" t="str">
        <f t="array" ref="A61">INDEX(FORM!$B$2:$J$65, MATCH(D61, FORM!$A$2:$A$65, 0), MATCH($I$4, FORM!$B$1:$J$1, 0))</f>
        <v>=</v>
      </c>
      <c r="B61" s="116">
        <v>13.0</v>
      </c>
      <c r="C61" s="117" t="s">
        <v>242</v>
      </c>
      <c r="D61" s="117" t="s">
        <v>251</v>
      </c>
      <c r="E61" s="117">
        <v>3.0</v>
      </c>
      <c r="F61" s="117">
        <v>2.0</v>
      </c>
      <c r="G61" s="117">
        <v>0.0</v>
      </c>
      <c r="H61" s="117">
        <v>1.0</v>
      </c>
      <c r="I61" s="117">
        <v>1.0</v>
      </c>
      <c r="J61" s="117">
        <v>0.0</v>
      </c>
      <c r="K61" s="117">
        <v>0.0</v>
      </c>
      <c r="L61" s="117">
        <v>0.0</v>
      </c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</row>
    <row r="62" ht="15.75" customHeight="1">
      <c r="A62" s="115" t="str">
        <f t="array" ref="A62">INDEX(FORM!$B$2:$J$65, MATCH(D62, FORM!$A$2:$A$65, 0), MATCH($I$4, FORM!$B$1:$J$1, 0))</f>
        <v>#N/A</v>
      </c>
      <c r="B62" s="116">
        <v>14.0</v>
      </c>
      <c r="C62" s="117" t="s">
        <v>242</v>
      </c>
      <c r="D62" s="117">
        <v>0.0</v>
      </c>
      <c r="E62" s="117">
        <v>0.0</v>
      </c>
      <c r="F62" s="117">
        <v>0.0</v>
      </c>
      <c r="G62" s="117">
        <v>0.0</v>
      </c>
      <c r="H62" s="117">
        <v>0.0</v>
      </c>
      <c r="I62" s="117">
        <v>0.0</v>
      </c>
      <c r="J62" s="117">
        <v>0.0</v>
      </c>
      <c r="K62" s="117">
        <v>0.0</v>
      </c>
      <c r="L62" s="117">
        <v>0.0</v>
      </c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</row>
    <row r="63" ht="15.75" customHeight="1">
      <c r="A63" s="115" t="str">
        <f t="array" ref="A63">INDEX(FORM!$B$2:$J$65, MATCH(D63, FORM!$A$2:$A$65, 0), MATCH($I$4, FORM!$B$1:$J$1, 0))</f>
        <v>#N/A</v>
      </c>
      <c r="B63" s="116">
        <v>15.0</v>
      </c>
      <c r="C63" s="117" t="s">
        <v>242</v>
      </c>
      <c r="D63" s="117">
        <v>0.0</v>
      </c>
      <c r="E63" s="117">
        <v>0.0</v>
      </c>
      <c r="F63" s="117">
        <v>0.0</v>
      </c>
      <c r="G63" s="117">
        <v>0.0</v>
      </c>
      <c r="H63" s="117">
        <v>0.0</v>
      </c>
      <c r="I63" s="117">
        <v>0.0</v>
      </c>
      <c r="J63" s="117">
        <v>0.0</v>
      </c>
      <c r="K63" s="117">
        <v>0.0</v>
      </c>
      <c r="L63" s="117">
        <v>0.0</v>
      </c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</row>
    <row r="64" ht="15.75" customHeight="1">
      <c r="A64" s="115" t="str">
        <f t="array" ref="A64">INDEX(FORM!$B$2:$J$65, MATCH(D64, FORM!$A$2:$A$65, 0), MATCH($I$4, FORM!$B$1:$J$1, 0))</f>
        <v>#N/A</v>
      </c>
      <c r="B64" s="116">
        <v>16.0</v>
      </c>
      <c r="C64" s="117" t="s">
        <v>242</v>
      </c>
      <c r="D64" s="117">
        <v>0.0</v>
      </c>
      <c r="E64" s="117">
        <v>0.0</v>
      </c>
      <c r="F64" s="117">
        <v>0.0</v>
      </c>
      <c r="G64" s="117">
        <v>0.0</v>
      </c>
      <c r="H64" s="117">
        <v>0.0</v>
      </c>
      <c r="I64" s="117">
        <v>0.0</v>
      </c>
      <c r="J64" s="117">
        <v>0.0</v>
      </c>
      <c r="K64" s="117">
        <v>0.0</v>
      </c>
      <c r="L64" s="117">
        <v>0.0</v>
      </c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</row>
    <row r="65" ht="15.75" customHeight="1">
      <c r="A65" s="115" t="str">
        <f t="array" ref="A65">INDEX(FORM!$B$2:$J$65, MATCH(D65, FORM!$A$2:$A$65, 0), MATCH($I$4, FORM!$B$1:$J$1, 0))</f>
        <v>#N/A</v>
      </c>
      <c r="B65" s="116">
        <v>17.0</v>
      </c>
      <c r="C65" s="117" t="s">
        <v>242</v>
      </c>
      <c r="D65" s="117">
        <v>0.0</v>
      </c>
      <c r="E65" s="117">
        <v>0.0</v>
      </c>
      <c r="F65" s="117">
        <v>0.0</v>
      </c>
      <c r="G65" s="117">
        <v>0.0</v>
      </c>
      <c r="H65" s="117">
        <v>0.0</v>
      </c>
      <c r="I65" s="117">
        <v>0.0</v>
      </c>
      <c r="J65" s="117">
        <v>0.0</v>
      </c>
      <c r="K65" s="117">
        <v>0.0</v>
      </c>
      <c r="L65" s="117">
        <v>0.0</v>
      </c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</row>
    <row r="66" ht="15.75" customHeight="1">
      <c r="A66" s="115" t="str">
        <f t="array" ref="A66">INDEX(FORM!$B$2:$J$65, MATCH(D66, FORM!$A$2:$A$65, 0), MATCH($I$4, FORM!$B$1:$J$1, 0))</f>
        <v>#N/A</v>
      </c>
      <c r="B66" s="116">
        <v>18.0</v>
      </c>
      <c r="C66" s="117" t="s">
        <v>242</v>
      </c>
      <c r="D66" s="117">
        <v>0.0</v>
      </c>
      <c r="E66" s="117">
        <v>0.0</v>
      </c>
      <c r="F66" s="117">
        <v>0.0</v>
      </c>
      <c r="G66" s="117">
        <v>0.0</v>
      </c>
      <c r="H66" s="117">
        <v>0.0</v>
      </c>
      <c r="I66" s="117">
        <v>0.0</v>
      </c>
      <c r="J66" s="117">
        <v>0.0</v>
      </c>
      <c r="K66" s="117">
        <v>0.0</v>
      </c>
      <c r="L66" s="117">
        <v>0.0</v>
      </c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</row>
    <row r="67" ht="15.75" customHeight="1">
      <c r="A67" s="115" t="str">
        <f t="array" ref="A67">INDEX(FORM!$B$2:$J$65, MATCH(D67, FORM!$A$2:$A$65, 0), MATCH($I$4, FORM!$B$1:$J$1, 0))</f>
        <v>#N/A</v>
      </c>
      <c r="B67" s="116">
        <v>19.0</v>
      </c>
      <c r="C67" s="117"/>
      <c r="D67" s="117">
        <v>0.0</v>
      </c>
      <c r="E67" s="117">
        <v>0.0</v>
      </c>
      <c r="F67" s="117">
        <v>0.0</v>
      </c>
      <c r="G67" s="117">
        <v>0.0</v>
      </c>
      <c r="H67" s="117">
        <v>0.0</v>
      </c>
      <c r="I67" s="117">
        <v>0.0</v>
      </c>
      <c r="J67" s="117">
        <v>0.0</v>
      </c>
      <c r="K67" s="117">
        <v>0.0</v>
      </c>
      <c r="L67" s="117">
        <v>0.0</v>
      </c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</row>
    <row r="68" ht="15.75" customHeight="1">
      <c r="A68" s="115" t="str">
        <f t="array" ref="A68">INDEX(FORM!$B$2:$J$65, MATCH(D68, FORM!$A$2:$A$65, 0), MATCH($I$4, FORM!$B$1:$J$1, 0))</f>
        <v>#N/A</v>
      </c>
      <c r="B68" s="116">
        <v>20.0</v>
      </c>
      <c r="C68" s="117"/>
      <c r="D68" s="117">
        <v>0.0</v>
      </c>
      <c r="E68" s="117">
        <v>0.0</v>
      </c>
      <c r="F68" s="117">
        <v>0.0</v>
      </c>
      <c r="G68" s="117">
        <v>0.0</v>
      </c>
      <c r="H68" s="117">
        <v>0.0</v>
      </c>
      <c r="I68" s="117">
        <v>0.0</v>
      </c>
      <c r="J68" s="117">
        <v>0.0</v>
      </c>
      <c r="K68" s="117">
        <v>0.0</v>
      </c>
      <c r="L68" s="117">
        <v>0.0</v>
      </c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</row>
    <row r="69" ht="15.75" customHeight="1">
      <c r="A69" s="115" t="str">
        <f t="array" ref="A69">INDEX(FORM!$B$2:$J$65, MATCH(D69, FORM!$A$2:$A$65, 0), MATCH($I$4, FORM!$B$1:$J$1, 0))</f>
        <v>#N/A</v>
      </c>
      <c r="B69" s="116">
        <v>21.0</v>
      </c>
      <c r="C69" s="117"/>
      <c r="D69" s="117">
        <v>0.0</v>
      </c>
      <c r="E69" s="117">
        <v>0.0</v>
      </c>
      <c r="F69" s="117">
        <v>0.0</v>
      </c>
      <c r="G69" s="117">
        <v>0.0</v>
      </c>
      <c r="H69" s="117">
        <v>0.0</v>
      </c>
      <c r="I69" s="117">
        <v>0.0</v>
      </c>
      <c r="J69" s="117">
        <v>0.0</v>
      </c>
      <c r="K69" s="117">
        <v>0.0</v>
      </c>
      <c r="L69" s="117">
        <v>0.0</v>
      </c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</row>
    <row r="70" ht="15.75" customHeight="1">
      <c r="A70" s="115" t="str">
        <f t="array" ref="A70">INDEX(FORM!$B$2:$J$65, MATCH(D70, FORM!$A$2:$A$65, 0), MATCH($I$4, FORM!$B$1:$J$1, 0))</f>
        <v>#N/A</v>
      </c>
      <c r="B70" s="116">
        <v>22.0</v>
      </c>
      <c r="C70" s="117"/>
      <c r="D70" s="117">
        <v>0.0</v>
      </c>
      <c r="E70" s="117">
        <v>0.0</v>
      </c>
      <c r="F70" s="117">
        <v>0.0</v>
      </c>
      <c r="G70" s="117">
        <v>0.0</v>
      </c>
      <c r="H70" s="117">
        <v>0.0</v>
      </c>
      <c r="I70" s="117">
        <v>0.0</v>
      </c>
      <c r="J70" s="117">
        <v>0.0</v>
      </c>
      <c r="K70" s="117">
        <v>0.0</v>
      </c>
      <c r="L70" s="117">
        <v>0.0</v>
      </c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</row>
    <row r="71" ht="15.75" customHeight="1">
      <c r="A71" s="115" t="str">
        <f t="array" ref="A71">INDEX(FORM!$B$2:$J$65, MATCH(D71, FORM!$A$2:$A$65, 0), MATCH($I$4, FORM!$B$1:$J$1, 0))</f>
        <v>#N/A</v>
      </c>
      <c r="B71" s="116">
        <v>23.0</v>
      </c>
      <c r="C71" s="117"/>
      <c r="D71" s="117">
        <v>0.0</v>
      </c>
      <c r="E71" s="117">
        <v>0.0</v>
      </c>
      <c r="F71" s="117">
        <v>0.0</v>
      </c>
      <c r="G71" s="117">
        <v>0.0</v>
      </c>
      <c r="H71" s="117">
        <v>0.0</v>
      </c>
      <c r="I71" s="117">
        <v>0.0</v>
      </c>
      <c r="J71" s="117">
        <v>0.0</v>
      </c>
      <c r="K71" s="117">
        <v>0.0</v>
      </c>
      <c r="L71" s="117">
        <v>0.0</v>
      </c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</row>
    <row r="72" ht="15.75" customHeight="1">
      <c r="A72" s="115" t="str">
        <f t="array" ref="A72">INDEX(FORM!$B$2:$J$65, MATCH(D72, FORM!$A$2:$A$65, 0), MATCH($I$4, FORM!$B$1:$J$1, 0))</f>
        <v>#N/A</v>
      </c>
      <c r="B72" s="116">
        <v>24.0</v>
      </c>
      <c r="C72" s="117"/>
      <c r="D72" s="117">
        <v>0.0</v>
      </c>
      <c r="E72" s="117">
        <v>0.0</v>
      </c>
      <c r="F72" s="117">
        <v>0.0</v>
      </c>
      <c r="G72" s="117">
        <v>0.0</v>
      </c>
      <c r="H72" s="117">
        <v>0.0</v>
      </c>
      <c r="I72" s="117">
        <v>0.0</v>
      </c>
      <c r="J72" s="117">
        <v>0.0</v>
      </c>
      <c r="K72" s="117">
        <v>0.0</v>
      </c>
      <c r="L72" s="117">
        <v>0.0</v>
      </c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</row>
    <row r="73" ht="15.75" customHeight="1">
      <c r="A73" s="115" t="str">
        <f t="array" ref="A73">INDEX(FORM!$B$2:$J$65, MATCH(D73, FORM!$A$2:$A$65, 0), MATCH($I$4, FORM!$B$1:$J$1, 0))</f>
        <v>#N/A</v>
      </c>
      <c r="B73" s="116">
        <v>25.0</v>
      </c>
      <c r="C73" s="117"/>
      <c r="D73" s="117">
        <v>0.0</v>
      </c>
      <c r="E73" s="117">
        <v>0.0</v>
      </c>
      <c r="F73" s="117">
        <v>0.0</v>
      </c>
      <c r="G73" s="117">
        <v>0.0</v>
      </c>
      <c r="H73" s="117">
        <v>0.0</v>
      </c>
      <c r="I73" s="117">
        <v>0.0</v>
      </c>
      <c r="J73" s="117">
        <v>0.0</v>
      </c>
      <c r="K73" s="117">
        <v>0.0</v>
      </c>
      <c r="L73" s="117">
        <v>0.0</v>
      </c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</row>
    <row r="74" ht="15.75" customHeight="1">
      <c r="A74" s="115" t="str">
        <f t="array" ref="A74">INDEX(FORM!$B$2:$J$65, MATCH(D74, FORM!$A$2:$A$65, 0), MATCH($I$4, FORM!$B$1:$J$1, 0))</f>
        <v>#N/A</v>
      </c>
      <c r="B74" s="116">
        <v>26.0</v>
      </c>
      <c r="C74" s="117"/>
      <c r="D74" s="117">
        <v>0.0</v>
      </c>
      <c r="E74" s="117">
        <v>0.0</v>
      </c>
      <c r="F74" s="117">
        <v>0.0</v>
      </c>
      <c r="G74" s="117">
        <v>0.0</v>
      </c>
      <c r="H74" s="117">
        <v>0.0</v>
      </c>
      <c r="I74" s="117">
        <v>0.0</v>
      </c>
      <c r="J74" s="117">
        <v>0.0</v>
      </c>
      <c r="K74" s="117">
        <v>0.0</v>
      </c>
      <c r="L74" s="117">
        <v>0.0</v>
      </c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</row>
    <row r="75" ht="15.75" customHeight="1">
      <c r="A75" s="115" t="str">
        <f t="array" ref="A75">INDEX(FORM!$B$2:$J$65, MATCH(D75, FORM!$A$2:$A$65, 0), MATCH($I$4, FORM!$B$1:$J$1, 0))</f>
        <v>#N/A</v>
      </c>
      <c r="B75" s="116">
        <v>27.0</v>
      </c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</row>
    <row r="76" ht="15.75" customHeight="1">
      <c r="A76" s="115" t="str">
        <f t="array" ref="A76">INDEX(FORM!$B$2:$J$65, MATCH(D76, FORM!$A$2:$A$65, 0), MATCH($I$4, FORM!$B$1:$J$1, 0))</f>
        <v>#N/A</v>
      </c>
      <c r="B76" s="116">
        <v>28.0</v>
      </c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</row>
    <row r="77" ht="15.75" customHeight="1">
      <c r="A77" s="115" t="str">
        <f t="array" ref="A77">INDEX(FORM!$B$2:$J$65, MATCH(D77, FORM!$A$2:$A$65, 0), MATCH($I$4, FORM!$B$1:$J$1, 0))</f>
        <v>#N/A</v>
      </c>
      <c r="B77" s="116">
        <v>29.0</v>
      </c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</row>
    <row r="78" ht="15.75" customHeight="1">
      <c r="A78" s="115" t="str">
        <f t="array" ref="A78">INDEX(FORM!$B$2:$J$65, MATCH(D78, FORM!$A$2:$A$65, 0), MATCH($I$4, FORM!$B$1:$J$1, 0))</f>
        <v>#N/A</v>
      </c>
      <c r="B78" s="116">
        <v>30.0</v>
      </c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</row>
    <row r="79" ht="15.75" customHeight="1">
      <c r="A79" s="115" t="str">
        <f t="array" ref="A79">INDEX(FORM!$B$2:$J$65, MATCH(D79, FORM!$A$2:$A$65, 0), MATCH($I$4, FORM!$B$1:$J$1, 0))</f>
        <v>#N/A</v>
      </c>
      <c r="B79" s="116">
        <v>31.0</v>
      </c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</row>
    <row r="80" ht="15.75" customHeight="1">
      <c r="A80" s="115" t="str">
        <f t="array" ref="A80">INDEX(FORM!$B$2:$J$65, MATCH(D80, FORM!$A$2:$A$65, 0), MATCH($I$4, FORM!$B$1:$J$1, 0))</f>
        <v>#N/A</v>
      </c>
      <c r="B80" s="116">
        <v>32.0</v>
      </c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</row>
    <row r="81" ht="15.75" customHeight="1">
      <c r="A81" s="115" t="str">
        <f t="array" ref="A81">INDEX(FORM!$B$2:$J$65, MATCH(D81, FORM!$A$2:$A$65, 0), MATCH($I$4, FORM!$B$1:$J$1, 0))</f>
        <v>#N/A</v>
      </c>
      <c r="B81" s="116">
        <v>33.0</v>
      </c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</row>
    <row r="82" ht="15.75" customHeight="1">
      <c r="A82" s="115" t="str">
        <f t="array" ref="A82">INDEX(FORM!$B$2:$J$65, MATCH(D82, FORM!$A$2:$A$65, 0), MATCH($I$4, FORM!$B$1:$J$1, 0))</f>
        <v>#N/A</v>
      </c>
      <c r="B82" s="116">
        <v>34.0</v>
      </c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</row>
    <row r="83" ht="15.75" customHeight="1">
      <c r="A83" s="115" t="str">
        <f t="array" ref="A83">INDEX(FORM!$B$2:$J$65, MATCH(D83, FORM!$A$2:$A$65, 0), MATCH($I$4, FORM!$B$1:$J$1, 0))</f>
        <v>#N/A</v>
      </c>
      <c r="B83" s="116">
        <v>35.0</v>
      </c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</row>
    <row r="84" ht="15.75" customHeight="1">
      <c r="A84" s="115" t="str">
        <f t="array" ref="A84">INDEX(FORM!$B$2:$J$65, MATCH(D84, FORM!$A$2:$A$65, 0), MATCH($I$4, FORM!$B$1:$J$1, 0))</f>
        <v>#N/A</v>
      </c>
      <c r="B84" s="116">
        <v>36.0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</row>
    <row r="85" ht="15.75" customHeight="1">
      <c r="A85" s="115" t="str">
        <f t="array" ref="A85">INDEX(FORM!$B$2:$J$65, MATCH(D85, FORM!$A$2:$A$65, 0), MATCH($I$4, FORM!$B$1:$J$1, 0))</f>
        <v>#N/A</v>
      </c>
      <c r="B85" s="116">
        <v>37.0</v>
      </c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</row>
    <row r="86" ht="15.75" customHeight="1">
      <c r="A86" s="115" t="str">
        <f t="array" ref="A86">INDEX(FORM!$B$2:$J$65, MATCH(D86, FORM!$A$2:$A$65, 0), MATCH($I$4, FORM!$B$1:$J$1, 0))</f>
        <v>#N/A</v>
      </c>
      <c r="B86" s="116">
        <v>38.0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</row>
    <row r="87" ht="15.75" customHeight="1">
      <c r="A87" s="115" t="str">
        <f t="array" ref="A87">INDEX(FORM!$B$2:$J$65, MATCH(D87, FORM!$A$2:$A$65, 0), MATCH($I$4, FORM!$B$1:$J$1, 0))</f>
        <v>#N/A</v>
      </c>
      <c r="B87" s="116">
        <v>39.0</v>
      </c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</row>
    <row r="88" ht="15.75" customHeight="1">
      <c r="A88" s="115" t="str">
        <f t="array" ref="A88">INDEX(FORM!$B$2:$J$65, MATCH(D88, FORM!$A$2:$A$65, 0), MATCH($I$4, FORM!$B$1:$J$1, 0))</f>
        <v>#N/A</v>
      </c>
      <c r="B88" s="116">
        <v>40.0</v>
      </c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</row>
    <row r="89" ht="15.75" customHeight="1">
      <c r="A89" s="115" t="str">
        <f t="array" ref="A89">INDEX(FORM!$B$2:$J$65, MATCH(D89, FORM!$A$2:$A$65, 0), MATCH($I$4, FORM!$B$1:$J$1, 0))</f>
        <v>#N/A</v>
      </c>
      <c r="B89" s="116">
        <v>41.0</v>
      </c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</row>
    <row r="90" ht="15.75" customHeight="1">
      <c r="A90" s="115" t="str">
        <f t="array" ref="A90">INDEX(FORM!$B$2:$J$65, MATCH(D90, FORM!$A$2:$A$65, 0), MATCH($I$4, FORM!$B$1:$J$1, 0))</f>
        <v>#N/A</v>
      </c>
      <c r="B90" s="116">
        <v>42.0</v>
      </c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</row>
    <row r="91" ht="15.75" customHeight="1">
      <c r="A91" s="115" t="str">
        <f t="array" ref="A91">INDEX(FORM!$B$2:$J$65, MATCH(D91, FORM!$A$2:$A$65, 0), MATCH($I$4, FORM!$B$1:$J$1, 0))</f>
        <v>#N/A</v>
      </c>
      <c r="B91" s="116">
        <v>43.0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</row>
    <row r="92" ht="15.75" customHeight="1">
      <c r="A92" s="115" t="str">
        <f t="array" ref="A92">INDEX(FORM!$B$2:$J$65, MATCH(D92, FORM!$A$2:$A$65, 0), MATCH($I$4, FORM!$B$1:$J$1, 0))</f>
        <v>#N/A</v>
      </c>
      <c r="B92" s="116">
        <v>44.0</v>
      </c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</row>
    <row r="93" ht="15.75" customHeight="1">
      <c r="A93" s="115" t="str">
        <f t="array" ref="A93">INDEX(FORM!$B$2:$J$65, MATCH(D93, FORM!$A$2:$A$65, 0), MATCH($I$4, FORM!$B$1:$J$1, 0))</f>
        <v>#N/A</v>
      </c>
      <c r="B93" s="116">
        <v>45.0</v>
      </c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</row>
    <row r="94" ht="15.75" customHeight="1">
      <c r="A94" s="115" t="str">
        <f t="array" ref="A94">INDEX(FORM!$B$2:$J$65, MATCH(D94, FORM!$A$2:$A$65, 0), MATCH($I$4, FORM!$B$1:$J$1, 0))</f>
        <v>#N/A</v>
      </c>
      <c r="B94" s="116">
        <v>46.0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</row>
    <row r="95" ht="15.75" customHeight="1">
      <c r="A95" s="115" t="str">
        <f t="array" ref="A95">INDEX(FORM!$B$2:$J$65, MATCH(D95, FORM!$A$2:$A$65, 0), MATCH($I$4, FORM!$B$1:$J$1, 0))</f>
        <v>#N/A</v>
      </c>
      <c r="B95" s="116">
        <v>47.0</v>
      </c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</row>
    <row r="96" ht="15.75" customHeight="1">
      <c r="A96" s="115" t="str">
        <f t="array" ref="A96">INDEX(FORM!$B$2:$J$65, MATCH(D96, FORM!$A$2:$A$65, 0), MATCH($I$4, FORM!$B$1:$J$1, 0))</f>
        <v>#N/A</v>
      </c>
      <c r="B96" s="116">
        <v>48.0</v>
      </c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</row>
    <row r="97" ht="15.75" customHeight="1">
      <c r="A97" s="115" t="str">
        <f t="array" ref="A97">INDEX(FORM!$B$2:$J$65, MATCH(D97, FORM!$A$2:$A$65, 0), MATCH($I$4, FORM!$B$1:$J$1, 0))</f>
        <v>#N/A</v>
      </c>
      <c r="B97" s="116">
        <v>49.0</v>
      </c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</row>
    <row r="98" ht="15.75" customHeight="1">
      <c r="A98" s="115" t="str">
        <f t="array" ref="A98">INDEX(FORM!$B$2:$J$65, MATCH(D98, FORM!$A$2:$A$65, 0), MATCH($I$4, FORM!$B$1:$J$1, 0))</f>
        <v>#N/A</v>
      </c>
      <c r="B98" s="116">
        <v>50.0</v>
      </c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</row>
    <row r="99" ht="15.75" customHeight="1">
      <c r="A99" s="115" t="str">
        <f t="array" ref="A99">INDEX(FORM!$B$2:$J$65, MATCH(D99, FORM!$A$2:$A$65, 0), MATCH($I$4, FORM!$B$1:$J$1, 0))</f>
        <v>#N/A</v>
      </c>
      <c r="B99" s="116">
        <v>51.0</v>
      </c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</row>
    <row r="100" ht="15.75" customHeight="1">
      <c r="A100" s="115" t="str">
        <f t="array" ref="A100">INDEX(FORM!$B$2:$J$65, MATCH(D100, FORM!$A$2:$A$65, 0), MATCH($I$4, FORM!$B$1:$J$1, 0))</f>
        <v>#N/A</v>
      </c>
      <c r="B100" s="116">
        <v>52.0</v>
      </c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</row>
    <row r="101" ht="15.75" customHeight="1">
      <c r="A101" s="115" t="str">
        <f t="array" ref="A101">INDEX(FORM!$B$2:$J$65, MATCH(D101, FORM!$A$2:$A$65, 0), MATCH($I$4, FORM!$B$1:$J$1, 0))</f>
        <v>#N/A</v>
      </c>
      <c r="B101" s="116">
        <v>53.0</v>
      </c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</row>
    <row r="102" ht="15.75" customHeight="1">
      <c r="A102" s="115" t="str">
        <f t="array" ref="A102">INDEX(FORM!$B$2:$J$65, MATCH(D102, FORM!$A$2:$A$65, 0), MATCH($I$4, FORM!$B$1:$J$1, 0))</f>
        <v>#N/A</v>
      </c>
      <c r="B102" s="116">
        <v>54.0</v>
      </c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</row>
    <row r="103" ht="15.75" customHeight="1">
      <c r="A103" s="115" t="str">
        <f t="array" ref="A103">INDEX(FORM!$B$2:$J$65, MATCH(D103, FORM!$A$2:$A$65, 0), MATCH($I$4, FORM!$B$1:$J$1, 0))</f>
        <v>#N/A</v>
      </c>
      <c r="B103" s="116">
        <v>55.0</v>
      </c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</row>
    <row r="104" ht="15.75" customHeight="1">
      <c r="A104" s="115" t="str">
        <f t="array" ref="A104">INDEX(FORM!$B$2:$J$65, MATCH(D104, FORM!$A$2:$A$65, 0), MATCH($I$4, FORM!$B$1:$J$1, 0))</f>
        <v>#N/A</v>
      </c>
      <c r="B104" s="116">
        <v>56.0</v>
      </c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</row>
    <row r="105" ht="15.75" customHeight="1">
      <c r="A105" s="115" t="str">
        <f t="array" ref="A105">INDEX(FORM!$B$2:$J$65, MATCH(D105, FORM!$A$2:$A$65, 0), MATCH($I$4, FORM!$B$1:$J$1, 0))</f>
        <v>#N/A</v>
      </c>
      <c r="B105" s="116">
        <v>57.0</v>
      </c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</row>
    <row r="106" ht="15.75" customHeight="1">
      <c r="A106" s="115" t="str">
        <f t="array" ref="A106">INDEX(FORM!$B$2:$J$65, MATCH(D106, FORM!$A$2:$A$65, 0), MATCH($I$4, FORM!$B$1:$J$1, 0))</f>
        <v>#N/A</v>
      </c>
      <c r="B106" s="116">
        <v>58.0</v>
      </c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</row>
    <row r="107" ht="15.75" customHeight="1">
      <c r="A107" s="115" t="str">
        <f t="array" ref="A107">INDEX(FORM!$B$2:$J$65, MATCH(D107, FORM!$A$2:$A$65, 0), MATCH($I$4, FORM!$B$1:$J$1, 0))</f>
        <v>#N/A</v>
      </c>
      <c r="B107" s="116">
        <v>59.0</v>
      </c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</row>
    <row r="108" ht="15.75" customHeight="1">
      <c r="A108" s="115" t="str">
        <f t="array" ref="A108">INDEX(FORM!$B$2:$J$65, MATCH(D108, FORM!$A$2:$A$65, 0), MATCH($I$4, FORM!$B$1:$J$1, 0))</f>
        <v>#N/A</v>
      </c>
      <c r="B108" s="116">
        <v>60.0</v>
      </c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</row>
    <row r="109" ht="15.75" customHeight="1">
      <c r="A109" s="115" t="str">
        <f t="array" ref="A109">INDEX(FORM!$B$2:$J$65, MATCH(D109, FORM!$A$2:$A$65, 0), MATCH($I$4, FORM!$B$1:$J$1, 0))</f>
        <v>#N/A</v>
      </c>
      <c r="B109" s="116">
        <v>61.0</v>
      </c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</row>
    <row r="110" ht="15.75" customHeight="1">
      <c r="A110" s="115" t="str">
        <f t="array" ref="A110">INDEX(FORM!$B$2:$J$65, MATCH(D110, FORM!$A$2:$A$65, 0), MATCH($I$4, FORM!$B$1:$J$1, 0))</f>
        <v>#N/A</v>
      </c>
      <c r="B110" s="116">
        <v>62.0</v>
      </c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</row>
    <row r="111" ht="15.75" customHeight="1">
      <c r="A111" s="115"/>
      <c r="B111" s="116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</row>
    <row r="112" ht="15.75" customHeight="1">
      <c r="A112" s="115"/>
      <c r="B112" s="116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</row>
    <row r="113" ht="15.75" customHeight="1">
      <c r="A113" s="115"/>
      <c r="B113" s="116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</row>
    <row r="114" ht="15.75" customHeight="1">
      <c r="A114" s="115"/>
      <c r="B114" s="116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</row>
    <row r="115" ht="15.75" customHeight="1">
      <c r="A115" s="115"/>
      <c r="B115" s="116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</row>
    <row r="116" ht="15.75" customHeight="1">
      <c r="A116" s="115"/>
      <c r="B116" s="116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</row>
    <row r="117" ht="15.75" customHeight="1">
      <c r="A117" s="115"/>
      <c r="B117" s="116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</row>
    <row r="118" ht="15.75" customHeight="1">
      <c r="A118" s="115"/>
      <c r="B118" s="116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</row>
    <row r="119" ht="15.75" customHeight="1">
      <c r="A119" s="115"/>
      <c r="B119" s="116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</row>
    <row r="120" ht="15.75" customHeight="1">
      <c r="A120" s="115"/>
      <c r="B120" s="116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</row>
    <row r="121" ht="15.75" customHeight="1">
      <c r="A121" s="115"/>
      <c r="B121" s="116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</row>
    <row r="122" ht="15.75" customHeight="1">
      <c r="A122" s="115"/>
      <c r="B122" s="116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</row>
    <row r="123" ht="15.75" customHeight="1">
      <c r="A123" s="115"/>
      <c r="B123" s="11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</row>
    <row r="124" ht="15.75" customHeight="1">
      <c r="A124" s="115"/>
      <c r="B124" s="116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</row>
    <row r="125" ht="15.75" customHeight="1">
      <c r="A125" s="115"/>
      <c r="B125" s="11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</row>
    <row r="126" ht="15.75" customHeight="1">
      <c r="A126" s="115"/>
      <c r="B126" s="116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</row>
    <row r="127" ht="15.75" customHeight="1">
      <c r="A127" s="115"/>
      <c r="B127" s="116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</row>
    <row r="128" ht="15.75" customHeight="1">
      <c r="A128" s="115"/>
      <c r="B128" s="116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</row>
    <row r="129" ht="15.75" customHeight="1">
      <c r="A129" s="115"/>
      <c r="B129" s="116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</row>
    <row r="130" ht="15.75" customHeight="1">
      <c r="A130" s="115"/>
      <c r="B130" s="116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</row>
    <row r="131" ht="15.75" customHeight="1">
      <c r="A131" s="115"/>
      <c r="B131" s="116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</row>
    <row r="132" ht="15.75" customHeight="1">
      <c r="A132" s="115"/>
      <c r="B132" s="116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</row>
    <row r="133" ht="15.75" customHeight="1">
      <c r="A133" s="115"/>
      <c r="B133" s="116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</row>
    <row r="134" ht="15.75" customHeight="1">
      <c r="A134" s="115"/>
      <c r="B134" s="116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</row>
    <row r="135" ht="15.75" customHeight="1">
      <c r="A135" s="115"/>
      <c r="B135" s="116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</row>
    <row r="136" ht="15.75" customHeight="1">
      <c r="A136" s="115"/>
      <c r="B136" s="116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</row>
    <row r="137" ht="15.75" customHeight="1">
      <c r="A137" s="115"/>
      <c r="B137" s="116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</row>
    <row r="138" ht="15.75" customHeight="1">
      <c r="A138" s="115"/>
      <c r="B138" s="116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</row>
    <row r="139" ht="15.75" customHeight="1">
      <c r="A139" s="115"/>
      <c r="B139" s="116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</row>
    <row r="140" ht="15.75" customHeight="1">
      <c r="A140" s="115"/>
      <c r="B140" s="116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</row>
    <row r="141" ht="15.75" customHeight="1">
      <c r="A141" s="115"/>
      <c r="B141" s="116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</row>
    <row r="142" ht="15.75" customHeight="1">
      <c r="A142" s="115"/>
      <c r="B142" s="116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</row>
    <row r="143" ht="15.75" customHeight="1">
      <c r="A143" s="115"/>
      <c r="B143" s="116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</row>
    <row r="144" ht="15.75" customHeight="1">
      <c r="A144" s="115"/>
      <c r="B144" s="116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</row>
    <row r="145" ht="15.75" customHeight="1">
      <c r="A145" s="115"/>
      <c r="B145" s="116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</row>
    <row r="146" ht="15.75" customHeight="1">
      <c r="A146" s="115"/>
      <c r="B146" s="116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</row>
    <row r="147" ht="15.75" customHeight="1">
      <c r="A147" s="115"/>
      <c r="B147" s="116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</row>
    <row r="148" ht="15.75" customHeight="1">
      <c r="A148" s="115"/>
      <c r="B148" s="116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</row>
    <row r="149" ht="15.75" customHeight="1">
      <c r="A149" s="115"/>
      <c r="B149" s="116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</row>
    <row r="150" ht="15.75" customHeight="1">
      <c r="A150" s="115"/>
      <c r="B150" s="116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</row>
    <row r="151" ht="15.75" customHeight="1">
      <c r="A151" s="115"/>
      <c r="B151" s="116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</row>
    <row r="152" ht="15.75" customHeight="1">
      <c r="A152" s="115"/>
      <c r="B152" s="116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</row>
    <row r="153" ht="15.75" customHeight="1">
      <c r="A153" s="115"/>
      <c r="B153" s="116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</row>
    <row r="154" ht="15.75" customHeight="1">
      <c r="A154" s="115"/>
      <c r="B154" s="116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</row>
    <row r="155" ht="15.75" customHeight="1">
      <c r="A155" s="115"/>
      <c r="B155" s="116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</row>
    <row r="156" ht="15.75" customHeight="1">
      <c r="A156" s="115"/>
      <c r="B156" s="116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</row>
    <row r="157" ht="15.75" customHeight="1">
      <c r="A157" s="115"/>
      <c r="B157" s="116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</row>
    <row r="158" ht="15.75" customHeight="1">
      <c r="A158" s="115"/>
      <c r="B158" s="116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</row>
    <row r="159" ht="15.75" customHeight="1">
      <c r="A159" s="115"/>
      <c r="B159" s="116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</row>
    <row r="160" ht="15.75" customHeight="1">
      <c r="A160" s="115"/>
      <c r="B160" s="116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</row>
    <row r="161" ht="15.75" customHeight="1">
      <c r="A161" s="115"/>
      <c r="B161" s="116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</row>
    <row r="162" ht="15.75" customHeight="1">
      <c r="A162" s="115"/>
      <c r="B162" s="116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</row>
    <row r="163" ht="15.75" customHeight="1">
      <c r="A163" s="115"/>
      <c r="B163" s="116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</row>
    <row r="164" ht="15.75" customHeight="1">
      <c r="A164" s="115"/>
      <c r="B164" s="116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</row>
    <row r="165" ht="15.75" customHeight="1">
      <c r="A165" s="115"/>
      <c r="B165" s="116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</row>
    <row r="166" ht="15.75" customHeight="1">
      <c r="A166" s="115"/>
      <c r="B166" s="116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</row>
    <row r="167" ht="15.75" customHeight="1">
      <c r="A167" s="115"/>
      <c r="B167" s="116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</row>
    <row r="168" ht="15.75" customHeight="1">
      <c r="A168" s="115"/>
      <c r="B168" s="116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</row>
    <row r="169" ht="15.75" customHeight="1">
      <c r="A169" s="115"/>
      <c r="B169" s="116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</row>
    <row r="170" ht="15.75" customHeight="1">
      <c r="A170" s="115"/>
      <c r="B170" s="116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</row>
    <row r="171" ht="15.75" customHeight="1">
      <c r="A171" s="115"/>
      <c r="B171" s="116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</row>
    <row r="172" ht="15.75" customHeight="1">
      <c r="A172" s="115"/>
      <c r="B172" s="116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</row>
    <row r="173" ht="15.75" customHeight="1">
      <c r="A173" s="115"/>
      <c r="B173" s="116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</row>
    <row r="174" ht="15.75" customHeight="1">
      <c r="A174" s="115"/>
      <c r="B174" s="116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</row>
    <row r="175" ht="15.75" customHeight="1">
      <c r="A175" s="115"/>
      <c r="B175" s="116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</row>
    <row r="176" ht="15.75" customHeight="1">
      <c r="A176" s="115"/>
      <c r="B176" s="116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</row>
    <row r="177" ht="15.75" customHeight="1">
      <c r="A177" s="115"/>
      <c r="B177" s="116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</row>
    <row r="178" ht="15.75" customHeight="1">
      <c r="A178" s="115"/>
      <c r="B178" s="116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</row>
    <row r="179" ht="15.75" customHeight="1">
      <c r="A179" s="115"/>
      <c r="B179" s="116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</row>
    <row r="180" ht="15.75" customHeight="1">
      <c r="A180" s="115"/>
      <c r="B180" s="116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</row>
    <row r="181" ht="15.75" customHeight="1">
      <c r="A181" s="115"/>
      <c r="B181" s="116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</row>
    <row r="182" ht="15.75" customHeight="1">
      <c r="A182" s="115"/>
      <c r="B182" s="116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</row>
    <row r="183" ht="15.75" customHeight="1">
      <c r="A183" s="115"/>
      <c r="B183" s="116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</row>
    <row r="184" ht="15.75" customHeight="1">
      <c r="A184" s="115"/>
      <c r="B184" s="116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</row>
    <row r="185" ht="15.75" customHeight="1">
      <c r="A185" s="115"/>
      <c r="B185" s="116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</row>
    <row r="186" ht="15.75" customHeight="1">
      <c r="A186" s="115"/>
      <c r="B186" s="116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</row>
    <row r="187" ht="15.75" customHeight="1">
      <c r="A187" s="115"/>
      <c r="B187" s="116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</row>
    <row r="188" ht="15.75" customHeight="1">
      <c r="A188" s="115"/>
      <c r="B188" s="116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</row>
    <row r="189" ht="15.75" customHeight="1">
      <c r="A189" s="115"/>
      <c r="B189" s="116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</row>
    <row r="190" ht="15.75" customHeight="1">
      <c r="A190" s="115"/>
      <c r="B190" s="116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</row>
    <row r="191" ht="15.75" customHeight="1">
      <c r="A191" s="115"/>
      <c r="B191" s="116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</row>
    <row r="192" ht="15.75" customHeight="1">
      <c r="A192" s="115"/>
      <c r="B192" s="116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</row>
    <row r="193" ht="15.75" customHeight="1">
      <c r="A193" s="115"/>
      <c r="B193" s="116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</row>
    <row r="194" ht="15.75" customHeight="1">
      <c r="A194" s="115"/>
      <c r="B194" s="116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</row>
    <row r="195" ht="15.75" customHeight="1">
      <c r="A195" s="115"/>
      <c r="B195" s="116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</row>
    <row r="196" ht="15.75" customHeight="1">
      <c r="A196" s="115"/>
      <c r="B196" s="116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</row>
    <row r="197" ht="15.75" customHeight="1">
      <c r="A197" s="115"/>
      <c r="B197" s="116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</row>
    <row r="198" ht="15.75" customHeight="1">
      <c r="A198" s="115"/>
      <c r="B198" s="116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</row>
    <row r="199" ht="15.75" customHeight="1">
      <c r="A199" s="115"/>
      <c r="B199" s="116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</row>
    <row r="200" ht="15.75" customHeight="1">
      <c r="A200" s="115"/>
      <c r="B200" s="116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</row>
    <row r="201" ht="15.75" customHeight="1">
      <c r="A201" s="115"/>
      <c r="B201" s="116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</row>
    <row r="202" ht="15.75" customHeight="1">
      <c r="A202" s="115"/>
      <c r="B202" s="116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</row>
    <row r="203" ht="15.75" customHeight="1">
      <c r="A203" s="115"/>
      <c r="B203" s="116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</row>
    <row r="204" ht="15.75" customHeight="1">
      <c r="A204" s="115"/>
      <c r="B204" s="116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</row>
    <row r="205" ht="15.75" customHeight="1">
      <c r="A205" s="115"/>
      <c r="B205" s="116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</row>
    <row r="206" ht="15.75" customHeight="1">
      <c r="A206" s="115"/>
      <c r="B206" s="116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</row>
    <row r="207" ht="15.75" customHeight="1">
      <c r="A207" s="115"/>
      <c r="B207" s="116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</row>
    <row r="208" ht="15.75" customHeight="1">
      <c r="A208" s="115"/>
      <c r="B208" s="116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</row>
    <row r="209" ht="15.75" customHeight="1">
      <c r="A209" s="115"/>
      <c r="B209" s="116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</row>
    <row r="210" ht="15.75" customHeight="1">
      <c r="A210" s="115"/>
      <c r="B210" s="116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</row>
    <row r="211" ht="15.75" customHeight="1">
      <c r="A211" s="115"/>
      <c r="B211" s="116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</row>
    <row r="212" ht="15.75" customHeight="1">
      <c r="A212" s="115"/>
      <c r="B212" s="116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</row>
    <row r="213" ht="15.75" customHeight="1">
      <c r="A213" s="115"/>
      <c r="B213" s="116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</row>
    <row r="214" ht="15.75" customHeight="1">
      <c r="A214" s="115"/>
      <c r="B214" s="116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</row>
    <row r="215" ht="15.75" customHeight="1">
      <c r="A215" s="115"/>
      <c r="B215" s="116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</row>
    <row r="216" ht="15.75" customHeight="1">
      <c r="A216" s="115"/>
      <c r="B216" s="116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</row>
    <row r="217" ht="15.75" customHeight="1">
      <c r="A217" s="115"/>
      <c r="B217" s="116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</row>
    <row r="218" ht="15.75" customHeight="1">
      <c r="A218" s="115"/>
      <c r="B218" s="116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</row>
    <row r="219" ht="15.75" customHeight="1">
      <c r="A219" s="115"/>
      <c r="B219" s="116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</row>
    <row r="220" ht="15.75" customHeight="1">
      <c r="A220" s="115"/>
      <c r="B220" s="116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</row>
    <row r="221" ht="15.75" customHeight="1">
      <c r="A221" s="115"/>
      <c r="B221" s="116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</row>
    <row r="222" ht="15.75" customHeight="1">
      <c r="A222" s="115"/>
      <c r="B222" s="116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</row>
    <row r="223" ht="15.75" customHeight="1">
      <c r="A223" s="115"/>
      <c r="B223" s="116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</row>
    <row r="224" ht="15.75" customHeight="1">
      <c r="A224" s="115"/>
      <c r="B224" s="116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</row>
    <row r="225" ht="15.75" customHeight="1">
      <c r="A225" s="115"/>
      <c r="B225" s="116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</row>
    <row r="226" ht="15.75" customHeight="1">
      <c r="A226" s="115"/>
      <c r="B226" s="116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</row>
    <row r="227" ht="15.75" customHeight="1">
      <c r="A227" s="115"/>
      <c r="B227" s="116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</row>
    <row r="228" ht="15.75" customHeight="1">
      <c r="A228" s="115"/>
      <c r="B228" s="116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</row>
    <row r="229" ht="15.75" customHeight="1">
      <c r="A229" s="115"/>
      <c r="B229" s="116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</row>
    <row r="230" ht="15.75" customHeight="1">
      <c r="A230" s="115"/>
      <c r="B230" s="116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</row>
    <row r="231" ht="15.75" customHeight="1">
      <c r="A231" s="115"/>
      <c r="B231" s="116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</row>
    <row r="232" ht="15.75" customHeight="1">
      <c r="A232" s="115"/>
      <c r="B232" s="116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</row>
    <row r="233" ht="15.75" customHeight="1">
      <c r="A233" s="115"/>
      <c r="B233" s="116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</row>
    <row r="234" ht="15.75" customHeight="1">
      <c r="A234" s="115"/>
      <c r="B234" s="116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</row>
    <row r="235" ht="15.75" customHeight="1">
      <c r="A235" s="115"/>
      <c r="B235" s="116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</row>
    <row r="236" ht="15.75" customHeight="1">
      <c r="A236" s="115"/>
      <c r="B236" s="116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</row>
    <row r="237" ht="15.75" customHeight="1">
      <c r="A237" s="115"/>
      <c r="B237" s="116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</row>
    <row r="238" ht="15.75" customHeight="1">
      <c r="A238" s="115"/>
      <c r="B238" s="116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</row>
    <row r="239" ht="15.75" customHeight="1">
      <c r="A239" s="115"/>
      <c r="B239" s="116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</row>
    <row r="240" ht="15.75" customHeight="1">
      <c r="A240" s="115"/>
      <c r="B240" s="116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</row>
    <row r="241" ht="15.75" customHeight="1">
      <c r="A241" s="115"/>
      <c r="B241" s="116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</row>
    <row r="242" ht="15.75" customHeight="1">
      <c r="A242" s="115"/>
      <c r="B242" s="116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</row>
    <row r="243" ht="15.75" customHeight="1">
      <c r="A243" s="115"/>
      <c r="B243" s="116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</row>
    <row r="244" ht="15.75" customHeight="1">
      <c r="A244" s="115"/>
      <c r="B244" s="116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</row>
    <row r="245" ht="15.75" customHeight="1">
      <c r="A245" s="115"/>
      <c r="B245" s="116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</row>
    <row r="246" ht="15.75" customHeight="1">
      <c r="A246" s="115"/>
      <c r="B246" s="116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</row>
    <row r="247" ht="15.75" customHeight="1">
      <c r="A247" s="115"/>
      <c r="B247" s="116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</row>
    <row r="248" ht="15.75" customHeight="1">
      <c r="A248" s="115"/>
      <c r="B248" s="116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</row>
    <row r="249" ht="15.75" customHeight="1">
      <c r="A249" s="115"/>
      <c r="B249" s="116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</row>
    <row r="250" ht="15.75" customHeight="1">
      <c r="A250" s="115"/>
      <c r="B250" s="116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</row>
    <row r="251" ht="15.75" customHeight="1">
      <c r="A251" s="115"/>
      <c r="B251" s="116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</row>
    <row r="252" ht="15.75" customHeight="1">
      <c r="A252" s="115"/>
      <c r="B252" s="116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</row>
    <row r="253" ht="15.75" customHeight="1">
      <c r="A253" s="115"/>
      <c r="B253" s="116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</row>
    <row r="254" ht="15.75" customHeight="1">
      <c r="A254" s="115"/>
      <c r="B254" s="116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</row>
    <row r="255" ht="15.75" customHeight="1">
      <c r="A255" s="115"/>
      <c r="B255" s="116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</row>
    <row r="256" ht="15.75" customHeight="1">
      <c r="A256" s="115"/>
      <c r="B256" s="116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</row>
    <row r="257" ht="15.75" customHeight="1">
      <c r="A257" s="115"/>
      <c r="B257" s="116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</row>
    <row r="258" ht="15.75" customHeight="1">
      <c r="A258" s="115"/>
      <c r="B258" s="116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</row>
    <row r="259" ht="15.75" customHeight="1">
      <c r="A259" s="115"/>
      <c r="B259" s="116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</row>
    <row r="260" ht="15.75" customHeight="1">
      <c r="A260" s="115"/>
      <c r="B260" s="116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</row>
    <row r="261" ht="15.75" customHeight="1">
      <c r="A261" s="115"/>
      <c r="B261" s="116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</row>
    <row r="262" ht="15.75" customHeight="1">
      <c r="A262" s="115"/>
      <c r="B262" s="116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</row>
    <row r="263" ht="15.75" customHeight="1">
      <c r="A263" s="115"/>
      <c r="B263" s="116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</row>
    <row r="264" ht="15.75" customHeight="1">
      <c r="A264" s="115"/>
      <c r="B264" s="116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</row>
    <row r="265" ht="15.75" customHeight="1">
      <c r="A265" s="115"/>
      <c r="B265" s="116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</row>
    <row r="266" ht="15.75" customHeight="1">
      <c r="A266" s="115"/>
      <c r="B266" s="116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</row>
    <row r="267" ht="15.75" customHeight="1">
      <c r="A267" s="115"/>
      <c r="B267" s="116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</row>
    <row r="268" ht="15.75" customHeight="1">
      <c r="A268" s="115"/>
      <c r="B268" s="116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</row>
    <row r="269" ht="15.75" customHeight="1">
      <c r="A269" s="115"/>
      <c r="B269" s="116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</row>
    <row r="270" ht="15.75" customHeight="1">
      <c r="A270" s="115"/>
      <c r="B270" s="116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</row>
    <row r="271" ht="15.75" customHeight="1">
      <c r="A271" s="115"/>
      <c r="B271" s="116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</row>
    <row r="272" ht="15.75" customHeight="1">
      <c r="A272" s="115"/>
      <c r="B272" s="116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</row>
    <row r="273" ht="15.75" customHeight="1">
      <c r="A273" s="115"/>
      <c r="B273" s="116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</row>
    <row r="274" ht="15.75" customHeight="1">
      <c r="A274" s="115"/>
      <c r="B274" s="116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</row>
    <row r="275" ht="15.75" customHeight="1">
      <c r="A275" s="115"/>
      <c r="B275" s="116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</row>
    <row r="276" ht="15.75" customHeight="1">
      <c r="A276" s="115"/>
      <c r="B276" s="116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</row>
    <row r="277" ht="15.75" customHeight="1">
      <c r="A277" s="115"/>
      <c r="B277" s="116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</row>
    <row r="278" ht="15.75" customHeight="1">
      <c r="A278" s="115"/>
      <c r="B278" s="116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</row>
    <row r="279" ht="15.75" customHeight="1">
      <c r="A279" s="115"/>
      <c r="B279" s="116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</row>
    <row r="280" ht="15.75" customHeight="1">
      <c r="A280" s="115"/>
      <c r="B280" s="116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</row>
    <row r="281" ht="15.75" customHeight="1">
      <c r="A281" s="115"/>
      <c r="B281" s="116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</row>
    <row r="282" ht="15.75" customHeight="1">
      <c r="A282" s="115"/>
      <c r="B282" s="116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</row>
    <row r="283" ht="15.75" customHeight="1">
      <c r="A283" s="115"/>
      <c r="B283" s="116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</row>
    <row r="284" ht="15.75" customHeight="1">
      <c r="A284" s="115"/>
      <c r="B284" s="116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</row>
    <row r="285" ht="15.75" customHeight="1">
      <c r="A285" s="115"/>
      <c r="B285" s="116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</row>
    <row r="286" ht="15.75" customHeight="1">
      <c r="A286" s="115"/>
      <c r="B286" s="116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</row>
    <row r="287" ht="15.75" customHeight="1">
      <c r="A287" s="115"/>
      <c r="B287" s="116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</row>
    <row r="288" ht="15.75" customHeight="1">
      <c r="A288" s="115"/>
      <c r="B288" s="116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</row>
    <row r="289" ht="15.75" customHeight="1">
      <c r="A289" s="115"/>
      <c r="B289" s="116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</row>
    <row r="290" ht="15.75" customHeight="1">
      <c r="A290" s="115"/>
      <c r="B290" s="116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</row>
    <row r="291" ht="15.75" customHeight="1">
      <c r="A291" s="115"/>
      <c r="B291" s="116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</row>
    <row r="292" ht="15.75" customHeight="1">
      <c r="A292" s="115"/>
      <c r="B292" s="116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</row>
    <row r="293" ht="15.75" customHeight="1">
      <c r="A293" s="115"/>
      <c r="B293" s="116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</row>
    <row r="294" ht="15.75" customHeight="1">
      <c r="A294" s="115"/>
      <c r="B294" s="116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</row>
    <row r="295" ht="15.75" customHeight="1">
      <c r="A295" s="115"/>
      <c r="B295" s="116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</row>
    <row r="296" ht="15.75" customHeight="1">
      <c r="A296" s="115"/>
      <c r="B296" s="116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</row>
    <row r="297" ht="15.75" customHeight="1">
      <c r="A297" s="115"/>
      <c r="B297" s="116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</row>
    <row r="298" ht="15.75" customHeight="1">
      <c r="A298" s="115"/>
      <c r="B298" s="116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</row>
    <row r="299" ht="15.75" customHeight="1">
      <c r="A299" s="115"/>
      <c r="B299" s="116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</row>
    <row r="300" ht="15.75" customHeight="1">
      <c r="A300" s="115"/>
      <c r="B300" s="116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</row>
    <row r="301" ht="15.75" customHeight="1">
      <c r="A301" s="115"/>
      <c r="B301" s="116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</row>
    <row r="302" ht="15.75" customHeight="1">
      <c r="A302" s="115"/>
      <c r="B302" s="116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</row>
    <row r="303" ht="15.75" customHeight="1">
      <c r="A303" s="115"/>
      <c r="B303" s="116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</row>
    <row r="304" ht="15.75" customHeight="1">
      <c r="A304" s="115"/>
      <c r="B304" s="116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</row>
    <row r="305" ht="15.75" customHeight="1">
      <c r="A305" s="115"/>
      <c r="B305" s="116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</row>
    <row r="306" ht="15.75" customHeight="1">
      <c r="A306" s="115"/>
      <c r="B306" s="116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</row>
    <row r="307" ht="15.75" customHeight="1">
      <c r="A307" s="115"/>
      <c r="B307" s="116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</row>
    <row r="308" ht="15.75" customHeight="1">
      <c r="A308" s="115"/>
      <c r="B308" s="116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</row>
    <row r="309" ht="15.75" customHeight="1">
      <c r="A309" s="115"/>
      <c r="B309" s="116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</row>
    <row r="310" ht="15.75" customHeight="1">
      <c r="A310" s="115"/>
      <c r="B310" s="116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</row>
    <row r="311" ht="15.75" customHeight="1">
      <c r="A311" s="115"/>
      <c r="B311" s="116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</row>
    <row r="312" ht="15.75" customHeight="1">
      <c r="A312" s="115"/>
      <c r="B312" s="116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</row>
    <row r="313" ht="15.75" customHeight="1">
      <c r="A313" s="115"/>
      <c r="B313" s="116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</row>
    <row r="314" ht="15.75" customHeight="1">
      <c r="A314" s="115"/>
      <c r="B314" s="116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</row>
    <row r="315" ht="15.75" customHeight="1">
      <c r="A315" s="115"/>
      <c r="B315" s="116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</row>
    <row r="316" ht="15.75" customHeight="1">
      <c r="A316" s="115"/>
      <c r="B316" s="116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</row>
    <row r="317" ht="15.75" customHeight="1">
      <c r="A317" s="115"/>
      <c r="B317" s="116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</row>
    <row r="318" ht="15.75" customHeight="1">
      <c r="A318" s="115"/>
      <c r="B318" s="116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</row>
    <row r="319" ht="15.75" customHeight="1">
      <c r="A319" s="115"/>
      <c r="B319" s="116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</row>
    <row r="320" ht="15.75" customHeight="1">
      <c r="A320" s="115"/>
      <c r="B320" s="116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</row>
    <row r="321" ht="15.75" customHeight="1">
      <c r="A321" s="115"/>
      <c r="B321" s="116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</row>
    <row r="322" ht="15.75" customHeight="1">
      <c r="A322" s="115"/>
      <c r="B322" s="116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</row>
    <row r="323" ht="15.75" customHeight="1">
      <c r="A323" s="115"/>
      <c r="B323" s="116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</row>
    <row r="324" ht="15.75" customHeight="1">
      <c r="A324" s="115"/>
      <c r="B324" s="116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</row>
    <row r="325" ht="15.75" customHeight="1">
      <c r="A325" s="115"/>
      <c r="B325" s="116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</row>
    <row r="326" ht="15.75" customHeight="1">
      <c r="A326" s="115"/>
      <c r="B326" s="116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</row>
    <row r="327" ht="15.75" customHeight="1">
      <c r="A327" s="115"/>
      <c r="B327" s="116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</row>
    <row r="328" ht="15.75" customHeight="1">
      <c r="A328" s="115"/>
      <c r="B328" s="116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</row>
    <row r="329" ht="15.75" customHeight="1">
      <c r="A329" s="115"/>
      <c r="B329" s="116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</row>
    <row r="330" ht="15.75" customHeight="1">
      <c r="A330" s="115"/>
      <c r="B330" s="116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</row>
    <row r="331" ht="15.75" customHeight="1">
      <c r="A331" s="115"/>
      <c r="B331" s="116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</row>
    <row r="332" ht="15.75" customHeight="1">
      <c r="A332" s="115"/>
      <c r="B332" s="116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</row>
    <row r="333" ht="15.75" customHeight="1">
      <c r="A333" s="115"/>
      <c r="B333" s="116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</row>
    <row r="334" ht="15.75" customHeight="1">
      <c r="A334" s="115"/>
      <c r="B334" s="116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</row>
    <row r="335" ht="15.75" customHeight="1">
      <c r="A335" s="115"/>
      <c r="B335" s="116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</row>
    <row r="336" ht="15.75" customHeight="1">
      <c r="A336" s="115"/>
      <c r="B336" s="116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</row>
    <row r="337" ht="15.75" customHeight="1">
      <c r="A337" s="115"/>
      <c r="B337" s="116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</row>
    <row r="338" ht="15.75" customHeight="1">
      <c r="A338" s="115"/>
      <c r="B338" s="116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</row>
    <row r="339" ht="15.75" customHeight="1">
      <c r="A339" s="115"/>
      <c r="B339" s="116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</row>
    <row r="340" ht="15.75" customHeight="1">
      <c r="A340" s="115"/>
      <c r="B340" s="116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</row>
    <row r="341" ht="15.75" customHeight="1">
      <c r="A341" s="115"/>
      <c r="B341" s="116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</row>
    <row r="342" ht="15.75" customHeight="1">
      <c r="A342" s="115"/>
      <c r="B342" s="116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</row>
    <row r="343" ht="15.75" customHeight="1">
      <c r="A343" s="115"/>
      <c r="B343" s="116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</row>
    <row r="344" ht="15.75" customHeight="1">
      <c r="A344" s="115"/>
      <c r="B344" s="116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</row>
    <row r="345" ht="15.75" customHeight="1">
      <c r="A345" s="115"/>
      <c r="B345" s="116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</row>
    <row r="346" ht="15.75" customHeight="1">
      <c r="A346" s="115"/>
      <c r="B346" s="116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</row>
    <row r="347" ht="15.75" customHeight="1">
      <c r="A347" s="115"/>
      <c r="B347" s="116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</row>
    <row r="348" ht="15.75" customHeight="1">
      <c r="A348" s="115"/>
      <c r="B348" s="116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</row>
    <row r="349" ht="15.75" customHeight="1">
      <c r="A349" s="115"/>
      <c r="B349" s="116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</row>
    <row r="350" ht="15.75" customHeight="1">
      <c r="A350" s="115"/>
      <c r="B350" s="116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</row>
    <row r="351" ht="15.75" customHeight="1">
      <c r="A351" s="115"/>
      <c r="B351" s="116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</row>
    <row r="352" ht="15.75" customHeight="1">
      <c r="A352" s="115"/>
      <c r="B352" s="116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</row>
    <row r="353" ht="15.75" customHeight="1">
      <c r="A353" s="115"/>
      <c r="B353" s="116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</row>
    <row r="354" ht="15.75" customHeight="1">
      <c r="A354" s="115"/>
      <c r="B354" s="116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</row>
    <row r="355" ht="15.75" customHeight="1">
      <c r="A355" s="115"/>
      <c r="B355" s="116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</row>
    <row r="356" ht="15.75" customHeight="1">
      <c r="A356" s="115"/>
      <c r="B356" s="116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</row>
    <row r="357" ht="15.75" customHeight="1">
      <c r="A357" s="115"/>
      <c r="B357" s="116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</row>
    <row r="358" ht="15.75" customHeight="1">
      <c r="A358" s="115"/>
      <c r="B358" s="116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</row>
    <row r="359" ht="15.75" customHeight="1">
      <c r="A359" s="115"/>
      <c r="B359" s="116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</row>
    <row r="360" ht="15.75" customHeight="1">
      <c r="A360" s="115"/>
      <c r="B360" s="116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</row>
    <row r="361" ht="15.75" customHeight="1">
      <c r="A361" s="115"/>
      <c r="B361" s="116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</row>
    <row r="362" ht="15.75" customHeight="1">
      <c r="A362" s="115"/>
      <c r="B362" s="116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</row>
    <row r="363" ht="15.75" customHeight="1">
      <c r="A363" s="115"/>
      <c r="B363" s="116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</row>
    <row r="364" ht="15.75" customHeight="1">
      <c r="A364" s="115"/>
      <c r="B364" s="116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</row>
    <row r="365" ht="15.75" customHeight="1">
      <c r="A365" s="115"/>
      <c r="B365" s="116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</row>
    <row r="366" ht="15.75" customHeight="1">
      <c r="A366" s="115"/>
      <c r="B366" s="116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</row>
    <row r="367" ht="15.75" customHeight="1">
      <c r="A367" s="115"/>
      <c r="B367" s="116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</row>
    <row r="368" ht="15.75" customHeight="1">
      <c r="A368" s="115"/>
      <c r="B368" s="116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</row>
    <row r="369" ht="15.75" customHeight="1">
      <c r="A369" s="115"/>
      <c r="B369" s="116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</row>
    <row r="370" ht="15.75" customHeight="1">
      <c r="A370" s="115"/>
      <c r="B370" s="116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</row>
    <row r="371" ht="15.75" customHeight="1">
      <c r="A371" s="115"/>
      <c r="B371" s="116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</row>
    <row r="372" ht="15.75" customHeight="1">
      <c r="A372" s="115"/>
      <c r="B372" s="116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</row>
    <row r="373" ht="15.75" customHeight="1">
      <c r="A373" s="115"/>
      <c r="B373" s="116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</row>
    <row r="374" ht="15.75" customHeight="1">
      <c r="A374" s="115"/>
      <c r="B374" s="116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</row>
    <row r="375" ht="15.75" customHeight="1">
      <c r="A375" s="115"/>
      <c r="B375" s="116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</row>
    <row r="376" ht="15.75" customHeight="1">
      <c r="A376" s="115"/>
      <c r="B376" s="116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</row>
    <row r="377" ht="15.75" customHeight="1">
      <c r="A377" s="115"/>
      <c r="B377" s="116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</row>
    <row r="378" ht="15.75" customHeight="1">
      <c r="A378" s="115"/>
      <c r="B378" s="116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</row>
    <row r="379" ht="15.75" customHeight="1">
      <c r="A379" s="115"/>
      <c r="B379" s="116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</row>
    <row r="380" ht="15.75" customHeight="1">
      <c r="A380" s="115"/>
      <c r="B380" s="116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</row>
    <row r="381" ht="15.75" customHeight="1">
      <c r="A381" s="115"/>
      <c r="B381" s="116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</row>
    <row r="382" ht="15.75" customHeight="1">
      <c r="A382" s="115"/>
      <c r="B382" s="116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</row>
    <row r="383" ht="15.75" customHeight="1">
      <c r="A383" s="115"/>
      <c r="B383" s="116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</row>
    <row r="384" ht="15.75" customHeight="1">
      <c r="A384" s="115"/>
      <c r="B384" s="116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</row>
    <row r="385" ht="15.75" customHeight="1">
      <c r="A385" s="115"/>
      <c r="B385" s="116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</row>
    <row r="386" ht="15.75" customHeight="1">
      <c r="A386" s="115"/>
      <c r="B386" s="116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</row>
    <row r="387" ht="15.75" customHeight="1">
      <c r="A387" s="115"/>
      <c r="B387" s="116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</row>
    <row r="388" ht="15.75" customHeight="1">
      <c r="A388" s="115"/>
      <c r="B388" s="116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</row>
    <row r="389" ht="15.75" customHeight="1">
      <c r="A389" s="115"/>
      <c r="B389" s="116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</row>
    <row r="390" ht="15.75" customHeight="1">
      <c r="A390" s="115"/>
      <c r="B390" s="116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</row>
    <row r="391" ht="15.75" customHeight="1">
      <c r="A391" s="115"/>
      <c r="B391" s="116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</row>
    <row r="392" ht="15.75" customHeight="1">
      <c r="A392" s="115"/>
      <c r="B392" s="116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</row>
    <row r="393" ht="15.75" customHeight="1">
      <c r="A393" s="115"/>
      <c r="B393" s="116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</row>
    <row r="394" ht="15.75" customHeight="1">
      <c r="A394" s="115"/>
      <c r="B394" s="116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</row>
    <row r="395" ht="15.75" customHeight="1">
      <c r="A395" s="115"/>
      <c r="B395" s="116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</row>
    <row r="396" ht="15.75" customHeight="1">
      <c r="A396" s="115"/>
      <c r="B396" s="116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</row>
    <row r="397" ht="15.75" customHeight="1">
      <c r="A397" s="115"/>
      <c r="B397" s="116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</row>
    <row r="398" ht="15.75" customHeight="1">
      <c r="A398" s="115"/>
      <c r="B398" s="116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</row>
    <row r="399" ht="15.75" customHeight="1">
      <c r="A399" s="115"/>
      <c r="B399" s="116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</row>
    <row r="400" ht="15.75" customHeight="1">
      <c r="A400" s="115"/>
      <c r="B400" s="116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</row>
    <row r="401" ht="15.75" customHeight="1">
      <c r="A401" s="115"/>
      <c r="B401" s="116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</row>
    <row r="402" ht="15.75" customHeight="1">
      <c r="A402" s="115"/>
      <c r="B402" s="116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</row>
    <row r="403" ht="15.75" customHeight="1">
      <c r="A403" s="115"/>
      <c r="B403" s="116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</row>
    <row r="404" ht="15.75" customHeight="1">
      <c r="A404" s="115"/>
      <c r="B404" s="116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</row>
    <row r="405" ht="15.75" customHeight="1">
      <c r="A405" s="115"/>
      <c r="B405" s="116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</row>
    <row r="406" ht="15.75" customHeight="1">
      <c r="A406" s="115"/>
      <c r="B406" s="116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</row>
    <row r="407" ht="15.75" customHeight="1">
      <c r="A407" s="115"/>
      <c r="B407" s="116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</row>
    <row r="408" ht="15.75" customHeight="1">
      <c r="A408" s="115"/>
      <c r="B408" s="116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</row>
    <row r="409" ht="15.75" customHeight="1">
      <c r="A409" s="115"/>
      <c r="B409" s="116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</row>
    <row r="410" ht="15.75" customHeight="1">
      <c r="A410" s="115"/>
      <c r="B410" s="116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</row>
    <row r="411" ht="15.75" customHeight="1">
      <c r="A411" s="115"/>
      <c r="B411" s="116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</row>
    <row r="412" ht="15.75" customHeight="1">
      <c r="A412" s="115"/>
      <c r="B412" s="116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</row>
    <row r="413" ht="15.75" customHeight="1">
      <c r="A413" s="115"/>
      <c r="B413" s="116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</row>
    <row r="414" ht="15.75" customHeight="1">
      <c r="A414" s="115"/>
      <c r="B414" s="116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</row>
    <row r="415" ht="15.75" customHeight="1">
      <c r="A415" s="115"/>
      <c r="B415" s="116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</row>
    <row r="416" ht="15.75" customHeight="1">
      <c r="A416" s="115"/>
      <c r="B416" s="116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</row>
    <row r="417" ht="15.75" customHeight="1">
      <c r="A417" s="115"/>
      <c r="B417" s="116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</row>
    <row r="418" ht="15.75" customHeight="1">
      <c r="A418" s="115"/>
      <c r="B418" s="116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</row>
    <row r="419" ht="15.75" customHeight="1">
      <c r="A419" s="115"/>
      <c r="B419" s="116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</row>
    <row r="420" ht="15.75" customHeight="1">
      <c r="A420" s="115"/>
      <c r="B420" s="116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</row>
    <row r="421" ht="15.75" customHeight="1">
      <c r="A421" s="115"/>
      <c r="B421" s="116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</row>
    <row r="422" ht="15.75" customHeight="1">
      <c r="A422" s="115"/>
      <c r="B422" s="116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</row>
    <row r="423" ht="15.75" customHeight="1">
      <c r="A423" s="115"/>
      <c r="B423" s="116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</row>
    <row r="424" ht="15.75" customHeight="1">
      <c r="A424" s="115"/>
      <c r="B424" s="116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</row>
    <row r="425" ht="15.75" customHeight="1">
      <c r="A425" s="115"/>
      <c r="B425" s="116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</row>
    <row r="426" ht="15.75" customHeight="1">
      <c r="A426" s="115"/>
      <c r="B426" s="116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</row>
    <row r="427" ht="15.75" customHeight="1">
      <c r="A427" s="115"/>
      <c r="B427" s="116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</row>
    <row r="428" ht="15.75" customHeight="1">
      <c r="A428" s="115"/>
      <c r="B428" s="116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</row>
    <row r="429" ht="15.75" customHeight="1">
      <c r="A429" s="115"/>
      <c r="B429" s="116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</row>
    <row r="430" ht="15.75" customHeight="1">
      <c r="A430" s="115"/>
      <c r="B430" s="116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</row>
    <row r="431" ht="15.75" customHeight="1">
      <c r="A431" s="115"/>
      <c r="B431" s="116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</row>
    <row r="432" ht="15.75" customHeight="1">
      <c r="A432" s="115"/>
      <c r="B432" s="116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</row>
    <row r="433" ht="15.75" customHeight="1">
      <c r="A433" s="115"/>
      <c r="B433" s="116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</row>
    <row r="434" ht="15.75" customHeight="1">
      <c r="A434" s="115"/>
      <c r="B434" s="116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</row>
    <row r="435" ht="15.75" customHeight="1">
      <c r="A435" s="115"/>
      <c r="B435" s="116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</row>
    <row r="436" ht="15.75" customHeight="1">
      <c r="A436" s="115"/>
      <c r="B436" s="116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</row>
    <row r="437" ht="15.75" customHeight="1">
      <c r="A437" s="115"/>
      <c r="B437" s="116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</row>
    <row r="438" ht="15.75" customHeight="1">
      <c r="A438" s="115"/>
      <c r="B438" s="116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</row>
    <row r="439" ht="15.75" customHeight="1">
      <c r="A439" s="115"/>
      <c r="B439" s="116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</row>
    <row r="440" ht="15.75" customHeight="1">
      <c r="A440" s="115"/>
      <c r="B440" s="116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</row>
    <row r="441" ht="15.75" customHeight="1">
      <c r="A441" s="115"/>
      <c r="B441" s="116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</row>
    <row r="442" ht="15.75" customHeight="1">
      <c r="A442" s="115"/>
      <c r="B442" s="116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</row>
    <row r="443" ht="15.75" customHeight="1">
      <c r="A443" s="115"/>
      <c r="B443" s="116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</row>
    <row r="444" ht="15.75" customHeight="1">
      <c r="A444" s="115"/>
      <c r="B444" s="116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</row>
    <row r="445" ht="15.75" customHeight="1">
      <c r="A445" s="115"/>
      <c r="B445" s="116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</row>
    <row r="446" ht="15.75" customHeight="1">
      <c r="A446" s="115"/>
      <c r="B446" s="116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</row>
    <row r="447" ht="15.75" customHeight="1">
      <c r="A447" s="115"/>
      <c r="B447" s="116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</row>
    <row r="448" ht="15.75" customHeight="1">
      <c r="A448" s="115"/>
      <c r="B448" s="116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</row>
    <row r="449" ht="15.75" customHeight="1">
      <c r="A449" s="115"/>
      <c r="B449" s="116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</row>
    <row r="450" ht="15.75" customHeight="1">
      <c r="A450" s="115"/>
      <c r="B450" s="116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</row>
    <row r="451" ht="15.75" customHeight="1">
      <c r="A451" s="115"/>
      <c r="B451" s="116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</row>
    <row r="452" ht="15.75" customHeight="1">
      <c r="A452" s="115"/>
      <c r="B452" s="116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</row>
    <row r="453" ht="15.75" customHeight="1">
      <c r="A453" s="115"/>
      <c r="B453" s="116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</row>
    <row r="454" ht="15.75" customHeight="1">
      <c r="A454" s="115"/>
      <c r="B454" s="116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</row>
    <row r="455" ht="15.75" customHeight="1">
      <c r="A455" s="115"/>
      <c r="B455" s="116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</row>
    <row r="456" ht="15.75" customHeight="1">
      <c r="A456" s="115"/>
      <c r="B456" s="116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</row>
    <row r="457" ht="15.75" customHeight="1">
      <c r="A457" s="115"/>
      <c r="B457" s="116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</row>
    <row r="458" ht="15.75" customHeight="1">
      <c r="A458" s="115"/>
      <c r="B458" s="116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</row>
    <row r="459" ht="15.75" customHeight="1">
      <c r="A459" s="115"/>
      <c r="B459" s="116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</row>
    <row r="460" ht="15.75" customHeight="1">
      <c r="A460" s="115"/>
      <c r="B460" s="116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</row>
    <row r="461" ht="15.75" customHeight="1">
      <c r="A461" s="115"/>
      <c r="B461" s="116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</row>
    <row r="462" ht="15.75" customHeight="1">
      <c r="A462" s="115"/>
      <c r="B462" s="116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</row>
    <row r="463" ht="15.75" customHeight="1">
      <c r="A463" s="115"/>
      <c r="B463" s="116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</row>
    <row r="464" ht="15.75" customHeight="1">
      <c r="A464" s="115"/>
      <c r="B464" s="116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</row>
    <row r="465" ht="15.75" customHeight="1">
      <c r="A465" s="115"/>
      <c r="B465" s="116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</row>
    <row r="466" ht="15.75" customHeight="1">
      <c r="A466" s="115"/>
      <c r="B466" s="116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</row>
    <row r="467" ht="15.75" customHeight="1">
      <c r="A467" s="115"/>
      <c r="B467" s="116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</row>
    <row r="468" ht="15.75" customHeight="1">
      <c r="A468" s="115"/>
      <c r="B468" s="116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</row>
    <row r="469" ht="15.75" customHeight="1">
      <c r="A469" s="115"/>
      <c r="B469" s="116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</row>
    <row r="470" ht="15.75" customHeight="1">
      <c r="A470" s="115"/>
      <c r="B470" s="116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</row>
    <row r="471" ht="15.75" customHeight="1">
      <c r="A471" s="115"/>
      <c r="B471" s="116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</row>
    <row r="472" ht="15.75" customHeight="1">
      <c r="A472" s="115"/>
      <c r="B472" s="116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</row>
    <row r="473" ht="15.75" customHeight="1">
      <c r="A473" s="115"/>
      <c r="B473" s="116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</row>
    <row r="474" ht="15.75" customHeight="1">
      <c r="A474" s="115"/>
      <c r="B474" s="116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</row>
    <row r="475" ht="15.75" customHeight="1">
      <c r="A475" s="115"/>
      <c r="B475" s="116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</row>
    <row r="476" ht="15.75" customHeight="1">
      <c r="A476" s="115"/>
      <c r="B476" s="116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</row>
    <row r="477" ht="15.75" customHeight="1">
      <c r="A477" s="115"/>
      <c r="B477" s="116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</row>
    <row r="478" ht="15.75" customHeight="1">
      <c r="A478" s="115"/>
      <c r="B478" s="116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</row>
    <row r="479" ht="15.75" customHeight="1">
      <c r="A479" s="115"/>
      <c r="B479" s="116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</row>
    <row r="480" ht="15.75" customHeight="1">
      <c r="A480" s="115"/>
      <c r="B480" s="116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</row>
    <row r="481" ht="15.75" customHeight="1">
      <c r="A481" s="115"/>
      <c r="B481" s="116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</row>
    <row r="482" ht="15.75" customHeight="1">
      <c r="A482" s="115"/>
      <c r="B482" s="116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</row>
    <row r="483" ht="15.75" customHeight="1">
      <c r="A483" s="115"/>
      <c r="B483" s="116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</row>
    <row r="484" ht="15.75" customHeight="1">
      <c r="A484" s="115"/>
      <c r="B484" s="116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</row>
    <row r="485" ht="15.75" customHeight="1">
      <c r="A485" s="115"/>
      <c r="B485" s="116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</row>
    <row r="486" ht="15.75" customHeight="1">
      <c r="A486" s="115"/>
      <c r="B486" s="116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</row>
    <row r="487" ht="15.75" customHeight="1">
      <c r="A487" s="115"/>
      <c r="B487" s="116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</row>
    <row r="488" ht="15.75" customHeight="1">
      <c r="A488" s="115"/>
      <c r="B488" s="116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</row>
    <row r="489" ht="15.75" customHeight="1">
      <c r="A489" s="115"/>
      <c r="B489" s="116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</row>
    <row r="490" ht="15.75" customHeight="1">
      <c r="A490" s="115"/>
      <c r="B490" s="116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</row>
    <row r="491" ht="15.75" customHeight="1">
      <c r="A491" s="115"/>
      <c r="B491" s="116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</row>
    <row r="492" ht="15.75" customHeight="1">
      <c r="A492" s="115"/>
      <c r="B492" s="116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</row>
    <row r="493" ht="15.75" customHeight="1">
      <c r="A493" s="115"/>
      <c r="B493" s="116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</row>
    <row r="494" ht="15.75" customHeight="1">
      <c r="A494" s="115"/>
      <c r="B494" s="116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</row>
    <row r="495" ht="15.75" customHeight="1">
      <c r="A495" s="115"/>
      <c r="B495" s="116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</row>
    <row r="496" ht="15.75" customHeight="1">
      <c r="A496" s="115"/>
      <c r="B496" s="116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</row>
    <row r="497" ht="15.75" customHeight="1">
      <c r="A497" s="115"/>
      <c r="B497" s="116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</row>
    <row r="498" ht="15.75" customHeight="1">
      <c r="A498" s="115"/>
      <c r="B498" s="116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</row>
    <row r="499" ht="15.75" customHeight="1">
      <c r="A499" s="115"/>
      <c r="B499" s="116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</row>
    <row r="500" ht="15.75" customHeight="1">
      <c r="A500" s="115"/>
      <c r="B500" s="116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</row>
    <row r="501" ht="15.75" customHeight="1">
      <c r="A501" s="115"/>
      <c r="B501" s="116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</row>
    <row r="502" ht="15.75" customHeight="1">
      <c r="A502" s="115"/>
      <c r="B502" s="116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</row>
    <row r="503" ht="15.75" customHeight="1">
      <c r="A503" s="115"/>
      <c r="B503" s="116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</row>
    <row r="504" ht="15.75" customHeight="1">
      <c r="A504" s="115"/>
      <c r="B504" s="116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</row>
    <row r="505" ht="15.75" customHeight="1">
      <c r="A505" s="115"/>
      <c r="B505" s="116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</row>
    <row r="506" ht="15.75" customHeight="1">
      <c r="A506" s="115"/>
      <c r="B506" s="116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</row>
    <row r="507" ht="15.75" customHeight="1">
      <c r="A507" s="115"/>
      <c r="B507" s="116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</row>
    <row r="508" ht="15.75" customHeight="1">
      <c r="A508" s="115"/>
      <c r="B508" s="116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</row>
    <row r="509" ht="15.75" customHeight="1">
      <c r="A509" s="115"/>
      <c r="B509" s="116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</row>
    <row r="510" ht="15.75" customHeight="1">
      <c r="A510" s="115"/>
      <c r="B510" s="116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</row>
    <row r="511" ht="15.75" customHeight="1">
      <c r="A511" s="115"/>
      <c r="B511" s="116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</row>
    <row r="512" ht="15.75" customHeight="1">
      <c r="A512" s="115"/>
      <c r="B512" s="116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</row>
    <row r="513" ht="15.75" customHeight="1">
      <c r="A513" s="115"/>
      <c r="B513" s="116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</row>
    <row r="514" ht="15.75" customHeight="1">
      <c r="A514" s="115"/>
      <c r="B514" s="116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</row>
    <row r="515" ht="15.75" customHeight="1">
      <c r="A515" s="115"/>
      <c r="B515" s="116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</row>
    <row r="516" ht="15.75" customHeight="1">
      <c r="A516" s="115"/>
      <c r="B516" s="116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</row>
    <row r="517" ht="15.75" customHeight="1">
      <c r="A517" s="115"/>
      <c r="B517" s="116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</row>
    <row r="518" ht="15.75" customHeight="1">
      <c r="A518" s="115"/>
      <c r="B518" s="116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</row>
    <row r="519" ht="15.75" customHeight="1">
      <c r="A519" s="115"/>
      <c r="B519" s="116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</row>
    <row r="520" ht="15.75" customHeight="1">
      <c r="A520" s="115"/>
      <c r="B520" s="116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</row>
    <row r="521" ht="15.75" customHeight="1">
      <c r="A521" s="115"/>
      <c r="B521" s="116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</row>
    <row r="522" ht="15.75" customHeight="1">
      <c r="A522" s="115"/>
      <c r="B522" s="116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</row>
    <row r="523" ht="15.75" customHeight="1">
      <c r="A523" s="115"/>
      <c r="B523" s="116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</row>
    <row r="524" ht="15.75" customHeight="1">
      <c r="A524" s="115"/>
      <c r="B524" s="116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</row>
    <row r="525" ht="15.75" customHeight="1">
      <c r="A525" s="115"/>
      <c r="B525" s="116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</row>
    <row r="526" ht="15.75" customHeight="1">
      <c r="A526" s="115"/>
      <c r="B526" s="116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</row>
    <row r="527" ht="15.75" customHeight="1">
      <c r="A527" s="115"/>
      <c r="B527" s="116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</row>
    <row r="528" ht="15.75" customHeight="1">
      <c r="A528" s="115"/>
      <c r="B528" s="116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</row>
    <row r="529" ht="15.75" customHeight="1">
      <c r="A529" s="115"/>
      <c r="B529" s="116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</row>
    <row r="530" ht="15.75" customHeight="1">
      <c r="A530" s="115"/>
      <c r="B530" s="116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</row>
    <row r="531" ht="15.75" customHeight="1">
      <c r="A531" s="115"/>
      <c r="B531" s="116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</row>
    <row r="532" ht="15.75" customHeight="1">
      <c r="A532" s="115"/>
      <c r="B532" s="116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</row>
    <row r="533" ht="15.75" customHeight="1">
      <c r="A533" s="115"/>
      <c r="B533" s="116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</row>
    <row r="534" ht="15.75" customHeight="1">
      <c r="A534" s="115"/>
      <c r="B534" s="116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</row>
    <row r="535" ht="15.75" customHeight="1">
      <c r="A535" s="115"/>
      <c r="B535" s="116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</row>
    <row r="536" ht="15.75" customHeight="1">
      <c r="A536" s="115"/>
      <c r="B536" s="116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</row>
    <row r="537" ht="15.75" customHeight="1">
      <c r="A537" s="115"/>
      <c r="B537" s="116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</row>
    <row r="538" ht="15.75" customHeight="1">
      <c r="A538" s="115"/>
      <c r="B538" s="116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</row>
    <row r="539" ht="15.75" customHeight="1">
      <c r="A539" s="115"/>
      <c r="B539" s="116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</row>
    <row r="540" ht="15.75" customHeight="1">
      <c r="A540" s="115"/>
      <c r="B540" s="116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</row>
    <row r="541" ht="15.75" customHeight="1">
      <c r="A541" s="115"/>
      <c r="B541" s="116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</row>
    <row r="542" ht="15.75" customHeight="1">
      <c r="A542" s="115"/>
      <c r="B542" s="116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</row>
    <row r="543" ht="15.75" customHeight="1">
      <c r="A543" s="115"/>
      <c r="B543" s="116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</row>
    <row r="544" ht="15.75" customHeight="1">
      <c r="A544" s="115"/>
      <c r="B544" s="116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</row>
    <row r="545" ht="15.75" customHeight="1">
      <c r="A545" s="115"/>
      <c r="B545" s="116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</row>
    <row r="546" ht="15.75" customHeight="1">
      <c r="A546" s="115"/>
      <c r="B546" s="116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</row>
    <row r="547" ht="15.75" customHeight="1">
      <c r="A547" s="115"/>
      <c r="B547" s="116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</row>
    <row r="548" ht="15.75" customHeight="1">
      <c r="A548" s="115"/>
      <c r="B548" s="116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</row>
    <row r="549" ht="15.75" customHeight="1">
      <c r="A549" s="115"/>
      <c r="B549" s="116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</row>
    <row r="550" ht="15.75" customHeight="1">
      <c r="A550" s="115"/>
      <c r="B550" s="116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</row>
    <row r="551" ht="15.75" customHeight="1">
      <c r="A551" s="115"/>
      <c r="B551" s="116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</row>
    <row r="552" ht="15.75" customHeight="1">
      <c r="A552" s="115"/>
      <c r="B552" s="116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</row>
    <row r="553" ht="15.75" customHeight="1">
      <c r="A553" s="115"/>
      <c r="B553" s="116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</row>
    <row r="554" ht="15.75" customHeight="1">
      <c r="A554" s="115"/>
      <c r="B554" s="116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</row>
    <row r="555" ht="15.75" customHeight="1">
      <c r="A555" s="115"/>
      <c r="B555" s="116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</row>
    <row r="556" ht="15.75" customHeight="1">
      <c r="A556" s="115"/>
      <c r="B556" s="116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</row>
    <row r="557" ht="15.75" customHeight="1">
      <c r="A557" s="115"/>
      <c r="B557" s="116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</row>
    <row r="558" ht="15.75" customHeight="1">
      <c r="A558" s="115"/>
      <c r="B558" s="116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</row>
    <row r="559" ht="15.75" customHeight="1">
      <c r="A559" s="115"/>
      <c r="B559" s="116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</row>
    <row r="560" ht="15.75" customHeight="1">
      <c r="A560" s="115"/>
      <c r="B560" s="116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</row>
    <row r="561" ht="15.75" customHeight="1">
      <c r="A561" s="115"/>
      <c r="B561" s="116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</row>
    <row r="562" ht="15.75" customHeight="1">
      <c r="A562" s="115"/>
      <c r="B562" s="116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</row>
    <row r="563" ht="15.75" customHeight="1">
      <c r="A563" s="115"/>
      <c r="B563" s="116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</row>
    <row r="564" ht="15.75" customHeight="1">
      <c r="A564" s="115"/>
      <c r="B564" s="116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</row>
    <row r="565" ht="15.75" customHeight="1">
      <c r="A565" s="115"/>
      <c r="B565" s="116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</row>
    <row r="566" ht="15.75" customHeight="1">
      <c r="A566" s="115"/>
      <c r="B566" s="116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</row>
    <row r="567" ht="15.75" customHeight="1">
      <c r="A567" s="115"/>
      <c r="B567" s="116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</row>
    <row r="568" ht="15.75" customHeight="1">
      <c r="A568" s="115"/>
      <c r="B568" s="116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</row>
    <row r="569" ht="15.75" customHeight="1">
      <c r="A569" s="115"/>
      <c r="B569" s="116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</row>
    <row r="570" ht="15.75" customHeight="1">
      <c r="A570" s="115"/>
      <c r="B570" s="116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</row>
    <row r="571" ht="15.75" customHeight="1">
      <c r="A571" s="115"/>
      <c r="B571" s="116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</row>
    <row r="572" ht="15.75" customHeight="1">
      <c r="A572" s="115"/>
      <c r="B572" s="116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</row>
    <row r="573" ht="15.75" customHeight="1">
      <c r="A573" s="115"/>
      <c r="B573" s="116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</row>
    <row r="574" ht="15.75" customHeight="1">
      <c r="A574" s="115"/>
      <c r="B574" s="116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</row>
    <row r="575" ht="15.75" customHeight="1">
      <c r="A575" s="115"/>
      <c r="B575" s="116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</row>
    <row r="576" ht="15.75" customHeight="1">
      <c r="A576" s="115"/>
      <c r="B576" s="116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</row>
    <row r="577" ht="15.75" customHeight="1">
      <c r="A577" s="115"/>
      <c r="B577" s="116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</row>
    <row r="578" ht="15.75" customHeight="1">
      <c r="A578" s="115"/>
      <c r="B578" s="116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</row>
    <row r="579" ht="15.75" customHeight="1">
      <c r="A579" s="115"/>
      <c r="B579" s="116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</row>
    <row r="580" ht="15.75" customHeight="1">
      <c r="A580" s="115"/>
      <c r="B580" s="116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</row>
    <row r="581" ht="15.75" customHeight="1">
      <c r="A581" s="115"/>
      <c r="B581" s="116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</row>
    <row r="582" ht="15.75" customHeight="1">
      <c r="A582" s="115"/>
      <c r="B582" s="116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</row>
    <row r="583" ht="15.75" customHeight="1">
      <c r="A583" s="115"/>
      <c r="B583" s="116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</row>
    <row r="584" ht="15.75" customHeight="1">
      <c r="A584" s="115"/>
      <c r="B584" s="116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</row>
    <row r="585" ht="15.75" customHeight="1">
      <c r="A585" s="115"/>
      <c r="B585" s="116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</row>
    <row r="586" ht="15.75" customHeight="1">
      <c r="A586" s="115"/>
      <c r="B586" s="116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</row>
    <row r="587" ht="15.75" customHeight="1">
      <c r="A587" s="115"/>
      <c r="B587" s="116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</row>
    <row r="588" ht="15.75" customHeight="1">
      <c r="A588" s="115"/>
      <c r="B588" s="116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</row>
    <row r="589" ht="15.75" customHeight="1">
      <c r="A589" s="115"/>
      <c r="B589" s="116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</row>
    <row r="590" ht="15.75" customHeight="1">
      <c r="A590" s="115"/>
      <c r="B590" s="116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</row>
    <row r="591" ht="15.75" customHeight="1">
      <c r="A591" s="115"/>
      <c r="B591" s="116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</row>
    <row r="592" ht="15.75" customHeight="1">
      <c r="A592" s="115"/>
      <c r="B592" s="116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</row>
    <row r="593" ht="15.75" customHeight="1">
      <c r="A593" s="115"/>
      <c r="B593" s="116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</row>
    <row r="594" ht="15.75" customHeight="1">
      <c r="A594" s="115"/>
      <c r="B594" s="116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</row>
    <row r="595" ht="15.75" customHeight="1">
      <c r="A595" s="115"/>
      <c r="B595" s="116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</row>
    <row r="596" ht="15.75" customHeight="1">
      <c r="A596" s="115"/>
      <c r="B596" s="116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</row>
    <row r="597" ht="15.75" customHeight="1">
      <c r="A597" s="115"/>
      <c r="B597" s="116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</row>
    <row r="598" ht="15.75" customHeight="1">
      <c r="A598" s="115"/>
      <c r="B598" s="116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</row>
    <row r="599" ht="15.75" customHeight="1">
      <c r="A599" s="115"/>
      <c r="B599" s="116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</row>
    <row r="600" ht="15.75" customHeight="1">
      <c r="A600" s="115"/>
      <c r="B600" s="116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</row>
    <row r="601" ht="15.75" customHeight="1">
      <c r="A601" s="115"/>
      <c r="B601" s="116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</row>
    <row r="602" ht="15.75" customHeight="1">
      <c r="A602" s="115"/>
      <c r="B602" s="116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</row>
    <row r="603" ht="15.75" customHeight="1">
      <c r="A603" s="115"/>
      <c r="B603" s="116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</row>
    <row r="604" ht="15.75" customHeight="1">
      <c r="A604" s="115"/>
      <c r="B604" s="116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</row>
    <row r="605" ht="15.75" customHeight="1">
      <c r="A605" s="115"/>
      <c r="B605" s="116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</row>
    <row r="606" ht="15.75" customHeight="1">
      <c r="A606" s="115"/>
      <c r="B606" s="116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</row>
    <row r="607" ht="15.75" customHeight="1">
      <c r="A607" s="115"/>
      <c r="B607" s="116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</row>
    <row r="608" ht="15.75" customHeight="1">
      <c r="A608" s="115"/>
      <c r="B608" s="116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</row>
    <row r="609" ht="15.75" customHeight="1">
      <c r="A609" s="115"/>
      <c r="B609" s="116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</row>
    <row r="610" ht="15.75" customHeight="1">
      <c r="A610" s="115"/>
      <c r="B610" s="116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</row>
    <row r="611" ht="15.75" customHeight="1">
      <c r="A611" s="115"/>
      <c r="B611" s="116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</row>
  </sheetData>
  <mergeCells count="16">
    <mergeCell ref="J3:K3"/>
    <mergeCell ref="I4:K8"/>
    <mergeCell ref="B5:C5"/>
    <mergeCell ref="B6:C6"/>
    <mergeCell ref="B7:C7"/>
    <mergeCell ref="B8:C8"/>
    <mergeCell ref="B9:C9"/>
    <mergeCell ref="B10:C10"/>
    <mergeCell ref="B1:C1"/>
    <mergeCell ref="D1:H11"/>
    <mergeCell ref="J1:K1"/>
    <mergeCell ref="B2:C2"/>
    <mergeCell ref="J2:K2"/>
    <mergeCell ref="B3:C3"/>
    <mergeCell ref="B4:C4"/>
    <mergeCell ref="B11:C11"/>
  </mergeCells>
  <conditionalFormatting sqref="A13:A611">
    <cfRule type="containsText" dxfId="20" priority="1" operator="containsText" text="↑">
      <formula>NOT(ISERROR(SEARCH(("↑"),(A13))))</formula>
    </cfRule>
  </conditionalFormatting>
  <conditionalFormatting sqref="B13:B48 C13:W16">
    <cfRule type="expression" dxfId="21" priority="2">
      <formula>ROW()&lt;=16</formula>
    </cfRule>
  </conditionalFormatting>
  <conditionalFormatting sqref="B47:W48">
    <cfRule type="expression" dxfId="22" priority="3">
      <formula>ROW()&gt;=47</formula>
    </cfRule>
  </conditionalFormatting>
  <conditionalFormatting sqref="A13:A611">
    <cfRule type="containsText" dxfId="23" priority="4" operator="containsText" text="↓">
      <formula>NOT(ISERROR(SEARCH(("↓"),(A13))))</formula>
    </cfRule>
  </conditionalFormatting>
  <conditionalFormatting sqref="A13:A611">
    <cfRule type="expression" dxfId="11" priority="5">
      <formula>ISNA(A13)</formula>
    </cfRule>
  </conditionalFormatting>
  <conditionalFormatting sqref="B49:W50">
    <cfRule type="expression" dxfId="24" priority="6">
      <formula>ROW()&gt;=49</formula>
    </cfRule>
  </conditionalFormatting>
  <printOptions horizontalCentered="1" verticalCentered="1"/>
  <pageMargins bottom="0.75" footer="0.0" header="0.0" left="0.25" right="0.25" top="0.75"/>
  <pageSetup scale="9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0.56"/>
    <col customWidth="1" min="2" max="3" width="35.33"/>
    <col customWidth="1" min="4" max="4" width="39.78"/>
  </cols>
  <sheetData>
    <row r="1">
      <c r="A1" s="88" t="s">
        <v>337</v>
      </c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hidden="1">
      <c r="A2" s="122" t="s">
        <v>213</v>
      </c>
      <c r="B2" s="123" t="s">
        <v>212</v>
      </c>
      <c r="C2" s="124" t="s">
        <v>215</v>
      </c>
      <c r="D2" s="125" t="s">
        <v>214</v>
      </c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>
      <c r="A3" s="88" t="str">
        <f>MATCH_INPUT!F2</f>
        <v>BLUE</v>
      </c>
      <c r="B3" s="126">
        <f>MATCH_INPUT!G2</f>
        <v>0</v>
      </c>
      <c r="C3" s="126">
        <f>MATCH_INPUT!I2</f>
        <v>1</v>
      </c>
      <c r="D3" s="88" t="str">
        <f>MATCH_INPUT!J2</f>
        <v>MAGENTA</v>
      </c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>
      <c r="A4" s="127" t="str">
        <f>MATCH_INPUT!F3</f>
        <v>GREEN</v>
      </c>
      <c r="B4" s="128">
        <f>MATCH_INPUT!G3</f>
        <v>3</v>
      </c>
      <c r="C4" s="128">
        <f>MATCH_INPUT!I3</f>
        <v>0</v>
      </c>
      <c r="D4" s="127" t="str">
        <f>MATCH_INPUT!J3</f>
        <v>ORANGE</v>
      </c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>
      <c r="A5" s="88" t="str">
        <f>MATCH_INPUT!F4</f>
        <v>ORANGE</v>
      </c>
      <c r="B5" s="129">
        <f>MATCH_INPUT!G4</f>
        <v>1</v>
      </c>
      <c r="C5" s="129">
        <f>MATCH_INPUT!I4</f>
        <v>4</v>
      </c>
      <c r="D5" s="88" t="str">
        <f>MATCH_INPUT!J4</f>
        <v>BLUE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>
      <c r="A6" s="88" t="str">
        <f>MATCH_INPUT!F5</f>
        <v>MAGENTA</v>
      </c>
      <c r="B6" s="129">
        <f>MATCH_INPUT!G5</f>
        <v>2</v>
      </c>
      <c r="C6" s="129">
        <f>MATCH_INPUT!I5</f>
        <v>0</v>
      </c>
      <c r="D6" s="88" t="str">
        <f>MATCH_INPUT!J5</f>
        <v>GREEN</v>
      </c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>
      <c r="A7" s="88" t="s">
        <v>338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>
      <c r="A8" s="121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(WEEKLY_TEAMS!C3:C52=""BLUE"") * 
  IF(
    SUM(NOT(ISBLANK(WEEKLY_TEAMS!J3:J52))) + SUM(WEEKLY_TEAMS!K3:K52) + SUM(NOT(ISBLANK(WEEKLY_TEAMS!L3:L52))) = 0, 
    TRUE, 
    ((WEEKLY_TEA"&amp;"MS!J3:J52&lt;&gt;"""") + (WEEKLY_TEAMS!K3:K52=1) + (WEEKLY_TEAMS!L3:L52&lt;&gt;"""") &gt; 0)
  )
)
"),"(14) 🍂🎃 Gabo - Goals: 1 - Clean Sheets: 0")</f>
        <v>(14) 🍂🎃 Gabo - Goals: 1 - Clean Sheets: 0</v>
      </c>
      <c r="B8" s="121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(WEEKLY_TEAMS!C3:C52=""green"") * 
  IF(
    SUM(NOT(ISBLANK(WEEKLY_TEAMS!J3:J52))) + SUM(WEEKLY_TEAMS!K3:K52) + SUM(NOT(ISBLANK(WEEKLY_TEAMS!L3:L52))) = 0, 
    TRUE, 
    ((WEEKLY_TE"&amp;"AMS!J3:J52&lt;&gt;"""") + (WEEKLY_TEAMS!K3:K52=1) + (WEEKLY_TEAMS!L3:L52&lt;&gt;"""") &gt; 0)
  )
)
"),"(23) 🍂🎃 Juan Pablo - Goals: 2 - Clean Sheets: 0")</f>
        <v>(23) 🍂🎃 Juan Pablo - Goals: 2 - Clean Sheets: 0</v>
      </c>
      <c r="C8" s="121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(WEEKLY_TEAMS!C3:C52=""orange"") * 
  IF(
    SUM(NOT(ISBLANK(WEEKLY_TEAMS!J3:J52))) + SUM(WEEKLY_TEAMS!K3:K52) + SUM(NOT(ISBLANK(WEEKLY_TEAMS!L3:L52))) = 0, 
    TRUE, 
    ((WEEKLY_T"&amp;"EAMS!J3:J52&lt;&gt;"""") + (WEEKLY_TEAMS!K3:K52=1) + (WEEKLY_TEAMS!L3:L52&lt;&gt;"""") &gt; 0)
  )
)
"),"(4) 🍂🎃 Chato - Goals: 1 - Clean Sheets: 0")</f>
        <v>(4) 🍂🎃 Chato - Goals: 1 - Clean Sheets: 0</v>
      </c>
      <c r="D8" s="121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(WEEKLY_TEAMS!C3:C52=""magenta"") * 
  IF(
    SUM(NOT(ISBLANK(WEEKLY_TEAMS!J3:J52))) + SUM(WEEKLY_TEAMS!K3:K52) + SUM(NOT(ISBLANK(WEEKLY_TEAMS!L3:L52))) = 0, 
    TRUE, 
    ((WEEKLY_"&amp;"TEAMS!J3:J52&lt;&gt;"""") + (WEEKLY_TEAMS!K3:K52=1) + (WEEKLY_TEAMS!L3:L52&lt;&gt;"""") &gt; 0)
  )
)
"),"(11) 🍂🎃 Enerson -was goalie - Goals: 0 - Clean Sheets: 1")</f>
        <v>(11) 🍂🎃 Enerson -was goalie - Goals: 0 - Clean Sheets: 1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>
      <c r="A9" s="88" t="str">
        <f>IFERROR(__xludf.DUMMYFUNCTION("""COMPUTED_VALUE"""),"(17) 🍂🎃 Jesús 👬 Rodrigo - Goals: 1 - Clean Sheets: 0")</f>
        <v>(17) 🍂🎃 Jesús 👬 Rodrigo - Goals: 1 - Clean Sheets: 0</v>
      </c>
      <c r="B9" s="121"/>
      <c r="C9" s="121"/>
      <c r="D9" s="121" t="str">
        <f>IFERROR(__xludf.DUMMYFUNCTION("""COMPUTED_VALUE"""),"(22) 🍂🎃 Joseph 👬 Da Silva - Goals: 1 - Clean Sheets: 0")</f>
        <v>(22) 🍂🎃 Joseph 👬 Da Silva - Goals: 1 - Clean Sheets: 0</v>
      </c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>
      <c r="A10" s="130" t="str">
        <f>IFERROR(__xludf.DUMMYFUNCTION("""COMPUTED_VALUE"""),"(34) 🍂🎃 Valencia - Goals: 2 - Clean Sheets: 0")</f>
        <v>(34) 🍂🎃 Valencia - Goals: 2 - Clean Sheets: 0</v>
      </c>
      <c r="B10" s="121"/>
      <c r="C10" s="121"/>
      <c r="D10" s="121" t="str">
        <f>IFERROR(__xludf.DUMMYFUNCTION("""COMPUTED_VALUE"""),"(26) 🍂🎃 Nicky - Goals: 1 - Clean Sheets: 0")</f>
        <v>(26) 🍂🎃 Nicky - Goals: 1 - Clean Sheets: 0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>
      <c r="A11" s="130" t="str">
        <f>IFERROR(__xludf.DUMMYFUNCTION("""COMPUTED_VALUE"""),"(36) 🍂🎃 Víctor N -was goalie - Goals: 0 - Clean Sheets: 0")</f>
        <v>(36) 🍂🎃 Víctor N -was goalie - Goals: 0 - Clean Sheets: 0</v>
      </c>
      <c r="B11" s="121"/>
      <c r="C11" s="121"/>
      <c r="D11" s="121" t="str">
        <f>IFERROR(__xludf.DUMMYFUNCTION("""COMPUTED_VALUE"""),"(35) 🍂🎃 Valverde - Goals: 1 - Clean Sheets: 0")</f>
        <v>(35) 🍂🎃 Valverde - Goals: 1 - Clean Sheets: 0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>
      <c r="A12" s="130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>
      <c r="A13" s="130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>
      <c r="A14" s="130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>
      <c r="A15" s="130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>
      <c r="A16" s="130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>
      <c r="A17" s="131" t="s">
        <v>339</v>
      </c>
      <c r="B17" s="131" t="s">
        <v>339</v>
      </c>
      <c r="C17" s="131" t="s">
        <v>339</v>
      </c>
      <c r="D17" s="131" t="s">
        <v>339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>
      <c r="A18" s="88" t="s">
        <v>340</v>
      </c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>
      <c r="A19" s="88" t="str">
        <f>MATCH_INPUT!F6</f>
        <v>BLUE</v>
      </c>
      <c r="B19" s="132">
        <f>MATCH_INPUT!G6</f>
        <v>3</v>
      </c>
      <c r="C19" s="132">
        <f>MATCH_INPUT!I6</f>
        <v>3</v>
      </c>
      <c r="D19" s="88" t="str">
        <f>MATCH_INPUT!J6</f>
        <v>MAGENTA</v>
      </c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>
      <c r="A20" s="88" t="str">
        <f>MATCH_INPUT!F7</f>
        <v>GREEN</v>
      </c>
      <c r="B20" s="132">
        <f>MATCH_INPUT!G7</f>
        <v>0</v>
      </c>
      <c r="C20" s="132">
        <f>MATCH_INPUT!I7</f>
        <v>2</v>
      </c>
      <c r="D20" s="88" t="str">
        <f>MATCH_INPUT!J7</f>
        <v>ORANGE</v>
      </c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>
      <c r="A21" s="88" t="str">
        <f>MATCH_INPUT!F8</f>
        <v>BLUE</v>
      </c>
      <c r="B21" s="132">
        <f>MATCH_INPUT!G8</f>
        <v>1</v>
      </c>
      <c r="C21" s="132">
        <f>MATCH_INPUT!I8</f>
        <v>0</v>
      </c>
      <c r="D21" s="88" t="str">
        <f>MATCH_INPUT!J8</f>
        <v>ORANGE</v>
      </c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>
      <c r="A22" s="88" t="str">
        <f>MATCH_INPUT!F9</f>
        <v>MAGENTA</v>
      </c>
      <c r="B22" s="132">
        <f>MATCH_INPUT!G9</f>
        <v>0</v>
      </c>
      <c r="C22" s="132">
        <f>MATCH_INPUT!I9</f>
        <v>0</v>
      </c>
      <c r="D22" s="88" t="str">
        <f>MATCH_INPUT!J9</f>
        <v>GREEN</v>
      </c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>
      <c r="A23" s="88" t="s">
        <v>338</v>
      </c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>
      <c r="A24" s="121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(WEEKLY_TEAMS!O3:O52=""BLUE"") * 
  IF(
    SUM(NOT(ISBLANK(WEEKLY_TEAMS!V3:V52))) + SUM(WEEKLY_TEAMS!W3:W52) + SUM(NOT(ISBLANK(WEEKLY_TEAMS!X3:X52))) = 0, 
    TRUE, 
    ((WEEKLY_TEA"&amp;"MS!V3:V52&lt;&gt;"""") + (WEEKLY_TEAMS!W3:W52=1) + (WEEKLY_TEAMS!X3:X52&lt;&gt;"""") &gt; 0)
  )
)
"),"(3) 🍂🎃 Carlos S - Goals: 1 - Clean Sheets: 0")</f>
        <v>(3) 🍂🎃 Carlos S - Goals: 1 - Clean Sheets: 0</v>
      </c>
      <c r="B24" s="121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(WEEKLY_TEAMS!O3:O52=""green"") * 
  IF(
    SUM(NOT(ISBLANK(WEEKLY_TEAMS!V3:V52))) + SUM(WEEKLY_TEAMS!W3:W52) + SUM(NOT(ISBLANK(WEEKLY_TEAMS!X3:X52))) = 0, 
    TRUE, 
    ((WEEKLY_TE"&amp;"AMS!V3:V52&lt;&gt;"""") + (WEEKLY_TEAMS!W3:W52=1) + (WEEKLY_TEAMS!X3:X52&lt;&gt;"""") &gt; 0)
  )
)
"),"#N/A")</f>
        <v>#N/A</v>
      </c>
      <c r="C24" s="121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(WEEKLY_TEAMS!O3:O52=""orange"") * 
  IF(
    SUM(NOT(ISBLANK(WEEKLY_TEAMS!V3:V52))) + SUM(WEEKLY_TEAMS!W3:W52) + SUM(NOT(ISBLANK(WEEKLY_TEAMS!X3:X52))) = 0, 
    TRUE, 
    ((WEEKLY_T"&amp;"EAMS!V3:V52&lt;&gt;"""") + (WEEKLY_TEAMS!W3:W52=1) + (WEEKLY_TEAMS!X3:X52&lt;&gt;"""") &gt; 0)
  )
)
"),"(30) 🍂🎃 Rob -was goalie - Goals: 0 - Clean Sheets: 1")</f>
        <v>(30) 🍂🎃 Rob -was goalie - Goals: 0 - Clean Sheets: 1</v>
      </c>
      <c r="D24" s="121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(WEEKLY_TEAMS!O3:O52=""magenta"") * 
  IF(
    SUM(NOT(ISBLANK(WEEKLY_TEAMS!V3:V52))) + SUM(WEEKLY_TEAMS!W3:W52) + SUM(NOT(ISBLANK(WEEKLY_TEAMS!X3:X52))) = 0, 
    TRUE, 
    ((WEEKLY_"&amp;"TEAMS!V3:V52&lt;&gt;"""") + (WEEKLY_TEAMS!W3:W52=1) + (WEEKLY_TEAMS!X3:X52&lt;&gt;"""") &gt; 0)
  )
)
"),"(22) 🍂🎃 Joseph 👬 Da Silva - Goals: 1 - Clean Sheets: 0")</f>
        <v>(22) 🍂🎃 Joseph 👬 Da Silva - Goals: 1 - Clean Sheets: 0</v>
      </c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>
      <c r="A25" s="88" t="str">
        <f>IFERROR(__xludf.DUMMYFUNCTION("""COMPUTED_VALUE"""),"(15) 🍂🎃 Gerardo - Goals: 1 - Clean Sheets: 0")</f>
        <v>(15) 🍂🎃 Gerardo - Goals: 1 - Clean Sheets: 0</v>
      </c>
      <c r="B25" s="88"/>
      <c r="C25" s="88" t="str">
        <f>IFERROR(__xludf.DUMMYFUNCTION("""COMPUTED_VALUE"""),"(33) 🍂🎃 Rudy - Goals: 1 - Clean Sheets: 0")</f>
        <v>(33) 🍂🎃 Rudy - Goals: 1 - Clean Sheets: 0</v>
      </c>
      <c r="D25" s="121" t="str">
        <f>IFERROR(__xludf.DUMMYFUNCTION("""COMPUTED_VALUE"""),"(24) 🍂🎃 Kevin 👬 Mike -was goalie - Goals: 0 - Clean Sheets: 0")</f>
        <v>(24) 🍂🎃 Kevin 👬 Mike -was goalie - Goals: 0 - Clean Sheets: 0</v>
      </c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>
      <c r="A26" s="130" t="str">
        <f>IFERROR(__xludf.DUMMYFUNCTION("""COMPUTED_VALUE"""),"(31) 🍂🎃 Rodolfo 👬 Víctor S - Goals: 1 - Clean Sheets: 0")</f>
        <v>(31) 🍂🎃 Rodolfo 👬 Víctor S - Goals: 1 - Clean Sheets: 0</v>
      </c>
      <c r="B26" s="121"/>
      <c r="C26" s="121" t="str">
        <f>IFERROR(__xludf.DUMMYFUNCTION("""COMPUTED_VALUE"""),"(34) 🍂🎃 Valencia - Goals: 1 - Clean Sheets: 0")</f>
        <v>(34) 🍂🎃 Valencia - Goals: 1 - Clean Sheets: 0</v>
      </c>
      <c r="D26" s="121" t="str">
        <f>IFERROR(__xludf.DUMMYFUNCTION("""COMPUTED_VALUE"""),"(35) 🍂🎃 Valverde - Goals: 2 - Clean Sheets: 0")</f>
        <v>(35) 🍂🎃 Valverde - Goals: 2 - Clean Sheets: 0</v>
      </c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>
      <c r="A27" s="130"/>
      <c r="B27" s="121"/>
      <c r="C27" s="121" t="str">
        <f>IFERROR(__xludf.DUMMYFUNCTION("""COMPUTED_VALUE"""),"(36) 🍂🎃 Víctor N -was goalie - Goals: 0 - Clean Sheets: 0")</f>
        <v>(36) 🍂🎃 Víctor N -was goalie - Goals: 0 - Clean Sheets: 0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>
      <c r="A28" s="130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>
      <c r="A29" s="130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>
      <c r="A30" s="130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>
      <c r="A31" s="130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>
      <c r="A32" s="13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>
      <c r="A33" s="131" t="s">
        <v>339</v>
      </c>
      <c r="B33" s="131" t="s">
        <v>339</v>
      </c>
      <c r="C33" s="131" t="s">
        <v>339</v>
      </c>
      <c r="D33" s="131" t="s">
        <v>339</v>
      </c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>
      <c r="A34" s="88" t="s">
        <v>341</v>
      </c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>
      <c r="A35" s="88" t="str">
        <f>MATCH_INPUT!F10</f>
        <v>BLUE</v>
      </c>
      <c r="B35" s="132">
        <f>MATCH_INPUT!G10</f>
        <v>3</v>
      </c>
      <c r="C35" s="132">
        <f>MATCH_INPUT!I10</f>
        <v>2</v>
      </c>
      <c r="D35" s="88" t="str">
        <f>MATCH_INPUT!J10</f>
        <v>MAGENTA</v>
      </c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>
      <c r="A36" s="88" t="str">
        <f>MATCH_INPUT!F11</f>
        <v>ORANGE</v>
      </c>
      <c r="B36" s="132">
        <f>MATCH_INPUT!G11</f>
        <v>0</v>
      </c>
      <c r="C36" s="132">
        <f>MATCH_INPUT!I11</f>
        <v>2</v>
      </c>
      <c r="D36" s="88" t="str">
        <f>MATCH_INPUT!J11</f>
        <v>GREEN</v>
      </c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>
      <c r="A37" s="88" t="str">
        <f>MATCH_INPUT!F12</f>
        <v>BLUE</v>
      </c>
      <c r="B37" s="132">
        <f>MATCH_INPUT!G12</f>
        <v>2</v>
      </c>
      <c r="C37" s="132">
        <f>MATCH_INPUT!I12</f>
        <v>3</v>
      </c>
      <c r="D37" s="88" t="str">
        <f>MATCH_INPUT!J12</f>
        <v>GREEN</v>
      </c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>
      <c r="A38" s="88" t="str">
        <f>MATCH_INPUT!F13</f>
        <v>MAGENTA</v>
      </c>
      <c r="B38" s="132">
        <f>MATCH_INPUT!G13</f>
        <v>2</v>
      </c>
      <c r="C38" s="132">
        <f>MATCH_INPUT!I13</f>
        <v>1</v>
      </c>
      <c r="D38" s="88" t="str">
        <f>MATCH_INPUT!J13</f>
        <v>ORANGE</v>
      </c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>
      <c r="A39" s="88" t="s">
        <v>338</v>
      </c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>
      <c r="A40" s="121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(WEEKLY_TEAMS!AA3:AA52=""BLUE"") * 
  IF(
    SUM(NOT(ISBLANK(WEEKLY_TEAMS!AH3:AH52))) + SUM(WEEKLY_TEAMS!AI3:AI52) + SUM(NOT(ISBLANK(WEEKLY_TEAMS!AJ3:AJ52))) = 0, 
    TRUE,"&amp;" 
    ((WEEKLY_TEAMS!AH3:AH52&lt;&gt;"""") + (WEEKLY_TEAMS!AI3:AI52=1) + (WEEKLY_TEAMS!AJ3:AJ52&lt;&gt;"""") &gt; 0)
  )
)
"),"(18) 🍂🎃 Jhony S - Goals: 1 - Clean Sheets: 0")</f>
        <v>(18) 🍂🎃 Jhony S - Goals: 1 - Clean Sheets: 0</v>
      </c>
      <c r="B40" s="121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(WEEKLY_TEAMS!AA3:AA52=""green"") * 
  IF(
    SUM(NOT(ISBLANK(WEEKLY_TEAMS!AH3:AH52))) + SUM(WEEKLY_TEAMS!AI3:AI52) + SUM(NOT(ISBLANK(WEEKLY_TEAMS!AJ3:AJ52))) = 0, 
    TRUE"&amp;", 
    ((WEEKLY_TEAMS!AH3:AH52&lt;&gt;"""") + (WEEKLY_TEAMS!AI3:AI52=1) + (WEEKLY_TEAMS!AJ3:AJ52&lt;&gt;"""") &gt; 0)
  )
)
"),"(3) 🍂🎃 Carlos S - Goals: 2 - Clean Sheets: 0")</f>
        <v>(3) 🍂🎃 Carlos S - Goals: 2 - Clean Sheets: 0</v>
      </c>
      <c r="C40" s="121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(WEEKLY_TEAMS!AA3:AA52=""orange"") * 
  IF(
    SUM(NOT(ISBLANK(WEEKLY_TEAMS!AH3:AH52))) + SUM(WEEKLY_TEAMS!AI3:AI52) + SUM(NOT(ISBLANK(WEEKLY_TEAMS!AJ3:AJ52))) = 0, 
    TRU"&amp;"E, 
    ((WEEKLY_TEAMS!AH3:AH52&lt;&gt;"""") + (WEEKLY_TEAMS!AI3:AI52=1) + (WEEKLY_TEAMS!AJ3:AJ52&lt;&gt;"""") &gt; 0)
  )
)
"),"(35) 🍂🎃 Valverde - Goals: 1 - Clean Sheets: 0")</f>
        <v>(35) 🍂🎃 Valverde - Goals: 1 - Clean Sheets: 0</v>
      </c>
      <c r="D40" s="121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(WEEKLY_TEAMS!AA3:AA52=""magenta"") * 
  IF(
    SUM(NOT(ISBLANK(WEEKLY_TEAMS!AH3:AH52))) + SUM(WEEKLY_TEAMS!AI3:AI52) + SUM(NOT(ISBLANK(WEEKLY_TEAMS!AJ3:AJ52))) = 0, 
    TR"&amp;"UE, 
    ((WEEKLY_TEAMS!AH3:AH52&lt;&gt;"""") + (WEEKLY_TEAMS!AI3:AI52=1) + (WEEKLY_TEAMS!AJ3:AJ52&lt;&gt;"""") &gt; 0)
  )
)
"),"(13) 🍂🎃 Fer 👬 Guille -was goalie - Goals: 0 - Clean Sheets: 0")</f>
        <v>(13) 🍂🎃 Fer 👬 Guille -was goalie - Goals: 0 - Clean Sheets: 0</v>
      </c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>
      <c r="A41" s="88" t="str">
        <f>IFERROR(__xludf.DUMMYFUNCTION("""COMPUTED_VALUE"""),"(20) 🍂🎃 José Blanco - Goals: 2 - Clean Sheets: 0")</f>
        <v>(20) 🍂🎃 José Blanco - Goals: 2 - Clean Sheets: 0</v>
      </c>
      <c r="B41" s="121" t="str">
        <f>IFERROR(__xludf.DUMMYFUNCTION("""COMPUTED_VALUE"""),"(4) 🍂🎃 Chato - Goals: 1 - Clean Sheets: 0")</f>
        <v>(4) 🍂🎃 Chato - Goals: 1 - Clean Sheets: 0</v>
      </c>
      <c r="C41" s="121"/>
      <c r="D41" s="121" t="str">
        <f>IFERROR(__xludf.DUMMYFUNCTION("""COMPUTED_VALUE"""),"(23) 🍂🎃 Juan Pablo - Goals: 1 - Clean Sheets: 0")</f>
        <v>(23) 🍂🎃 Juan Pablo - Goals: 1 - Clean Sheets: 0</v>
      </c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>
      <c r="A42" s="130" t="str">
        <f>IFERROR(__xludf.DUMMYFUNCTION("""COMPUTED_VALUE"""),"(27) 🍂🎃 Nicolás - Goals: 2 - Clean Sheets: 0")</f>
        <v>(27) 🍂🎃 Nicolás - Goals: 2 - Clean Sheets: 0</v>
      </c>
      <c r="B42" s="121" t="str">
        <f>IFERROR(__xludf.DUMMYFUNCTION("""COMPUTED_VALUE"""),"(14) 🍂🎃 Gabo - Goals: 1 - Clean Sheets: 0")</f>
        <v>(14) 🍂🎃 Gabo - Goals: 1 - Clean Sheets: 0</v>
      </c>
      <c r="C42" s="121"/>
      <c r="D42" s="121" t="str">
        <f>IFERROR(__xludf.DUMMYFUNCTION("""COMPUTED_VALUE"""),"(34) 🍂🎃 Valencia - Goals: 1 - Clean Sheets: 0")</f>
        <v>(34) 🍂🎃 Valencia - Goals: 1 - Clean Sheets: 0</v>
      </c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>
      <c r="A43" s="130" t="str">
        <f>IFERROR(__xludf.DUMMYFUNCTION("""COMPUTED_VALUE"""),"(30) 🍂🎃 Rob -was goalie - Goals: 0 - Clean Sheets: 0")</f>
        <v>(30) 🍂🎃 Rob -was goalie - Goals: 0 - Clean Sheets: 0</v>
      </c>
      <c r="B43" s="121" t="str">
        <f>IFERROR(__xludf.DUMMYFUNCTION("""COMPUTED_VALUE"""),"(17) 🍂🎃 Jesús 👬 Rodrigo - Goals: 1 - Clean Sheets: 0")</f>
        <v>(17) 🍂🎃 Jesús 👬 Rodrigo - Goals: 1 - Clean Sheets: 0</v>
      </c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>
      <c r="A44" s="130" t="str">
        <f>IFERROR(__xludf.DUMMYFUNCTION("""COMPUTED_VALUE"""),"(36) 🍂🎃 Víctor N -was goalie - Goals: 0 - Clean Sheets: 0")</f>
        <v>(36) 🍂🎃 Víctor N -was goalie - Goals: 0 - Clean Sheets: 0</v>
      </c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>
      <c r="A45" s="130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>
      <c r="A46" s="130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>
      <c r="A47" s="130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>
      <c r="A48" s="130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>
      <c r="A49" s="131" t="s">
        <v>339</v>
      </c>
      <c r="B49" s="131" t="s">
        <v>339</v>
      </c>
      <c r="C49" s="131" t="s">
        <v>339</v>
      </c>
      <c r="D49" s="131" t="s">
        <v>339</v>
      </c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>
      <c r="A50" s="88" t="s">
        <v>342</v>
      </c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>
      <c r="A51" s="88" t="str">
        <f>MATCH_INPUT!F14</f>
        <v>BLUE</v>
      </c>
      <c r="B51" s="132">
        <f>MATCH_INPUT!G14</f>
        <v>2</v>
      </c>
      <c r="C51" s="132">
        <f>MATCH_INPUT!I14</f>
        <v>0</v>
      </c>
      <c r="D51" s="88" t="str">
        <f>MATCH_INPUT!J14</f>
        <v>MAGENTA</v>
      </c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>
      <c r="A52" s="88" t="str">
        <f>MATCH_INPUT!F15</f>
        <v>GREEN</v>
      </c>
      <c r="B52" s="132">
        <f>MATCH_INPUT!G15</f>
        <v>2</v>
      </c>
      <c r="C52" s="132">
        <f>MATCH_INPUT!I15</f>
        <v>0</v>
      </c>
      <c r="D52" s="88" t="str">
        <f>MATCH_INPUT!J15</f>
        <v>ORANGE</v>
      </c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>
      <c r="A53" s="88" t="str">
        <f>MATCH_INPUT!F16</f>
        <v>BLUE</v>
      </c>
      <c r="B53" s="132">
        <f>MATCH_INPUT!G16</f>
        <v>0</v>
      </c>
      <c r="C53" s="132">
        <f>MATCH_INPUT!I16</f>
        <v>1</v>
      </c>
      <c r="D53" s="88" t="str">
        <f>MATCH_INPUT!J16</f>
        <v>GREEN</v>
      </c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>
      <c r="A54" s="88" t="str">
        <f>MATCH_INPUT!F17</f>
        <v>ORANGE</v>
      </c>
      <c r="B54" s="132">
        <f>MATCH_INPUT!G17</f>
        <v>3</v>
      </c>
      <c r="C54" s="132">
        <f>MATCH_INPUT!I17</f>
        <v>2</v>
      </c>
      <c r="D54" s="88" t="str">
        <f>MATCH_INPUT!J17</f>
        <v>MAGENTA</v>
      </c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>
      <c r="A55" s="88" t="s">
        <v>338</v>
      </c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>
      <c r="A56" s="121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(WEEKLY_TEAMS!AM3:AM52=""BLUE"") * 
  IF(
    SUM(NOT(ISBLANK(WEEKLY_TEAMS!AT3:AT52))) + SUM(WEEKLY_TEAMS!AU3:AU52) + SUM(NOT(ISBLANK(WEEKLY_TEAMS!AV3:AV52))) = 0, 
    TRUE,"&amp;" 
    ((WEEKLY_TEAMS!AT3:AT52&lt;&gt;"""") + (WEEKLY_TEAMS!AU3:AU52=1) + (WEEKLY_TEAMS!AV3:AV52&lt;&gt;"""") &gt; 0)
  )
)
"),"(32) 🍂🎃 Ruben - Goals: 1 - Clean Sheets: 0")</f>
        <v>(32) 🍂🎃 Ruben - Goals: 1 - Clean Sheets: 0</v>
      </c>
      <c r="B56" s="121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(WEEKLY_TEAMS!AM3:AM52=""green"") * 
  IF(
    SUM(NOT(ISBLANK(WEEKLY_TEAMS!AT3:AT52))) + SUM(WEEKLY_TEAMS!AU3:AU52) + SUM(NOT(ISBLANK(WEEKLY_TEAMS!AV3:AV52))) = 0, 
    TRUE"&amp;", 
    ((WEEKLY_TEAMS!AT3:AT52&lt;&gt;"""") + (WEEKLY_TEAMS!AU3:AU52=1) + (WEEKLY_TEAMS!AV3:AV52&lt;&gt;"""") &gt; 0)
  )
)
"),"(24) 🍂🎃 Kevin 👬 Mike - Goals: 1 - Clean Sheets: 0")</f>
        <v>(24) 🍂🎃 Kevin 👬 Mike - Goals: 1 - Clean Sheets: 0</v>
      </c>
      <c r="C56" s="121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(WEEKLY_TEAMS!AM3:AM52=""orange"") * 
  IF(
    SUM(NOT(ISBLANK(WEEKLY_TEAMS!AT3:AT52))) + SUM(WEEKLY_TEAMS!AU3:AU52) + SUM(NOT(ISBLANK(WEEKLY_TEAMS!AV3:AV52))) = 0, 
    TRU"&amp;"E, 
    ((WEEKLY_TEAMS!AT3:AT52&lt;&gt;"""") + (WEEKLY_TEAMS!AU3:AU52=1) + (WEEKLY_TEAMS!AV3:AV52&lt;&gt;"""") &gt; 0)
  )
)
"),"(4) 🍂🎃 Chato - Goals: 1 - Clean Sheets: 0")</f>
        <v>(4) 🍂🎃 Chato - Goals: 1 - Clean Sheets: 0</v>
      </c>
      <c r="D56" s="121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(WEEKLY_TEAMS!AM3:AM52=""magenta"") * 
  IF(
    SUM(NOT(ISBLANK(WEEKLY_TEAMS!AT3:AT52))) + SUM(WEEKLY_TEAMS!AU3:AU52) + SUM(NOT(ISBLANK(WEEKLY_TEAMS!AV3:AV52))) = 0, 
    TR"&amp;"UE, 
    ((WEEKLY_TEAMS!AT3:AT52&lt;&gt;"""") + (WEEKLY_TEAMS!AU3:AU52=1) + (WEEKLY_TEAMS!AV3:AV52&lt;&gt;"""") &gt; 0)
  )
)
"),"(3) 🍂🎃 Carlos S - Goals: 1 - Clean Sheets: 0")</f>
        <v>(3) 🍂🎃 Carlos S - Goals: 1 - Clean Sheets: 0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>
      <c r="A57" s="88" t="str">
        <f>IFERROR(__xludf.DUMMYFUNCTION("""COMPUTED_VALUE"""),"(39) 🛗 (Sub) Walter Acero - Goals: 0 - Clean Sheets: 1")</f>
        <v>(39) 🛗 (Sub) Walter Acero - Goals: 0 - Clean Sheets: 1</v>
      </c>
      <c r="B57" s="121" t="str">
        <f>IFERROR(__xludf.DUMMYFUNCTION("""COMPUTED_VALUE"""),"(33) 🍂🎃 Rudy - Goals: 2 - Clean Sheets: 0")</f>
        <v>(33) 🍂🎃 Rudy - Goals: 2 - Clean Sheets: 0</v>
      </c>
      <c r="C57" s="121" t="str">
        <f>IFERROR(__xludf.DUMMYFUNCTION("""COMPUTED_VALUE"""),"(30) 🍂🎃 Rob -was goalie - Goals: 0 - Clean Sheets: 0")</f>
        <v>(30) 🍂🎃 Rob -was goalie - Goals: 0 - Clean Sheets: 0</v>
      </c>
      <c r="D57" s="121" t="str">
        <f>IFERROR(__xludf.DUMMYFUNCTION("""COMPUTED_VALUE"""),"(14) 🍂🎃 Gabo - Goals: 1 - Clean Sheets: 0")</f>
        <v>(14) 🍂🎃 Gabo - Goals: 1 - Clean Sheets: 0</v>
      </c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>
      <c r="A58" s="130" t="str">
        <f>IFERROR(__xludf.DUMMYFUNCTION("""COMPUTED_VALUE"""),"(43) 🛗 (Sub)  👬 Jesús - Goals: 1 - Clean Sheets: 0")</f>
        <v>(43) 🛗 (Sub)  👬 Jesús - Goals: 1 - Clean Sheets: 0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>
      <c r="A59" s="130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>
      <c r="A60" s="130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>
      <c r="A61" s="130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>
      <c r="A62" s="130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>
      <c r="A63" s="130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>
      <c r="A64" s="130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>
      <c r="A65" s="131" t="s">
        <v>339</v>
      </c>
      <c r="B65" s="131" t="s">
        <v>339</v>
      </c>
      <c r="C65" s="131" t="s">
        <v>339</v>
      </c>
      <c r="D65" s="131" t="s">
        <v>339</v>
      </c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>
      <c r="A66" s="88" t="s">
        <v>343</v>
      </c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>
      <c r="A67" s="88" t="str">
        <f>MATCH_INPUT!F18</f>
        <v>MAGENTA</v>
      </c>
      <c r="B67" s="132">
        <f>MATCH_INPUT!G18</f>
        <v>0</v>
      </c>
      <c r="C67" s="88">
        <f>MATCH_INPUT!I18</f>
        <v>0</v>
      </c>
      <c r="D67" s="88" t="str">
        <f>MATCH_INPUT!J18</f>
        <v>BLUE</v>
      </c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>
      <c r="A68" s="88" t="str">
        <f>MATCH_INPUT!F19</f>
        <v>GREEN</v>
      </c>
      <c r="B68" s="132">
        <f>MATCH_INPUT!G19</f>
        <v>3</v>
      </c>
      <c r="C68" s="88">
        <f>MATCH_INPUT!I19</f>
        <v>1</v>
      </c>
      <c r="D68" s="88" t="str">
        <f>MATCH_INPUT!J19</f>
        <v>ORANGE</v>
      </c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>
      <c r="A69" s="88" t="str">
        <f>MATCH_INPUT!F20</f>
        <v>BLUE</v>
      </c>
      <c r="B69" s="132">
        <f>MATCH_INPUT!G20</f>
        <v>1</v>
      </c>
      <c r="C69" s="88">
        <f>MATCH_INPUT!I20</f>
        <v>4</v>
      </c>
      <c r="D69" s="88" t="str">
        <f>MATCH_INPUT!J20</f>
        <v>GREEN</v>
      </c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>
      <c r="A70" s="88" t="str">
        <f>MATCH_INPUT!F21</f>
        <v>MAGENTA</v>
      </c>
      <c r="B70" s="132">
        <f>MATCH_INPUT!G21</f>
        <v>6</v>
      </c>
      <c r="C70" s="88">
        <f>MATCH_INPUT!I21</f>
        <v>0</v>
      </c>
      <c r="D70" s="88" t="str">
        <f>MATCH_INPUT!J21</f>
        <v>ORANGE</v>
      </c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>
      <c r="A71" s="88" t="s">
        <v>344</v>
      </c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>
      <c r="A72" s="121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(WEEKLY_TEAMS!AY3:AY52=""BLUE"") * 
  IF(
    SUM(NOT(ISBLANK(WEEKLY_TEAMS!BF3:BF52))) + SUM(WEEKLY_TEAMS!BG3:BG52) + SUM(NOT(ISBLANK(WEEKLY_TEAMS!BH3:BH52))) = 0, 
    TRUE"&amp;", 
    ((WEEKLY_TEAMS!BF3:BF52&lt;&gt;"""") + (WEEKLY_TEAMS!BG3:BG52=1) + (WEEKLY_TEAMS!BH3:BH52&lt;&gt;"""") &gt; 0)
  )
)
"),"(2) 🍂🎃 Andrés 👬 López - was goalie - Goals: 0 - Clean Sheets: 1")</f>
        <v>(2) 🍂🎃 Andrés 👬 López - was goalie - Goals: 0 - Clean Sheets: 1</v>
      </c>
      <c r="B72" s="121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(WEEKLY_TEAMS!AY3:AY52=""green"") * 
  IF(
    SUM(NOT(ISBLANK(WEEKLY_TEAMS!BF3:BF52))) + SUM(WEEKLY_TEAMS!BG3:BG52) + SUM(NOT(ISBLANK(WEEKLY_TEAMS!BH3:BH52))) = 0, 
    TRU"&amp;"E, 
    ((WEEKLY_TEAMS!BF3:BF52&lt;&gt;"""") + (WEEKLY_TEAMS!BG3:BG52=1) + (WEEKLY_TEAMS!BH3:BH52&lt;&gt;"""") &gt; 0)
  )
)
"),"(27) 🍂🎃 Nicolás - was goalie - Goals: 0 - Clean Sheets: 0")</f>
        <v>(27) 🍂🎃 Nicolás - was goalie - Goals: 0 - Clean Sheets: 0</v>
      </c>
      <c r="C72" s="121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(WEEKLY_TEAMS!AY3:AY52=""orange"") * 
  IF(
    SUM(NOT(ISBLANK(WEEKLY_TEAMS!BF3:BF52))) + SUM(WEEKLY_TEAMS!BG3:BG52) + SUM(NOT(ISBLANK(WEEKLY_TEAMS!BH3:BH52))) = 0, 
    TR"&amp;"UE, 
    ((WEEKLY_TEAMS!BF3:BF52&lt;&gt;"""") + (WEEKLY_TEAMS!BG3:BG52=1) + (WEEKLY_TEAMS!BH3:BH52&lt;&gt;"""") &gt; 0)
  )
)
"),"(5) 🍂🎃 Chavito 👬 Coti - was goalie - Goals: 0 - Clean Sheets: 0")</f>
        <v>(5) 🍂🎃 Chavito 👬 Coti - was goalie - Goals: 0 - Clean Sheets: 0</v>
      </c>
      <c r="D72" s="121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(WEEKLY_TEAMS!AY3:AY52=""magenta"") * 
  IF(
    SUM(NOT(ISBLANK(WEEKLY_TEAMS!BF3:BF52))) + SUM(WEEKLY_TEAMS!BG3:BG52) + SUM(NOT(ISBLANK(WEEKLY_TEAMS!BH3:BH52))) = 0, 
    T"&amp;"RUE, 
    ((WEEKLY_TEAMS!BF3:BF52&lt;&gt;"""") + (WEEKLY_TEAMS!BG3:BG52=1) + (WEEKLY_TEAMS!BH3:BH52&lt;&gt;"""") &gt; 0)
  )
)
"),"(4) 🍂🎃 Chato - Goals: 2 - Clean Sheets: 0")</f>
        <v>(4) 🍂🎃 Chato - Goals: 2 - Clean Sheets: 0</v>
      </c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>
      <c r="A73" s="88" t="str">
        <f>IFERROR(__xludf.DUMMYFUNCTION("""COMPUTED_VALUE"""),"(15) 🍂🎃 Gerardo - Goals: 0 - Clean Sheets: 0")</f>
        <v>(15) 🍂🎃 Gerardo - Goals: 0 - Clean Sheets: 0</v>
      </c>
      <c r="B73" s="121" t="str">
        <f>IFERROR(__xludf.DUMMYFUNCTION("""COMPUTED_VALUE"""),"(32) 🍂🎃 Ruben - Goals: 1 - Clean Sheets: 0")</f>
        <v>(32) 🍂🎃 Ruben - Goals: 1 - Clean Sheets: 0</v>
      </c>
      <c r="C73" s="121" t="str">
        <f>IFERROR(__xludf.DUMMYFUNCTION("""COMPUTED_VALUE"""),"(17) 🍂🎃 Jesús 👬 Rodrigo - Goals: 1 - Clean Sheets: 0")</f>
        <v>(17) 🍂🎃 Jesús 👬 Rodrigo - Goals: 1 - Clean Sheets: 0</v>
      </c>
      <c r="D73" s="121" t="str">
        <f>IFERROR(__xludf.DUMMYFUNCTION("""COMPUTED_VALUE"""),"(18) 🍂🎃 Jhony S - Goals: 1 - Clean Sheets: 0")</f>
        <v>(18) 🍂🎃 Jhony S - Goals: 1 - Clean Sheets: 0</v>
      </c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>
      <c r="A74" s="130"/>
      <c r="B74" s="121" t="str">
        <f>IFERROR(__xludf.DUMMYFUNCTION("""COMPUTED_VALUE"""),"(34) 🍂🎃 Valencia - Goals: 3 - Clean Sheets: 0")</f>
        <v>(34) 🍂🎃 Valencia - Goals: 3 - Clean Sheets: 0</v>
      </c>
      <c r="C74" s="121"/>
      <c r="D74" s="121" t="str">
        <f>IFERROR(__xludf.DUMMYFUNCTION("""COMPUTED_VALUE"""),"(22) 🍂🎃 Joseph 👬 Da Silva - Goals: 1 - Clean Sheets: 0")</f>
        <v>(22) 🍂🎃 Joseph 👬 Da Silva - Goals: 1 - Clean Sheets: 0</v>
      </c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>
      <c r="A75" s="130"/>
      <c r="B75" s="121" t="str">
        <f>IFERROR(__xludf.DUMMYFUNCTION("""COMPUTED_VALUE"""),"(47) 🛗 (Sub) Karter - Goals: 1 - Clean Sheets: 0")</f>
        <v>(47) 🛗 (Sub) Karter - Goals: 1 - Clean Sheets: 0</v>
      </c>
      <c r="C75" s="121"/>
      <c r="D75" s="121" t="str">
        <f>IFERROR(__xludf.DUMMYFUNCTION("""COMPUTED_VALUE"""),"(23) 🍂🎃 Juan Pablo - Goals: 1 - Clean Sheets: 0")</f>
        <v>(23) 🍂🎃 Juan Pablo - Goals: 1 - Clean Sheets: 0</v>
      </c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>
      <c r="A76" s="130"/>
      <c r="B76" s="121"/>
      <c r="C76" s="121"/>
      <c r="D76" s="121" t="str">
        <f>IFERROR(__xludf.DUMMYFUNCTION("""COMPUTED_VALUE"""),"(24) 🍂🎃 Kevin 👬 Mike - was goalie - Goals: 0 - Clean Sheets: 1")</f>
        <v>(24) 🍂🎃 Kevin 👬 Mike - was goalie - Goals: 0 - Clean Sheets: 1</v>
      </c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>
      <c r="A77" s="130"/>
      <c r="B77" s="121"/>
      <c r="C77" s="121"/>
      <c r="D77" s="121" t="str">
        <f>IFERROR(__xludf.DUMMYFUNCTION("""COMPUTED_VALUE"""),"(26) 🍂🎃 Nicky - Goals: 1 - Clean Sheets: 0")</f>
        <v>(26) 🍂🎃 Nicky - Goals: 1 - Clean Sheets: 0</v>
      </c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>
      <c r="A78" s="130"/>
      <c r="B78" s="121"/>
      <c r="C78" s="121"/>
      <c r="D78" s="121" t="str">
        <f>IFERROR(__xludf.DUMMYFUNCTION("""COMPUTED_VALUE"""),"(36) 🍂🎃 Víctor N - was goalie - Goals: 0 - Clean Sheets: 1")</f>
        <v>(36) 🍂🎃 Víctor N - was goalie - Goals: 0 - Clean Sheets: 1</v>
      </c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>
      <c r="A79" s="130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>
      <c r="A80" s="130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>
      <c r="A81" s="131" t="s">
        <v>339</v>
      </c>
      <c r="B81" s="131" t="s">
        <v>339</v>
      </c>
      <c r="C81" s="131" t="s">
        <v>339</v>
      </c>
      <c r="D81" s="131" t="s">
        <v>339</v>
      </c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>
      <c r="A82" s="88" t="s">
        <v>345</v>
      </c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>
      <c r="A83" s="88" t="str">
        <f>MATCH_INPUT!F22</f>
        <v>BLUE</v>
      </c>
      <c r="B83" s="132">
        <f>MATCH_INPUT!G22</f>
        <v>1</v>
      </c>
      <c r="C83" s="88">
        <f>MATCH_INPUT!I22</f>
        <v>1</v>
      </c>
      <c r="D83" s="88" t="str">
        <f>MATCH_INPUT!J22</f>
        <v>MAGENTA</v>
      </c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>
      <c r="A84" s="88" t="str">
        <f>MATCH_INPUT!F23</f>
        <v>GREEN</v>
      </c>
      <c r="B84" s="132">
        <f>MATCH_INPUT!G23</f>
        <v>0</v>
      </c>
      <c r="C84" s="88">
        <f>MATCH_INPUT!I23</f>
        <v>2</v>
      </c>
      <c r="D84" s="88" t="str">
        <f>MATCH_INPUT!J23</f>
        <v>ORANGE</v>
      </c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>
      <c r="A85" s="88" t="str">
        <f>MATCH_INPUT!F24</f>
        <v>ORANGE</v>
      </c>
      <c r="B85" s="132">
        <f>MATCH_INPUT!G24</f>
        <v>6</v>
      </c>
      <c r="C85" s="88">
        <f>MATCH_INPUT!I24</f>
        <v>0</v>
      </c>
      <c r="D85" s="88" t="str">
        <f>MATCH_INPUT!J24</f>
        <v>BLUE</v>
      </c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>
      <c r="A86" s="88" t="str">
        <f>MATCH_INPUT!F25</f>
        <v>GREEN</v>
      </c>
      <c r="B86" s="132">
        <f>MATCH_INPUT!G25</f>
        <v>0</v>
      </c>
      <c r="C86" s="88">
        <f>MATCH_INPUT!I25</f>
        <v>3</v>
      </c>
      <c r="D86" s="88" t="str">
        <f>MATCH_INPUT!J25</f>
        <v>MAGENTA</v>
      </c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>
      <c r="A87" s="88" t="s">
        <v>344</v>
      </c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>
      <c r="A88" s="121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(WEEKLY_TEAMS!BK3:BK52=""BLUE"") * 
  IF(
    SUM(NOT(ISBLANK(WEEKLY_TEAMS!BR3:BR52))) + SUM(WEEKLY_TEAMS!BS3:BS52) + SUM(NOT(ISBLANK(WEEKLY_TEAMS!BT3:BT52))) = 0, 
    TRUE,"&amp;" 
    ((WEEKLY_TEAMS!BR3:BR52&lt;&gt;"""") + (WEEKLY_TEAMS!BS3:BS52=1) + (WEEKLY_TEAMS!BT3:BT52&lt;&gt;"""") &gt; 0)
  )
)
"),"(16) 🍂🎃 Javier - Goals: 1 - Clean Sheets: 0")</f>
        <v>(16) 🍂🎃 Javier - Goals: 1 - Clean Sheets: 0</v>
      </c>
      <c r="B88" s="121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(WEEKLY_TEAMS!BK3:BK52=""green"") * 
  IF(
    SUM(NOT(ISBLANK(WEEKLY_TEAMS!BR3:BR52))) + SUM(WEEKLY_TEAMS!BS3:BS52) + SUM(NOT(ISBLANK(WEEKLY_TEAMS!BT3:BT52))) = 0, 
    TRUE"&amp;", 
    ((WEEKLY_TEAMS!BR3:BR52&lt;&gt;"""") + (WEEKLY_TEAMS!BS3:BS52=1) + (WEEKLY_TEAMS!BT3:BT52&lt;&gt;"""") &gt; 0)
  )
)
"),"(2) 🍂🎃 Andrés 👬 López -was goalie - Goals: 0 - Clean Sheets: 0")</f>
        <v>(2) 🍂🎃 Andrés 👬 López -was goalie - Goals: 0 - Clean Sheets: 0</v>
      </c>
      <c r="C88" s="121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(WEEKLY_TEAMS!BK3:BK52=""orange"") * 
  IF(
    SUM(NOT(ISBLANK(WEEKLY_TEAMS!BR3:BR52))) + SUM(WEEKLY_TEAMS!BS3:BS52) + SUM(NOT(ISBLANK(WEEKLY_TEAMS!BT3:BT52))) = 0, 
    TRU"&amp;"E, 
    ((WEEKLY_TEAMS!BR3:BR52&lt;&gt;"""") + (WEEKLY_TEAMS!BS3:BS52=1) + (WEEKLY_TEAMS!BT3:BT52&lt;&gt;"""") &gt; 0)
  )
)
"),"(9) 🍂🎃 Eder 👬 Honorio - Goals: 4 - Clean Sheets: 0")</f>
        <v>(9) 🍂🎃 Eder 👬 Honorio - Goals: 4 - Clean Sheets: 0</v>
      </c>
      <c r="D88" s="121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(WEEKLY_TEAMS!BK3:BK52=""magenta"") * 
  IF(
    SUM(NOT(ISBLANK(WEEKLY_TEAMS!BR3:BR52))) + SUM(WEEKLY_TEAMS!BS3:BS52) + SUM(NOT(ISBLANK(WEEKLY_TEAMS!BT3:BT52))) = 0, 
    TR"&amp;"UE, 
    ((WEEKLY_TEAMS!BR3:BR52&lt;&gt;"""") + (WEEKLY_TEAMS!BS3:BS52=1) + (WEEKLY_TEAMS!BT3:BT52&lt;&gt;"""") &gt; 0)
  )
)
"),"(18) 🍂🎃 Jhony S - Goals: 1 - Clean Sheets: 0")</f>
        <v>(18) 🍂🎃 Jhony S - Goals: 1 - Clean Sheets: 0</v>
      </c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>
      <c r="A89" s="88" t="str">
        <f>IFERROR(__xludf.DUMMYFUNCTION("""COMPUTED_VALUE"""),"(36) 🍂🎃 Víctor N -was goalie - Goals: 0 - Clean Sheets: 0")</f>
        <v>(36) 🍂🎃 Víctor N -was goalie - Goals: 0 - Clean Sheets: 0</v>
      </c>
      <c r="B89" s="121" t="str">
        <f>IFERROR(__xludf.DUMMYFUNCTION("""COMPUTED_VALUE"""),"(27) 🍂🎃 Nicolás -was goalie - Goals: 0 - Clean Sheets: 0")</f>
        <v>(27) 🍂🎃 Nicolás -was goalie - Goals: 0 - Clean Sheets: 0</v>
      </c>
      <c r="C89" s="121" t="str">
        <f>IFERROR(__xludf.DUMMYFUNCTION("""COMPUTED_VALUE"""),"(23) 🍂🎃 Juan Pablo - Goals: 1 - Clean Sheets: 0")</f>
        <v>(23) 🍂🎃 Juan Pablo - Goals: 1 - Clean Sheets: 0</v>
      </c>
      <c r="D89" s="121" t="str">
        <f>IFERROR(__xludf.DUMMYFUNCTION("""COMPUTED_VALUE"""),"(19) 🍂🎃 Jordan -was goalie - Goals: 0 - Clean Sheets: 1")</f>
        <v>(19) 🍂🎃 Jordan -was goalie - Goals: 0 - Clean Sheets: 1</v>
      </c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>
      <c r="A90" s="130"/>
      <c r="B90" s="121"/>
      <c r="C90" s="121" t="str">
        <f>IFERROR(__xludf.DUMMYFUNCTION("""COMPUTED_VALUE"""),"(30) 🍂🎃 Rob - Goals: 0 - Clean Sheets: 0")</f>
        <v>(30) 🍂🎃 Rob - Goals: 0 - Clean Sheets: 0</v>
      </c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>
      <c r="A91" s="130"/>
      <c r="B91" s="121"/>
      <c r="C91" s="121" t="str">
        <f>IFERROR(__xludf.DUMMYFUNCTION("""COMPUTED_VALUE"""),"(31) 🍂🎃 Rodolfo 👬 Víctor S -was goalie - Goals: 0 - Clean Sheets: 2")</f>
        <v>(31) 🍂🎃 Rodolfo 👬 Víctor S -was goalie - Goals: 0 - Clean Sheets: 2</v>
      </c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>
      <c r="A92" s="130"/>
      <c r="B92" s="121"/>
      <c r="C92" s="121" t="str">
        <f>IFERROR(__xludf.DUMMYFUNCTION("""COMPUTED_VALUE"""),"(34) 🍂🎃 Valencia - Goals: 2 - Clean Sheets: 0")</f>
        <v>(34) 🍂🎃 Valencia - Goals: 2 - Clean Sheets: 0</v>
      </c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>
      <c r="A93" s="130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>
      <c r="A94" s="130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>
      <c r="A95" s="130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>
      <c r="A96" s="130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>
      <c r="A97" s="131" t="s">
        <v>339</v>
      </c>
      <c r="B97" s="131" t="s">
        <v>339</v>
      </c>
      <c r="C97" s="131" t="s">
        <v>339</v>
      </c>
      <c r="D97" s="131" t="s">
        <v>339</v>
      </c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>
      <c r="A98" s="88" t="s">
        <v>346</v>
      </c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>
      <c r="A99" s="88" t="str">
        <f>MATCH_INPUT!F26</f>
        <v>BLUE</v>
      </c>
      <c r="B99" s="132">
        <f>MATCH_INPUT!G26</f>
        <v>3</v>
      </c>
      <c r="C99" s="88">
        <f>MATCH_INPUT!I26</f>
        <v>0</v>
      </c>
      <c r="D99" s="88" t="str">
        <f>MATCH_INPUT!J26</f>
        <v>MAGENTA</v>
      </c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>
      <c r="A100" s="88" t="str">
        <f>MATCH_INPUT!F27</f>
        <v>GREEN</v>
      </c>
      <c r="B100" s="132">
        <f>MATCH_INPUT!G27</f>
        <v>1</v>
      </c>
      <c r="C100" s="88">
        <f>MATCH_INPUT!I27</f>
        <v>1</v>
      </c>
      <c r="D100" s="88" t="str">
        <f>MATCH_INPUT!J27</f>
        <v>ORANGE</v>
      </c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>
      <c r="A101" s="88" t="str">
        <f>MATCH_INPUT!F28</f>
        <v>ORANGE</v>
      </c>
      <c r="B101" s="132">
        <f>MATCH_INPUT!G28</f>
        <v>3</v>
      </c>
      <c r="C101" s="88">
        <f>MATCH_INPUT!I28</f>
        <v>7</v>
      </c>
      <c r="D101" s="88" t="str">
        <f>MATCH_INPUT!J28</f>
        <v>BLUE</v>
      </c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>
      <c r="A102" s="88" t="str">
        <f>MATCH_INPUT!F29</f>
        <v>GREEN</v>
      </c>
      <c r="B102" s="132">
        <f>MATCH_INPUT!G29</f>
        <v>2</v>
      </c>
      <c r="C102" s="88">
        <f>MATCH_INPUT!I29</f>
        <v>1</v>
      </c>
      <c r="D102" s="88" t="str">
        <f>MATCH_INPUT!J29</f>
        <v>MAGENTA</v>
      </c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>
      <c r="A103" s="88" t="s">
        <v>344</v>
      </c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>
      <c r="A104" s="121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(WEEKLY_TEAMS!BW3:BW52=""BLUE"") * 
  IF(
    SUM(NOT(ISBLANK(WEEKLY_TEAMS!CD3:CD52))) + SUM(WEEKLY_TEAMS!CE3:CE52) + SUM(NOT(ISBLANK(WEEKLY_TEAMS!CF3:CF52))) = 0, 
    TRUE,"&amp;" 
    ((WEEKLY_TEAMS!CD3:CD52&lt;&gt;"""") + (WEEKLY_TEAMS!CE3:CE52=1) + (WEEKLY_TEAMS!CF3:CF52&lt;&gt;"""") &gt; 0)
  )
)
"),"(5) 🍂🎃 Chavito 👬 Coti -was goalie - Goals: 0 - Clean Sheets: 1")</f>
        <v>(5) 🍂🎃 Chavito 👬 Coti -was goalie - Goals: 0 - Clean Sheets: 1</v>
      </c>
      <c r="B104" s="121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(WEEKLY_TEAMS!BW3:BW52=""green"") * 
  IF(
    SUM(NOT(ISBLANK(WEEKLY_TEAMS!CD3:CD52))) + SUM(WEEKLY_TEAMS!CE3:CE52) + SUM(NOT(ISBLANK(WEEKLY_TEAMS!CF3:CF52))) = 0, 
    TRUE"&amp;", 
    ((WEEKLY_TEAMS!CD3:CD52&lt;&gt;"""") + (WEEKLY_TEAMS!CE3:CE52=1) + (WEEKLY_TEAMS!CF3:CF52&lt;&gt;"""") &gt; 0)
  )
)
"),"(9) 🍂🎃 Eder 👬 Honorio - Goals: 1 - Clean Sheets: 0")</f>
        <v>(9) 🍂🎃 Eder 👬 Honorio - Goals: 1 - Clean Sheets: 0</v>
      </c>
      <c r="C104" s="121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(WEEKLY_TEAMS!BW3:BW52=""orange"") * 
  IF(
    SUM(NOT(ISBLANK(WEEKLY_TEAMS!CD3:CD52))) + SUM(WEEKLY_TEAMS!CE3:CE52) + SUM(NOT(ISBLANK(WEEKLY_TEAMS!CF3:CF52))) = 0, 
    TRU"&amp;"E, 
    ((WEEKLY_TEAMS!CD3:CD52&lt;&gt;"""") + (WEEKLY_TEAMS!CE3:CE52=1) + (WEEKLY_TEAMS!CF3:CF52&lt;&gt;"""") &gt; 0)
  )
)
"),"(20) 🍂🎃 José Blanco - Goals: 1 - Clean Sheets: 0")</f>
        <v>(20) 🍂🎃 José Blanco - Goals: 1 - Clean Sheets: 0</v>
      </c>
      <c r="D104" s="121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(WEEKLY_TEAMS!BW3:BW52=""Magenta"") * 
  IF(
    SUM(NOT(ISBLANK(WEEKLY_TEAMS!CD3:CD52))) + SUM(WEEKLY_TEAMS!CE3:CE52) + SUM(NOT(ISBLANK(WEEKLY_TEAMS!CF3:CF52))) = 0, 
    TR"&amp;"UE, 
    ((WEEKLY_TEAMS!CD3:CD52&lt;&gt;"""") + (WEEKLY_TEAMS!CE3:CE52=1) + (WEEKLY_TEAMS!CF3:CF52&lt;&gt;"""") &gt; 0)
  )
)
"),"(27) 🍂🎃 Nicolás - Goals: 1 - Clean Sheets: 0")</f>
        <v>(27) 🍂🎃 Nicolás - Goals: 1 - Clean Sheets: 0</v>
      </c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>
      <c r="A105" s="88" t="str">
        <f>IFERROR(__xludf.DUMMYFUNCTION("""COMPUTED_VALUE"""),"(7) 🍂🎃 Cuñis - Goals: 0 - Clean Sheets: 0")</f>
        <v>(7) 🍂🎃 Cuñis - Goals: 0 - Clean Sheets: 0</v>
      </c>
      <c r="B105" s="121" t="str">
        <f>IFERROR(__xludf.DUMMYFUNCTION("""COMPUTED_VALUE"""),"(19) 🍂🎃 Jordan -was goalie - Goals: 0 - Clean Sheets: 0")</f>
        <v>(19) 🍂🎃 Jordan -was goalie - Goals: 0 - Clean Sheets: 0</v>
      </c>
      <c r="C105" s="121" t="str">
        <f>IFERROR(__xludf.DUMMYFUNCTION("""COMPUTED_VALUE"""),"(30) 🍂🎃 Rob - Goals: 0 - Clean Sheets: 0")</f>
        <v>(30) 🍂🎃 Rob - Goals: 0 - Clean Sheets: 0</v>
      </c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>
      <c r="A106" s="130" t="str">
        <f>IFERROR(__xludf.DUMMYFUNCTION("""COMPUTED_VALUE"""),"(15) 🍂🎃 Gerardo - Goals: 1 - Clean Sheets: 0")</f>
        <v>(15) 🍂🎃 Gerardo - Goals: 1 - Clean Sheets: 0</v>
      </c>
      <c r="B106" s="121" t="str">
        <f>IFERROR(__xludf.DUMMYFUNCTION("""COMPUTED_VALUE"""),"(22) 🍂🎃 Joseph 👬 Da Silva - Goals: 1 - Clean Sheets: 0")</f>
        <v>(22) 🍂🎃 Joseph 👬 Da Silva - Goals: 1 - Clean Sheets: 0</v>
      </c>
      <c r="C106" s="121" t="str">
        <f>IFERROR(__xludf.DUMMYFUNCTION("""COMPUTED_VALUE"""),"(34) 🍂🎃 Valencia - Goals: 2 - Clean Sheets: 0")</f>
        <v>(34) 🍂🎃 Valencia - Goals: 2 - Clean Sheets: 0</v>
      </c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>
      <c r="A107" s="130" t="str">
        <f>IFERROR(__xludf.DUMMYFUNCTION("""COMPUTED_VALUE"""),"(17) 🍂🎃 Jesús 👬 Rodrigo - Goals: 6 - Clean Sheets: 0")</f>
        <v>(17) 🍂🎃 Jesús 👬 Rodrigo - Goals: 6 - Clean Sheets: 0</v>
      </c>
      <c r="B107" s="121" t="str">
        <f>IFERROR(__xludf.DUMMYFUNCTION("""COMPUTED_VALUE"""),"(36) 🍂🎃 Víctor N -was goalie - Goals: 0 - Clean Sheets: 0")</f>
        <v>(36) 🍂🎃 Víctor N -was goalie - Goals: 0 - Clean Sheets: 0</v>
      </c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>
      <c r="A108" s="130" t="str">
        <f>IFERROR(__xludf.DUMMYFUNCTION("""COMPUTED_VALUE"""),"(18) 🍂🎃 Jhony S - Goals: 2 - Clean Sheets: 0")</f>
        <v>(18) 🍂🎃 Jhony S - Goals: 2 - Clean Sheets: 0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>
      <c r="A109" s="130" t="str">
        <f>IFERROR(__xludf.DUMMYFUNCTION("""COMPUTED_VALUE"""),"(23) 🍂🎃 Juan Pablo - Goals: 1 - Clean Sheets: 0")</f>
        <v>(23) 🍂🎃 Juan Pablo - Goals: 1 - Clean Sheets: 0</v>
      </c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>
      <c r="A110" s="130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>
      <c r="A111" s="130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>
      <c r="A112" s="130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>
      <c r="A113" s="131" t="s">
        <v>339</v>
      </c>
      <c r="B113" s="131" t="s">
        <v>339</v>
      </c>
      <c r="C113" s="131" t="s">
        <v>339</v>
      </c>
      <c r="D113" s="131" t="s">
        <v>339</v>
      </c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>
      <c r="A114" s="88" t="s">
        <v>347</v>
      </c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>
      <c r="A115" s="88" t="str">
        <f>MATCH_INPUT!F30</f>
        <v>ORANGE</v>
      </c>
      <c r="B115" s="132">
        <f>MATCH_INPUT!G30</f>
        <v>1</v>
      </c>
      <c r="C115" s="88">
        <f>MATCH_INPUT!I30</f>
        <v>5</v>
      </c>
      <c r="D115" s="88" t="str">
        <f>MATCH_INPUT!J30</f>
        <v>GREEN</v>
      </c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>
      <c r="A116" s="88" t="str">
        <f>MATCH_INPUT!F31</f>
        <v>MAGENTA</v>
      </c>
      <c r="B116" s="132">
        <f>MATCH_INPUT!G31</f>
        <v>3</v>
      </c>
      <c r="C116" s="88">
        <f>MATCH_INPUT!I31</f>
        <v>1</v>
      </c>
      <c r="D116" s="88" t="str">
        <f>MATCH_INPUT!J31</f>
        <v>BLUE</v>
      </c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>
      <c r="A117" s="88" t="str">
        <f>MATCH_INPUT!F32</f>
        <v>GREEN</v>
      </c>
      <c r="B117" s="132">
        <f>MATCH_INPUT!G32</f>
        <v>1</v>
      </c>
      <c r="C117" s="88">
        <f>MATCH_INPUT!I32</f>
        <v>1</v>
      </c>
      <c r="D117" s="88" t="str">
        <f>MATCH_INPUT!J32</f>
        <v>MAGENTA</v>
      </c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>
      <c r="A118" s="88" t="str">
        <f>MATCH_INPUT!F33</f>
        <v>BLUE</v>
      </c>
      <c r="B118" s="132">
        <f>MATCH_INPUT!G33</f>
        <v>5</v>
      </c>
      <c r="C118" s="88">
        <f>MATCH_INPUT!I33</f>
        <v>3</v>
      </c>
      <c r="D118" s="88" t="str">
        <f>MATCH_INPUT!J33</f>
        <v>ORANGE</v>
      </c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>
      <c r="A119" s="88" t="s">
        <v>344</v>
      </c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>
      <c r="A120" s="121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(WEEKLY_TEAMS!CI3:CI64=""BLUE"") * 
  IF(
    SUM(NOT(ISBLANK(WEEKLY_TEAMS!CP3:CP64))) + SUM(WEEKLY_TEAMS!CQ3:CQ64) + SUM(NOT(ISBLANK(WEEKLY_TEAMS!CR3:CR64))) = 0, 
    TRUE,"&amp;" 
    ((WEEKLY_TEAMS!CP3:CP64&lt;&gt;"""") + (WEEKLY_TEAMS!CQ3:CQ64=1) + (WEEKLY_TEAMS!CR3:CR64&lt;&gt;"""") &gt; 0)
  )
)
"),"(4) 🍂🎃 Chato")</f>
        <v>(4) 🍂🎃 Chato</v>
      </c>
      <c r="B120" s="121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(WEEKLY_TEAMS!CI3:CI64=""GREEN"") * 
  IF(
    SUM(NOT(ISBLANK(WEEKLY_TEAMS!CP3:CP64))) + SUM(WEEKLY_TEAMS!CQ3:CQ64) + SUM(NOT(ISBLANK(WEEKLY_TEAMS!CR3:CR64))) = 0, 
    TRUE"&amp;", 
    ((WEEKLY_TEAMS!CP3:CP64&lt;&gt;"""") + (WEEKLY_TEAMS!CQ3:CQ64=1) + (WEEKLY_TEAMS!CR3:CR64&lt;&gt;"""") &gt; 0)
  )
)
"),"(2) 🍂🎃 Andrés 👬 López")</f>
        <v>(2) 🍂🎃 Andrés 👬 López</v>
      </c>
      <c r="C120" s="121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(WEEKLY_TEAMS!CI3:CI64=""ORANGE"") * 
  IF(
    SUM(NOT(ISBLANK(WEEKLY_TEAMS!CP3:CP64))) + SUM(WEEKLY_TEAMS!CQ3:CQ64) + SUM(NOT(ISBLANK(WEEKLY_TEAMS!CR3:CR64))) = 0, 
    TRU"&amp;"E, 
    ((WEEKLY_TEAMS!CP3:CP64&lt;&gt;"""") + (WEEKLY_TEAMS!CQ3:CQ64=1) + (WEEKLY_TEAMS!CR3:CR64&lt;&gt;"""") &gt; 0)
  )
)
"),"(5) 🍂🎃 Chavito 👬 Coti")</f>
        <v>(5) 🍂🎃 Chavito 👬 Coti</v>
      </c>
      <c r="D120" s="121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(WEEKLY_TEAMS!CI3:CI64=""MAGENTA"") * 
  IF(
    SUM(NOT(ISBLANK(WEEKLY_TEAMS!CP3:CP64))) + SUM(WEEKLY_TEAMS!CQ3:CQ64) + SUM(NOT(ISBLANK(WEEKLY_TEAMS!CR3:CR64))) = 0, 
    TR"&amp;"UE, 
    ((WEEKLY_TEAMS!CP3:CP64&lt;&gt;"""") + (WEEKLY_TEAMS!CQ3:CQ64=1) + (WEEKLY_TEAMS!CR3:CR64&lt;&gt;"""") &gt; 0)
  )
)
"),"(1) 🍂🎃 Alex 👬 Gus ")</f>
        <v>(1) 🍂🎃 Alex 👬 Gus </v>
      </c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>
      <c r="A121" s="88" t="str">
        <f>IFERROR(__xludf.DUMMYFUNCTION("""COMPUTED_VALUE"""),"(15) 🍂🎃 Gerardo")</f>
        <v>(15) 🍂🎃 Gerardo</v>
      </c>
      <c r="B121" s="121" t="str">
        <f>IFERROR(__xludf.DUMMYFUNCTION("""COMPUTED_VALUE"""),"(6) 🍂🎃 Chilas 👬 Calin")</f>
        <v>(6) 🍂🎃 Chilas 👬 Calin</v>
      </c>
      <c r="C121" s="121" t="str">
        <f>IFERROR(__xludf.DUMMYFUNCTION("""COMPUTED_VALUE"""),"(9) 🍂🎃 Eder 👬 Honorio")</f>
        <v>(9) 🍂🎃 Eder 👬 Honorio</v>
      </c>
      <c r="D121" s="121" t="str">
        <f>IFERROR(__xludf.DUMMYFUNCTION("""COMPUTED_VALUE"""),"(3) 🍂🎃 Carlos S")</f>
        <v>(3) 🍂🎃 Carlos S</v>
      </c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>
      <c r="A122" s="130" t="str">
        <f>IFERROR(__xludf.DUMMYFUNCTION("""COMPUTED_VALUE"""),"(16) 🍂🎃 Javier")</f>
        <v>(16) 🍂🎃 Javier</v>
      </c>
      <c r="B122" s="121" t="str">
        <f>IFERROR(__xludf.DUMMYFUNCTION("""COMPUTED_VALUE"""),"(11) 🍂🎃 Enerson")</f>
        <v>(11) 🍂🎃 Enerson</v>
      </c>
      <c r="C122" s="121" t="str">
        <f>IFERROR(__xludf.DUMMYFUNCTION("""COMPUTED_VALUE"""),"(10) 🍂🎃 Efraín")</f>
        <v>(10) 🍂🎃 Efraín</v>
      </c>
      <c r="D122" s="121" t="str">
        <f>IFERROR(__xludf.DUMMYFUNCTION("""COMPUTED_VALUE"""),"(7) 🍂🎃 Cuñis")</f>
        <v>(7) 🍂🎃 Cuñis</v>
      </c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>
      <c r="A123" s="130" t="str">
        <f>IFERROR(__xludf.DUMMYFUNCTION("""COMPUTED_VALUE"""),"(17) 🍂🎃 Jesús 👬 Rodrigo")</f>
        <v>(17) 🍂🎃 Jesús 👬 Rodrigo</v>
      </c>
      <c r="B123" s="121" t="str">
        <f>IFERROR(__xludf.DUMMYFUNCTION("""COMPUTED_VALUE"""),"(18) 🍂🎃 Jhony S")</f>
        <v>(18) 🍂🎃 Jhony S</v>
      </c>
      <c r="C123" s="121" t="str">
        <f>IFERROR(__xludf.DUMMYFUNCTION("""COMPUTED_VALUE"""),"(12) 🍂🎃 Fabián 👬 Asdruval - Goals: 1 - Clean Sheets: 0")</f>
        <v>(12) 🍂🎃 Fabián 👬 Asdruval - Goals: 1 - Clean Sheets: 0</v>
      </c>
      <c r="D123" s="121" t="str">
        <f>IFERROR(__xludf.DUMMYFUNCTION("""COMPUTED_VALUE"""),"(8) 🍂🎃 David")</f>
        <v>(8) 🍂🎃 David</v>
      </c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>
      <c r="A124" s="130" t="str">
        <f>IFERROR(__xludf.DUMMYFUNCTION("""COMPUTED_VALUE"""),"(22) 🍂🎃 Joseph 👬 Da Silva")</f>
        <v>(22) 🍂🎃 Joseph 👬 Da Silva</v>
      </c>
      <c r="B124" s="121" t="str">
        <f>IFERROR(__xludf.DUMMYFUNCTION("""COMPUTED_VALUE"""),"(19) 🍂🎃 Jordan")</f>
        <v>(19) 🍂🎃 Jordan</v>
      </c>
      <c r="C124" s="121" t="str">
        <f>IFERROR(__xludf.DUMMYFUNCTION("""COMPUTED_VALUE"""),"(13) 🍂🎃 Fer 👬 Guille")</f>
        <v>(13) 🍂🎃 Fer 👬 Guille</v>
      </c>
      <c r="D124" s="121" t="str">
        <f>IFERROR(__xludf.DUMMYFUNCTION("""COMPUTED_VALUE"""),"(14) 🍂🎃 Gabo")</f>
        <v>(14) 🍂🎃 Gabo</v>
      </c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>
      <c r="A125" s="130" t="str">
        <f>IFERROR(__xludf.DUMMYFUNCTION("""COMPUTED_VALUE"""),"(24) 🍂🎃 Kevin 👬 Mike")</f>
        <v>(24) 🍂🎃 Kevin 👬 Mike</v>
      </c>
      <c r="B125" s="121" t="str">
        <f>IFERROR(__xludf.DUMMYFUNCTION("""COMPUTED_VALUE"""),"(20) 🍂🎃 José Blanco")</f>
        <v>(20) 🍂🎃 José Blanco</v>
      </c>
      <c r="C125" s="121" t="str">
        <f>IFERROR(__xludf.DUMMYFUNCTION("""COMPUTED_VALUE"""),"(30) 🍂🎃 Rob")</f>
        <v>(30) 🍂🎃 Rob</v>
      </c>
      <c r="D125" s="121" t="str">
        <f>IFERROR(__xludf.DUMMYFUNCTION("""COMPUTED_VALUE"""),"(21) 🍂🎃 José Sarza")</f>
        <v>(21) 🍂🎃 José Sarza</v>
      </c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>
      <c r="A126" s="130" t="str">
        <f>IFERROR(__xludf.DUMMYFUNCTION("""COMPUTED_VALUE"""),"(26) 🍂🎃 Nicky")</f>
        <v>(26) 🍂🎃 Nicky</v>
      </c>
      <c r="B126" s="121" t="str">
        <f>IFERROR(__xludf.DUMMYFUNCTION("""COMPUTED_VALUE"""),"(25) 🍂🎃 Mikey ")</f>
        <v>(25) 🍂🎃 Mikey </v>
      </c>
      <c r="C126" s="121" t="str">
        <f>IFERROR(__xludf.DUMMYFUNCTION("""COMPUTED_VALUE"""),"(31) 🍂🎃 Rodolfo 👬 Víctor S")</f>
        <v>(31) 🍂🎃 Rodolfo 👬 Víctor S</v>
      </c>
      <c r="D126" s="121" t="str">
        <f>IFERROR(__xludf.DUMMYFUNCTION("""COMPUTED_VALUE"""),"(23) 🍂🎃 Juan Pablo")</f>
        <v>(23) 🍂🎃 Juan Pablo</v>
      </c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>
      <c r="A127" s="130" t="str">
        <f>IFERROR(__xludf.DUMMYFUNCTION("""COMPUTED_VALUE"""),"(28) 🍂🎃 Pirlo")</f>
        <v>(28) 🍂🎃 Pirlo</v>
      </c>
      <c r="B127" s="121" t="str">
        <f>IFERROR(__xludf.DUMMYFUNCTION("""COMPUTED_VALUE"""),"(27) 🍂🎃 Nicolás - Goals: 0 - Clean Sheets: 0")</f>
        <v>(27) 🍂🎃 Nicolás - Goals: 0 - Clean Sheets: 0</v>
      </c>
      <c r="C127" s="121" t="str">
        <f>IFERROR(__xludf.DUMMYFUNCTION("""COMPUTED_VALUE"""),"(35) 🍂🎃 Valverde")</f>
        <v>(35) 🍂🎃 Valverde</v>
      </c>
      <c r="D127" s="121" t="str">
        <f>IFERROR(__xludf.DUMMYFUNCTION("""COMPUTED_VALUE"""),"(33) 🍂🎃 Rudy")</f>
        <v>(33) 🍂🎃 Rudy</v>
      </c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>
      <c r="A128" s="130" t="str">
        <f>IFERROR(__xludf.DUMMYFUNCTION("""COMPUTED_VALUE"""),"(32) 🍂🎃 Ruben")</f>
        <v>(32) 🍂🎃 Ruben</v>
      </c>
      <c r="B128" s="121" t="str">
        <f>IFERROR(__xludf.DUMMYFUNCTION("""COMPUTED_VALUE"""),"(43) 🛗 (Sub)  👬 Jesús")</f>
        <v>(43) 🛗 (Sub)  👬 Jesús</v>
      </c>
      <c r="C128" s="121" t="str">
        <f>IFERROR(__xludf.DUMMYFUNCTION("""COMPUTED_VALUE"""),"(36) 🍂🎃 Víctor N")</f>
        <v>(36) 🍂🎃 Víctor N</v>
      </c>
      <c r="D128" s="121" t="str">
        <f>IFERROR(__xludf.DUMMYFUNCTION("""COMPUTED_VALUE"""),"(34) 🍂🎃 Valencia")</f>
        <v>(34) 🍂🎃 Valencia</v>
      </c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>
      <c r="A129" s="131" t="s">
        <v>339</v>
      </c>
      <c r="B129" s="131" t="s">
        <v>339</v>
      </c>
      <c r="C129" s="131" t="s">
        <v>339</v>
      </c>
      <c r="D129" s="131" t="s">
        <v>339</v>
      </c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  <row r="1001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</row>
    <row r="1002">
      <c r="A1002" s="12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</row>
    <row r="1003">
      <c r="A1003" s="121"/>
      <c r="B1003" s="121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</row>
    <row r="1004">
      <c r="A1004" s="121"/>
      <c r="B1004" s="121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</row>
    <row r="1005">
      <c r="A1005" s="121"/>
      <c r="B1005" s="121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</row>
    <row r="1006">
      <c r="A1006" s="121"/>
      <c r="B1006" s="121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</row>
    <row r="1007">
      <c r="A1007" s="121"/>
      <c r="B1007" s="121"/>
      <c r="C1007" s="121"/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</row>
    <row r="1008">
      <c r="A1008" s="121"/>
      <c r="B1008" s="121"/>
      <c r="C1008" s="121"/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  <c r="W1008" s="121"/>
      <c r="X1008" s="121"/>
      <c r="Y1008" s="121"/>
      <c r="Z1008" s="121"/>
    </row>
    <row r="1009">
      <c r="A1009" s="121"/>
      <c r="B1009" s="121"/>
      <c r="C1009" s="121"/>
      <c r="D1009" s="121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  <c r="W1009" s="121"/>
      <c r="X1009" s="121"/>
      <c r="Y1009" s="121"/>
      <c r="Z1009" s="121"/>
    </row>
    <row r="1010">
      <c r="A1010" s="121"/>
      <c r="B1010" s="121"/>
      <c r="C1010" s="121"/>
      <c r="D1010" s="121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  <c r="W1010" s="121"/>
      <c r="X1010" s="121"/>
      <c r="Y1010" s="121"/>
      <c r="Z1010" s="121"/>
    </row>
    <row r="1011">
      <c r="A1011" s="121"/>
      <c r="B1011" s="121"/>
      <c r="C1011" s="121"/>
      <c r="D1011" s="121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  <c r="W1011" s="121"/>
      <c r="X1011" s="121"/>
      <c r="Y1011" s="121"/>
      <c r="Z1011" s="121"/>
    </row>
    <row r="1012">
      <c r="A1012" s="121"/>
      <c r="B1012" s="121"/>
      <c r="C1012" s="121"/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  <c r="W1012" s="121"/>
      <c r="X1012" s="121"/>
      <c r="Y1012" s="121"/>
      <c r="Z1012" s="121"/>
    </row>
    <row r="1013">
      <c r="A1013" s="121"/>
      <c r="B1013" s="121"/>
      <c r="C1013" s="121"/>
      <c r="D1013" s="121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  <c r="W1013" s="121"/>
      <c r="X1013" s="121"/>
      <c r="Y1013" s="121"/>
      <c r="Z1013" s="121"/>
    </row>
    <row r="1014">
      <c r="A1014" s="121"/>
      <c r="B1014" s="121"/>
      <c r="C1014" s="121"/>
      <c r="D1014" s="121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  <c r="W1014" s="121"/>
      <c r="X1014" s="121"/>
      <c r="Y1014" s="121"/>
      <c r="Z1014" s="121"/>
    </row>
    <row r="1015">
      <c r="A1015" s="121"/>
      <c r="B1015" s="121"/>
      <c r="C1015" s="121"/>
      <c r="D1015" s="121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  <c r="W1015" s="121"/>
      <c r="X1015" s="121"/>
      <c r="Y1015" s="121"/>
      <c r="Z1015" s="121"/>
    </row>
    <row r="1016">
      <c r="A1016" s="121"/>
      <c r="B1016" s="121"/>
      <c r="C1016" s="121"/>
      <c r="D1016" s="121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  <c r="V1016" s="121"/>
      <c r="W1016" s="121"/>
      <c r="X1016" s="121"/>
      <c r="Y1016" s="121"/>
      <c r="Z1016" s="121"/>
    </row>
    <row r="1017">
      <c r="A1017" s="121"/>
      <c r="B1017" s="121"/>
      <c r="C1017" s="121"/>
      <c r="D1017" s="121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  <c r="W1017" s="121"/>
      <c r="X1017" s="121"/>
      <c r="Y1017" s="121"/>
      <c r="Z1017" s="121"/>
    </row>
    <row r="1018">
      <c r="A1018" s="121"/>
      <c r="B1018" s="121"/>
      <c r="C1018" s="121"/>
      <c r="D1018" s="121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  <c r="V1018" s="121"/>
      <c r="W1018" s="121"/>
      <c r="X1018" s="121"/>
      <c r="Y1018" s="121"/>
      <c r="Z1018" s="121"/>
    </row>
    <row r="1019">
      <c r="A1019" s="121"/>
      <c r="B1019" s="121"/>
      <c r="C1019" s="121"/>
      <c r="D1019" s="121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  <c r="V1019" s="121"/>
      <c r="W1019" s="121"/>
      <c r="X1019" s="121"/>
      <c r="Y1019" s="121"/>
      <c r="Z1019" s="121"/>
    </row>
    <row r="1020">
      <c r="A1020" s="121"/>
      <c r="B1020" s="121"/>
      <c r="C1020" s="121"/>
      <c r="D1020" s="121"/>
      <c r="E1020" s="121"/>
      <c r="F1020" s="121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121"/>
      <c r="V1020" s="121"/>
      <c r="W1020" s="121"/>
      <c r="X1020" s="121"/>
      <c r="Y1020" s="121"/>
      <c r="Z1020" s="121"/>
    </row>
    <row r="1021">
      <c r="A1021" s="121"/>
      <c r="B1021" s="121"/>
      <c r="C1021" s="121"/>
      <c r="D1021" s="121"/>
      <c r="E1021" s="121"/>
      <c r="F1021" s="121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121"/>
      <c r="V1021" s="121"/>
      <c r="W1021" s="121"/>
      <c r="X1021" s="121"/>
      <c r="Y1021" s="121"/>
      <c r="Z1021" s="121"/>
    </row>
    <row r="1022">
      <c r="A1022" s="121"/>
      <c r="B1022" s="121"/>
      <c r="C1022" s="121"/>
      <c r="D1022" s="121"/>
      <c r="E1022" s="121"/>
      <c r="F1022" s="121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121"/>
      <c r="V1022" s="121"/>
      <c r="W1022" s="121"/>
      <c r="X1022" s="121"/>
      <c r="Y1022" s="121"/>
      <c r="Z1022" s="121"/>
    </row>
    <row r="1023">
      <c r="A1023" s="121"/>
      <c r="B1023" s="121"/>
      <c r="C1023" s="121"/>
      <c r="D1023" s="121"/>
      <c r="E1023" s="121"/>
      <c r="F1023" s="121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121"/>
      <c r="V1023" s="121"/>
      <c r="W1023" s="121"/>
      <c r="X1023" s="121"/>
      <c r="Y1023" s="121"/>
      <c r="Z1023" s="121"/>
    </row>
    <row r="1024">
      <c r="A1024" s="121"/>
      <c r="B1024" s="121"/>
      <c r="C1024" s="121"/>
      <c r="D1024" s="121"/>
      <c r="E1024" s="121"/>
      <c r="F1024" s="121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121"/>
      <c r="V1024" s="121"/>
      <c r="W1024" s="121"/>
      <c r="X1024" s="121"/>
      <c r="Y1024" s="121"/>
      <c r="Z1024" s="121"/>
    </row>
    <row r="1025">
      <c r="A1025" s="121"/>
      <c r="B1025" s="121"/>
      <c r="C1025" s="121"/>
      <c r="D1025" s="121"/>
      <c r="E1025" s="121"/>
      <c r="F1025" s="121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121"/>
      <c r="V1025" s="121"/>
      <c r="W1025" s="121"/>
      <c r="X1025" s="121"/>
      <c r="Y1025" s="121"/>
      <c r="Z1025" s="121"/>
    </row>
    <row r="1026">
      <c r="A1026" s="121"/>
      <c r="B1026" s="121"/>
      <c r="C1026" s="121"/>
      <c r="D1026" s="121"/>
      <c r="E1026" s="121"/>
      <c r="F1026" s="121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121"/>
      <c r="V1026" s="121"/>
      <c r="W1026" s="121"/>
      <c r="X1026" s="121"/>
      <c r="Y1026" s="121"/>
      <c r="Z1026" s="121"/>
    </row>
    <row r="1027">
      <c r="A1027" s="121"/>
      <c r="B1027" s="121"/>
      <c r="C1027" s="121"/>
      <c r="D1027" s="121"/>
      <c r="E1027" s="121"/>
      <c r="F1027" s="121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121"/>
      <c r="V1027" s="121"/>
      <c r="W1027" s="121"/>
      <c r="X1027" s="121"/>
      <c r="Y1027" s="121"/>
      <c r="Z1027" s="121"/>
    </row>
    <row r="1028">
      <c r="A1028" s="121"/>
      <c r="B1028" s="121"/>
      <c r="C1028" s="121"/>
      <c r="D1028" s="121"/>
      <c r="E1028" s="121"/>
      <c r="F1028" s="121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121"/>
      <c r="V1028" s="121"/>
      <c r="W1028" s="121"/>
      <c r="X1028" s="121"/>
      <c r="Y1028" s="121"/>
      <c r="Z1028" s="121"/>
    </row>
    <row r="1029">
      <c r="A1029" s="121"/>
      <c r="B1029" s="121"/>
      <c r="C1029" s="121"/>
      <c r="D1029" s="121"/>
      <c r="E1029" s="121"/>
      <c r="F1029" s="121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121"/>
      <c r="V1029" s="121"/>
      <c r="W1029" s="121"/>
      <c r="X1029" s="121"/>
      <c r="Y1029" s="121"/>
      <c r="Z1029" s="121"/>
    </row>
    <row r="1030">
      <c r="A1030" s="121"/>
      <c r="B1030" s="121"/>
      <c r="C1030" s="121"/>
      <c r="D1030" s="121"/>
      <c r="E1030" s="121"/>
      <c r="F1030" s="121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121"/>
      <c r="V1030" s="121"/>
      <c r="W1030" s="121"/>
      <c r="X1030" s="121"/>
      <c r="Y1030" s="121"/>
      <c r="Z1030" s="121"/>
    </row>
    <row r="1031">
      <c r="A1031" s="121"/>
      <c r="B1031" s="121"/>
      <c r="C1031" s="121"/>
      <c r="D1031" s="121"/>
      <c r="E1031" s="121"/>
      <c r="F1031" s="121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121"/>
      <c r="V1031" s="121"/>
      <c r="W1031" s="121"/>
      <c r="X1031" s="121"/>
      <c r="Y1031" s="121"/>
      <c r="Z1031" s="121"/>
    </row>
    <row r="1032">
      <c r="A1032" s="121"/>
      <c r="B1032" s="121"/>
      <c r="C1032" s="121"/>
      <c r="D1032" s="121"/>
      <c r="E1032" s="121"/>
      <c r="F1032" s="121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</row>
    <row r="1033">
      <c r="A1033" s="121"/>
      <c r="B1033" s="121"/>
      <c r="C1033" s="121"/>
      <c r="D1033" s="121"/>
      <c r="E1033" s="121"/>
      <c r="F1033" s="121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</row>
    <row r="1034">
      <c r="A1034" s="121"/>
      <c r="B1034" s="121"/>
      <c r="C1034" s="121"/>
      <c r="D1034" s="121"/>
      <c r="E1034" s="121"/>
      <c r="F1034" s="121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121"/>
      <c r="V1034" s="121"/>
      <c r="W1034" s="121"/>
      <c r="X1034" s="121"/>
      <c r="Y1034" s="121"/>
      <c r="Z1034" s="121"/>
    </row>
    <row r="1035">
      <c r="A1035" s="121"/>
      <c r="B1035" s="121"/>
      <c r="C1035" s="121"/>
      <c r="D1035" s="121"/>
      <c r="E1035" s="121"/>
      <c r="F1035" s="121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</row>
    <row r="1036">
      <c r="A1036" s="121"/>
      <c r="B1036" s="121"/>
      <c r="C1036" s="121"/>
      <c r="D1036" s="121"/>
      <c r="E1036" s="121"/>
      <c r="F1036" s="121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</row>
    <row r="1037">
      <c r="A1037" s="121"/>
      <c r="B1037" s="121"/>
      <c r="C1037" s="121"/>
      <c r="D1037" s="121"/>
      <c r="E1037" s="121"/>
      <c r="F1037" s="121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</row>
    <row r="1038">
      <c r="A1038" s="121"/>
      <c r="B1038" s="121"/>
      <c r="C1038" s="121"/>
      <c r="D1038" s="121"/>
      <c r="E1038" s="121"/>
      <c r="F1038" s="121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</row>
    <row r="1039">
      <c r="A1039" s="121"/>
      <c r="B1039" s="121"/>
      <c r="C1039" s="121"/>
      <c r="D1039" s="121"/>
      <c r="E1039" s="121"/>
      <c r="F1039" s="121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</row>
    <row r="1040">
      <c r="A1040" s="121"/>
      <c r="B1040" s="121"/>
      <c r="C1040" s="121"/>
      <c r="D1040" s="121"/>
      <c r="E1040" s="121"/>
      <c r="F1040" s="121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</row>
    <row r="1041">
      <c r="A1041" s="121"/>
      <c r="B1041" s="121"/>
      <c r="C1041" s="121"/>
      <c r="D1041" s="121"/>
      <c r="E1041" s="121"/>
      <c r="F1041" s="121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</row>
    <row r="1042">
      <c r="A1042" s="121"/>
      <c r="B1042" s="121"/>
      <c r="C1042" s="121"/>
      <c r="D1042" s="121"/>
      <c r="E1042" s="121"/>
      <c r="F1042" s="121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</row>
    <row r="1043">
      <c r="A1043" s="121"/>
      <c r="B1043" s="121"/>
      <c r="C1043" s="121"/>
      <c r="D1043" s="121"/>
      <c r="E1043" s="121"/>
      <c r="F1043" s="121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</row>
    <row r="1044">
      <c r="A1044" s="121"/>
      <c r="B1044" s="121"/>
      <c r="C1044" s="121"/>
      <c r="D1044" s="121"/>
      <c r="E1044" s="121"/>
      <c r="F1044" s="121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</row>
    <row r="1045">
      <c r="A1045" s="121"/>
      <c r="B1045" s="121"/>
      <c r="C1045" s="121"/>
      <c r="D1045" s="121"/>
      <c r="E1045" s="121"/>
      <c r="F1045" s="121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</row>
    <row r="1046">
      <c r="A1046" s="121"/>
      <c r="B1046" s="121"/>
      <c r="C1046" s="121"/>
      <c r="D1046" s="121"/>
      <c r="E1046" s="121"/>
      <c r="F1046" s="121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121"/>
      <c r="V1046" s="121"/>
      <c r="W1046" s="121"/>
      <c r="X1046" s="121"/>
      <c r="Y1046" s="121"/>
      <c r="Z1046" s="121"/>
    </row>
    <row r="1047">
      <c r="A1047" s="121"/>
      <c r="B1047" s="121"/>
      <c r="C1047" s="121"/>
      <c r="D1047" s="121"/>
      <c r="E1047" s="121"/>
      <c r="F1047" s="121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121"/>
      <c r="V1047" s="121"/>
      <c r="W1047" s="121"/>
      <c r="X1047" s="121"/>
      <c r="Y1047" s="121"/>
      <c r="Z1047" s="121"/>
    </row>
    <row r="1048">
      <c r="A1048" s="121"/>
      <c r="B1048" s="121"/>
      <c r="C1048" s="121"/>
      <c r="D1048" s="121"/>
      <c r="E1048" s="121"/>
      <c r="F1048" s="121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121"/>
      <c r="V1048" s="121"/>
      <c r="W1048" s="121"/>
      <c r="X1048" s="121"/>
      <c r="Y1048" s="121"/>
      <c r="Z1048" s="121"/>
    </row>
    <row r="1049">
      <c r="A1049" s="121"/>
      <c r="B1049" s="121"/>
      <c r="C1049" s="121"/>
      <c r="D1049" s="121"/>
      <c r="E1049" s="121"/>
      <c r="F1049" s="121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121"/>
      <c r="V1049" s="121"/>
      <c r="W1049" s="121"/>
      <c r="X1049" s="121"/>
      <c r="Y1049" s="121"/>
      <c r="Z1049" s="121"/>
    </row>
    <row r="1050">
      <c r="A1050" s="121"/>
      <c r="B1050" s="121"/>
      <c r="C1050" s="121"/>
      <c r="D1050" s="121"/>
      <c r="E1050" s="121"/>
      <c r="F1050" s="121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121"/>
      <c r="V1050" s="121"/>
      <c r="W1050" s="121"/>
      <c r="X1050" s="121"/>
      <c r="Y1050" s="121"/>
      <c r="Z1050" s="121"/>
    </row>
    <row r="1051">
      <c r="A1051" s="121"/>
      <c r="B1051" s="121"/>
      <c r="C1051" s="121"/>
      <c r="D1051" s="121"/>
      <c r="E1051" s="121"/>
      <c r="F1051" s="121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121"/>
      <c r="V1051" s="121"/>
      <c r="W1051" s="121"/>
      <c r="X1051" s="121"/>
      <c r="Y1051" s="121"/>
      <c r="Z1051" s="121"/>
    </row>
    <row r="1052">
      <c r="A1052" s="121"/>
      <c r="B1052" s="121"/>
      <c r="C1052" s="121"/>
      <c r="D1052" s="121"/>
      <c r="E1052" s="121"/>
      <c r="F1052" s="121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121"/>
      <c r="V1052" s="121"/>
      <c r="W1052" s="121"/>
      <c r="X1052" s="121"/>
      <c r="Y1052" s="121"/>
      <c r="Z1052" s="121"/>
    </row>
    <row r="1053">
      <c r="A1053" s="121"/>
      <c r="B1053" s="121"/>
      <c r="C1053" s="121"/>
      <c r="D1053" s="121"/>
      <c r="E1053" s="121"/>
      <c r="F1053" s="121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121"/>
      <c r="V1053" s="121"/>
      <c r="W1053" s="121"/>
      <c r="X1053" s="121"/>
      <c r="Y1053" s="121"/>
      <c r="Z1053" s="121"/>
    </row>
    <row r="1054">
      <c r="A1054" s="121"/>
      <c r="B1054" s="121"/>
      <c r="C1054" s="121"/>
      <c r="D1054" s="121"/>
      <c r="E1054" s="121"/>
      <c r="F1054" s="121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121"/>
      <c r="V1054" s="121"/>
      <c r="W1054" s="121"/>
      <c r="X1054" s="121"/>
      <c r="Y1054" s="121"/>
      <c r="Z1054" s="121"/>
    </row>
    <row r="1055">
      <c r="A1055" s="121"/>
      <c r="B1055" s="121"/>
      <c r="C1055" s="121"/>
      <c r="D1055" s="121"/>
      <c r="E1055" s="121"/>
      <c r="F1055" s="121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121"/>
      <c r="V1055" s="121"/>
      <c r="W1055" s="121"/>
      <c r="X1055" s="121"/>
      <c r="Y1055" s="121"/>
      <c r="Z1055" s="121"/>
    </row>
    <row r="1056">
      <c r="A1056" s="121"/>
      <c r="B1056" s="121"/>
      <c r="C1056" s="121"/>
      <c r="D1056" s="121"/>
      <c r="E1056" s="121"/>
      <c r="F1056" s="121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121"/>
      <c r="V1056" s="121"/>
      <c r="W1056" s="121"/>
      <c r="X1056" s="121"/>
      <c r="Y1056" s="121"/>
      <c r="Z1056" s="121"/>
    </row>
    <row r="1057">
      <c r="A1057" s="121"/>
      <c r="B1057" s="121"/>
      <c r="C1057" s="121"/>
      <c r="D1057" s="121"/>
      <c r="E1057" s="121"/>
      <c r="F1057" s="121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121"/>
      <c r="V1057" s="121"/>
      <c r="W1057" s="121"/>
      <c r="X1057" s="121"/>
      <c r="Y1057" s="121"/>
      <c r="Z1057" s="121"/>
    </row>
    <row r="1058">
      <c r="A1058" s="121"/>
      <c r="B1058" s="121"/>
      <c r="C1058" s="121"/>
      <c r="D1058" s="121"/>
      <c r="E1058" s="121"/>
      <c r="F1058" s="121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121"/>
      <c r="V1058" s="121"/>
      <c r="W1058" s="121"/>
      <c r="X1058" s="121"/>
      <c r="Y1058" s="121"/>
      <c r="Z1058" s="121"/>
    </row>
    <row r="1059">
      <c r="A1059" s="121"/>
      <c r="B1059" s="121"/>
      <c r="C1059" s="121"/>
      <c r="D1059" s="121"/>
      <c r="E1059" s="121"/>
      <c r="F1059" s="121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121"/>
      <c r="V1059" s="121"/>
      <c r="W1059" s="121"/>
      <c r="X1059" s="121"/>
      <c r="Y1059" s="121"/>
      <c r="Z1059" s="121"/>
    </row>
    <row r="1060">
      <c r="A1060" s="121"/>
      <c r="B1060" s="121"/>
      <c r="C1060" s="121"/>
      <c r="D1060" s="121"/>
      <c r="E1060" s="121"/>
      <c r="F1060" s="121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121"/>
      <c r="V1060" s="121"/>
      <c r="W1060" s="121"/>
      <c r="X1060" s="121"/>
      <c r="Y1060" s="121"/>
      <c r="Z1060" s="121"/>
    </row>
    <row r="1061">
      <c r="A1061" s="121"/>
      <c r="B1061" s="121"/>
      <c r="C1061" s="121"/>
      <c r="D1061" s="121"/>
      <c r="E1061" s="121"/>
      <c r="F1061" s="121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121"/>
      <c r="V1061" s="121"/>
      <c r="W1061" s="121"/>
      <c r="X1061" s="121"/>
      <c r="Y1061" s="121"/>
      <c r="Z1061" s="121"/>
    </row>
    <row r="1062">
      <c r="A1062" s="121"/>
      <c r="B1062" s="121"/>
      <c r="C1062" s="121"/>
      <c r="D1062" s="121"/>
      <c r="E1062" s="121"/>
      <c r="F1062" s="121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121"/>
      <c r="V1062" s="121"/>
      <c r="W1062" s="121"/>
      <c r="X1062" s="121"/>
      <c r="Y1062" s="121"/>
      <c r="Z1062" s="121"/>
    </row>
    <row r="1063">
      <c r="A1063" s="121"/>
      <c r="B1063" s="121"/>
      <c r="C1063" s="121"/>
      <c r="D1063" s="121"/>
      <c r="E1063" s="121"/>
      <c r="F1063" s="121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121"/>
      <c r="V1063" s="121"/>
      <c r="W1063" s="121"/>
      <c r="X1063" s="121"/>
      <c r="Y1063" s="121"/>
      <c r="Z1063" s="121"/>
    </row>
    <row r="1064">
      <c r="A1064" s="121"/>
      <c r="B1064" s="121"/>
      <c r="C1064" s="121"/>
      <c r="D1064" s="121"/>
      <c r="E1064" s="121"/>
      <c r="F1064" s="121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121"/>
      <c r="V1064" s="121"/>
      <c r="W1064" s="121"/>
      <c r="X1064" s="121"/>
      <c r="Y1064" s="121"/>
      <c r="Z1064" s="121"/>
    </row>
    <row r="1065">
      <c r="A1065" s="121"/>
      <c r="B1065" s="121"/>
      <c r="C1065" s="121"/>
      <c r="D1065" s="121"/>
      <c r="E1065" s="121"/>
      <c r="F1065" s="121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121"/>
      <c r="V1065" s="121"/>
      <c r="W1065" s="121"/>
      <c r="X1065" s="121"/>
      <c r="Y1065" s="121"/>
      <c r="Z1065" s="121"/>
    </row>
    <row r="1066">
      <c r="A1066" s="121"/>
      <c r="B1066" s="121"/>
      <c r="C1066" s="121"/>
      <c r="D1066" s="121"/>
      <c r="E1066" s="121"/>
      <c r="F1066" s="121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121"/>
      <c r="V1066" s="121"/>
      <c r="W1066" s="121"/>
      <c r="X1066" s="121"/>
      <c r="Y1066" s="121"/>
      <c r="Z1066" s="121"/>
    </row>
    <row r="1067">
      <c r="A1067" s="121"/>
      <c r="B1067" s="121"/>
      <c r="C1067" s="121"/>
      <c r="D1067" s="121"/>
      <c r="E1067" s="121"/>
      <c r="F1067" s="121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121"/>
      <c r="V1067" s="121"/>
      <c r="W1067" s="121"/>
      <c r="X1067" s="121"/>
      <c r="Y1067" s="121"/>
      <c r="Z1067" s="121"/>
    </row>
  </sheetData>
  <mergeCells count="16">
    <mergeCell ref="A1:D1"/>
    <mergeCell ref="A7:D7"/>
    <mergeCell ref="A18:D18"/>
    <mergeCell ref="A23:D23"/>
    <mergeCell ref="A34:D34"/>
    <mergeCell ref="A39:D39"/>
    <mergeCell ref="A50:D50"/>
    <mergeCell ref="A114:D114"/>
    <mergeCell ref="A119:D119"/>
    <mergeCell ref="A55:D55"/>
    <mergeCell ref="A66:D66"/>
    <mergeCell ref="A71:D71"/>
    <mergeCell ref="A82:D82"/>
    <mergeCell ref="A87:D87"/>
    <mergeCell ref="A98:D98"/>
    <mergeCell ref="A103:D103"/>
  </mergeCells>
  <conditionalFormatting sqref="A8:A16 A24:A32 A40:A48 A56:A64 A72:A80 A88:A96 A104:A112 A120:A128">
    <cfRule type="expression" dxfId="14" priority="1">
      <formula>$A$2="BLUE"</formula>
    </cfRule>
  </conditionalFormatting>
  <conditionalFormatting sqref="B8:B16 B24:B32 B40:B48 B56:B64 B72:B80 B88:B96 B104:B112 B120:B128">
    <cfRule type="expression" dxfId="25" priority="2">
      <formula>$B$2="GREEN"</formula>
    </cfRule>
  </conditionalFormatting>
  <conditionalFormatting sqref="C8:C16 C24:C32 C40:C48 C56:C64 C72:C80 C88:C96 C104:C112 C120:C128">
    <cfRule type="expression" dxfId="26" priority="3">
      <formula>$C$2="ORANGE"</formula>
    </cfRule>
  </conditionalFormatting>
  <conditionalFormatting sqref="D8:D16 D24:D32 D40:D48 D56:D64 D72:D80 D88:D96 D104:D112 D120:D128">
    <cfRule type="expression" dxfId="27" priority="4">
      <formula>$D$2="MAGENTA"</formula>
    </cfRule>
  </conditionalFormatting>
  <conditionalFormatting sqref="A3:A6 D3:D6 A19:A22 D19:D22 A35:A38 D35:D38 A51:A54 D51:D54 A67:A70 D67:D70 A83:A86 D83:D86 A99:A102 D99:D102 A115:A118 D115:D118">
    <cfRule type="expression" dxfId="6" priority="5" operator="containsText">
      <formula>NOT(ISERROR(SEARCH(("BLUE"),(A3))))</formula>
    </cfRule>
  </conditionalFormatting>
  <conditionalFormatting sqref="A3:A6 D3:D6 A19:A22 D19:D22 A35:A38 D35:D38 A51:A54 D51:D54 A67:A70 D67:D70 A83:A86 D83:D86 A99:A102 D99:D102 A115:A118 D115:D118">
    <cfRule type="containsText" dxfId="9" priority="6" operator="containsText" text="ORANGE">
      <formula>NOT(ISERROR(SEARCH(("ORANGE"),(A3))))</formula>
    </cfRule>
  </conditionalFormatting>
  <conditionalFormatting sqref="A3:A6 D3:D6 A19:A22 D19:D22 A35:A38 D35:D38 A51:A54 D51:D54 A67:A70 D67:D70 A83:A86 D83:D86 A99:A102 D99:D102 A115:A118 D115:D118">
    <cfRule type="containsText" dxfId="7" priority="7" operator="containsText" text="MAGENTA">
      <formula>NOT(ISERROR(SEARCH(("MAGENTA"),(A3))))</formula>
    </cfRule>
  </conditionalFormatting>
  <conditionalFormatting sqref="A3:A6 D3:D6 A19:A22 D19:D22 A35:A38 D35:D38 A51:A54 D51:D54 A67:A70 D67:D70 A83:A86 D83:D86 A99:A102 D99:D102 A115:A118 D115:D118">
    <cfRule type="cellIs" dxfId="8" priority="8" operator="equal">
      <formula>"GREEN"</formula>
    </cfRule>
  </conditionalFormatting>
  <conditionalFormatting sqref="B3:B6 B19:C22 B35:C38 B51:C54 B67:B70 B83:B86 B99:B102 B115:B118">
    <cfRule type="expression" dxfId="28" priority="9">
      <formula>A3="blue"</formula>
    </cfRule>
  </conditionalFormatting>
  <conditionalFormatting sqref="B3:B6 B19:C22 B35:C38 B51:C54 B67:B70 B83:B86 B99:B102 B115:B118">
    <cfRule type="expression" dxfId="29" priority="10">
      <formula>A3="orange"</formula>
    </cfRule>
  </conditionalFormatting>
  <conditionalFormatting sqref="B3:B6 B19:C22 B35:C38 B51:C54 B67:B70 B83:B86 B99:B102 B115:B118">
    <cfRule type="expression" dxfId="30" priority="11">
      <formula>A3="green"</formula>
    </cfRule>
  </conditionalFormatting>
  <conditionalFormatting sqref="B3:B6 B19:C22 B35:C38 B51:C54 B67:B70 B83:B86 B99:B102 B115:B118">
    <cfRule type="expression" dxfId="31" priority="12">
      <formula>A3="magenta"</formula>
    </cfRule>
  </conditionalFormatting>
  <conditionalFormatting sqref="C3:C6 C19:D22 C35:D38 C51:D54 C67:D70 C83:D86 C99:D102 C115:D118">
    <cfRule type="expression" dxfId="32" priority="13">
      <formula>D3="magenta"</formula>
    </cfRule>
  </conditionalFormatting>
  <conditionalFormatting sqref="C3:C6 C19:D22 C35:D38 C51:D54 C67:D70 C83:D86 C99:D102 C115:D118">
    <cfRule type="expression" dxfId="33" priority="14">
      <formula>D3="blue"</formula>
    </cfRule>
  </conditionalFormatting>
  <conditionalFormatting sqref="C3:C6 C19:D22 C35:D38 C51:D54 C67:D70 C83:D86 C99:D102 C115:D118">
    <cfRule type="expression" dxfId="34" priority="15">
      <formula>D3="orange"</formula>
    </cfRule>
  </conditionalFormatting>
  <conditionalFormatting sqref="C3:C6 C19:D22 C35:D38 C51:D54 C67:D70 C83:D86 C99:D102 C115:D118">
    <cfRule type="expression" dxfId="35" priority="16">
      <formula>D3="green"</formula>
    </cfRule>
  </conditionalFormatting>
  <conditionalFormatting sqref="A19:A22 D19:D22">
    <cfRule type="cellIs" dxfId="36" priority="17" operator="equal">
      <formula>"BLUE"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12.56"/>
  </cols>
  <sheetData>
    <row r="1">
      <c r="A1" s="133" t="s">
        <v>102</v>
      </c>
      <c r="B1" s="88" t="s">
        <v>348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8" t="s">
        <v>6</v>
      </c>
      <c r="I1" s="88" t="s">
        <v>7</v>
      </c>
      <c r="J1" s="88" t="s">
        <v>8</v>
      </c>
    </row>
    <row r="2">
      <c r="A2" s="134" t="str">
        <f>WEEKLY_TEAMS!B3</f>
        <v>Alex 👬 Gus </v>
      </c>
      <c r="B2" s="134" t="str">
        <f>WEEKLY_TEAMS!C3</f>
        <v>GREEN</v>
      </c>
      <c r="C2" s="134" t="str">
        <f>VLOOKUP($A2,WEEKLY_TEAMS!$B3:$CME$64,13,0)</f>
        <v>↓</v>
      </c>
      <c r="D2" s="134" t="str">
        <f>VLOOKUP($A2,WEEKLY_TEAMS!$B3:$CME$64,25,0)</f>
        <v>↑</v>
      </c>
      <c r="E2" s="134" t="str">
        <f>VLOOKUP($A2,WEEKLY_TEAMS!$B3:$CME$64,37,0)</f>
        <v>↓</v>
      </c>
      <c r="F2" s="134" t="str">
        <f>VLOOKUP($A2,WEEKLY_TEAMS!$B3:$CME$64,49,0)</f>
        <v>↓</v>
      </c>
      <c r="G2" s="134" t="str">
        <f>VLOOKUP($A2,WEEKLY_TEAMS!$B3:$CME$64,61,0)</f>
        <v>↓</v>
      </c>
      <c r="H2" s="134" t="str">
        <f>VLOOKUP($A2,WEEKLY_TEAMS!$B3:$CME$64,73,0)</f>
        <v>↑</v>
      </c>
      <c r="I2" s="134" t="str">
        <f>VLOOKUP($A2,WEEKLY_TEAMS!$B$3:$CME$64,85,0)</f>
        <v>↓</v>
      </c>
      <c r="J2" s="134" t="str">
        <f>VLOOKUP($A2,WEEKLY_TEAMS!$B3:$CME$64,97,0)</f>
        <v>=</v>
      </c>
    </row>
    <row r="3">
      <c r="A3" s="134" t="str">
        <f>WEEKLY_TEAMS!B4</f>
        <v>Andrés 👬 López</v>
      </c>
      <c r="B3" s="134" t="str">
        <f>WEEKLY_TEAMS!C4</f>
        <v>BLUE</v>
      </c>
      <c r="C3" s="134" t="str">
        <f>VLOOKUP($A3,WEEKLY_TEAMS!$B4:$CME$64,13,0)</f>
        <v>↓</v>
      </c>
      <c r="D3" s="134" t="str">
        <f>VLOOKUP($A3,WEEKLY_TEAMS!$B4:$CME$64,25,0)</f>
        <v>↓</v>
      </c>
      <c r="E3" s="134" t="str">
        <f>VLOOKUP($A3,WEEKLY_TEAMS!$B4:$CME$64,37,0)</f>
        <v>↓</v>
      </c>
      <c r="F3" s="134" t="str">
        <f>VLOOKUP($A3,WEEKLY_TEAMS!$B4:$CME$64,49,0)</f>
        <v>↓</v>
      </c>
      <c r="G3" s="134" t="str">
        <f>VLOOKUP($A3,WEEKLY_TEAMS!$B4:$CME$64,61,0)</f>
        <v>↑</v>
      </c>
      <c r="H3" s="134" t="str">
        <f>VLOOKUP($A3,WEEKLY_TEAMS!$B4:$CME$64,73,0)</f>
        <v>↓</v>
      </c>
      <c r="I3" s="134" t="str">
        <f>VLOOKUP($A3,WEEKLY_TEAMS!$B$3:$CME$64,85,0)</f>
        <v>↓</v>
      </c>
      <c r="J3" s="134" t="str">
        <f>VLOOKUP($A3,WEEKLY_TEAMS!$B4:$CME$64,97,0)</f>
        <v>↑</v>
      </c>
    </row>
    <row r="4">
      <c r="A4" s="134" t="str">
        <f>WEEKLY_TEAMS!B5</f>
        <v>Carlos S</v>
      </c>
      <c r="B4" s="134" t="str">
        <f>WEEKLY_TEAMS!C5</f>
        <v>ORANGE</v>
      </c>
      <c r="C4" s="134" t="str">
        <f>VLOOKUP($A4,WEEKLY_TEAMS!$B5:$CME$64,13,0)</f>
        <v>↓</v>
      </c>
      <c r="D4" s="134" t="str">
        <f>VLOOKUP($A4,WEEKLY_TEAMS!$B5:$CME$64,25,0)</f>
        <v>↑</v>
      </c>
      <c r="E4" s="134" t="str">
        <f>VLOOKUP($A4,WEEKLY_TEAMS!$B5:$CME$64,37,0)</f>
        <v>↑</v>
      </c>
      <c r="F4" s="134" t="str">
        <f>VLOOKUP($A4,WEEKLY_TEAMS!$B5:$CME$64,49,0)</f>
        <v>↓</v>
      </c>
      <c r="G4" s="134" t="str">
        <f>VLOOKUP($A4,WEEKLY_TEAMS!$B5:$CME$64,61,0)</f>
        <v>↓</v>
      </c>
      <c r="H4" s="134" t="str">
        <f>VLOOKUP($A4,WEEKLY_TEAMS!$B5:$CME$64,73,0)</f>
        <v>↑</v>
      </c>
      <c r="I4" s="134" t="str">
        <f>VLOOKUP($A4,WEEKLY_TEAMS!$B$3:$CME$64,85,0)</f>
        <v>↓</v>
      </c>
      <c r="J4" s="134" t="str">
        <f>VLOOKUP($A4,WEEKLY_TEAMS!$B5:$CME$64,97,0)</f>
        <v>=</v>
      </c>
    </row>
    <row r="5">
      <c r="A5" s="134" t="str">
        <f>WEEKLY_TEAMS!B6</f>
        <v>Chato</v>
      </c>
      <c r="B5" s="134" t="str">
        <f>WEEKLY_TEAMS!C6</f>
        <v>ORANGE</v>
      </c>
      <c r="C5" s="134" t="str">
        <f>VLOOKUP($A5,WEEKLY_TEAMS!$B6:$CME$64,13,0)</f>
        <v>↓</v>
      </c>
      <c r="D5" s="134" t="str">
        <f>VLOOKUP($A5,WEEKLY_TEAMS!$B6:$CME$64,25,0)</f>
        <v>↑</v>
      </c>
      <c r="E5" s="134" t="str">
        <f>VLOOKUP($A5,WEEKLY_TEAMS!$B6:$CME$64,37,0)</f>
        <v>↑</v>
      </c>
      <c r="F5" s="134" t="str">
        <f>VLOOKUP($A5,WEEKLY_TEAMS!$B6:$CME$64,49,0)</f>
        <v>↓</v>
      </c>
      <c r="G5" s="134" t="str">
        <f>VLOOKUP($A5,WEEKLY_TEAMS!$B6:$CME$64,61,0)</f>
        <v>↑</v>
      </c>
      <c r="H5" s="134" t="str">
        <f>VLOOKUP($A5,WEEKLY_TEAMS!$B6:$CME$64,73,0)</f>
        <v>↓</v>
      </c>
      <c r="I5" s="134" t="str">
        <f>VLOOKUP($A5,WEEKLY_TEAMS!$B$3:$CME$64,85,0)</f>
        <v>↓</v>
      </c>
      <c r="J5" s="134" t="str">
        <f>VLOOKUP($A5,WEEKLY_TEAMS!$B6:$CME$64,97,0)</f>
        <v>↑</v>
      </c>
    </row>
    <row r="6">
      <c r="A6" s="134" t="str">
        <f>WEEKLY_TEAMS!B7</f>
        <v>Chavito 👬 Coti</v>
      </c>
      <c r="B6" s="134" t="str">
        <f>WEEKLY_TEAMS!C7</f>
        <v/>
      </c>
      <c r="C6" s="134" t="str">
        <f>VLOOKUP($A6,WEEKLY_TEAMS!$B7:$CME$64,13,0)</f>
        <v>↓</v>
      </c>
      <c r="D6" s="134" t="str">
        <f>VLOOKUP($A6,WEEKLY_TEAMS!$B7:$CME$64,25,0)</f>
        <v>↓</v>
      </c>
      <c r="E6" s="134" t="str">
        <f>VLOOKUP($A6,WEEKLY_TEAMS!$B7:$CME$64,37,0)</f>
        <v>↓</v>
      </c>
      <c r="F6" s="134" t="str">
        <f>VLOOKUP($A6,WEEKLY_TEAMS!$B7:$CME$64,49,0)</f>
        <v>=</v>
      </c>
      <c r="G6" s="134" t="str">
        <f>VLOOKUP($A6,WEEKLY_TEAMS!$B7:$CME$64,61,0)</f>
        <v>=</v>
      </c>
      <c r="H6" s="134" t="str">
        <f>VLOOKUP($A6,WEEKLY_TEAMS!$B7:$CME$64,73,0)</f>
        <v>=</v>
      </c>
      <c r="I6" s="134" t="str">
        <f>VLOOKUP($A6,WEEKLY_TEAMS!$B$3:$CME$64,85,0)</f>
        <v>↑</v>
      </c>
      <c r="J6" s="134" t="str">
        <f>VLOOKUP($A6,WEEKLY_TEAMS!$B7:$CME$64,97,0)</f>
        <v>↓</v>
      </c>
    </row>
    <row r="7">
      <c r="A7" s="134" t="str">
        <f>WEEKLY_TEAMS!B8</f>
        <v>Chilas 👬 Calin</v>
      </c>
      <c r="B7" s="134" t="str">
        <f>WEEKLY_TEAMS!C8</f>
        <v>MAGENTA</v>
      </c>
      <c r="C7" s="134" t="str">
        <f>VLOOKUP($A7,WEEKLY_TEAMS!$B8:$CME$64,13,0)</f>
        <v>↓</v>
      </c>
      <c r="D7" s="134" t="str">
        <f>VLOOKUP($A7,WEEKLY_TEAMS!$B8:$CME$64,25,0)</f>
        <v>↓</v>
      </c>
      <c r="E7" s="134" t="str">
        <f>VLOOKUP($A7,WEEKLY_TEAMS!$B8:$CME$64,37,0)</f>
        <v>↓</v>
      </c>
      <c r="F7" s="134" t="str">
        <f>VLOOKUP($A7,WEEKLY_TEAMS!$B8:$CME$64,49,0)</f>
        <v>↓</v>
      </c>
      <c r="G7" s="134" t="str">
        <f>VLOOKUP($A7,WEEKLY_TEAMS!$B8:$CME$64,61,0)</f>
        <v>↓</v>
      </c>
      <c r="H7" s="134" t="str">
        <f>VLOOKUP($A7,WEEKLY_TEAMS!$B8:$CME$64,73,0)</f>
        <v>↑</v>
      </c>
      <c r="I7" s="134" t="str">
        <f>VLOOKUP($A7,WEEKLY_TEAMS!$B$3:$CME$64,85,0)</f>
        <v>↑</v>
      </c>
      <c r="J7" s="134" t="str">
        <f>VLOOKUP($A7,WEEKLY_TEAMS!$B8:$CME$64,97,0)</f>
        <v>↑</v>
      </c>
    </row>
    <row r="8">
      <c r="A8" s="134" t="str">
        <f>WEEKLY_TEAMS!B9</f>
        <v>Cuñis</v>
      </c>
      <c r="B8" s="134" t="str">
        <f>WEEKLY_TEAMS!C9</f>
        <v>MAGENTA</v>
      </c>
      <c r="C8" s="134" t="str">
        <f>VLOOKUP($A8,WEEKLY_TEAMS!$B9:$CME$64,13,0)</f>
        <v>↓</v>
      </c>
      <c r="D8" s="134" t="str">
        <f>VLOOKUP($A8,WEEKLY_TEAMS!$B9:$CME$64,25,0)</f>
        <v>↑</v>
      </c>
      <c r="E8" s="134" t="str">
        <f>VLOOKUP($A8,WEEKLY_TEAMS!$B9:$CME$64,37,0)</f>
        <v>=</v>
      </c>
      <c r="F8" s="134" t="str">
        <f>VLOOKUP($A8,WEEKLY_TEAMS!$B9:$CME$64,49,0)</f>
        <v>↓</v>
      </c>
      <c r="G8" s="134" t="str">
        <f>VLOOKUP($A8,WEEKLY_TEAMS!$B9:$CME$64,61,0)</f>
        <v>↓</v>
      </c>
      <c r="H8" s="134" t="str">
        <f>VLOOKUP($A8,WEEKLY_TEAMS!$B9:$CME$64,73,0)</f>
        <v>=</v>
      </c>
      <c r="I8" s="134" t="str">
        <f>VLOOKUP($A8,WEEKLY_TEAMS!$B$3:$CME$64,85,0)</f>
        <v>↑</v>
      </c>
      <c r="J8" s="134" t="str">
        <f>VLOOKUP($A8,WEEKLY_TEAMS!$B9:$CME$64,97,0)</f>
        <v>=</v>
      </c>
    </row>
    <row r="9">
      <c r="A9" s="134" t="str">
        <f>WEEKLY_TEAMS!B10</f>
        <v>David</v>
      </c>
      <c r="B9" s="134" t="str">
        <f>WEEKLY_TEAMS!C10</f>
        <v>GREEN</v>
      </c>
      <c r="C9" s="134" t="str">
        <f>VLOOKUP($A9,WEEKLY_TEAMS!$B10:$CME$64,13,0)</f>
        <v>↓</v>
      </c>
      <c r="D9" s="134" t="str">
        <f>VLOOKUP($A9,WEEKLY_TEAMS!$B10:$CME$64,25,0)</f>
        <v>↓</v>
      </c>
      <c r="E9" s="134" t="str">
        <f>VLOOKUP($A9,WEEKLY_TEAMS!$B10:$CME$64,37,0)</f>
        <v>↓</v>
      </c>
      <c r="F9" s="134" t="str">
        <f>VLOOKUP($A9,WEEKLY_TEAMS!$B10:$CME$64,49,0)</f>
        <v>↓</v>
      </c>
      <c r="G9" s="134" t="str">
        <f>VLOOKUP($A9,WEEKLY_TEAMS!$B10:$CME$64,61,0)</f>
        <v>↓</v>
      </c>
      <c r="H9" s="134" t="str">
        <f>VLOOKUP($A9,WEEKLY_TEAMS!$B10:$CME$64,73,0)</f>
        <v>↓</v>
      </c>
      <c r="I9" s="134" t="str">
        <f>VLOOKUP($A9,WEEKLY_TEAMS!$B$3:$CME$64,85,0)</f>
        <v>↑</v>
      </c>
      <c r="J9" s="134" t="str">
        <f>VLOOKUP($A9,WEEKLY_TEAMS!$B10:$CME$64,97,0)</f>
        <v>↑</v>
      </c>
    </row>
    <row r="10">
      <c r="A10" s="134" t="str">
        <f>WEEKLY_TEAMS!B11</f>
        <v>Eder 👬 Honorio</v>
      </c>
      <c r="B10" s="134" t="str">
        <f>WEEKLY_TEAMS!C11</f>
        <v>ORANGE</v>
      </c>
      <c r="C10" s="134" t="str">
        <f>VLOOKUP($A10,WEEKLY_TEAMS!$B11:$CME$64,13,0)</f>
        <v>↓</v>
      </c>
      <c r="D10" s="134" t="str">
        <f>VLOOKUP($A10,WEEKLY_TEAMS!$B11:$CME$64,25,0)</f>
        <v>↓</v>
      </c>
      <c r="E10" s="134" t="str">
        <f>VLOOKUP($A10,WEEKLY_TEAMS!$B11:$CME$64,37,0)</f>
        <v>↑</v>
      </c>
      <c r="F10" s="134" t="str">
        <f>VLOOKUP($A10,WEEKLY_TEAMS!$B11:$CME$64,49,0)</f>
        <v>↑</v>
      </c>
      <c r="G10" s="134" t="str">
        <f>VLOOKUP($A10,WEEKLY_TEAMS!$B11:$CME$64,61,0)</f>
        <v>↑</v>
      </c>
      <c r="H10" s="134" t="str">
        <f>VLOOKUP($A10,WEEKLY_TEAMS!$B11:$CME$64,73,0)</f>
        <v>↑</v>
      </c>
      <c r="I10" s="134" t="str">
        <f>VLOOKUP($A10,WEEKLY_TEAMS!$B$3:$CME$64,85,0)</f>
        <v>↓</v>
      </c>
      <c r="J10" s="134" t="str">
        <f>VLOOKUP($A10,WEEKLY_TEAMS!$B11:$CME$64,97,0)</f>
        <v>↓</v>
      </c>
    </row>
    <row r="11">
      <c r="A11" s="134" t="str">
        <f>WEEKLY_TEAMS!B12</f>
        <v>Efraín</v>
      </c>
      <c r="B11" s="134" t="str">
        <f>WEEKLY_TEAMS!C12</f>
        <v/>
      </c>
      <c r="C11" s="134" t="str">
        <f>VLOOKUP($A11,WEEKLY_TEAMS!$B12:$CME$64,13,0)</f>
        <v>↓</v>
      </c>
      <c r="D11" s="134" t="str">
        <f>VLOOKUP($A11,WEEKLY_TEAMS!$B12:$CME$64,25,0)</f>
        <v>↑</v>
      </c>
      <c r="E11" s="134" t="str">
        <f>VLOOKUP($A11,WEEKLY_TEAMS!$B12:$CME$64,37,0)</f>
        <v>↓</v>
      </c>
      <c r="F11" s="134" t="str">
        <f>VLOOKUP($A11,WEEKLY_TEAMS!$B12:$CME$64,49,0)</f>
        <v>↑</v>
      </c>
      <c r="G11" s="134" t="str">
        <f>VLOOKUP($A11,WEEKLY_TEAMS!$B12:$CME$64,61,0)</f>
        <v>↓</v>
      </c>
      <c r="H11" s="134" t="str">
        <f>VLOOKUP($A11,WEEKLY_TEAMS!$B12:$CME$64,73,0)</f>
        <v>↓</v>
      </c>
      <c r="I11" s="134" t="str">
        <f>VLOOKUP($A11,WEEKLY_TEAMS!$B$3:$CME$64,85,0)</f>
        <v>↓</v>
      </c>
      <c r="J11" s="134" t="str">
        <f>VLOOKUP($A11,WEEKLY_TEAMS!$B12:$CME$64,97,0)</f>
        <v>=</v>
      </c>
    </row>
    <row r="12">
      <c r="A12" s="134" t="str">
        <f>WEEKLY_TEAMS!B13</f>
        <v>Enerson</v>
      </c>
      <c r="B12" s="134" t="str">
        <f>WEEKLY_TEAMS!C13</f>
        <v>MAGENTA</v>
      </c>
      <c r="C12" s="134" t="str">
        <f>VLOOKUP($A12,WEEKLY_TEAMS!$B13:$CME$64,13,0)</f>
        <v>=</v>
      </c>
      <c r="D12" s="134" t="str">
        <f>VLOOKUP($A12,WEEKLY_TEAMS!$B13:$CME$64,25,0)</f>
        <v>↓</v>
      </c>
      <c r="E12" s="134" t="str">
        <f>VLOOKUP($A12,WEEKLY_TEAMS!$B13:$CME$64,37,0)</f>
        <v>↓</v>
      </c>
      <c r="F12" s="134" t="str">
        <f>VLOOKUP($A12,WEEKLY_TEAMS!$B13:$CME$64,49,0)</f>
        <v>↑</v>
      </c>
      <c r="G12" s="134" t="str">
        <f>VLOOKUP($A12,WEEKLY_TEAMS!$B13:$CME$64,61,0)</f>
        <v>↓</v>
      </c>
      <c r="H12" s="134" t="str">
        <f>VLOOKUP($A12,WEEKLY_TEAMS!$B13:$CME$64,73,0)</f>
        <v>↓</v>
      </c>
      <c r="I12" s="134" t="str">
        <f>VLOOKUP($A12,WEEKLY_TEAMS!$B$3:$CME$64,85,0)</f>
        <v>↑</v>
      </c>
      <c r="J12" s="134" t="str">
        <f>VLOOKUP($A12,WEEKLY_TEAMS!$B13:$CME$64,97,0)</f>
        <v>↑</v>
      </c>
    </row>
    <row r="13">
      <c r="A13" s="134" t="str">
        <f>WEEKLY_TEAMS!B14</f>
        <v>Fabián 👬 Asdruval</v>
      </c>
      <c r="B13" s="134" t="str">
        <f>WEEKLY_TEAMS!C14</f>
        <v>GREEN</v>
      </c>
      <c r="C13" s="134" t="str">
        <f>VLOOKUP($A13,WEEKLY_TEAMS!$B14:$CME$64,13,0)</f>
        <v>↓</v>
      </c>
      <c r="D13" s="134" t="str">
        <f>VLOOKUP($A13,WEEKLY_TEAMS!$B14:$CME$64,25,0)</f>
        <v>↑</v>
      </c>
      <c r="E13" s="134" t="str">
        <f>VLOOKUP($A13,WEEKLY_TEAMS!$B14:$CME$64,37,0)</f>
        <v>↑</v>
      </c>
      <c r="F13" s="134" t="str">
        <f>VLOOKUP($A13,WEEKLY_TEAMS!$B14:$CME$64,49,0)</f>
        <v>=</v>
      </c>
      <c r="G13" s="134" t="str">
        <f>VLOOKUP($A13,WEEKLY_TEAMS!$B14:$CME$64,61,0)</f>
        <v>↓</v>
      </c>
      <c r="H13" s="134" t="str">
        <f>VLOOKUP($A13,WEEKLY_TEAMS!$B14:$CME$64,73,0)</f>
        <v>↑</v>
      </c>
      <c r="I13" s="134" t="str">
        <f>VLOOKUP($A13,WEEKLY_TEAMS!$B$3:$CME$64,85,0)</f>
        <v>↑</v>
      </c>
      <c r="J13" s="134" t="str">
        <f>VLOOKUP($A13,WEEKLY_TEAMS!$B14:$CME$64,97,0)</f>
        <v>↓</v>
      </c>
    </row>
    <row r="14">
      <c r="A14" s="134" t="str">
        <f>WEEKLY_TEAMS!B15</f>
        <v>Fer 👬 Guille</v>
      </c>
      <c r="B14" s="134" t="str">
        <f>WEEKLY_TEAMS!C15</f>
        <v>BLUE</v>
      </c>
      <c r="C14" s="134" t="str">
        <f>VLOOKUP($A14,WEEKLY_TEAMS!$B15:$CME$64,13,0)</f>
        <v>↓</v>
      </c>
      <c r="D14" s="134" t="str">
        <f>VLOOKUP($A14,WEEKLY_TEAMS!$B15:$CME$64,25,0)</f>
        <v>↓</v>
      </c>
      <c r="E14" s="134" t="str">
        <f>VLOOKUP($A14,WEEKLY_TEAMS!$B15:$CME$64,37,0)</f>
        <v>↑</v>
      </c>
      <c r="F14" s="134" t="str">
        <f>VLOOKUP($A14,WEEKLY_TEAMS!$B15:$CME$64,49,0)</f>
        <v>=</v>
      </c>
      <c r="G14" s="134" t="str">
        <f>VLOOKUP($A14,WEEKLY_TEAMS!$B15:$CME$64,61,0)</f>
        <v>↑</v>
      </c>
      <c r="H14" s="134" t="str">
        <f>VLOOKUP($A14,WEEKLY_TEAMS!$B15:$CME$64,73,0)</f>
        <v>↓</v>
      </c>
      <c r="I14" s="134" t="str">
        <f>VLOOKUP($A14,WEEKLY_TEAMS!$B$3:$CME$64,85,0)</f>
        <v>↓</v>
      </c>
      <c r="J14" s="134" t="str">
        <f>VLOOKUP($A14,WEEKLY_TEAMS!$B15:$CME$64,97,0)</f>
        <v>↓</v>
      </c>
    </row>
    <row r="15">
      <c r="A15" s="134" t="str">
        <f>WEEKLY_TEAMS!B16</f>
        <v>Gabo</v>
      </c>
      <c r="B15" s="134" t="str">
        <f>WEEKLY_TEAMS!C16</f>
        <v>BLUE</v>
      </c>
      <c r="C15" s="134" t="str">
        <f>VLOOKUP($A15,WEEKLY_TEAMS!$B16:$CME$64,13,0)</f>
        <v>↓</v>
      </c>
      <c r="D15" s="134" t="str">
        <f>VLOOKUP($A15,WEEKLY_TEAMS!$B16:$CME$64,25,0)</f>
        <v>↓</v>
      </c>
      <c r="E15" s="134" t="str">
        <f>VLOOKUP($A15,WEEKLY_TEAMS!$B16:$CME$64,37,0)</f>
        <v>↑</v>
      </c>
      <c r="F15" s="134" t="str">
        <f>VLOOKUP($A15,WEEKLY_TEAMS!$B16:$CME$64,49,0)</f>
        <v>↓</v>
      </c>
      <c r="G15" s="134" t="str">
        <f>VLOOKUP($A15,WEEKLY_TEAMS!$B16:$CME$64,61,0)</f>
        <v>↓</v>
      </c>
      <c r="H15" s="134" t="str">
        <f>VLOOKUP($A15,WEEKLY_TEAMS!$B16:$CME$64,73,0)</f>
        <v>↓</v>
      </c>
      <c r="I15" s="134" t="str">
        <f>VLOOKUP($A15,WEEKLY_TEAMS!$B$3:$CME$64,85,0)</f>
        <v>↓</v>
      </c>
      <c r="J15" s="134" t="str">
        <f>VLOOKUP($A15,WEEKLY_TEAMS!$B16:$CME$64,97,0)</f>
        <v>=</v>
      </c>
    </row>
    <row r="16">
      <c r="A16" s="134" t="str">
        <f>WEEKLY_TEAMS!B17</f>
        <v>Gerardo</v>
      </c>
      <c r="B16" s="134" t="str">
        <f>WEEKLY_TEAMS!C17</f>
        <v>MAGENTA</v>
      </c>
      <c r="C16" s="134" t="str">
        <f>VLOOKUP($A16,WEEKLY_TEAMS!$B17:$CME$64,13,0)</f>
        <v>↓</v>
      </c>
      <c r="D16" s="134" t="str">
        <f>VLOOKUP($A16,WEEKLY_TEAMS!$B17:$CME$64,25,0)</f>
        <v>↑</v>
      </c>
      <c r="E16" s="134" t="str">
        <f>VLOOKUP($A16,WEEKLY_TEAMS!$B17:$CME$64,37,0)</f>
        <v>=</v>
      </c>
      <c r="F16" s="134" t="str">
        <f>VLOOKUP($A16,WEEKLY_TEAMS!$B17:$CME$64,49,0)</f>
        <v>↓</v>
      </c>
      <c r="G16" s="134" t="str">
        <f>VLOOKUP($A16,WEEKLY_TEAMS!$B17:$CME$64,61,0)</f>
        <v>↓</v>
      </c>
      <c r="H16" s="134" t="str">
        <f>VLOOKUP($A16,WEEKLY_TEAMS!$B17:$CME$64,73,0)</f>
        <v>↓</v>
      </c>
      <c r="I16" s="134" t="str">
        <f>VLOOKUP($A16,WEEKLY_TEAMS!$B$3:$CME$64,85,0)</f>
        <v>↑</v>
      </c>
      <c r="J16" s="134" t="str">
        <f>VLOOKUP($A16,WEEKLY_TEAMS!$B17:$CME$64,97,0)</f>
        <v>↑</v>
      </c>
    </row>
    <row r="17">
      <c r="A17" s="134" t="str">
        <f>WEEKLY_TEAMS!B18</f>
        <v>Javier</v>
      </c>
      <c r="B17" s="134" t="str">
        <f>WEEKLY_TEAMS!C18</f>
        <v>GREEN</v>
      </c>
      <c r="C17" s="134" t="str">
        <f>VLOOKUP($A17,WEEKLY_TEAMS!$B18:$CME$64,13,0)</f>
        <v>↓</v>
      </c>
      <c r="D17" s="134" t="str">
        <f>VLOOKUP($A17,WEEKLY_TEAMS!$B18:$CME$64,25,0)</f>
        <v>↓</v>
      </c>
      <c r="E17" s="134" t="str">
        <f>VLOOKUP($A17,WEEKLY_TEAMS!$B18:$CME$64,37,0)</f>
        <v>↑</v>
      </c>
      <c r="F17" s="134" t="str">
        <f>VLOOKUP($A17,WEEKLY_TEAMS!$B18:$CME$64,49,0)</f>
        <v>↓</v>
      </c>
      <c r="G17" s="134" t="str">
        <f>VLOOKUP($A17,WEEKLY_TEAMS!$B18:$CME$64,61,0)</f>
        <v>↓</v>
      </c>
      <c r="H17" s="134" t="str">
        <f>VLOOKUP($A17,WEEKLY_TEAMS!$B18:$CME$64,73,0)</f>
        <v>↓</v>
      </c>
      <c r="I17" s="134" t="str">
        <f>VLOOKUP($A17,WEEKLY_TEAMS!$B$3:$CME$64,85,0)</f>
        <v>↓</v>
      </c>
      <c r="J17" s="134" t="str">
        <f>VLOOKUP($A17,WEEKLY_TEAMS!$B18:$CME$64,97,0)</f>
        <v>↑</v>
      </c>
    </row>
    <row r="18">
      <c r="A18" s="134" t="str">
        <f>WEEKLY_TEAMS!B19</f>
        <v>Jesús 👬 Rodrigo</v>
      </c>
      <c r="B18" s="134" t="str">
        <f>WEEKLY_TEAMS!C19</f>
        <v>BLUE</v>
      </c>
      <c r="C18" s="134" t="str">
        <f>VLOOKUP($A18,WEEKLY_TEAMS!$B19:$CME$64,13,0)</f>
        <v>↓</v>
      </c>
      <c r="D18" s="134" t="str">
        <f>VLOOKUP($A18,WEEKLY_TEAMS!$B19:$CME$64,25,0)</f>
        <v>↓</v>
      </c>
      <c r="E18" s="134" t="str">
        <f>VLOOKUP($A18,WEEKLY_TEAMS!$B19:$CME$64,37,0)</f>
        <v>↑</v>
      </c>
      <c r="F18" s="134" t="str">
        <f>VLOOKUP($A18,WEEKLY_TEAMS!$B19:$CME$64,49,0)</f>
        <v>↑</v>
      </c>
      <c r="G18" s="134" t="str">
        <f>VLOOKUP($A18,WEEKLY_TEAMS!$B19:$CME$64,61,0)</f>
        <v>↓</v>
      </c>
      <c r="H18" s="134" t="str">
        <f>VLOOKUP($A18,WEEKLY_TEAMS!$B19:$CME$64,73,0)</f>
        <v>↓</v>
      </c>
      <c r="I18" s="134" t="str">
        <f>VLOOKUP($A18,WEEKLY_TEAMS!$B$3:$CME$64,85,0)</f>
        <v>↑</v>
      </c>
      <c r="J18" s="134" t="str">
        <f>VLOOKUP($A18,WEEKLY_TEAMS!$B19:$CME$64,97,0)</f>
        <v>↑</v>
      </c>
    </row>
    <row r="19">
      <c r="A19" s="134" t="str">
        <f>WEEKLY_TEAMS!B20</f>
        <v>Jhony S</v>
      </c>
      <c r="B19" s="134" t="str">
        <f>WEEKLY_TEAMS!C20</f>
        <v>ORANGE</v>
      </c>
      <c r="C19" s="134" t="str">
        <f>VLOOKUP($A19,WEEKLY_TEAMS!$B20:$CME$64,13,0)</f>
        <v>↓</v>
      </c>
      <c r="D19" s="134" t="str">
        <f>VLOOKUP($A19,WEEKLY_TEAMS!$B20:$CME$64,25,0)</f>
        <v>↓</v>
      </c>
      <c r="E19" s="134" t="str">
        <f>VLOOKUP($A19,WEEKLY_TEAMS!$B20:$CME$64,37,0)</f>
        <v>↑</v>
      </c>
      <c r="F19" s="134" t="str">
        <f>VLOOKUP($A19,WEEKLY_TEAMS!$B20:$CME$64,49,0)</f>
        <v>↑</v>
      </c>
      <c r="G19" s="134" t="str">
        <f>VLOOKUP($A19,WEEKLY_TEAMS!$B20:$CME$64,61,0)</f>
        <v>↑</v>
      </c>
      <c r="H19" s="134" t="str">
        <f>VLOOKUP($A19,WEEKLY_TEAMS!$B20:$CME$64,73,0)</f>
        <v>=</v>
      </c>
      <c r="I19" s="134" t="str">
        <f>VLOOKUP($A19,WEEKLY_TEAMS!$B$3:$CME$64,85,0)</f>
        <v>↑</v>
      </c>
      <c r="J19" s="134" t="str">
        <f>VLOOKUP($A19,WEEKLY_TEAMS!$B20:$CME$64,97,0)</f>
        <v>↑</v>
      </c>
    </row>
    <row r="20">
      <c r="A20" s="134" t="str">
        <f>WEEKLY_TEAMS!B21</f>
        <v>Jordan</v>
      </c>
      <c r="B20" s="134" t="str">
        <f>WEEKLY_TEAMS!C21</f>
        <v>ORANGE</v>
      </c>
      <c r="C20" s="134" t="str">
        <f>VLOOKUP($A20,WEEKLY_TEAMS!$B21:$CME$64,13,0)</f>
        <v>↓</v>
      </c>
      <c r="D20" s="134" t="str">
        <f>VLOOKUP($A20,WEEKLY_TEAMS!$B21:$CME$64,25,0)</f>
        <v>↓</v>
      </c>
      <c r="E20" s="134" t="str">
        <f>VLOOKUP($A20,WEEKLY_TEAMS!$B21:$CME$64,37,0)</f>
        <v>↓</v>
      </c>
      <c r="F20" s="134" t="str">
        <f>VLOOKUP($A20,WEEKLY_TEAMS!$B21:$CME$64,49,0)</f>
        <v>↑</v>
      </c>
      <c r="G20" s="134" t="str">
        <f>VLOOKUP($A20,WEEKLY_TEAMS!$B21:$CME$64,61,0)</f>
        <v>↓</v>
      </c>
      <c r="H20" s="134" t="str">
        <f>VLOOKUP($A20,WEEKLY_TEAMS!$B21:$CME$64,73,0)</f>
        <v>↑</v>
      </c>
      <c r="I20" s="134" t="str">
        <f>VLOOKUP($A20,WEEKLY_TEAMS!$B$3:$CME$64,85,0)</f>
        <v>↑</v>
      </c>
      <c r="J20" s="134" t="str">
        <f>VLOOKUP($A20,WEEKLY_TEAMS!$B21:$CME$64,97,0)</f>
        <v>↑</v>
      </c>
    </row>
    <row r="21" ht="15.75" customHeight="1">
      <c r="A21" s="134" t="str">
        <f>WEEKLY_TEAMS!B22</f>
        <v>José Blanco</v>
      </c>
      <c r="B21" s="134" t="str">
        <f>WEEKLY_TEAMS!C22</f>
        <v/>
      </c>
      <c r="C21" s="134" t="str">
        <f>VLOOKUP($A21,WEEKLY_TEAMS!$B22:$CME$64,13,0)</f>
        <v>↓</v>
      </c>
      <c r="D21" s="134" t="str">
        <f>VLOOKUP($A21,WEEKLY_TEAMS!$B22:$CME$64,25,0)</f>
        <v>↓</v>
      </c>
      <c r="E21" s="134" t="str">
        <f>VLOOKUP($A21,WEEKLY_TEAMS!$B22:$CME$64,37,0)</f>
        <v>↑</v>
      </c>
      <c r="F21" s="134" t="str">
        <f>VLOOKUP($A21,WEEKLY_TEAMS!$B22:$CME$64,49,0)</f>
        <v>↑</v>
      </c>
      <c r="G21" s="134" t="str">
        <f>VLOOKUP($A21,WEEKLY_TEAMS!$B22:$CME$64,61,0)</f>
        <v>↓</v>
      </c>
      <c r="H21" s="134" t="str">
        <f>VLOOKUP($A21,WEEKLY_TEAMS!$B22:$CME$64,73,0)</f>
        <v>=</v>
      </c>
      <c r="I21" s="134" t="str">
        <f>VLOOKUP($A21,WEEKLY_TEAMS!$B$3:$CME$64,85,0)</f>
        <v>↑</v>
      </c>
      <c r="J21" s="134" t="str">
        <f>VLOOKUP($A21,WEEKLY_TEAMS!$B22:$CME$64,97,0)</f>
        <v>↑</v>
      </c>
    </row>
    <row r="22" ht="15.75" customHeight="1">
      <c r="A22" s="134" t="str">
        <f>WEEKLY_TEAMS!B23</f>
        <v>José Sarza</v>
      </c>
      <c r="B22" s="134" t="str">
        <f>WEEKLY_TEAMS!C23</f>
        <v/>
      </c>
      <c r="C22" s="134" t="str">
        <f>VLOOKUP($A22,WEEKLY_TEAMS!$B23:$CME$64,13,0)</f>
        <v>↓</v>
      </c>
      <c r="D22" s="134" t="str">
        <f>VLOOKUP($A22,WEEKLY_TEAMS!$B23:$CME$64,25,0)</f>
        <v>↓</v>
      </c>
      <c r="E22" s="134" t="str">
        <f>VLOOKUP($A22,WEEKLY_TEAMS!$B23:$CME$64,37,0)</f>
        <v>↓</v>
      </c>
      <c r="F22" s="134" t="str">
        <f>VLOOKUP($A22,WEEKLY_TEAMS!$B23:$CME$64,49,0)</f>
        <v>=</v>
      </c>
      <c r="G22" s="134" t="str">
        <f>VLOOKUP($A22,WEEKLY_TEAMS!$B23:$CME$64,61,0)</f>
        <v>↑</v>
      </c>
      <c r="H22" s="134" t="str">
        <f>VLOOKUP($A22,WEEKLY_TEAMS!$B23:$CME$64,73,0)</f>
        <v>↑</v>
      </c>
      <c r="I22" s="134" t="str">
        <f>VLOOKUP($A22,WEEKLY_TEAMS!$B$3:$CME$64,85,0)</f>
        <v>↓</v>
      </c>
      <c r="J22" s="134" t="str">
        <f>VLOOKUP($A22,WEEKLY_TEAMS!$B23:$CME$64,97,0)</f>
        <v>=</v>
      </c>
    </row>
    <row r="23" ht="15.75" customHeight="1">
      <c r="A23" s="134" t="str">
        <f>WEEKLY_TEAMS!B24</f>
        <v>Joseph 👬 Da Silva</v>
      </c>
      <c r="B23" s="134" t="str">
        <f>WEEKLY_TEAMS!C24</f>
        <v>MAGENTA</v>
      </c>
      <c r="C23" s="134" t="str">
        <f>VLOOKUP($A23,WEEKLY_TEAMS!$B24:$CME$64,13,0)</f>
        <v>↓</v>
      </c>
      <c r="D23" s="134" t="str">
        <f>VLOOKUP($A23,WEEKLY_TEAMS!$B24:$CME$64,25,0)</f>
        <v>↓</v>
      </c>
      <c r="E23" s="134" t="str">
        <f>VLOOKUP($A23,WEEKLY_TEAMS!$B24:$CME$64,37,0)</f>
        <v>↓</v>
      </c>
      <c r="F23" s="134" t="str">
        <f>VLOOKUP($A23,WEEKLY_TEAMS!$B24:$CME$64,49,0)</f>
        <v>↑</v>
      </c>
      <c r="G23" s="134" t="str">
        <f>VLOOKUP($A23,WEEKLY_TEAMS!$B24:$CME$64,61,0)</f>
        <v>↑</v>
      </c>
      <c r="H23" s="134" t="str">
        <f>VLOOKUP($A23,WEEKLY_TEAMS!$B24:$CME$64,73,0)</f>
        <v>↓</v>
      </c>
      <c r="I23" s="134" t="str">
        <f>VLOOKUP($A23,WEEKLY_TEAMS!$B$3:$CME$64,85,0)</f>
        <v>↑</v>
      </c>
      <c r="J23" s="134" t="str">
        <f>VLOOKUP($A23,WEEKLY_TEAMS!$B24:$CME$64,97,0)</f>
        <v>↓</v>
      </c>
    </row>
    <row r="24" ht="15.75" customHeight="1">
      <c r="A24" s="134" t="str">
        <f>WEEKLY_TEAMS!B25</f>
        <v>Juan Pablo</v>
      </c>
      <c r="B24" s="134" t="str">
        <f>WEEKLY_TEAMS!C25</f>
        <v>GREEN</v>
      </c>
      <c r="C24" s="134" t="str">
        <f>VLOOKUP($A24,WEEKLY_TEAMS!$B25:$CME$64,13,0)</f>
        <v>↓</v>
      </c>
      <c r="D24" s="134" t="str">
        <f>VLOOKUP($A24,WEEKLY_TEAMS!$B25:$CME$64,25,0)</f>
        <v>↓</v>
      </c>
      <c r="E24" s="134" t="str">
        <f>VLOOKUP($A24,WEEKLY_TEAMS!$B25:$CME$64,37,0)</f>
        <v>↓</v>
      </c>
      <c r="F24" s="134" t="str">
        <f>VLOOKUP($A24,WEEKLY_TEAMS!$B25:$CME$64,49,0)</f>
        <v>↑</v>
      </c>
      <c r="G24" s="134" t="str">
        <f>VLOOKUP($A24,WEEKLY_TEAMS!$B25:$CME$64,61,0)</f>
        <v>↑</v>
      </c>
      <c r="H24" s="134" t="str">
        <f>VLOOKUP($A24,WEEKLY_TEAMS!$B25:$CME$64,73,0)</f>
        <v>↑</v>
      </c>
      <c r="I24" s="134" t="str">
        <f>VLOOKUP($A24,WEEKLY_TEAMS!$B$3:$CME$64,85,0)</f>
        <v>=</v>
      </c>
      <c r="J24" s="134" t="str">
        <f>VLOOKUP($A24,WEEKLY_TEAMS!$B25:$CME$64,97,0)</f>
        <v>=</v>
      </c>
    </row>
    <row r="25" ht="15.75" customHeight="1">
      <c r="A25" s="134" t="str">
        <f>WEEKLY_TEAMS!B26</f>
        <v>Kevin 👬 Mike</v>
      </c>
      <c r="B25" s="134" t="str">
        <f>WEEKLY_TEAMS!C26</f>
        <v/>
      </c>
      <c r="C25" s="134" t="str">
        <f>VLOOKUP($A25,WEEKLY_TEAMS!$B26:$CME$64,13,0)</f>
        <v>↓</v>
      </c>
      <c r="D25" s="134" t="str">
        <f>VLOOKUP($A25,WEEKLY_TEAMS!$B26:$CME$64,25,0)</f>
        <v>↑</v>
      </c>
      <c r="E25" s="134" t="str">
        <f>VLOOKUP($A25,WEEKLY_TEAMS!$B26:$CME$64,37,0)</f>
        <v>↓</v>
      </c>
      <c r="F25" s="134" t="str">
        <f>VLOOKUP($A25,WEEKLY_TEAMS!$B26:$CME$64,49,0)</f>
        <v>↑</v>
      </c>
      <c r="G25" s="134" t="str">
        <f>VLOOKUP($A25,WEEKLY_TEAMS!$B26:$CME$64,61,0)</f>
        <v>↑</v>
      </c>
      <c r="H25" s="134" t="str">
        <f>VLOOKUP($A25,WEEKLY_TEAMS!$B26:$CME$64,73,0)</f>
        <v>=</v>
      </c>
      <c r="I25" s="134" t="str">
        <f>VLOOKUP($A25,WEEKLY_TEAMS!$B$3:$CME$64,85,0)</f>
        <v>↓</v>
      </c>
      <c r="J25" s="134" t="str">
        <f>VLOOKUP($A25,WEEKLY_TEAMS!$B26:$CME$64,97,0)</f>
        <v>↑</v>
      </c>
    </row>
    <row r="26" ht="15.75" customHeight="1">
      <c r="A26" s="134" t="str">
        <f>WEEKLY_TEAMS!B27</f>
        <v>Mikey </v>
      </c>
      <c r="B26" s="134" t="str">
        <f>WEEKLY_TEAMS!C27</f>
        <v>MAGENTA</v>
      </c>
      <c r="C26" s="134" t="str">
        <f>VLOOKUP($A26,WEEKLY_TEAMS!$B27:$CME$64,13,0)</f>
        <v>↓</v>
      </c>
      <c r="D26" s="134" t="str">
        <f>VLOOKUP($A26,WEEKLY_TEAMS!$B27:$CME$64,25,0)</f>
        <v>↓</v>
      </c>
      <c r="E26" s="134" t="str">
        <f>VLOOKUP($A26,WEEKLY_TEAMS!$B27:$CME$64,37,0)</f>
        <v>↓</v>
      </c>
      <c r="F26" s="134" t="str">
        <f>VLOOKUP($A26,WEEKLY_TEAMS!$B27:$CME$64,49,0)</f>
        <v>↑</v>
      </c>
      <c r="G26" s="134" t="str">
        <f>VLOOKUP($A26,WEEKLY_TEAMS!$B27:$CME$64,61,0)</f>
        <v>↑</v>
      </c>
      <c r="H26" s="134" t="str">
        <f>VLOOKUP($A26,WEEKLY_TEAMS!$B27:$CME$64,73,0)</f>
        <v>↓</v>
      </c>
      <c r="I26" s="134" t="str">
        <f>VLOOKUP($A26,WEEKLY_TEAMS!$B$3:$CME$64,85,0)</f>
        <v>↓</v>
      </c>
      <c r="J26" s="134" t="str">
        <f>VLOOKUP($A26,WEEKLY_TEAMS!$B27:$CME$64,97,0)</f>
        <v>↑</v>
      </c>
    </row>
    <row r="27" ht="15.75" customHeight="1">
      <c r="A27" s="134" t="str">
        <f>WEEKLY_TEAMS!B28</f>
        <v>Nicky</v>
      </c>
      <c r="B27" s="134" t="str">
        <f>WEEKLY_TEAMS!C28</f>
        <v>MAGENTA</v>
      </c>
      <c r="C27" s="134" t="str">
        <f>VLOOKUP($A27,WEEKLY_TEAMS!$B28:$CME$64,13,0)</f>
        <v>↓</v>
      </c>
      <c r="D27" s="134" t="str">
        <f>VLOOKUP($A27,WEEKLY_TEAMS!$B28:$CME$64,25,0)</f>
        <v>↓</v>
      </c>
      <c r="E27" s="134" t="str">
        <f>VLOOKUP($A27,WEEKLY_TEAMS!$B28:$CME$64,37,0)</f>
        <v>↓</v>
      </c>
      <c r="F27" s="134" t="str">
        <f>VLOOKUP($A27,WEEKLY_TEAMS!$B28:$CME$64,49,0)</f>
        <v>↓</v>
      </c>
      <c r="G27" s="134" t="str">
        <f>VLOOKUP($A27,WEEKLY_TEAMS!$B28:$CME$64,61,0)</f>
        <v>↑</v>
      </c>
      <c r="H27" s="134" t="str">
        <f>VLOOKUP($A27,WEEKLY_TEAMS!$B28:$CME$64,73,0)</f>
        <v>↓</v>
      </c>
      <c r="I27" s="134" t="str">
        <f>VLOOKUP($A27,WEEKLY_TEAMS!$B$3:$CME$64,85,0)</f>
        <v>↓</v>
      </c>
      <c r="J27" s="134" t="str">
        <f>VLOOKUP($A27,WEEKLY_TEAMS!$B28:$CME$64,97,0)</f>
        <v>=</v>
      </c>
    </row>
    <row r="28" ht="15.75" customHeight="1">
      <c r="A28" s="134" t="str">
        <f>WEEKLY_TEAMS!B29</f>
        <v>Nicolás</v>
      </c>
      <c r="B28" s="134" t="str">
        <f>WEEKLY_TEAMS!C29</f>
        <v>MAGENTA</v>
      </c>
      <c r="C28" s="134" t="str">
        <f>VLOOKUP($A28,WEEKLY_TEAMS!$B29:$CME$64,13,0)</f>
        <v>↓</v>
      </c>
      <c r="D28" s="134" t="str">
        <f>VLOOKUP($A28,WEEKLY_TEAMS!$B29:$CME$64,25,0)</f>
        <v>↑</v>
      </c>
      <c r="E28" s="134" t="str">
        <f>VLOOKUP($A28,WEEKLY_TEAMS!$B29:$CME$64,37,0)</f>
        <v>=</v>
      </c>
      <c r="F28" s="134" t="str">
        <f>VLOOKUP($A28,WEEKLY_TEAMS!$B29:$CME$64,49,0)</f>
        <v>=</v>
      </c>
      <c r="G28" s="134" t="str">
        <f>VLOOKUP($A28,WEEKLY_TEAMS!$B29:$CME$64,61,0)</f>
        <v>=</v>
      </c>
      <c r="H28" s="134" t="str">
        <f>VLOOKUP($A28,WEEKLY_TEAMS!$B29:$CME$64,73,0)</f>
        <v>↓</v>
      </c>
      <c r="I28" s="134" t="str">
        <f>VLOOKUP($A28,WEEKLY_TEAMS!$B$3:$CME$64,85,0)</f>
        <v>↓</v>
      </c>
      <c r="J28" s="134" t="str">
        <f>VLOOKUP($A28,WEEKLY_TEAMS!$B29:$CME$64,97,0)</f>
        <v>↑</v>
      </c>
    </row>
    <row r="29" ht="15.75" customHeight="1">
      <c r="A29" s="134" t="str">
        <f>WEEKLY_TEAMS!B30</f>
        <v>Pirlo</v>
      </c>
      <c r="B29" s="134" t="str">
        <f>WEEKLY_TEAMS!C30</f>
        <v>ORANGE</v>
      </c>
      <c r="C29" s="134" t="str">
        <f>VLOOKUP($A29,WEEKLY_TEAMS!$B30:$CME$64,13,0)</f>
        <v>↓</v>
      </c>
      <c r="D29" s="134" t="str">
        <f>VLOOKUP($A29,WEEKLY_TEAMS!$B30:$CME$64,25,0)</f>
        <v>↑</v>
      </c>
      <c r="E29" s="134" t="str">
        <f>VLOOKUP($A29,WEEKLY_TEAMS!$B30:$CME$64,37,0)</f>
        <v>↓</v>
      </c>
      <c r="F29" s="134" t="str">
        <f>VLOOKUP($A29,WEEKLY_TEAMS!$B30:$CME$64,49,0)</f>
        <v>↓</v>
      </c>
      <c r="G29" s="134" t="str">
        <f>VLOOKUP($A29,WEEKLY_TEAMS!$B30:$CME$64,61,0)</f>
        <v>↓</v>
      </c>
      <c r="H29" s="134" t="str">
        <f>VLOOKUP($A29,WEEKLY_TEAMS!$B30:$CME$64,73,0)</f>
        <v>↑</v>
      </c>
      <c r="I29" s="134" t="str">
        <f>VLOOKUP($A29,WEEKLY_TEAMS!$B$3:$CME$64,85,0)</f>
        <v>↓</v>
      </c>
      <c r="J29" s="134" t="str">
        <f>VLOOKUP($A29,WEEKLY_TEAMS!$B30:$CME$64,97,0)</f>
        <v>=</v>
      </c>
    </row>
    <row r="30" ht="15.75" customHeight="1">
      <c r="A30" s="134" t="str">
        <f>WEEKLY_TEAMS!B31</f>
        <v>Osmin</v>
      </c>
      <c r="B30" s="134" t="str">
        <f>WEEKLY_TEAMS!C31</f>
        <v>GREEN</v>
      </c>
      <c r="C30" s="134" t="str">
        <f>VLOOKUP($A30,WEEKLY_TEAMS!$B31:$CME$64,13,0)</f>
        <v>↓</v>
      </c>
      <c r="D30" s="134" t="str">
        <f>VLOOKUP($A30,WEEKLY_TEAMS!$B31:$CME$64,25,0)</f>
        <v>↓</v>
      </c>
      <c r="E30" s="134" t="str">
        <f>VLOOKUP($A30,WEEKLY_TEAMS!$B31:$CME$64,37,0)</f>
        <v>↑</v>
      </c>
      <c r="F30" s="134" t="str">
        <f>VLOOKUP($A30,WEEKLY_TEAMS!$B31:$CME$64,49,0)</f>
        <v>↓</v>
      </c>
      <c r="G30" s="134" t="str">
        <f>VLOOKUP($A30,WEEKLY_TEAMS!$B31:$CME$64,61,0)</f>
        <v>↑</v>
      </c>
      <c r="H30" s="134" t="str">
        <f>VLOOKUP($A30,WEEKLY_TEAMS!$B31:$CME$64,73,0)</f>
        <v>↓</v>
      </c>
      <c r="I30" s="134" t="str">
        <f>VLOOKUP($A30,WEEKLY_TEAMS!$B$3:$CME$64,85,0)</f>
        <v>↑</v>
      </c>
      <c r="J30" s="134" t="str">
        <f>VLOOKUP($A30,WEEKLY_TEAMS!$B31:$CME$64,97,0)</f>
        <v>↓</v>
      </c>
    </row>
    <row r="31" ht="15.75" customHeight="1">
      <c r="A31" s="134" t="str">
        <f>WEEKLY_TEAMS!B32</f>
        <v>Rob</v>
      </c>
      <c r="B31" s="134" t="str">
        <f>WEEKLY_TEAMS!C32</f>
        <v>GREEN</v>
      </c>
      <c r="C31" s="134" t="str">
        <f>VLOOKUP($A31,WEEKLY_TEAMS!$B32:$CME$64,13,0)</f>
        <v>↓</v>
      </c>
      <c r="D31" s="134" t="str">
        <f>VLOOKUP($A31,WEEKLY_TEAMS!$B32:$CME$64,25,0)</f>
        <v>↑</v>
      </c>
      <c r="E31" s="134" t="str">
        <f>VLOOKUP($A31,WEEKLY_TEAMS!$B32:$CME$64,37,0)</f>
        <v>↑</v>
      </c>
      <c r="F31" s="134" t="str">
        <f>VLOOKUP($A31,WEEKLY_TEAMS!$B32:$CME$64,49,0)</f>
        <v>↑</v>
      </c>
      <c r="G31" s="134" t="str">
        <f>VLOOKUP($A31,WEEKLY_TEAMS!$B32:$CME$64,61,0)</f>
        <v>↓</v>
      </c>
      <c r="H31" s="134" t="str">
        <f>VLOOKUP($A31,WEEKLY_TEAMS!$B32:$CME$64,73,0)</f>
        <v>↑</v>
      </c>
      <c r="I31" s="134" t="str">
        <f>VLOOKUP($A31,WEEKLY_TEAMS!$B$3:$CME$64,85,0)</f>
        <v>↓</v>
      </c>
      <c r="J31" s="134" t="str">
        <f>VLOOKUP($A31,WEEKLY_TEAMS!$B32:$CME$64,97,0)</f>
        <v>↓</v>
      </c>
    </row>
    <row r="32" ht="15.75" customHeight="1">
      <c r="A32" s="134" t="str">
        <f>WEEKLY_TEAMS!B33</f>
        <v>Rodolfo 👬 Víctor S</v>
      </c>
      <c r="B32" s="134" t="str">
        <f>WEEKLY_TEAMS!C33</f>
        <v>ORANGE</v>
      </c>
      <c r="C32" s="134" t="str">
        <f>VLOOKUP($A32,WEEKLY_TEAMS!$B33:$CME$64,13,0)</f>
        <v>↓</v>
      </c>
      <c r="D32" s="134" t="str">
        <f>VLOOKUP($A32,WEEKLY_TEAMS!$B33:$CME$64,25,0)</f>
        <v>↑</v>
      </c>
      <c r="E32" s="134" t="str">
        <f>VLOOKUP($A32,WEEKLY_TEAMS!$B33:$CME$64,37,0)</f>
        <v>↑</v>
      </c>
      <c r="F32" s="134" t="str">
        <f>VLOOKUP($A32,WEEKLY_TEAMS!$B33:$CME$64,49,0)</f>
        <v>↓</v>
      </c>
      <c r="G32" s="134" t="str">
        <f>VLOOKUP($A32,WEEKLY_TEAMS!$B33:$CME$64,61,0)</f>
        <v>↓</v>
      </c>
      <c r="H32" s="134" t="str">
        <f>VLOOKUP($A32,WEEKLY_TEAMS!$B33:$CME$64,73,0)</f>
        <v>↑</v>
      </c>
      <c r="I32" s="134" t="str">
        <f>VLOOKUP($A32,WEEKLY_TEAMS!$B$3:$CME$64,85,0)</f>
        <v>↓</v>
      </c>
      <c r="J32" s="134" t="str">
        <f>VLOOKUP($A32,WEEKLY_TEAMS!$B33:$CME$64,97,0)</f>
        <v>↓</v>
      </c>
    </row>
    <row r="33" ht="15.75" customHeight="1">
      <c r="A33" s="134" t="str">
        <f>WEEKLY_TEAMS!B34</f>
        <v>Ruben</v>
      </c>
      <c r="B33" s="134" t="str">
        <f>WEEKLY_TEAMS!C34</f>
        <v>BLUE</v>
      </c>
      <c r="C33" s="134" t="str">
        <f>VLOOKUP($A33,WEEKLY_TEAMS!$B34:$CME$64,13,0)</f>
        <v>↓</v>
      </c>
      <c r="D33" s="134" t="str">
        <f>VLOOKUP($A33,WEEKLY_TEAMS!$B34:$CME$64,25,0)</f>
        <v>↓</v>
      </c>
      <c r="E33" s="134" t="str">
        <f>VLOOKUP($A33,WEEKLY_TEAMS!$B34:$CME$64,37,0)</f>
        <v>↓</v>
      </c>
      <c r="F33" s="134" t="str">
        <f>VLOOKUP($A33,WEEKLY_TEAMS!$B34:$CME$64,49,0)</f>
        <v>↑</v>
      </c>
      <c r="G33" s="134" t="str">
        <f>VLOOKUP($A33,WEEKLY_TEAMS!$B34:$CME$64,61,0)</f>
        <v>↑</v>
      </c>
      <c r="H33" s="134" t="str">
        <f>VLOOKUP($A33,WEEKLY_TEAMS!$B34:$CME$64,73,0)</f>
        <v>=</v>
      </c>
      <c r="I33" s="134" t="str">
        <f>VLOOKUP($A33,WEEKLY_TEAMS!$B$3:$CME$64,85,0)</f>
        <v>↑</v>
      </c>
      <c r="J33" s="134" t="str">
        <f>VLOOKUP($A33,WEEKLY_TEAMS!$B34:$CME$64,97,0)</f>
        <v>=</v>
      </c>
    </row>
    <row r="34" ht="15.75" customHeight="1">
      <c r="A34" s="134" t="str">
        <f>WEEKLY_TEAMS!B35</f>
        <v>Rudy</v>
      </c>
      <c r="B34" s="134" t="str">
        <f>WEEKLY_TEAMS!C35</f>
        <v>BLUE</v>
      </c>
      <c r="C34" s="134" t="str">
        <f>VLOOKUP($A34,WEEKLY_TEAMS!$B35:$CME$64,13,0)</f>
        <v>↓</v>
      </c>
      <c r="D34" s="134" t="str">
        <f>VLOOKUP($A34,WEEKLY_TEAMS!$B35:$CME$64,25,0)</f>
        <v>↓</v>
      </c>
      <c r="E34" s="134" t="str">
        <f>VLOOKUP($A34,WEEKLY_TEAMS!$B35:$CME$64,37,0)</f>
        <v>↓</v>
      </c>
      <c r="F34" s="134" t="str">
        <f>VLOOKUP($A34,WEEKLY_TEAMS!$B35:$CME$64,49,0)</f>
        <v>↑</v>
      </c>
      <c r="G34" s="134" t="str">
        <f>VLOOKUP($A34,WEEKLY_TEAMS!$B35:$CME$64,61,0)</f>
        <v>↓</v>
      </c>
      <c r="H34" s="134" t="str">
        <f>VLOOKUP($A34,WEEKLY_TEAMS!$B35:$CME$64,73,0)</f>
        <v>↑</v>
      </c>
      <c r="I34" s="134" t="str">
        <f>VLOOKUP($A34,WEEKLY_TEAMS!$B$3:$CME$64,85,0)</f>
        <v>↑</v>
      </c>
      <c r="J34" s="134" t="str">
        <f>VLOOKUP($A34,WEEKLY_TEAMS!$B35:$CME$64,97,0)</f>
        <v>↓</v>
      </c>
    </row>
    <row r="35" ht="15.75" customHeight="1">
      <c r="A35" s="134" t="str">
        <f>WEEKLY_TEAMS!B36</f>
        <v>Valencia</v>
      </c>
      <c r="B35" s="134" t="str">
        <f>WEEKLY_TEAMS!C36</f>
        <v>BLUE</v>
      </c>
      <c r="C35" s="134" t="str">
        <f>VLOOKUP($A35,WEEKLY_TEAMS!$B36:$CME$64,13,0)</f>
        <v>↓</v>
      </c>
      <c r="D35" s="134" t="str">
        <f>VLOOKUP($A35,WEEKLY_TEAMS!$B36:$CME$64,25,0)</f>
        <v>↓</v>
      </c>
      <c r="E35" s="134" t="str">
        <f>VLOOKUP($A35,WEEKLY_TEAMS!$B36:$CME$64,37,0)</f>
        <v>↓</v>
      </c>
      <c r="F35" s="134" t="str">
        <f>VLOOKUP($A35,WEEKLY_TEAMS!$B36:$CME$64,49,0)</f>
        <v>↓</v>
      </c>
      <c r="G35" s="134" t="str">
        <f>VLOOKUP($A35,WEEKLY_TEAMS!$B36:$CME$64,61,0)</f>
        <v>↑</v>
      </c>
      <c r="H35" s="134" t="str">
        <f>VLOOKUP($A35,WEEKLY_TEAMS!$B36:$CME$64,73,0)</f>
        <v>↑</v>
      </c>
      <c r="I35" s="134" t="str">
        <f>VLOOKUP($A35,WEEKLY_TEAMS!$B$3:$CME$64,85,0)</f>
        <v>↓</v>
      </c>
      <c r="J35" s="134" t="str">
        <f>VLOOKUP($A35,WEEKLY_TEAMS!$B36:$CME$64,97,0)</f>
        <v>↑</v>
      </c>
    </row>
    <row r="36" ht="15.75" customHeight="1">
      <c r="A36" s="134" t="str">
        <f>WEEKLY_TEAMS!B37</f>
        <v>Valverde</v>
      </c>
      <c r="B36" s="134" t="str">
        <f>WEEKLY_TEAMS!C37</f>
        <v>MAGENTA</v>
      </c>
      <c r="C36" s="134" t="str">
        <f>VLOOKUP($A36,WEEKLY_TEAMS!$B37:$CME$64,13,0)</f>
        <v>↓</v>
      </c>
      <c r="D36" s="134" t="str">
        <f>VLOOKUP($A36,WEEKLY_TEAMS!$B37:$CME$64,25,0)</f>
        <v>↓</v>
      </c>
      <c r="E36" s="134" t="str">
        <f>VLOOKUP($A36,WEEKLY_TEAMS!$B37:$CME$64,37,0)</f>
        <v>↓</v>
      </c>
      <c r="F36" s="134" t="str">
        <f>VLOOKUP($A36,WEEKLY_TEAMS!$B37:$CME$64,49,0)</f>
        <v>↓</v>
      </c>
      <c r="G36" s="134" t="str">
        <f>VLOOKUP($A36,WEEKLY_TEAMS!$B37:$CME$64,61,0)</f>
        <v>↓</v>
      </c>
      <c r="H36" s="134" t="str">
        <f>VLOOKUP($A36,WEEKLY_TEAMS!$B37:$CME$64,73,0)</f>
        <v>↓</v>
      </c>
      <c r="I36" s="134" t="str">
        <f>VLOOKUP($A36,WEEKLY_TEAMS!$B$3:$CME$64,85,0)</f>
        <v>↑</v>
      </c>
      <c r="J36" s="134" t="str">
        <f>VLOOKUP($A36,WEEKLY_TEAMS!$B37:$CME$64,97,0)</f>
        <v>↓</v>
      </c>
    </row>
    <row r="37" ht="15.75" customHeight="1">
      <c r="A37" s="134" t="str">
        <f>WEEKLY_TEAMS!B38</f>
        <v>Víctor N</v>
      </c>
      <c r="B37" s="134" t="str">
        <f>WEEKLY_TEAMS!C38</f>
        <v>BLUE</v>
      </c>
      <c r="C37" s="134" t="str">
        <f>VLOOKUP($A37,WEEKLY_TEAMS!$B38:$CME$64,13,0)</f>
        <v>↓</v>
      </c>
      <c r="D37" s="134" t="str">
        <f>VLOOKUP($A37,WEEKLY_TEAMS!$B38:$CME$64,25,0)</f>
        <v>↑</v>
      </c>
      <c r="E37" s="134" t="str">
        <f>VLOOKUP($A37,WEEKLY_TEAMS!$B38:$CME$64,37,0)</f>
        <v>↑</v>
      </c>
      <c r="F37" s="134" t="str">
        <f>VLOOKUP($A37,WEEKLY_TEAMS!$B38:$CME$64,49,0)</f>
        <v>↓</v>
      </c>
      <c r="G37" s="134" t="str">
        <f>VLOOKUP($A37,WEEKLY_TEAMS!$B38:$CME$64,61,0)</f>
        <v>↑</v>
      </c>
      <c r="H37" s="134" t="str">
        <f>VLOOKUP($A37,WEEKLY_TEAMS!$B38:$CME$64,73,0)</f>
        <v>↓</v>
      </c>
      <c r="I37" s="134" t="str">
        <f>VLOOKUP($A37,WEEKLY_TEAMS!$B$3:$CME$64,85,0)</f>
        <v>=</v>
      </c>
      <c r="J37" s="134" t="str">
        <f>VLOOKUP($A37,WEEKLY_TEAMS!$B38:$CME$64,97,0)</f>
        <v>↓</v>
      </c>
    </row>
    <row r="38" ht="15.75" customHeight="1">
      <c r="A38" s="134" t="str">
        <f>WEEKLY_TEAMS!B39</f>
        <v>(Sub) Asdruval</v>
      </c>
      <c r="B38" s="134" t="str">
        <f>WEEKLY_TEAMS!C39</f>
        <v>GREEN</v>
      </c>
      <c r="C38" s="134" t="str">
        <f>VLOOKUP($A38,WEEKLY_TEAMS!$B39:$CME$64,13,0)</f>
        <v>=</v>
      </c>
      <c r="D38" s="134" t="str">
        <f>VLOOKUP($A38,WEEKLY_TEAMS!$B39:$CME$64,25,0)</f>
        <v>=</v>
      </c>
      <c r="E38" s="134" t="str">
        <f>VLOOKUP($A38,WEEKLY_TEAMS!$B39:$CME$64,37,0)</f>
        <v>=</v>
      </c>
      <c r="F38" s="134" t="str">
        <f>VLOOKUP($A38,WEEKLY_TEAMS!$B39:$CME$64,49,0)</f>
        <v>=</v>
      </c>
      <c r="G38" s="134" t="str">
        <f>VLOOKUP($A38,WEEKLY_TEAMS!$B39:$CME$64,61,0)</f>
        <v>=</v>
      </c>
      <c r="H38" s="134" t="str">
        <f>VLOOKUP($A38,WEEKLY_TEAMS!$B39:$CME$64,73,0)</f>
        <v>=</v>
      </c>
      <c r="I38" s="134" t="str">
        <f>VLOOKUP($A38,WEEKLY_TEAMS!$B$3:$CME$64,85,0)</f>
        <v>↓</v>
      </c>
      <c r="J38" s="134" t="str">
        <f>VLOOKUP($A38,WEEKLY_TEAMS!$B39:$CME$64,97,0)</f>
        <v>=</v>
      </c>
    </row>
    <row r="39" ht="15.75" customHeight="1">
      <c r="A39" s="134" t="str">
        <f>WEEKLY_TEAMS!B40</f>
        <v>(Sub) 👬 Víctor S</v>
      </c>
      <c r="B39" s="134" t="str">
        <f>WEEKLY_TEAMS!C40</f>
        <v>GREEN</v>
      </c>
      <c r="C39" s="134" t="str">
        <f>VLOOKUP($A39,WEEKLY_TEAMS!$B40:$CME$64,13,0)</f>
        <v>=</v>
      </c>
      <c r="D39" s="134" t="str">
        <f>VLOOKUP($A39,WEEKLY_TEAMS!$B40:$CME$64,25,0)</f>
        <v>↓</v>
      </c>
      <c r="E39" s="134" t="str">
        <f>VLOOKUP($A39,WEEKLY_TEAMS!$B40:$CME$64,37,0)</f>
        <v>↓</v>
      </c>
      <c r="F39" s="134" t="str">
        <f>VLOOKUP($A39,WEEKLY_TEAMS!$B40:$CME$64,49,0)</f>
        <v>=</v>
      </c>
      <c r="G39" s="134" t="str">
        <f>VLOOKUP($A39,WEEKLY_TEAMS!$B40:$CME$64,61,0)</f>
        <v>↓</v>
      </c>
      <c r="H39" s="134" t="str">
        <f>VLOOKUP($A39,WEEKLY_TEAMS!$B40:$CME$64,73,0)</f>
        <v>↓</v>
      </c>
      <c r="I39" s="134" t="str">
        <f>VLOOKUP($A39,WEEKLY_TEAMS!$B$3:$CME$64,85,0)</f>
        <v>↓</v>
      </c>
      <c r="J39" s="134" t="str">
        <f>VLOOKUP($A39,WEEKLY_TEAMS!$B40:$CME$64,97,0)</f>
        <v>↓</v>
      </c>
    </row>
    <row r="40" ht="15.75" customHeight="1">
      <c r="A40" s="134" t="str">
        <f>WEEKLY_TEAMS!B41</f>
        <v>(Sub) Walter Acero</v>
      </c>
      <c r="B40" s="134" t="str">
        <f>WEEKLY_TEAMS!C41</f>
        <v>ORANGE</v>
      </c>
      <c r="C40" s="134" t="str">
        <f>VLOOKUP($A40,WEEKLY_TEAMS!$B41:$CME$64,13,0)</f>
        <v>↓</v>
      </c>
      <c r="D40" s="134" t="str">
        <f>VLOOKUP($A40,WEEKLY_TEAMS!$B41:$CME$64,25,0)</f>
        <v>↓</v>
      </c>
      <c r="E40" s="134" t="str">
        <f>VLOOKUP($A40,WEEKLY_TEAMS!$B41:$CME$64,37,0)</f>
        <v>↑</v>
      </c>
      <c r="F40" s="134" t="str">
        <f>VLOOKUP($A40,WEEKLY_TEAMS!$B41:$CME$64,49,0)</f>
        <v>↑</v>
      </c>
      <c r="G40" s="134" t="str">
        <f>VLOOKUP($A40,WEEKLY_TEAMS!$B41:$CME$64,61,0)</f>
        <v>↓</v>
      </c>
      <c r="H40" s="134" t="str">
        <f>VLOOKUP($A40,WEEKLY_TEAMS!$B41:$CME$64,73,0)</f>
        <v>=</v>
      </c>
      <c r="I40" s="134" t="str">
        <f>VLOOKUP($A40,WEEKLY_TEAMS!$B$3:$CME$64,85,0)</f>
        <v>↑</v>
      </c>
      <c r="J40" s="134" t="str">
        <f>VLOOKUP($A40,WEEKLY_TEAMS!$B41:$CME$64,97,0)</f>
        <v>=</v>
      </c>
    </row>
    <row r="41" ht="15.75" customHeight="1">
      <c r="A41" s="134" t="str">
        <f>WEEKLY_TEAMS!B42</f>
        <v>(Sub) Emilio</v>
      </c>
      <c r="B41" s="134" t="str">
        <f>WEEKLY_TEAMS!C42</f>
        <v>BLUE</v>
      </c>
      <c r="C41" s="134" t="str">
        <f>VLOOKUP($A41,WEEKLY_TEAMS!$B42:$CME$64,13,0)</f>
        <v>=</v>
      </c>
      <c r="D41" s="134" t="str">
        <f>VLOOKUP($A41,WEEKLY_TEAMS!$B42:$CME$64,25,0)</f>
        <v>↓</v>
      </c>
      <c r="E41" s="134" t="str">
        <f>VLOOKUP($A41,WEEKLY_TEAMS!$B42:$CME$64,37,0)</f>
        <v>↓</v>
      </c>
      <c r="F41" s="134" t="str">
        <f>VLOOKUP($A41,WEEKLY_TEAMS!$B42:$CME$64,49,0)</f>
        <v>↓</v>
      </c>
      <c r="G41" s="134" t="str">
        <f>VLOOKUP($A41,WEEKLY_TEAMS!$B42:$CME$64,61,0)</f>
        <v>↑</v>
      </c>
      <c r="H41" s="134" t="str">
        <f>VLOOKUP($A41,WEEKLY_TEAMS!$B42:$CME$64,73,0)</f>
        <v>=</v>
      </c>
      <c r="I41" s="134" t="str">
        <f>VLOOKUP($A41,WEEKLY_TEAMS!$B$3:$CME$64,85,0)</f>
        <v>↑</v>
      </c>
      <c r="J41" s="134" t="str">
        <f>VLOOKUP($A41,WEEKLY_TEAMS!$B42:$CME$64,97,0)</f>
        <v>=</v>
      </c>
    </row>
    <row r="42" ht="15.75" customHeight="1">
      <c r="A42" s="134" t="str">
        <f>WEEKLY_TEAMS!B43</f>
        <v>(Sub)  👬 Joseph</v>
      </c>
      <c r="B42" s="134" t="str">
        <f>WEEKLY_TEAMS!C43</f>
        <v/>
      </c>
      <c r="C42" s="134" t="str">
        <f>VLOOKUP($A42,WEEKLY_TEAMS!$B43:$CME$64,13,0)</f>
        <v>↓</v>
      </c>
      <c r="D42" s="134" t="str">
        <f>VLOOKUP($A42,WEEKLY_TEAMS!$B43:$CME$64,25,0)</f>
        <v>↓</v>
      </c>
      <c r="E42" s="134" t="str">
        <f>VLOOKUP($A42,WEEKLY_TEAMS!$B43:$CME$64,37,0)</f>
        <v>=</v>
      </c>
      <c r="F42" s="134" t="str">
        <f>VLOOKUP($A42,WEEKLY_TEAMS!$B43:$CME$64,49,0)</f>
        <v>↑</v>
      </c>
      <c r="G42" s="134" t="str">
        <f>VLOOKUP($A42,WEEKLY_TEAMS!$B43:$CME$64,61,0)</f>
        <v>↓</v>
      </c>
      <c r="H42" s="134" t="str">
        <f>VLOOKUP($A42,WEEKLY_TEAMS!$B43:$CME$64,73,0)</f>
        <v>↑</v>
      </c>
      <c r="I42" s="134" t="str">
        <f>VLOOKUP($A42,WEEKLY_TEAMS!$B$3:$CME$64,85,0)</f>
        <v>↓</v>
      </c>
      <c r="J42" s="134" t="str">
        <f>VLOOKUP($A42,WEEKLY_TEAMS!$B43:$CME$64,97,0)</f>
        <v>↓</v>
      </c>
    </row>
    <row r="43" ht="15.75" customHeight="1">
      <c r="A43" s="134" t="str">
        <f>WEEKLY_TEAMS!B44</f>
        <v>(Sub) Eder 👬 Honorio </v>
      </c>
      <c r="B43" s="134" t="str">
        <f>WEEKLY_TEAMS!C44</f>
        <v>ORANGE</v>
      </c>
      <c r="C43" s="134" t="str">
        <f>VLOOKUP($A43,WEEKLY_TEAMS!$B44:$CME$64,13,0)</f>
        <v>↓</v>
      </c>
      <c r="D43" s="134" t="str">
        <f>VLOOKUP($A43,WEEKLY_TEAMS!$B44:$CME$64,25,0)</f>
        <v>↓</v>
      </c>
      <c r="E43" s="134" t="str">
        <f>VLOOKUP($A43,WEEKLY_TEAMS!$B44:$CME$64,37,0)</f>
        <v>↑</v>
      </c>
      <c r="F43" s="134" t="str">
        <f>VLOOKUP($A43,WEEKLY_TEAMS!$B44:$CME$64,49,0)</f>
        <v>↓</v>
      </c>
      <c r="G43" s="134" t="str">
        <f>VLOOKUP($A43,WEEKLY_TEAMS!$B44:$CME$64,61,0)</f>
        <v>↓</v>
      </c>
      <c r="H43" s="134" t="str">
        <f>VLOOKUP($A43,WEEKLY_TEAMS!$B44:$CME$64,73,0)</f>
        <v>↓</v>
      </c>
      <c r="I43" s="134" t="str">
        <f>VLOOKUP($A43,WEEKLY_TEAMS!$B$3:$CME$64,85,0)</f>
        <v>↓</v>
      </c>
      <c r="J43" s="134" t="str">
        <f>VLOOKUP($A43,WEEKLY_TEAMS!$B44:$CME$64,97,0)</f>
        <v>↓</v>
      </c>
    </row>
    <row r="44" ht="15.75" customHeight="1">
      <c r="A44" s="134" t="str">
        <f>WEEKLY_TEAMS!B45</f>
        <v>(Sub)  👬 Jesús</v>
      </c>
      <c r="B44" s="134" t="str">
        <f>WEEKLY_TEAMS!C45</f>
        <v/>
      </c>
      <c r="C44" s="134" t="str">
        <f>VLOOKUP($A44,WEEKLY_TEAMS!$B45:$CME$64,13,0)</f>
        <v>↓</v>
      </c>
      <c r="D44" s="134" t="str">
        <f>VLOOKUP($A44,WEEKLY_TEAMS!$B45:$CME$64,25,0)</f>
        <v>↓</v>
      </c>
      <c r="E44" s="134" t="str">
        <f>VLOOKUP($A44,WEEKLY_TEAMS!$B45:$CME$64,37,0)</f>
        <v>=</v>
      </c>
      <c r="F44" s="134" t="str">
        <f>VLOOKUP($A44,WEEKLY_TEAMS!$B45:$CME$64,49,0)</f>
        <v>↑</v>
      </c>
      <c r="G44" s="134" t="str">
        <f>VLOOKUP($A44,WEEKLY_TEAMS!$B45:$CME$64,61,0)</f>
        <v>↓</v>
      </c>
      <c r="H44" s="134" t="str">
        <f>VLOOKUP($A44,WEEKLY_TEAMS!$B45:$CME$64,73,0)</f>
        <v>↓</v>
      </c>
      <c r="I44" s="134" t="str">
        <f>VLOOKUP($A44,WEEKLY_TEAMS!$B$3:$CME$64,85,0)</f>
        <v>↓</v>
      </c>
      <c r="J44" s="134" t="str">
        <f>VLOOKUP($A44,WEEKLY_TEAMS!$B45:$CME$64,97,0)</f>
        <v>↑</v>
      </c>
    </row>
    <row r="45" ht="15.75" customHeight="1">
      <c r="A45" s="134" t="str">
        <f>WEEKLY_TEAMS!B46</f>
        <v>(Sub)  👬 Calin</v>
      </c>
      <c r="B45" s="134" t="str">
        <f>WEEKLY_TEAMS!C46</f>
        <v/>
      </c>
      <c r="C45" s="134" t="str">
        <f>VLOOKUP($A45,WEEKLY_TEAMS!$B46:$CME$64,13,0)</f>
        <v>↓</v>
      </c>
      <c r="D45" s="134" t="str">
        <f>VLOOKUP($A45,WEEKLY_TEAMS!$B46:$CME$64,25,0)</f>
        <v>↓</v>
      </c>
      <c r="E45" s="134" t="str">
        <f>VLOOKUP($A45,WEEKLY_TEAMS!$B46:$CME$64,37,0)</f>
        <v>=</v>
      </c>
      <c r="F45" s="134" t="str">
        <f>VLOOKUP($A45,WEEKLY_TEAMS!$B46:$CME$64,49,0)</f>
        <v>↑</v>
      </c>
      <c r="G45" s="134" t="str">
        <f>VLOOKUP($A45,WEEKLY_TEAMS!$B46:$CME$64,61,0)</f>
        <v>↓</v>
      </c>
      <c r="H45" s="134" t="str">
        <f>VLOOKUP($A45,WEEKLY_TEAMS!$B46:$CME$64,73,0)</f>
        <v>↓</v>
      </c>
      <c r="I45" s="134" t="str">
        <f>VLOOKUP($A45,WEEKLY_TEAMS!$B$3:$CME$64,85,0)</f>
        <v>↓</v>
      </c>
      <c r="J45" s="134" t="str">
        <f>VLOOKUP($A45,WEEKLY_TEAMS!$B46:$CME$64,97,0)</f>
        <v>↓</v>
      </c>
    </row>
    <row r="46" ht="15.75" customHeight="1">
      <c r="A46" s="134" t="str">
        <f>WEEKLY_TEAMS!B47</f>
        <v>(Sub) Pedro</v>
      </c>
      <c r="B46" s="134" t="str">
        <f>WEEKLY_TEAMS!C47</f>
        <v/>
      </c>
      <c r="C46" s="134" t="str">
        <f>VLOOKUP($A46,WEEKLY_TEAMS!$B47:$CME$64,13,0)</f>
        <v>↓</v>
      </c>
      <c r="D46" s="134" t="str">
        <f>VLOOKUP($A46,WEEKLY_TEAMS!$B47:$CME$64,25,0)</f>
        <v>↑</v>
      </c>
      <c r="E46" s="134" t="str">
        <f>VLOOKUP($A46,WEEKLY_TEAMS!$B47:$CME$64,37,0)</f>
        <v>↓</v>
      </c>
      <c r="F46" s="134" t="str">
        <f>VLOOKUP($A46,WEEKLY_TEAMS!$B47:$CME$64,49,0)</f>
        <v>↓</v>
      </c>
      <c r="G46" s="134" t="str">
        <f>VLOOKUP($A46,WEEKLY_TEAMS!$B47:$CME$64,61,0)</f>
        <v>↓</v>
      </c>
      <c r="H46" s="134" t="str">
        <f>VLOOKUP($A46,WEEKLY_TEAMS!$B47:$CME$64,73,0)</f>
        <v>=</v>
      </c>
      <c r="I46" s="134" t="str">
        <f>VLOOKUP($A46,WEEKLY_TEAMS!$B$3:$CME$64,85,0)</f>
        <v>↓</v>
      </c>
      <c r="J46" s="134" t="str">
        <f>VLOOKUP($A46,WEEKLY_TEAMS!$B47:$CME$64,97,0)</f>
        <v>=</v>
      </c>
    </row>
    <row r="47" ht="15.75" customHeight="1">
      <c r="A47" s="134" t="str">
        <f>WEEKLY_TEAMS!B48</f>
        <v>(Sub) Sebastian Leal</v>
      </c>
      <c r="B47" s="134" t="str">
        <f>WEEKLY_TEAMS!C48</f>
        <v/>
      </c>
      <c r="C47" s="134" t="str">
        <f>VLOOKUP($A47,WEEKLY_TEAMS!$B48:$CME$64,13,0)</f>
        <v>↓</v>
      </c>
      <c r="D47" s="134" t="str">
        <f>VLOOKUP($A47,WEEKLY_TEAMS!$B48:$CME$64,25,0)</f>
        <v>↓</v>
      </c>
      <c r="E47" s="134" t="str">
        <f>VLOOKUP($A47,WEEKLY_TEAMS!$B48:$CME$64,37,0)</f>
        <v>=</v>
      </c>
      <c r="F47" s="134" t="str">
        <f>VLOOKUP($A47,WEEKLY_TEAMS!$B48:$CME$64,49,0)</f>
        <v>↓</v>
      </c>
      <c r="G47" s="134" t="str">
        <f>VLOOKUP($A47,WEEKLY_TEAMS!$B48:$CME$64,61,0)</f>
        <v>↑</v>
      </c>
      <c r="H47" s="134" t="str">
        <f>VLOOKUP($A47,WEEKLY_TEAMS!$B48:$CME$64,73,0)</f>
        <v>=</v>
      </c>
      <c r="I47" s="134" t="str">
        <f>VLOOKUP($A47,WEEKLY_TEAMS!$B$3:$CME$64,85,0)</f>
        <v>↓</v>
      </c>
      <c r="J47" s="134" t="str">
        <f>VLOOKUP($A47,WEEKLY_TEAMS!$B48:$CME$64,97,0)</f>
        <v>↓</v>
      </c>
    </row>
    <row r="48" ht="15.75" customHeight="1">
      <c r="A48" s="134" t="str">
        <f>WEEKLY_TEAMS!B49</f>
        <v>(Sub) Karter</v>
      </c>
      <c r="B48" s="134" t="str">
        <f>WEEKLY_TEAMS!C49</f>
        <v/>
      </c>
      <c r="C48" s="134" t="str">
        <f>VLOOKUP($A48,WEEKLY_TEAMS!$B49:$CME$64,13,0)</f>
        <v>↓</v>
      </c>
      <c r="D48" s="134" t="str">
        <f>VLOOKUP($A48,WEEKLY_TEAMS!$B49:$CME$64,25,0)</f>
        <v>↓</v>
      </c>
      <c r="E48" s="134" t="str">
        <f>VLOOKUP($A48,WEEKLY_TEAMS!$B49:$CME$64,37,0)</f>
        <v>=</v>
      </c>
      <c r="F48" s="134" t="str">
        <f>VLOOKUP($A48,WEEKLY_TEAMS!$B49:$CME$64,49,0)</f>
        <v>↓</v>
      </c>
      <c r="G48" s="134" t="str">
        <f>VLOOKUP($A48,WEEKLY_TEAMS!$B49:$CME$64,61,0)</f>
        <v>↑</v>
      </c>
      <c r="H48" s="134" t="str">
        <f>VLOOKUP($A48,WEEKLY_TEAMS!$B49:$CME$64,73,0)</f>
        <v>=</v>
      </c>
      <c r="I48" s="134" t="str">
        <f>VLOOKUP($A48,WEEKLY_TEAMS!$B$3:$CME$64,85,0)</f>
        <v>↓</v>
      </c>
      <c r="J48" s="134" t="str">
        <f>VLOOKUP($A48,WEEKLY_TEAMS!$B49:$CME$64,97,0)</f>
        <v>↓</v>
      </c>
    </row>
    <row r="49" ht="15.75" customHeight="1">
      <c r="A49" s="134" t="str">
        <f>WEEKLY_TEAMS!B50</f>
        <v>(Sub) Sergio</v>
      </c>
      <c r="B49" s="134" t="str">
        <f>WEEKLY_TEAMS!C50</f>
        <v/>
      </c>
      <c r="C49" s="134" t="str">
        <f>VLOOKUP($A49,WEEKLY_TEAMS!$B50:$CME$64,13,0)</f>
        <v>↓</v>
      </c>
      <c r="D49" s="134" t="str">
        <f>VLOOKUP($A49,WEEKLY_TEAMS!$B50:$CME$64,25,0)</f>
        <v>↓</v>
      </c>
      <c r="E49" s="134" t="str">
        <f>VLOOKUP($A49,WEEKLY_TEAMS!$B50:$CME$64,37,0)</f>
        <v>=</v>
      </c>
      <c r="F49" s="134" t="str">
        <f>VLOOKUP($A49,WEEKLY_TEAMS!$B50:$CME$64,49,0)</f>
        <v>↓</v>
      </c>
      <c r="G49" s="134" t="str">
        <f>VLOOKUP($A49,WEEKLY_TEAMS!$B50:$CME$64,61,0)</f>
        <v>↓</v>
      </c>
      <c r="H49" s="134" t="str">
        <f>VLOOKUP($A49,WEEKLY_TEAMS!$B50:$CME$64,73,0)</f>
        <v>=</v>
      </c>
      <c r="I49" s="134" t="str">
        <f>VLOOKUP($A49,WEEKLY_TEAMS!$B$3:$CME$64,85,0)</f>
        <v>↑</v>
      </c>
      <c r="J49" s="134" t="str">
        <f>VLOOKUP($A49,WEEKLY_TEAMS!$B50:$CME$64,97,0)</f>
        <v>↓</v>
      </c>
    </row>
    <row r="50" ht="15.75" customHeight="1">
      <c r="A50" s="134" t="str">
        <f>WEEKLY_TEAMS!B51</f>
        <v>(Sub) Jose Núñez</v>
      </c>
      <c r="B50" s="134" t="str">
        <f>WEEKLY_TEAMS!C51</f>
        <v/>
      </c>
      <c r="C50" s="134" t="str">
        <f>VLOOKUP($A50,WEEKLY_TEAMS!$B51:$CME$64,13,0)</f>
        <v>↓</v>
      </c>
      <c r="D50" s="134" t="str">
        <f>VLOOKUP($A50,WEEKLY_TEAMS!$B51:$CME$64,25,0)</f>
        <v>↓</v>
      </c>
      <c r="E50" s="134" t="str">
        <f>VLOOKUP($A50,WEEKLY_TEAMS!$B51:$CME$64,37,0)</f>
        <v>=</v>
      </c>
      <c r="F50" s="134" t="str">
        <f>VLOOKUP($A50,WEEKLY_TEAMS!$B51:$CME$64,49,0)</f>
        <v>↓</v>
      </c>
      <c r="G50" s="134" t="str">
        <f>VLOOKUP($A50,WEEKLY_TEAMS!$B51:$CME$64,61,0)</f>
        <v>↓</v>
      </c>
      <c r="H50" s="134" t="str">
        <f>VLOOKUP($A50,WEEKLY_TEAMS!$B51:$CME$64,73,0)</f>
        <v>=</v>
      </c>
      <c r="I50" s="134" t="str">
        <f>VLOOKUP($A50,WEEKLY_TEAMS!$B$3:$CME$64,85,0)</f>
        <v>↑</v>
      </c>
      <c r="J50" s="134" t="str">
        <f>VLOOKUP($A50,WEEKLY_TEAMS!$B51:$CME$64,97,0)</f>
        <v>↓</v>
      </c>
    </row>
    <row r="51" ht="15.75" customHeight="1">
      <c r="A51" s="134" t="str">
        <f>WEEKLY_TEAMS!B52</f>
        <v/>
      </c>
      <c r="B51" s="134" t="str">
        <f>WEEKLY_TEAMS!C52</f>
        <v/>
      </c>
      <c r="C51" s="134" t="str">
        <f>VLOOKUP($A51,WEEKLY_TEAMS!$B52:$CME$64,13,0)</f>
        <v>#N/A</v>
      </c>
      <c r="D51" s="134" t="str">
        <f>VLOOKUP($A51,WEEKLY_TEAMS!$B52:$CME$64,25,0)</f>
        <v>#N/A</v>
      </c>
      <c r="E51" s="134" t="str">
        <f>VLOOKUP($A51,WEEKLY_TEAMS!$B52:$CME$64,37,0)</f>
        <v>#N/A</v>
      </c>
      <c r="F51" s="134" t="str">
        <f>VLOOKUP($A51,WEEKLY_TEAMS!$B52:$CME$64,49,0)</f>
        <v>#N/A</v>
      </c>
      <c r="G51" s="134" t="str">
        <f>VLOOKUP($A51,WEEKLY_TEAMS!$B52:$CME$64,61,0)</f>
        <v>#N/A</v>
      </c>
      <c r="H51" s="134" t="str">
        <f>VLOOKUP($A51,WEEKLY_TEAMS!$B52:$CME$64,73,0)</f>
        <v>#N/A</v>
      </c>
      <c r="I51" s="134" t="str">
        <f>VLOOKUP($A51,WEEKLY_TEAMS!$B$3:$CME$64,85,0)</f>
        <v>#N/A</v>
      </c>
      <c r="J51" s="134" t="str">
        <f>VLOOKUP($A51,WEEKLY_TEAMS!$B52:$CME$64,97,0)</f>
        <v>#N/A</v>
      </c>
    </row>
    <row r="52" ht="15.75" customHeight="1">
      <c r="A52" s="134" t="str">
        <f>WEEKLY_TEAMS!B53</f>
        <v/>
      </c>
      <c r="B52" s="134" t="str">
        <f>WEEKLY_TEAMS!C53</f>
        <v/>
      </c>
      <c r="C52" s="134" t="str">
        <f>VLOOKUP($A52,WEEKLY_TEAMS!$B53:$CME$64,13,0)</f>
        <v>#N/A</v>
      </c>
      <c r="D52" s="134" t="str">
        <f>VLOOKUP($A52,WEEKLY_TEAMS!$B53:$CME$64,25,0)</f>
        <v>#N/A</v>
      </c>
      <c r="E52" s="134" t="str">
        <f>VLOOKUP($A52,WEEKLY_TEAMS!$B53:$CME$64,37,0)</f>
        <v>#N/A</v>
      </c>
      <c r="F52" s="134" t="str">
        <f>VLOOKUP($A52,WEEKLY_TEAMS!$B53:$CME$64,49,0)</f>
        <v>#N/A</v>
      </c>
      <c r="G52" s="134" t="str">
        <f>VLOOKUP($A52,WEEKLY_TEAMS!$B53:$CME$64,61,0)</f>
        <v>#N/A</v>
      </c>
      <c r="H52" s="134" t="str">
        <f>VLOOKUP($A52,WEEKLY_TEAMS!$B53:$CME$64,73,0)</f>
        <v>#N/A</v>
      </c>
      <c r="I52" s="134" t="str">
        <f>VLOOKUP($A52,WEEKLY_TEAMS!$B$3:$CME$64,85,0)</f>
        <v>#N/A</v>
      </c>
      <c r="J52" s="134" t="str">
        <f>VLOOKUP($A52,WEEKLY_TEAMS!$B53:$CME$64,97,0)</f>
        <v>#N/A</v>
      </c>
    </row>
    <row r="53" ht="15.75" customHeight="1">
      <c r="A53" s="134" t="str">
        <f>WEEKLY_TEAMS!B54</f>
        <v/>
      </c>
      <c r="B53" s="134" t="str">
        <f>WEEKLY_TEAMS!C54</f>
        <v/>
      </c>
      <c r="C53" s="134" t="str">
        <f>VLOOKUP($A53,WEEKLY_TEAMS!$B54:$CME$64,13,0)</f>
        <v>#N/A</v>
      </c>
      <c r="D53" s="134" t="str">
        <f>VLOOKUP($A53,WEEKLY_TEAMS!$B54:$CME$64,25,0)</f>
        <v>#N/A</v>
      </c>
      <c r="E53" s="134" t="str">
        <f>VLOOKUP($A53,WEEKLY_TEAMS!$B54:$CME$64,37,0)</f>
        <v>#N/A</v>
      </c>
      <c r="F53" s="134" t="str">
        <f>VLOOKUP($A53,WEEKLY_TEAMS!$B54:$CME$64,49,0)</f>
        <v>#N/A</v>
      </c>
      <c r="G53" s="134" t="str">
        <f>VLOOKUP($A53,WEEKLY_TEAMS!$B54:$CME$64,61,0)</f>
        <v>#N/A</v>
      </c>
      <c r="H53" s="134" t="str">
        <f>VLOOKUP($A53,WEEKLY_TEAMS!$B54:$CME$64,73,0)</f>
        <v>#N/A</v>
      </c>
      <c r="I53" s="134" t="str">
        <f>VLOOKUP($A53,WEEKLY_TEAMS!$B$3:$CME$64,85,0)</f>
        <v>#N/A</v>
      </c>
      <c r="J53" s="134" t="str">
        <f>VLOOKUP($A53,WEEKLY_TEAMS!$B54:$CME$64,97,0)</f>
        <v>#N/A</v>
      </c>
    </row>
    <row r="54" ht="15.75" customHeight="1">
      <c r="A54" s="134" t="str">
        <f>WEEKLY_TEAMS!B55</f>
        <v/>
      </c>
      <c r="B54" s="134" t="str">
        <f>WEEKLY_TEAMS!C55</f>
        <v/>
      </c>
      <c r="C54" s="134" t="str">
        <f>VLOOKUP($A54,WEEKLY_TEAMS!$B55:$CME$64,13,0)</f>
        <v>#N/A</v>
      </c>
      <c r="D54" s="134" t="str">
        <f>VLOOKUP($A54,WEEKLY_TEAMS!$B55:$CME$64,25,0)</f>
        <v>#N/A</v>
      </c>
      <c r="E54" s="134" t="str">
        <f>VLOOKUP($A54,WEEKLY_TEAMS!$B55:$CME$64,37,0)</f>
        <v>#N/A</v>
      </c>
      <c r="F54" s="134" t="str">
        <f>VLOOKUP($A54,WEEKLY_TEAMS!$B55:$CME$64,49,0)</f>
        <v>#N/A</v>
      </c>
      <c r="G54" s="134" t="str">
        <f>VLOOKUP($A54,WEEKLY_TEAMS!$B55:$CME$64,61,0)</f>
        <v>#N/A</v>
      </c>
      <c r="H54" s="134" t="str">
        <f>VLOOKUP($A54,WEEKLY_TEAMS!$B55:$CME$64,73,0)</f>
        <v>#N/A</v>
      </c>
      <c r="I54" s="134" t="str">
        <f>VLOOKUP($A54,WEEKLY_TEAMS!$B$3:$CME$64,85,0)</f>
        <v>#N/A</v>
      </c>
      <c r="J54" s="134" t="str">
        <f>VLOOKUP($A54,WEEKLY_TEAMS!$B55:$CME$64,97,0)</f>
        <v>#N/A</v>
      </c>
    </row>
    <row r="55" ht="15.75" customHeight="1">
      <c r="A55" s="134" t="str">
        <f>WEEKLY_TEAMS!B56</f>
        <v/>
      </c>
      <c r="B55" s="134" t="str">
        <f>WEEKLY_TEAMS!C56</f>
        <v/>
      </c>
      <c r="C55" s="134" t="str">
        <f>VLOOKUP($A55,WEEKLY_TEAMS!$B56:$CME$64,13,0)</f>
        <v>#N/A</v>
      </c>
      <c r="D55" s="134" t="str">
        <f>VLOOKUP($A55,WEEKLY_TEAMS!$B56:$CME$64,25,0)</f>
        <v>#N/A</v>
      </c>
      <c r="E55" s="134" t="str">
        <f>VLOOKUP($A55,WEEKLY_TEAMS!$B56:$CME$64,37,0)</f>
        <v>#N/A</v>
      </c>
      <c r="F55" s="134" t="str">
        <f>VLOOKUP($A55,WEEKLY_TEAMS!$B56:$CME$64,49,0)</f>
        <v>#N/A</v>
      </c>
      <c r="G55" s="134" t="str">
        <f>VLOOKUP($A55,WEEKLY_TEAMS!$B56:$CME$64,61,0)</f>
        <v>#N/A</v>
      </c>
      <c r="H55" s="134" t="str">
        <f>VLOOKUP($A55,WEEKLY_TEAMS!$B56:$CME$64,73,0)</f>
        <v>#N/A</v>
      </c>
      <c r="I55" s="134" t="str">
        <f>VLOOKUP($A55,WEEKLY_TEAMS!$B$3:$CME$64,85,0)</f>
        <v>#N/A</v>
      </c>
      <c r="J55" s="134" t="str">
        <f>VLOOKUP($A55,WEEKLY_TEAMS!$B56:$CME$64,97,0)</f>
        <v>#N/A</v>
      </c>
    </row>
    <row r="56" ht="15.75" customHeight="1">
      <c r="A56" s="134" t="str">
        <f>WEEKLY_TEAMS!B57</f>
        <v/>
      </c>
      <c r="B56" s="134" t="str">
        <f>WEEKLY_TEAMS!C57</f>
        <v/>
      </c>
      <c r="C56" s="134" t="str">
        <f>VLOOKUP($A56,WEEKLY_TEAMS!$B57:$CME$64,13,0)</f>
        <v>#N/A</v>
      </c>
      <c r="D56" s="134" t="str">
        <f>VLOOKUP($A56,WEEKLY_TEAMS!$B57:$CME$64,25,0)</f>
        <v>#N/A</v>
      </c>
      <c r="E56" s="134" t="str">
        <f>VLOOKUP($A56,WEEKLY_TEAMS!$B57:$CME$64,37,0)</f>
        <v>#N/A</v>
      </c>
      <c r="F56" s="134" t="str">
        <f>VLOOKUP($A56,WEEKLY_TEAMS!$B57:$CME$64,49,0)</f>
        <v>#N/A</v>
      </c>
      <c r="G56" s="134" t="str">
        <f>VLOOKUP($A56,WEEKLY_TEAMS!$B57:$CME$64,61,0)</f>
        <v>#N/A</v>
      </c>
      <c r="H56" s="134" t="str">
        <f>VLOOKUP($A56,WEEKLY_TEAMS!$B57:$CME$64,73,0)</f>
        <v>#N/A</v>
      </c>
      <c r="I56" s="134" t="str">
        <f>VLOOKUP($A56,WEEKLY_TEAMS!$B$3:$CME$64,85,0)</f>
        <v>#N/A</v>
      </c>
      <c r="J56" s="134" t="str">
        <f>VLOOKUP($A56,WEEKLY_TEAMS!$B57:$CME$64,97,0)</f>
        <v>#N/A</v>
      </c>
    </row>
    <row r="57" ht="15.75" customHeight="1">
      <c r="A57" s="134" t="str">
        <f>WEEKLY_TEAMS!B58</f>
        <v/>
      </c>
      <c r="B57" s="134" t="str">
        <f>WEEKLY_TEAMS!C58</f>
        <v/>
      </c>
      <c r="C57" s="134" t="str">
        <f>VLOOKUP($A57,WEEKLY_TEAMS!$B58:$CME$64,13,0)</f>
        <v>#N/A</v>
      </c>
      <c r="D57" s="134" t="str">
        <f>VLOOKUP($A57,WEEKLY_TEAMS!$B58:$CME$64,25,0)</f>
        <v>#N/A</v>
      </c>
      <c r="E57" s="134" t="str">
        <f>VLOOKUP($A57,WEEKLY_TEAMS!$B58:$CME$64,37,0)</f>
        <v>#N/A</v>
      </c>
      <c r="F57" s="134" t="str">
        <f>VLOOKUP($A57,WEEKLY_TEAMS!$B58:$CME$64,49,0)</f>
        <v>#N/A</v>
      </c>
      <c r="G57" s="134" t="str">
        <f>VLOOKUP($A57,WEEKLY_TEAMS!$B58:$CME$64,61,0)</f>
        <v>#N/A</v>
      </c>
      <c r="H57" s="134" t="str">
        <f>VLOOKUP($A57,WEEKLY_TEAMS!$B58:$CME$64,73,0)</f>
        <v>#N/A</v>
      </c>
      <c r="I57" s="134" t="str">
        <f>VLOOKUP($A57,WEEKLY_TEAMS!$B$3:$CME$64,85,0)</f>
        <v>#N/A</v>
      </c>
      <c r="J57" s="134" t="str">
        <f>VLOOKUP($A57,WEEKLY_TEAMS!$B58:$CME$64,97,0)</f>
        <v>#N/A</v>
      </c>
    </row>
    <row r="58" ht="15.75" customHeight="1">
      <c r="A58" s="134" t="str">
        <f>WEEKLY_TEAMS!B59</f>
        <v/>
      </c>
      <c r="B58" s="134" t="str">
        <f>WEEKLY_TEAMS!C59</f>
        <v/>
      </c>
      <c r="C58" s="134" t="str">
        <f>VLOOKUP($A58,WEEKLY_TEAMS!$B59:$CME$64,13,0)</f>
        <v>#N/A</v>
      </c>
      <c r="D58" s="134" t="str">
        <f>VLOOKUP($A58,WEEKLY_TEAMS!$B59:$CME$64,25,0)</f>
        <v>#N/A</v>
      </c>
      <c r="E58" s="134" t="str">
        <f>VLOOKUP($A58,WEEKLY_TEAMS!$B59:$CME$64,37,0)</f>
        <v>#N/A</v>
      </c>
      <c r="F58" s="134" t="str">
        <f>VLOOKUP($A58,WEEKLY_TEAMS!$B59:$CME$64,49,0)</f>
        <v>#N/A</v>
      </c>
      <c r="G58" s="134" t="str">
        <f>VLOOKUP($A58,WEEKLY_TEAMS!$B59:$CME$64,61,0)</f>
        <v>#N/A</v>
      </c>
      <c r="H58" s="134" t="str">
        <f>VLOOKUP($A58,WEEKLY_TEAMS!$B59:$CME$64,73,0)</f>
        <v>#N/A</v>
      </c>
      <c r="I58" s="134" t="str">
        <f>VLOOKUP($A58,WEEKLY_TEAMS!$B$3:$CME$64,85,0)</f>
        <v>#N/A</v>
      </c>
      <c r="J58" s="134" t="str">
        <f>VLOOKUP($A58,WEEKLY_TEAMS!$B59:$CME$64,97,0)</f>
        <v>#N/A</v>
      </c>
    </row>
    <row r="59" ht="15.75" customHeight="1">
      <c r="A59" s="134" t="str">
        <f>WEEKLY_TEAMS!B60</f>
        <v/>
      </c>
      <c r="B59" s="134" t="str">
        <f>WEEKLY_TEAMS!C60</f>
        <v/>
      </c>
      <c r="C59" s="134" t="str">
        <f>VLOOKUP($A59,WEEKLY_TEAMS!$B60:$CME$64,13,0)</f>
        <v>#N/A</v>
      </c>
      <c r="D59" s="134" t="str">
        <f>VLOOKUP($A59,WEEKLY_TEAMS!$B60:$CME$64,25,0)</f>
        <v>#N/A</v>
      </c>
      <c r="E59" s="134" t="str">
        <f>VLOOKUP($A59,WEEKLY_TEAMS!$B60:$CME$64,37,0)</f>
        <v>#N/A</v>
      </c>
      <c r="F59" s="134" t="str">
        <f>VLOOKUP($A59,WEEKLY_TEAMS!$B60:$CME$64,49,0)</f>
        <v>#N/A</v>
      </c>
      <c r="G59" s="134" t="str">
        <f>VLOOKUP($A59,WEEKLY_TEAMS!$B60:$CME$64,61,0)</f>
        <v>#N/A</v>
      </c>
      <c r="H59" s="134" t="str">
        <f>VLOOKUP($A59,WEEKLY_TEAMS!$B60:$CME$64,73,0)</f>
        <v>#N/A</v>
      </c>
      <c r="I59" s="134" t="str">
        <f>VLOOKUP($A59,WEEKLY_TEAMS!$B$3:$CME$64,85,0)</f>
        <v>#N/A</v>
      </c>
      <c r="J59" s="134" t="str">
        <f>VLOOKUP($A59,WEEKLY_TEAMS!$B60:$CME$64,97,0)</f>
        <v>#N/A</v>
      </c>
    </row>
    <row r="60" ht="15.75" customHeight="1">
      <c r="A60" s="134" t="str">
        <f>WEEKLY_TEAMS!B61</f>
        <v/>
      </c>
      <c r="B60" s="134" t="str">
        <f>WEEKLY_TEAMS!C61</f>
        <v/>
      </c>
      <c r="C60" s="134" t="str">
        <f>VLOOKUP($A60,WEEKLY_TEAMS!$B61:$CME$64,13,0)</f>
        <v>#N/A</v>
      </c>
      <c r="D60" s="134" t="str">
        <f>VLOOKUP($A60,WEEKLY_TEAMS!$B61:$CME$64,25,0)</f>
        <v>#N/A</v>
      </c>
      <c r="E60" s="134" t="str">
        <f>VLOOKUP($A60,WEEKLY_TEAMS!$B61:$CME$64,37,0)</f>
        <v>#N/A</v>
      </c>
      <c r="F60" s="134" t="str">
        <f>VLOOKUP($A60,WEEKLY_TEAMS!$B61:$CME$64,49,0)</f>
        <v>#N/A</v>
      </c>
      <c r="G60" s="134" t="str">
        <f>VLOOKUP($A60,WEEKLY_TEAMS!$B61:$CME$64,61,0)</f>
        <v>#N/A</v>
      </c>
      <c r="H60" s="134" t="str">
        <f>VLOOKUP($A60,WEEKLY_TEAMS!$B61:$CME$64,73,0)</f>
        <v>#N/A</v>
      </c>
      <c r="I60" s="134" t="str">
        <f>VLOOKUP($A60,WEEKLY_TEAMS!$B$3:$CME$64,85,0)</f>
        <v>#N/A</v>
      </c>
      <c r="J60" s="134" t="str">
        <f>VLOOKUP($A60,WEEKLY_TEAMS!$B61:$CME$64,97,0)</f>
        <v>#N/A</v>
      </c>
    </row>
    <row r="61" ht="15.75" customHeight="1">
      <c r="A61" s="134" t="str">
        <f>WEEKLY_TEAMS!B62</f>
        <v/>
      </c>
      <c r="B61" s="134" t="str">
        <f>WEEKLY_TEAMS!C62</f>
        <v/>
      </c>
      <c r="C61" s="134" t="str">
        <f>VLOOKUP($A61,WEEKLY_TEAMS!$B62:$CME$64,13,0)</f>
        <v>#N/A</v>
      </c>
      <c r="D61" s="134" t="str">
        <f>VLOOKUP($A61,WEEKLY_TEAMS!$B62:$CME$64,25,0)</f>
        <v>#N/A</v>
      </c>
      <c r="E61" s="134" t="str">
        <f>VLOOKUP($A61,WEEKLY_TEAMS!$B62:$CME$64,37,0)</f>
        <v>#N/A</v>
      </c>
      <c r="F61" s="134" t="str">
        <f>VLOOKUP($A61,WEEKLY_TEAMS!$B62:$CME$64,49,0)</f>
        <v>#N/A</v>
      </c>
      <c r="G61" s="134" t="str">
        <f>VLOOKUP($A61,WEEKLY_TEAMS!$B62:$CME$64,61,0)</f>
        <v>#N/A</v>
      </c>
      <c r="H61" s="134" t="str">
        <f>VLOOKUP($A61,WEEKLY_TEAMS!$B62:$CME$64,73,0)</f>
        <v>#N/A</v>
      </c>
      <c r="I61" s="134" t="str">
        <f>VLOOKUP($A61,WEEKLY_TEAMS!$B$3:$CME$64,85,0)</f>
        <v>#N/A</v>
      </c>
      <c r="J61" s="134" t="str">
        <f>VLOOKUP($A61,WEEKLY_TEAMS!$B62:$CME$64,97,0)</f>
        <v>#N/A</v>
      </c>
    </row>
    <row r="62" ht="15.75" customHeight="1">
      <c r="A62" s="134" t="str">
        <f>WEEKLY_TEAMS!B63</f>
        <v/>
      </c>
      <c r="B62" s="134" t="str">
        <f>WEEKLY_TEAMS!C63</f>
        <v/>
      </c>
      <c r="C62" s="134" t="str">
        <f>VLOOKUP($A62,WEEKLY_TEAMS!$B63:$CME$64,13,0)</f>
        <v>#N/A</v>
      </c>
      <c r="D62" s="134" t="str">
        <f>VLOOKUP($A62,WEEKLY_TEAMS!$B63:$CME$64,25,0)</f>
        <v>#N/A</v>
      </c>
      <c r="E62" s="134" t="str">
        <f>VLOOKUP($A62,WEEKLY_TEAMS!$B63:$CME$64,37,0)</f>
        <v>#N/A</v>
      </c>
      <c r="F62" s="134" t="str">
        <f>VLOOKUP($A62,WEEKLY_TEAMS!$B63:$CME$64,49,0)</f>
        <v>#N/A</v>
      </c>
      <c r="G62" s="134" t="str">
        <f>VLOOKUP($A62,WEEKLY_TEAMS!$B63:$CME$64,61,0)</f>
        <v>#N/A</v>
      </c>
      <c r="H62" s="134" t="str">
        <f>VLOOKUP($A62,WEEKLY_TEAMS!$B63:$CME$64,73,0)</f>
        <v>#N/A</v>
      </c>
      <c r="I62" s="134" t="str">
        <f>VLOOKUP($A62,WEEKLY_TEAMS!$B$3:$CME$64,85,0)</f>
        <v>#N/A</v>
      </c>
      <c r="J62" s="134" t="str">
        <f>VLOOKUP($A62,WEEKLY_TEAMS!$B63:$CME$64,97,0)</f>
        <v>#N/A</v>
      </c>
    </row>
    <row r="63" ht="15.75" customHeight="1">
      <c r="A63" s="134" t="str">
        <f>WEEKLY_TEAMS!B64</f>
        <v/>
      </c>
      <c r="B63" s="134" t="str">
        <f>WEEKLY_TEAMS!C64</f>
        <v/>
      </c>
      <c r="C63" s="134" t="str">
        <f>VLOOKUP($A63,WEEKLY_TEAMS!$B64:$CME$64,13,0)</f>
        <v>#N/A</v>
      </c>
      <c r="D63" s="134" t="str">
        <f>VLOOKUP($A63,WEEKLY_TEAMS!$B64:$CME$64,25,0)</f>
        <v>#N/A</v>
      </c>
      <c r="E63" s="134" t="str">
        <f>VLOOKUP($A63,WEEKLY_TEAMS!$B64:$CME$64,37,0)</f>
        <v>#N/A</v>
      </c>
      <c r="F63" s="134" t="str">
        <f>VLOOKUP($A63,WEEKLY_TEAMS!$B64:$CME$64,49,0)</f>
        <v>#N/A</v>
      </c>
      <c r="G63" s="134" t="str">
        <f>VLOOKUP($A63,WEEKLY_TEAMS!$B64:$CME$64,61,0)</f>
        <v>#N/A</v>
      </c>
      <c r="H63" s="134" t="str">
        <f>VLOOKUP($A63,WEEKLY_TEAMS!$B64:$CME$64,73,0)</f>
        <v>#N/A</v>
      </c>
      <c r="I63" s="134" t="str">
        <f>VLOOKUP($A63,WEEKLY_TEAMS!$B$3:$CME$64,85,0)</f>
        <v>#N/A</v>
      </c>
      <c r="J63" s="134" t="str">
        <f>VLOOKUP($A63,WEEKLY_TEAMS!$B64:$CME$64,97,0)</f>
        <v>#N/A</v>
      </c>
    </row>
    <row r="64" ht="15.75" customHeight="1">
      <c r="A64" s="134" t="str">
        <f>WEEKLY_TEAMS!B65</f>
        <v/>
      </c>
      <c r="B64" s="134" t="str">
        <f>WEEKLY_TEAMS!C65</f>
        <v/>
      </c>
      <c r="C64" s="134" t="str">
        <f>VLOOKUP($A64,WEEKLY_TEAMS!$B$64:$CME65,13,0)</f>
        <v>#N/A</v>
      </c>
      <c r="D64" s="134" t="str">
        <f>VLOOKUP($A64,WEEKLY_TEAMS!$B$64:$CME65,25,0)</f>
        <v>#N/A</v>
      </c>
      <c r="E64" s="134" t="str">
        <f>VLOOKUP($A64,WEEKLY_TEAMS!$B$64:$CME65,37,0)</f>
        <v>#N/A</v>
      </c>
      <c r="F64" s="134" t="str">
        <f>VLOOKUP($A64,WEEKLY_TEAMS!$B$64:$CME65,49,0)</f>
        <v>#N/A</v>
      </c>
      <c r="G64" s="134" t="str">
        <f>VLOOKUP($A64,WEEKLY_TEAMS!$B$64:$CME65,61,0)</f>
        <v>#N/A</v>
      </c>
      <c r="H64" s="134" t="str">
        <f>VLOOKUP($A64,WEEKLY_TEAMS!$B$64:$CME65,73,0)</f>
        <v>#N/A</v>
      </c>
      <c r="I64" s="134" t="str">
        <f>VLOOKUP($A64,WEEKLY_TEAMS!$B$3:$CME$64,85,0)</f>
        <v>#N/A</v>
      </c>
      <c r="J64" s="134" t="str">
        <f>VLOOKUP($A64,WEEKLY_TEAMS!$B$64:$CME65,97,0)</f>
        <v>#N/A</v>
      </c>
    </row>
    <row r="65" ht="15.75" customHeight="1">
      <c r="A65" s="134" t="str">
        <f>WEEKLY_TEAMS!B66</f>
        <v/>
      </c>
      <c r="B65" s="134" t="str">
        <f>WEEKLY_TEAMS!C66</f>
        <v/>
      </c>
      <c r="C65" s="134" t="str">
        <f>VLOOKUP($A65,WEEKLY_TEAMS!$B$64:$CME66,13,0)</f>
        <v>#N/A</v>
      </c>
      <c r="D65" s="134" t="str">
        <f>VLOOKUP($A65,WEEKLY_TEAMS!$B$64:$CME66,25,0)</f>
        <v>#N/A</v>
      </c>
      <c r="E65" s="134" t="str">
        <f>VLOOKUP($A65,WEEKLY_TEAMS!$B$64:$CME66,37,0)</f>
        <v>#N/A</v>
      </c>
      <c r="F65" s="134" t="str">
        <f>VLOOKUP($A65,WEEKLY_TEAMS!$B$64:$CME66,49,0)</f>
        <v>#N/A</v>
      </c>
      <c r="G65" s="134" t="str">
        <f>VLOOKUP($A65,WEEKLY_TEAMS!$B$64:$CME66,61,0)</f>
        <v>#N/A</v>
      </c>
      <c r="H65" s="134" t="str">
        <f>VLOOKUP($A65,WEEKLY_TEAMS!$B$64:$CME66,73,0)</f>
        <v>#N/A</v>
      </c>
      <c r="I65" s="134" t="str">
        <f>VLOOKUP($A65,WEEKLY_TEAMS!$B$3:$CME$64,85,0)</f>
        <v>#N/A</v>
      </c>
      <c r="J65" s="134" t="str">
        <f>VLOOKUP($A65,WEEKLY_TEAMS!$B$64:$CME66,97,0)</f>
        <v>#N/A</v>
      </c>
    </row>
  </sheetData>
  <printOptions/>
  <pageMargins bottom="0.75" footer="0.0" header="0.0" left="0.7" right="0.7" top="0.75"/>
  <pageSetup orientation="landscape"/>
  <drawing r:id="rId1"/>
</worksheet>
</file>